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definedNames>
    <definedName name="_xlnm.Print_Area" localSheetId="0">Лист1!$A$1:$AH$20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5" i="1" l="1"/>
  <c r="AJ13" i="1"/>
  <c r="AJ10" i="1"/>
  <c r="AD13" i="1"/>
  <c r="AE13" i="1" s="1"/>
  <c r="AC13" i="1"/>
  <c r="AF13" i="1" s="1"/>
  <c r="AH13" i="1" s="1"/>
  <c r="AD10" i="1"/>
  <c r="AE10" i="1" s="1"/>
  <c r="AC10" i="1"/>
  <c r="AF10" i="1" s="1"/>
  <c r="AH10" i="1" s="1"/>
  <c r="AC11" i="1" l="1"/>
  <c r="AF11" i="1" s="1"/>
  <c r="AH11" i="1" l="1"/>
  <c r="AJ11" i="1" s="1"/>
  <c r="AD12" i="1" l="1"/>
  <c r="AD14" i="1"/>
  <c r="AC12" i="1"/>
  <c r="AC14" i="1"/>
  <c r="AD11" i="1"/>
  <c r="AE14" i="1" l="1"/>
  <c r="AE12" i="1"/>
  <c r="AF14" i="1"/>
  <c r="AH14" i="1" s="1"/>
  <c r="AJ14" i="1" s="1"/>
  <c r="AF12" i="1"/>
  <c r="AH12" i="1" s="1"/>
  <c r="AJ12" i="1" s="1"/>
  <c r="AE11" i="1"/>
  <c r="AH15" i="1" l="1"/>
</calcChain>
</file>

<file path=xl/sharedStrings.xml><?xml version="1.0" encoding="utf-8"?>
<sst xmlns="http://schemas.openxmlformats.org/spreadsheetml/2006/main" count="87" uniqueCount="61">
  <si>
    <t xml:space="preserve"> </t>
  </si>
  <si>
    <t>Характеристики объекта закупки</t>
  </si>
  <si>
    <t>Используемый метод определения НМЦК 
с обоснованием:</t>
  </si>
  <si>
    <r>
      <rPr>
        <sz val="11"/>
        <rFont val="Times New Roman"/>
        <family val="1"/>
        <charset val="204"/>
      </rPr>
      <t>Расчет НМЦК по формуле:  НМЦК =</t>
    </r>
    <r>
      <rPr>
        <sz val="15"/>
        <rFont val="Times New Roman"/>
        <family val="1"/>
        <charset val="204"/>
      </rPr>
      <t xml:space="preserve"> Σⁿ</t>
    </r>
    <r>
      <rPr>
        <sz val="7"/>
        <rFont val="Times New Roman"/>
        <family val="1"/>
        <charset val="204"/>
      </rPr>
      <t>i=1</t>
    </r>
    <r>
      <rPr>
        <sz val="11"/>
        <rFont val="Times New Roman"/>
        <family val="1"/>
        <charset val="204"/>
      </rPr>
      <t xml:space="preserve"> (НЦЕi + НДС) * Vi  
где: 
n - количество позиций закупаемых медицинских изделий;  
НЦЕi- начальная цена единицы i-й позиции медицинского изделия, определяемая в соответствии с настоящим порядком (по применимости); 
НДС - налог на добавленную стоимость (если применимо для закупаемого медицинского изделия);  
Vi- количество (объем) i-й позиции закупаемого медицинского изделия.</t>
    </r>
  </si>
  <si>
    <t>№</t>
  </si>
  <si>
    <t>Наименование товара, услуги (работы)</t>
  </si>
  <si>
    <t>ОКПД2/ КТРУ</t>
  </si>
  <si>
    <t>Единица измерения</t>
  </si>
  <si>
    <t>Кол-во</t>
  </si>
  <si>
    <t xml:space="preserve">Среднее квадратичное отклонение </t>
  </si>
  <si>
    <t>Коэффициент вариации (%)</t>
  </si>
  <si>
    <t>Начальная цена единицы МИ, 
без НДС   (руб.)</t>
  </si>
  <si>
    <t>НДС, %</t>
  </si>
  <si>
    <t>Начальная цена единицы МИ, 
с НДС   (руб.)</t>
  </si>
  <si>
    <t>Цена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</si>
  <si>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</si>
  <si>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</si>
  <si>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</si>
  <si>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</si>
  <si>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</si>
  <si>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</si>
  <si>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</si>
  <si>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</si>
  <si>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</si>
  <si>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</si>
  <si>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</si>
  <si>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</si>
  <si>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</si>
  <si>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</si>
  <si>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</si>
  <si>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</si>
  <si>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</si>
  <si>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</si>
  <si>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 xml:space="preserve">Средняя арифметическая цена за единицу     &lt;ц&gt; </t>
  </si>
  <si>
    <t>В соответствии со структурированном описанием объекта закупки.</t>
  </si>
  <si>
    <t xml:space="preserve">В соответствии с ч.6 статьи 22 Федерального закона от 05.04.2013 N 44-ФЗ "О контрактной системе в сфере закупок товаров, работ, услуг для обеспечения государственных и муниципальных нужд" метод сопоставимых рыночных цен (анализа рынка) является приоритетным для определения и обоснования начальной (максимальной) цены контракта      </t>
  </si>
  <si>
    <t>32.50.50.000-00234</t>
  </si>
  <si>
    <t xml:space="preserve">32.50.50.000-00234 </t>
  </si>
  <si>
    <t>штука</t>
  </si>
  <si>
    <t>https://zakupki.gov.ru/epz/contract/contractCard/common-info.html?reestrNumber=2504411967624000102</t>
  </si>
  <si>
    <t>https://zakupki.gov.ru/epz/contract/contractCard/common-info.html?reestrNumber=2500710999023000211</t>
  </si>
  <si>
    <t>Контракт 1</t>
  </si>
  <si>
    <t>Контракт 2</t>
  </si>
  <si>
    <t>https://zakupki.gov.ru/epz/contract/contractCard/common-info.html?reestrNumber=2770110782025000077</t>
  </si>
  <si>
    <t>https://zakupki.gov.ru/epz/contract/contractCard/common-info.html?reestrNumber=1773408769624000324</t>
  </si>
  <si>
    <t>https://zakupki.gov.ru/epz/contract/contractCard/common-info.html?reestrNumber=2500304230425000091</t>
  </si>
  <si>
    <t>https://zakupki.gov.ru/epz/contract/contractCard/common-info.html?reestrNumber=2773409151925000278</t>
  </si>
  <si>
    <t>Дата обоснования:03.08.2026</t>
  </si>
  <si>
    <t>Поставка систем для переливания инфузионных растворов, крови и кровезаменителей (лот 2) в 2027 году</t>
  </si>
  <si>
    <t>http://zakupki.gov.ru/epz/contract/contractCard/common-info.html?reestrNumber=2500800007223000024</t>
  </si>
  <si>
    <t>https://zakupki.gov.ru/epz/contract/contractCard/common-info.html?reestrNumber=1771406175624000695</t>
  </si>
  <si>
    <t>https://zakupki.gov.ru/epz/contract/contractCard/common-info.html?reestrNumber=3503608706824000093</t>
  </si>
  <si>
    <t>https://zakupki.gov.ru/epz/contract/contractCard/common-info.html?reestrNumber=1770503432224000143</t>
  </si>
  <si>
    <t>На основании проведенного анализа рынка и расчетов, начальная цена в соответствии с проведенными расчетами =3 760 410,00 руб.</t>
  </si>
  <si>
    <t>Набор базовый для внутривенных вливаний, тип 1</t>
  </si>
  <si>
    <t>Набор базовый для внутривенных вливаний, тип 2</t>
  </si>
  <si>
    <t>Набор базовый для внутривенных вливаний, тип 3</t>
  </si>
  <si>
    <t>Набор базовый для внутривенных вливаний, тип 4</t>
  </si>
  <si>
    <t>Набор базовый для внутривенных вливаний, тип 5</t>
  </si>
  <si>
    <t>Ответ на запрос цен №0348300075526000141  от 03.08.2026 коммерческое предложение</t>
  </si>
  <si>
    <t>ГБУЗ Московской области «Королёвская клиническая больница»                                              Специалист отдела закупок  Кушнарева А.И.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</si>
</sst>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######"/>
  </numFmts>
  <fonts count="17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6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5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Alignment="0"/>
  </cellStyleXfs>
  <cellXfs count="74">
    <xf numFmtId="0" fontId="0" fillId="0" borderId="0" xfId="0"/>
    <xf numFmtId="0" fontId="1" fillId="2" borderId="0" xfId="0" applyFont="1" applyFill="1" applyAlignment="1"/>
    <xf numFmtId="2" fontId="1" fillId="2" borderId="0" xfId="0" applyNumberFormat="1" applyFont="1" applyFill="1" applyAlignment="1"/>
    <xf numFmtId="2" fontId="1" fillId="2" borderId="0" xfId="0" applyNumberFormat="1" applyFont="1" applyFill="1"/>
    <xf numFmtId="0" fontId="2" fillId="2" borderId="0" xfId="0" applyFont="1" applyFill="1"/>
    <xf numFmtId="0" fontId="3" fillId="2" borderId="0" xfId="0" applyFont="1" applyFill="1"/>
    <xf numFmtId="164" fontId="5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4" fontId="15" fillId="2" borderId="1" xfId="0" applyNumberFormat="1" applyFont="1" applyFill="1" applyBorder="1" applyAlignment="1">
      <alignment horizontal="center" vertical="center" wrapText="1"/>
    </xf>
    <xf numFmtId="2" fontId="14" fillId="2" borderId="0" xfId="0" applyNumberFormat="1" applyFont="1" applyFill="1" applyAlignment="1"/>
    <xf numFmtId="0" fontId="14" fillId="2" borderId="0" xfId="0" applyFont="1" applyFill="1"/>
    <xf numFmtId="2" fontId="5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11" fillId="2" borderId="0" xfId="0" applyFont="1" applyFill="1"/>
    <xf numFmtId="2" fontId="2" fillId="2" borderId="0" xfId="0" applyNumberFormat="1" applyFont="1" applyFill="1" applyAlignment="1"/>
    <xf numFmtId="2" fontId="2" fillId="2" borderId="0" xfId="0" applyNumberFormat="1" applyFont="1" applyFill="1"/>
    <xf numFmtId="0" fontId="2" fillId="2" borderId="0" xfId="0" applyFont="1" applyFill="1" applyAlignment="1">
      <alignment wrapText="1"/>
    </xf>
    <xf numFmtId="2" fontId="3" fillId="2" borderId="0" xfId="0" applyNumberFormat="1" applyFont="1" applyFill="1" applyAlignment="1"/>
    <xf numFmtId="2" fontId="3" fillId="2" borderId="0" xfId="0" applyNumberFormat="1" applyFont="1" applyFill="1"/>
    <xf numFmtId="4" fontId="14" fillId="2" borderId="0" xfId="0" applyNumberFormat="1" applyFont="1" applyFill="1"/>
    <xf numFmtId="4" fontId="3" fillId="2" borderId="0" xfId="0" applyNumberFormat="1" applyFont="1" applyFill="1"/>
    <xf numFmtId="4" fontId="5" fillId="2" borderId="1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10" fillId="2" borderId="8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" fontId="13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/>
    <xf numFmtId="0" fontId="9" fillId="2" borderId="0" xfId="0" applyFont="1" applyFill="1" applyAlignment="1">
      <alignment horizontal="left"/>
    </xf>
    <xf numFmtId="49" fontId="5" fillId="2" borderId="13" xfId="0" applyNumberFormat="1" applyFont="1" applyFill="1" applyBorder="1" applyAlignment="1">
      <alignment horizontal="center" vertical="top" wrapText="1"/>
    </xf>
    <xf numFmtId="49" fontId="5" fillId="2" borderId="14" xfId="0" applyNumberFormat="1" applyFont="1" applyFill="1" applyBorder="1" applyAlignment="1">
      <alignment horizontal="center" vertical="top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15" xfId="0" applyNumberFormat="1" applyFont="1" applyFill="1" applyBorder="1" applyAlignment="1">
      <alignment horizontal="center" vertical="center" wrapText="1"/>
    </xf>
    <xf numFmtId="164" fontId="5" fillId="2" borderId="10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164" fontId="5" fillId="2" borderId="13" xfId="0" applyNumberFormat="1" applyFont="1" applyFill="1" applyBorder="1" applyAlignment="1">
      <alignment horizontal="center" vertical="center" wrapText="1"/>
    </xf>
    <xf numFmtId="164" fontId="5" fillId="2" borderId="1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88266</xdr:colOff>
      <xdr:row>8</xdr:row>
      <xdr:rowOff>1</xdr:rowOff>
    </xdr:from>
    <xdr:to>
      <xdr:col>30</xdr:col>
      <xdr:colOff>1409700</xdr:colOff>
      <xdr:row>8</xdr:row>
      <xdr:rowOff>348151</xdr:rowOff>
    </xdr:to>
    <xdr:pic>
      <xdr:nvPicPr>
        <xdr:cNvPr id="2" name="Изображени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16741" y="4933951"/>
          <a:ext cx="1321434" cy="3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38100</xdr:colOff>
      <xdr:row>7</xdr:row>
      <xdr:rowOff>322580</xdr:rowOff>
    </xdr:from>
    <xdr:to>
      <xdr:col>29</xdr:col>
      <xdr:colOff>1361465</xdr:colOff>
      <xdr:row>7</xdr:row>
      <xdr:rowOff>722842</xdr:rowOff>
    </xdr:to>
    <xdr:pic>
      <xdr:nvPicPr>
        <xdr:cNvPr id="3" name="Изображени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0" y="4885055"/>
          <a:ext cx="1323365" cy="401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3"/>
  <sheetViews>
    <sheetView tabSelected="1" view="pageBreakPreview" zoomScale="80" zoomScaleNormal="90" zoomScaleSheetLayoutView="80" workbookViewId="0">
      <selection activeCell="A19" sqref="A19:AG19"/>
    </sheetView>
  </sheetViews>
  <sheetFormatPr defaultColWidth="11.5703125" defaultRowHeight="15" x14ac:dyDescent="0.25"/>
  <cols>
    <col min="1" max="1" width="7.85546875" style="5" customWidth="1"/>
    <col min="2" max="2" width="20.85546875" style="5" customWidth="1"/>
    <col min="3" max="3" width="17.85546875" style="5" customWidth="1"/>
    <col min="4" max="4" width="23.42578125" style="5" customWidth="1"/>
    <col min="5" max="5" width="11.85546875" style="5" customWidth="1"/>
    <col min="6" max="6" width="10.28515625" style="20" customWidth="1"/>
    <col min="7" max="7" width="23.85546875" style="20" customWidth="1"/>
    <col min="8" max="10" width="22" style="21" customWidth="1"/>
    <col min="11" max="27" width="22" style="21" hidden="1" customWidth="1"/>
    <col min="28" max="29" width="22" style="21" customWidth="1"/>
    <col min="30" max="30" width="21.85546875" style="20" customWidth="1"/>
    <col min="31" max="31" width="22.140625" style="20" customWidth="1"/>
    <col min="32" max="32" width="16.42578125" style="20" customWidth="1"/>
    <col min="33" max="33" width="8.7109375" style="20" customWidth="1"/>
    <col min="34" max="34" width="18.28515625" style="20" customWidth="1"/>
    <col min="35" max="35" width="14" style="5" hidden="1" customWidth="1"/>
    <col min="36" max="36" width="18.42578125" style="5" hidden="1" customWidth="1"/>
    <col min="37" max="37" width="9.140625" style="5" customWidth="1"/>
    <col min="38" max="38" width="18.85546875" style="5" customWidth="1"/>
    <col min="39" max="69" width="9.140625" style="5" customWidth="1"/>
    <col min="70" max="16384" width="11.5703125" style="5"/>
  </cols>
  <sheetData>
    <row r="1" spans="1:40" ht="15" customHeight="1" x14ac:dyDescent="0.25">
      <c r="A1" s="1"/>
      <c r="B1" s="1"/>
      <c r="C1" s="1"/>
      <c r="D1" s="1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"/>
      <c r="AE1" s="2"/>
      <c r="AF1" s="2"/>
      <c r="AG1" s="2"/>
      <c r="AH1" s="2"/>
      <c r="AI1" s="4"/>
      <c r="AJ1" s="4"/>
    </row>
    <row r="2" spans="1:40" ht="30.75" customHeight="1" x14ac:dyDescent="0.3">
      <c r="A2" s="65" t="s">
        <v>48</v>
      </c>
      <c r="B2" s="65"/>
      <c r="C2" s="65"/>
      <c r="D2" s="65"/>
      <c r="E2" s="65"/>
      <c r="F2" s="65"/>
      <c r="G2" s="65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5"/>
      <c r="AE2" s="65"/>
      <c r="AF2" s="65"/>
      <c r="AG2" s="65"/>
      <c r="AH2" s="65"/>
      <c r="AI2" s="65"/>
      <c r="AJ2" s="4"/>
    </row>
    <row r="3" spans="1:40" ht="15" customHeight="1" x14ac:dyDescent="0.25">
      <c r="A3" s="1"/>
      <c r="B3" s="1"/>
      <c r="C3" s="1"/>
      <c r="D3" s="1"/>
      <c r="E3" s="1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"/>
      <c r="AE3" s="2"/>
      <c r="AF3" s="2"/>
      <c r="AG3" s="2"/>
      <c r="AH3" s="2"/>
      <c r="AI3" s="4"/>
      <c r="AJ3" s="4"/>
    </row>
    <row r="4" spans="1:40" x14ac:dyDescent="0.25">
      <c r="A4" s="1"/>
      <c r="B4" s="1"/>
      <c r="C4" s="1"/>
      <c r="D4" s="1"/>
      <c r="E4" s="1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2"/>
      <c r="AE4" s="2"/>
      <c r="AF4" s="2"/>
      <c r="AG4" s="2"/>
      <c r="AH4" s="2"/>
      <c r="AI4" s="4"/>
      <c r="AJ4" s="4"/>
    </row>
    <row r="5" spans="1:40" ht="27" customHeight="1" x14ac:dyDescent="0.25">
      <c r="A5" s="53" t="s">
        <v>1</v>
      </c>
      <c r="B5" s="53"/>
      <c r="C5" s="67" t="s">
        <v>34</v>
      </c>
      <c r="D5" s="68"/>
      <c r="E5" s="68"/>
      <c r="F5" s="68"/>
      <c r="G5" s="68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70"/>
      <c r="AC5" s="70"/>
      <c r="AD5" s="68"/>
      <c r="AE5" s="68"/>
      <c r="AF5" s="68"/>
      <c r="AG5" s="68"/>
      <c r="AH5" s="71"/>
      <c r="AI5" s="72"/>
      <c r="AJ5" s="4"/>
    </row>
    <row r="6" spans="1:40" ht="78.75" customHeight="1" x14ac:dyDescent="0.25">
      <c r="A6" s="73" t="s">
        <v>2</v>
      </c>
      <c r="B6" s="73"/>
      <c r="C6" s="67" t="s">
        <v>35</v>
      </c>
      <c r="D6" s="68"/>
      <c r="E6" s="68"/>
      <c r="F6" s="68"/>
      <c r="G6" s="68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0"/>
      <c r="AC6" s="70"/>
      <c r="AD6" s="68"/>
      <c r="AE6" s="68"/>
      <c r="AF6" s="68"/>
      <c r="AG6" s="68"/>
      <c r="AH6" s="71"/>
      <c r="AI6" s="72"/>
      <c r="AJ6" s="4"/>
    </row>
    <row r="7" spans="1:40" ht="108" customHeight="1" x14ac:dyDescent="0.25">
      <c r="A7" s="62" t="s">
        <v>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4"/>
      <c r="AJ7" s="4"/>
    </row>
    <row r="8" spans="1:40" ht="105" customHeight="1" x14ac:dyDescent="0.25">
      <c r="A8" s="53" t="s">
        <v>4</v>
      </c>
      <c r="B8" s="54" t="s">
        <v>5</v>
      </c>
      <c r="C8" s="55"/>
      <c r="D8" s="58" t="s">
        <v>6</v>
      </c>
      <c r="E8" s="53" t="s">
        <v>7</v>
      </c>
      <c r="F8" s="39" t="s">
        <v>8</v>
      </c>
      <c r="G8" s="6" t="s">
        <v>59</v>
      </c>
      <c r="H8" s="41" t="s">
        <v>41</v>
      </c>
      <c r="I8" s="42"/>
      <c r="J8" s="43" t="s">
        <v>42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5"/>
      <c r="AC8" s="60" t="s">
        <v>33</v>
      </c>
      <c r="AD8" s="37" t="s">
        <v>9</v>
      </c>
      <c r="AE8" s="37" t="s">
        <v>10</v>
      </c>
      <c r="AF8" s="39" t="s">
        <v>11</v>
      </c>
      <c r="AG8" s="40" t="s">
        <v>12</v>
      </c>
      <c r="AH8" s="39" t="s">
        <v>13</v>
      </c>
      <c r="AI8" s="40"/>
      <c r="AJ8" s="4"/>
    </row>
    <row r="9" spans="1:40" ht="32.25" customHeight="1" x14ac:dyDescent="0.25">
      <c r="A9" s="53"/>
      <c r="B9" s="56"/>
      <c r="C9" s="57"/>
      <c r="D9" s="59"/>
      <c r="E9" s="59"/>
      <c r="F9" s="39"/>
      <c r="G9" s="6" t="s">
        <v>14</v>
      </c>
      <c r="H9" s="6" t="s">
        <v>14</v>
      </c>
      <c r="I9" s="6"/>
      <c r="J9" s="6" t="s">
        <v>14</v>
      </c>
      <c r="K9" s="6" t="s">
        <v>14</v>
      </c>
      <c r="L9" s="6" t="s">
        <v>14</v>
      </c>
      <c r="M9" s="6" t="s">
        <v>14</v>
      </c>
      <c r="N9" s="6" t="s">
        <v>14</v>
      </c>
      <c r="O9" s="6" t="s">
        <v>14</v>
      </c>
      <c r="P9" s="6" t="s">
        <v>14</v>
      </c>
      <c r="Q9" s="6" t="s">
        <v>14</v>
      </c>
      <c r="R9" s="6" t="s">
        <v>14</v>
      </c>
      <c r="S9" s="6" t="s">
        <v>14</v>
      </c>
      <c r="T9" s="6" t="s">
        <v>14</v>
      </c>
      <c r="U9" s="6" t="s">
        <v>14</v>
      </c>
      <c r="V9" s="6" t="s">
        <v>14</v>
      </c>
      <c r="W9" s="6" t="s">
        <v>14</v>
      </c>
      <c r="X9" s="6" t="s">
        <v>14</v>
      </c>
      <c r="Y9" s="6" t="s">
        <v>14</v>
      </c>
      <c r="Z9" s="6" t="s">
        <v>14</v>
      </c>
      <c r="AA9" s="6" t="s">
        <v>14</v>
      </c>
      <c r="AB9" s="6"/>
      <c r="AC9" s="61"/>
      <c r="AD9" s="38"/>
      <c r="AE9" s="38"/>
      <c r="AF9" s="39"/>
      <c r="AG9" s="40"/>
      <c r="AH9" s="39"/>
      <c r="AI9" s="40"/>
      <c r="AJ9" s="4"/>
    </row>
    <row r="10" spans="1:40" ht="32.25" customHeight="1" x14ac:dyDescent="0.25">
      <c r="A10" s="33">
        <v>1</v>
      </c>
      <c r="B10" s="46" t="s">
        <v>54</v>
      </c>
      <c r="C10" s="47"/>
      <c r="D10" s="28" t="s">
        <v>36</v>
      </c>
      <c r="E10" s="29" t="s">
        <v>38</v>
      </c>
      <c r="F10" s="27">
        <v>1</v>
      </c>
      <c r="G10" s="6">
        <v>17</v>
      </c>
      <c r="H10" s="6">
        <v>19.13</v>
      </c>
      <c r="I10" s="6" t="s">
        <v>49</v>
      </c>
      <c r="J10" s="6">
        <v>20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 t="s">
        <v>50</v>
      </c>
      <c r="AC10" s="10">
        <f>ROUND((G10+H10+J10)/3,2)</f>
        <v>18.71</v>
      </c>
      <c r="AD10" s="7">
        <f>STDEV(G10:J10)</f>
        <v>1.5434701163287872</v>
      </c>
      <c r="AE10" s="7">
        <f>AD10/AC10*100</f>
        <v>8.2494394245258533</v>
      </c>
      <c r="AF10" s="8">
        <f>AC10</f>
        <v>18.71</v>
      </c>
      <c r="AG10" s="8">
        <v>0</v>
      </c>
      <c r="AH10" s="8">
        <f>F10*AF10</f>
        <v>18.71</v>
      </c>
      <c r="AI10" s="31">
        <v>180000</v>
      </c>
      <c r="AJ10" s="34">
        <f>AI10*AH10</f>
        <v>3367800</v>
      </c>
    </row>
    <row r="11" spans="1:40" s="12" customFormat="1" ht="51" customHeight="1" x14ac:dyDescent="0.2">
      <c r="A11" s="7">
        <v>2</v>
      </c>
      <c r="B11" s="46" t="s">
        <v>55</v>
      </c>
      <c r="C11" s="47"/>
      <c r="D11" s="28" t="s">
        <v>36</v>
      </c>
      <c r="E11" s="29" t="s">
        <v>38</v>
      </c>
      <c r="F11" s="27">
        <v>1</v>
      </c>
      <c r="G11" s="9">
        <v>85</v>
      </c>
      <c r="H11" s="9">
        <v>87.28</v>
      </c>
      <c r="I11" s="9" t="s">
        <v>39</v>
      </c>
      <c r="J11" s="9">
        <v>94.45</v>
      </c>
      <c r="K11" s="8" t="s">
        <v>15</v>
      </c>
      <c r="L11" s="8" t="s">
        <v>16</v>
      </c>
      <c r="M11" s="8" t="s">
        <v>17</v>
      </c>
      <c r="N11" s="8" t="s">
        <v>18</v>
      </c>
      <c r="O11" s="8" t="s">
        <v>19</v>
      </c>
      <c r="P11" s="8" t="s">
        <v>20</v>
      </c>
      <c r="Q11" s="8" t="s">
        <v>21</v>
      </c>
      <c r="R11" s="8" t="s">
        <v>22</v>
      </c>
      <c r="S11" s="8" t="s">
        <v>23</v>
      </c>
      <c r="T11" s="8" t="s">
        <v>24</v>
      </c>
      <c r="U11" s="8" t="s">
        <v>25</v>
      </c>
      <c r="V11" s="8" t="s">
        <v>26</v>
      </c>
      <c r="W11" s="8" t="s">
        <v>27</v>
      </c>
      <c r="X11" s="8" t="s">
        <v>28</v>
      </c>
      <c r="Y11" s="8" t="s">
        <v>29</v>
      </c>
      <c r="Z11" s="8" t="s">
        <v>30</v>
      </c>
      <c r="AA11" s="8" t="s">
        <v>31</v>
      </c>
      <c r="AB11" s="8" t="s">
        <v>40</v>
      </c>
      <c r="AC11" s="10">
        <f>ROUND((G11+H11+J11)/3,2)</f>
        <v>88.91</v>
      </c>
      <c r="AD11" s="7">
        <f>STDEV(G11:J11)</f>
        <v>4.9313588391030736</v>
      </c>
      <c r="AE11" s="7">
        <f>AD11/AC11*100</f>
        <v>5.5464614094062243</v>
      </c>
      <c r="AF11" s="8">
        <f>AC11</f>
        <v>88.91</v>
      </c>
      <c r="AG11" s="8">
        <v>0</v>
      </c>
      <c r="AH11" s="8">
        <f>F11*AF11</f>
        <v>88.91</v>
      </c>
      <c r="AI11" s="8">
        <v>2000</v>
      </c>
      <c r="AJ11" s="34">
        <f>AI11*AH11</f>
        <v>177820</v>
      </c>
      <c r="AK11" s="11"/>
      <c r="AL11" s="22"/>
    </row>
    <row r="12" spans="1:40" ht="50.25" customHeight="1" x14ac:dyDescent="0.25">
      <c r="A12" s="7">
        <v>3</v>
      </c>
      <c r="B12" s="46" t="s">
        <v>56</v>
      </c>
      <c r="C12" s="47"/>
      <c r="D12" s="26" t="s">
        <v>37</v>
      </c>
      <c r="E12" s="29" t="s">
        <v>38</v>
      </c>
      <c r="F12" s="13">
        <v>1</v>
      </c>
      <c r="G12" s="24">
        <v>22</v>
      </c>
      <c r="H12" s="24">
        <v>20.7</v>
      </c>
      <c r="I12" s="24" t="s">
        <v>43</v>
      </c>
      <c r="J12" s="24">
        <v>24.38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 t="s">
        <v>45</v>
      </c>
      <c r="AC12" s="10">
        <f>ROUND((G12+H12+J12)/3,2)</f>
        <v>22.36</v>
      </c>
      <c r="AD12" s="7">
        <f>STDEV(G12:J12)</f>
        <v>1.8662261384944749</v>
      </c>
      <c r="AE12" s="7">
        <f t="shared" ref="AE12:AE14" si="0">AD12/AC12*100</f>
        <v>8.3462707446085638</v>
      </c>
      <c r="AF12" s="8">
        <f t="shared" ref="AF12:AF14" si="1">AC12</f>
        <v>22.36</v>
      </c>
      <c r="AG12" s="8">
        <v>0</v>
      </c>
      <c r="AH12" s="8">
        <f>F12*AF12</f>
        <v>22.36</v>
      </c>
      <c r="AI12" s="14">
        <v>1000</v>
      </c>
      <c r="AJ12" s="34">
        <f t="shared" ref="AJ12:AJ14" si="2">AI12*AH12</f>
        <v>22360</v>
      </c>
      <c r="AL12" s="22"/>
      <c r="AN12" s="12"/>
    </row>
    <row r="13" spans="1:40" ht="50.25" customHeight="1" x14ac:dyDescent="0.25">
      <c r="A13" s="7">
        <v>4</v>
      </c>
      <c r="B13" s="46" t="s">
        <v>57</v>
      </c>
      <c r="C13" s="47"/>
      <c r="D13" s="32" t="s">
        <v>37</v>
      </c>
      <c r="E13" s="29" t="s">
        <v>38</v>
      </c>
      <c r="F13" s="30">
        <v>1</v>
      </c>
      <c r="G13" s="24">
        <v>125</v>
      </c>
      <c r="H13" s="24">
        <v>109.88</v>
      </c>
      <c r="I13" s="24" t="s">
        <v>51</v>
      </c>
      <c r="J13" s="24">
        <v>110.6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52</v>
      </c>
      <c r="AC13" s="10">
        <f>ROUND((G13+H13+J13)/3,2)</f>
        <v>115.16</v>
      </c>
      <c r="AD13" s="7">
        <f>STDEV(G13:J13)</f>
        <v>8.5292907090800956</v>
      </c>
      <c r="AE13" s="7">
        <f>AD13/AC13*100</f>
        <v>7.4064698758944907</v>
      </c>
      <c r="AF13" s="8">
        <f>AC13</f>
        <v>115.16</v>
      </c>
      <c r="AG13" s="8">
        <v>0</v>
      </c>
      <c r="AH13" s="8">
        <f>F13*AF13</f>
        <v>115.16</v>
      </c>
      <c r="AI13" s="31">
        <v>1500</v>
      </c>
      <c r="AJ13" s="34">
        <f>AI13*AH13</f>
        <v>172740</v>
      </c>
      <c r="AL13" s="22"/>
      <c r="AN13" s="12"/>
    </row>
    <row r="14" spans="1:40" ht="52.5" customHeight="1" x14ac:dyDescent="0.25">
      <c r="A14" s="7">
        <v>5</v>
      </c>
      <c r="B14" s="46" t="s">
        <v>58</v>
      </c>
      <c r="C14" s="47"/>
      <c r="D14" s="26" t="s">
        <v>37</v>
      </c>
      <c r="E14" s="29" t="s">
        <v>38</v>
      </c>
      <c r="F14" s="13">
        <v>1</v>
      </c>
      <c r="G14" s="24">
        <v>21</v>
      </c>
      <c r="H14" s="24">
        <v>20.059999999999999</v>
      </c>
      <c r="I14" s="24" t="s">
        <v>44</v>
      </c>
      <c r="J14" s="24">
        <v>18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 t="s">
        <v>46</v>
      </c>
      <c r="AC14" s="10">
        <f>ROUND((G14+H14+J14)/3,2)</f>
        <v>19.690000000000001</v>
      </c>
      <c r="AD14" s="7">
        <f>STDEV(G14:J14)</f>
        <v>1.5344488695728291</v>
      </c>
      <c r="AE14" s="7">
        <f t="shared" si="0"/>
        <v>7.7930364122540823</v>
      </c>
      <c r="AF14" s="8">
        <f t="shared" si="1"/>
        <v>19.690000000000001</v>
      </c>
      <c r="AG14" s="8">
        <v>0</v>
      </c>
      <c r="AH14" s="8">
        <f>F14*AF14</f>
        <v>19.690000000000001</v>
      </c>
      <c r="AI14" s="14">
        <v>1000</v>
      </c>
      <c r="AJ14" s="34">
        <f t="shared" si="2"/>
        <v>19690</v>
      </c>
      <c r="AL14" s="22"/>
      <c r="AN14" s="12"/>
    </row>
    <row r="15" spans="1:40" x14ac:dyDescent="0.25">
      <c r="A15" s="48">
        <v>1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 t="s">
        <v>32</v>
      </c>
      <c r="AG15" s="49"/>
      <c r="AH15" s="25">
        <f>SUM(AH11:AH14)</f>
        <v>246.12</v>
      </c>
      <c r="AI15" s="6"/>
      <c r="AJ15" s="35">
        <f>SUM(AJ10:AJ14)</f>
        <v>3760410</v>
      </c>
      <c r="AL15" s="23"/>
    </row>
    <row r="16" spans="1:40" ht="13.9" customHeight="1" x14ac:dyDescent="0.25">
      <c r="A16" s="46" t="s">
        <v>53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1"/>
      <c r="AJ16" s="4"/>
    </row>
    <row r="17" spans="1:36" ht="13.9" customHeight="1" x14ac:dyDescent="0.25">
      <c r="A17" s="52" t="s">
        <v>47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15"/>
      <c r="AH17" s="15"/>
      <c r="AI17" s="4"/>
      <c r="AJ17" s="4"/>
    </row>
    <row r="18" spans="1:36" ht="13.9" customHeigh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15"/>
      <c r="AI18" s="4"/>
      <c r="AJ18" s="4"/>
    </row>
    <row r="19" spans="1:36" ht="13.9" customHeight="1" x14ac:dyDescent="0.25">
      <c r="A19" s="36" t="s">
        <v>60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15"/>
      <c r="AI19" s="4"/>
      <c r="AJ19" s="4"/>
    </row>
    <row r="20" spans="1:36" ht="15.75" x14ac:dyDescent="0.25">
      <c r="A20" s="16" t="s">
        <v>0</v>
      </c>
      <c r="B20" s="4"/>
      <c r="C20" s="4"/>
      <c r="D20" s="4"/>
      <c r="E20" s="4"/>
      <c r="F20" s="17"/>
      <c r="G20" s="17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7"/>
      <c r="AE20" s="17"/>
      <c r="AF20" s="17"/>
      <c r="AG20" s="17"/>
      <c r="AH20" s="17"/>
      <c r="AI20" s="4"/>
      <c r="AJ20" s="4"/>
    </row>
    <row r="21" spans="1:36" x14ac:dyDescent="0.25">
      <c r="A21" s="4"/>
      <c r="B21" s="4"/>
      <c r="C21" s="4"/>
      <c r="D21" s="4"/>
      <c r="E21" s="4"/>
      <c r="F21" s="17"/>
      <c r="G21" s="17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7"/>
      <c r="AE21" s="17"/>
      <c r="AF21" s="17"/>
      <c r="AG21" s="17"/>
      <c r="AH21" s="17"/>
      <c r="AI21" s="4"/>
      <c r="AJ21" s="4"/>
    </row>
    <row r="22" spans="1:36" x14ac:dyDescent="0.25">
      <c r="A22" s="4"/>
      <c r="B22" s="4"/>
      <c r="C22" s="4"/>
      <c r="D22" s="4"/>
      <c r="E22" s="4"/>
      <c r="F22" s="17"/>
      <c r="G22" s="17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7"/>
      <c r="AE22" s="17"/>
      <c r="AF22" s="17"/>
      <c r="AG22" s="17"/>
      <c r="AH22" s="17"/>
      <c r="AI22" s="4"/>
      <c r="AJ22" s="4"/>
    </row>
    <row r="23" spans="1:36" x14ac:dyDescent="0.25">
      <c r="A23" s="4"/>
      <c r="B23" s="19"/>
      <c r="C23" s="4"/>
      <c r="D23" s="4"/>
      <c r="E23" s="4"/>
      <c r="F23" s="17"/>
      <c r="G23" s="1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7"/>
      <c r="AE23" s="17"/>
      <c r="AF23" s="17"/>
      <c r="AG23" s="17"/>
      <c r="AH23" s="17"/>
      <c r="AI23" s="4"/>
      <c r="AJ23" s="4"/>
    </row>
  </sheetData>
  <mergeCells count="30">
    <mergeCell ref="A7:AI7"/>
    <mergeCell ref="A2:AI2"/>
    <mergeCell ref="A5:B5"/>
    <mergeCell ref="C5:AI5"/>
    <mergeCell ref="A6:B6"/>
    <mergeCell ref="C6:AI6"/>
    <mergeCell ref="AH8:AH9"/>
    <mergeCell ref="A15:AG15"/>
    <mergeCell ref="A16:AI16"/>
    <mergeCell ref="A17:AF17"/>
    <mergeCell ref="A18:AG18"/>
    <mergeCell ref="AI8:AI9"/>
    <mergeCell ref="A8:A9"/>
    <mergeCell ref="B8:C9"/>
    <mergeCell ref="D8:D9"/>
    <mergeCell ref="E8:E9"/>
    <mergeCell ref="B11:C11"/>
    <mergeCell ref="F8:F9"/>
    <mergeCell ref="AD8:AD9"/>
    <mergeCell ref="AC8:AC9"/>
    <mergeCell ref="B12:C12"/>
    <mergeCell ref="B14:C14"/>
    <mergeCell ref="A19:AG19"/>
    <mergeCell ref="AE8:AE9"/>
    <mergeCell ref="AF8:AF9"/>
    <mergeCell ref="AG8:AG9"/>
    <mergeCell ref="H8:I8"/>
    <mergeCell ref="J8:AB8"/>
    <mergeCell ref="B10:C10"/>
    <mergeCell ref="B13:C13"/>
  </mergeCells>
  <pageMargins left="0.39370078740157483" right="0.39370078740157483" top="0.39370078740157483" bottom="0.39370078740157483" header="0" footer="0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2026-08-06T06:02:53Z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