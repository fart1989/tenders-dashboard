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U:\МЕТАЛЛ\Трбы новые Запрос КП\"/>
    </mc:Choice>
  </mc:AlternateContent>
  <bookViews>
    <workbookView xWindow="0" yWindow="0" windowWidth="16380" windowHeight="8190" tabRatio="500"/>
  </bookViews>
  <sheets>
    <sheet name="ТЗ" sheetId="1" r:id="rId1"/>
  </sheets>
  <calcPr calcId="162913"/>
</workbook>
</file>

<file path=xl/calcChain.xml><?xml version="1.0" encoding="utf-8"?>
<calcChain xmlns="http://schemas.openxmlformats.org/spreadsheetml/2006/main">
  <c r="E114" i="1" l="1"/>
  <c r="F114" i="1" l="1"/>
  <c r="F7" i="1"/>
  <c r="F8" i="1"/>
  <c r="F9" i="1"/>
  <c r="F10" i="1"/>
  <c r="F11" i="1"/>
  <c r="F13" i="1"/>
  <c r="F14" i="1"/>
  <c r="F15" i="1"/>
  <c r="F16" i="1"/>
  <c r="F17" i="1"/>
  <c r="F18" i="1"/>
  <c r="F19" i="1"/>
  <c r="F20" i="1"/>
  <c r="F21" i="1"/>
  <c r="F22" i="1"/>
  <c r="F23" i="1"/>
  <c r="F24" i="1"/>
  <c r="F25" i="1"/>
  <c r="F26" i="1"/>
  <c r="F27" i="1"/>
  <c r="F28" i="1"/>
  <c r="F29" i="1"/>
  <c r="F30" i="1"/>
  <c r="F31" i="1"/>
  <c r="F32" i="1"/>
  <c r="F34" i="1"/>
  <c r="F35" i="1"/>
  <c r="F36" i="1"/>
  <c r="F37" i="1"/>
  <c r="F38" i="1"/>
  <c r="F39" i="1"/>
  <c r="F40" i="1"/>
  <c r="F41" i="1"/>
  <c r="F42" i="1"/>
  <c r="F43" i="1"/>
  <c r="F44" i="1"/>
  <c r="F45" i="1"/>
  <c r="F46" i="1"/>
  <c r="F47" i="1"/>
  <c r="F48" i="1"/>
  <c r="F49" i="1"/>
  <c r="F50" i="1"/>
  <c r="F51" i="1"/>
  <c r="F52"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4" i="1"/>
  <c r="F105" i="1"/>
  <c r="F106" i="1"/>
  <c r="F107" i="1"/>
  <c r="F108" i="1"/>
  <c r="F109" i="1"/>
  <c r="F110" i="1"/>
  <c r="F111" i="1"/>
  <c r="F112" i="1"/>
  <c r="F113" i="1"/>
  <c r="F6" i="1"/>
</calcChain>
</file>

<file path=xl/sharedStrings.xml><?xml version="1.0" encoding="utf-8"?>
<sst xmlns="http://schemas.openxmlformats.org/spreadsheetml/2006/main" count="329" uniqueCount="127">
  <si>
    <t>№ п/п</t>
  </si>
  <si>
    <t>Наименование</t>
  </si>
  <si>
    <t>тн</t>
  </si>
  <si>
    <t>Марка</t>
  </si>
  <si>
    <t>Ед. изм.</t>
  </si>
  <si>
    <t>Наименьшая цена с НДС 22%, руб.</t>
  </si>
  <si>
    <t>Наименьшая цена без НДС, руб.</t>
  </si>
  <si>
    <t>Трубы бесшовные  ГОСТ 3262-75</t>
  </si>
  <si>
    <t xml:space="preserve">Труба ВГП  ду 15*2,8  </t>
  </si>
  <si>
    <t>ст3</t>
  </si>
  <si>
    <t xml:space="preserve">Труба ВГП  ду 20*2,8  </t>
  </si>
  <si>
    <t xml:space="preserve">Труба ВГП  ду 25*3,2  </t>
  </si>
  <si>
    <t xml:space="preserve">Труба ВГП  ду 32*3,2   </t>
  </si>
  <si>
    <t xml:space="preserve">Труба ВГП  ду 40*3,5    </t>
  </si>
  <si>
    <t xml:space="preserve">Труба ВГП  ду 50*3,5    </t>
  </si>
  <si>
    <t>Трубы электросварные ГОСТ 10704-91</t>
  </si>
  <si>
    <t xml:space="preserve">Труба эл/св     57*3,5  </t>
  </si>
  <si>
    <t xml:space="preserve">Труба эл/св     76*3,5   </t>
  </si>
  <si>
    <t xml:space="preserve">Труба эл/св     89*3,5  </t>
  </si>
  <si>
    <t xml:space="preserve">Труба эл/св    102*3,5   </t>
  </si>
  <si>
    <t xml:space="preserve">Труба эл/св    102*4,0  </t>
  </si>
  <si>
    <t xml:space="preserve">Труба эл/св    108*3,5  </t>
  </si>
  <si>
    <t xml:space="preserve">Труба эл/св    108*4     </t>
  </si>
  <si>
    <t xml:space="preserve">Труба эл/св    114*4,0  </t>
  </si>
  <si>
    <t xml:space="preserve">Труба эл/св    127*4,5 </t>
  </si>
  <si>
    <t xml:space="preserve">Труба эл/св    133*4             </t>
  </si>
  <si>
    <t xml:space="preserve">Труба эл/св    133*4,5   </t>
  </si>
  <si>
    <t xml:space="preserve">Труба эл/св    159*4     </t>
  </si>
  <si>
    <t xml:space="preserve">Труба эл/св    159*4,5   </t>
  </si>
  <si>
    <t xml:space="preserve">Труба эл/св    159*5  </t>
  </si>
  <si>
    <t>Труба эл/св    219*6</t>
  </si>
  <si>
    <t>ст20</t>
  </si>
  <si>
    <t>Труба эл/св  273*6</t>
  </si>
  <si>
    <t>Ст20</t>
  </si>
  <si>
    <t xml:space="preserve">Труба эл/св    273*8 </t>
  </si>
  <si>
    <t>Труба  эл.св   325*6</t>
  </si>
  <si>
    <t xml:space="preserve">Труба   эл.св   325*8 </t>
  </si>
  <si>
    <t>Труба  эл.св    325*10</t>
  </si>
  <si>
    <t>Трубы бесшовные г/д ГОСТ 8732-78</t>
  </si>
  <si>
    <t xml:space="preserve">Труба  ц/тянутая 57*4       </t>
  </si>
  <si>
    <t>Труба  ц/тянутая 76*3,5</t>
  </si>
  <si>
    <t>Труба  ц/тянутая 76*4</t>
  </si>
  <si>
    <t>Труба  ц/тянутая 76*5</t>
  </si>
  <si>
    <t>Труба  ц/тянутая 89*4</t>
  </si>
  <si>
    <t>Труба  ц/тянутая 89*5</t>
  </si>
  <si>
    <t xml:space="preserve">Труба  ц/тянутая 102*4 </t>
  </si>
  <si>
    <t xml:space="preserve">Труба  ц/тянутая 108*4                               </t>
  </si>
  <si>
    <t xml:space="preserve">Труба  ц/тянутая 108*5 </t>
  </si>
  <si>
    <t>Труба  ц/тянутая 127*5</t>
  </si>
  <si>
    <t xml:space="preserve">Труба  ц/тянутая 133*5  </t>
  </si>
  <si>
    <t xml:space="preserve">Труба  ц/тянутая 159*5                                  </t>
  </si>
  <si>
    <t xml:space="preserve">Труба  ц/тянутая 159*6                 </t>
  </si>
  <si>
    <t xml:space="preserve">Труба  ц/тянутая 219*8 </t>
  </si>
  <si>
    <t xml:space="preserve">Труба  ц/тянутая 273*8 </t>
  </si>
  <si>
    <t xml:space="preserve">Труба  ц/тянутая 325*8  </t>
  </si>
  <si>
    <t>Труба  ц/тянутая 325*9</t>
  </si>
  <si>
    <t>Труба  ц/тянутая 426*9</t>
  </si>
  <si>
    <t>Труба  ц/тянутая 377*9</t>
  </si>
  <si>
    <t>Трубы квадратные  ГОСТ 8639-82, ГОСТ 8645-86</t>
  </si>
  <si>
    <t xml:space="preserve">Труба проф  15*15*1,5  6м </t>
  </si>
  <si>
    <t xml:space="preserve">Труба проф  20*20*1,2 6м </t>
  </si>
  <si>
    <t xml:space="preserve">Труба проф  20*20*1,5  6м </t>
  </si>
  <si>
    <t xml:space="preserve">Труба проф  20*20*2  6м </t>
  </si>
  <si>
    <t xml:space="preserve">Труба проф  25*25*1,5  6м  </t>
  </si>
  <si>
    <t xml:space="preserve">Труба проф  30*30*1,5  6м  </t>
  </si>
  <si>
    <t xml:space="preserve">Труба проф  30*30*2  6м  </t>
  </si>
  <si>
    <t xml:space="preserve">Труба проф  40*20*1,5  6м   </t>
  </si>
  <si>
    <t xml:space="preserve">Труба проф  40*20*2,0  6м   </t>
  </si>
  <si>
    <t xml:space="preserve">Труба проф  40*25*1,5  6м   </t>
  </si>
  <si>
    <t xml:space="preserve">Труба проф  40*25*2,0  6м   </t>
  </si>
  <si>
    <t xml:space="preserve">Труба проф  40*40*1,5  6м  </t>
  </si>
  <si>
    <t xml:space="preserve">Труба проф  40*40*2,0  6м  </t>
  </si>
  <si>
    <t xml:space="preserve">Труба проф  40*40*3,0  6м  </t>
  </si>
  <si>
    <t xml:space="preserve">Труба проф  50*25*1,5  6м  </t>
  </si>
  <si>
    <t xml:space="preserve">Труба проф  50*50*2 ,0  6м </t>
  </si>
  <si>
    <t xml:space="preserve">Труба проф  50*50*3,0   6м </t>
  </si>
  <si>
    <t xml:space="preserve">Труба проф  50*50*4,0   6м </t>
  </si>
  <si>
    <t xml:space="preserve">Труба проф  60*30*2    6м   </t>
  </si>
  <si>
    <t xml:space="preserve">Труба проф  60*30*3   6м   </t>
  </si>
  <si>
    <t xml:space="preserve">Труба проф  60*40*2    6м </t>
  </si>
  <si>
    <t xml:space="preserve">Труба проф  60*40*3    6м </t>
  </si>
  <si>
    <t xml:space="preserve">Труба проф 60*60*2     6м </t>
  </si>
  <si>
    <t xml:space="preserve">Труба проф 60*60*3     12м </t>
  </si>
  <si>
    <t xml:space="preserve">Труба проф 60*60*4    6м </t>
  </si>
  <si>
    <t xml:space="preserve">Труба проф 80*40*2     6м                              </t>
  </si>
  <si>
    <t xml:space="preserve">Труба проф 80*40*3,0     6м  </t>
  </si>
  <si>
    <t xml:space="preserve">Труба проф 80*60*2,0     6м  </t>
  </si>
  <si>
    <t xml:space="preserve">Труба проф 80*60*3,0    6м  </t>
  </si>
  <si>
    <t xml:space="preserve">Труба проф 80*80*3,0  12м  </t>
  </si>
  <si>
    <t xml:space="preserve">Труба проф 80*80*4     12м  </t>
  </si>
  <si>
    <t xml:space="preserve">Труба проф 80*80*5,0     12м  </t>
  </si>
  <si>
    <t>Труба проф 100*50*3   12м</t>
  </si>
  <si>
    <t>Труба проф 100*50*4,0   12м</t>
  </si>
  <si>
    <t xml:space="preserve">Труба проф 100*100*3  12м  </t>
  </si>
  <si>
    <t xml:space="preserve">Труба проф 100*100*4  12м  </t>
  </si>
  <si>
    <t xml:space="preserve">Труба проф 100*100*5 12м  </t>
  </si>
  <si>
    <t xml:space="preserve">Труба проф 120*80*3    12м </t>
  </si>
  <si>
    <t xml:space="preserve">Труба проф 120*80*4    12м </t>
  </si>
  <si>
    <t xml:space="preserve">Труба проф 120*120*4   12м  </t>
  </si>
  <si>
    <t xml:space="preserve">Труба проф 120*120*5  12м  </t>
  </si>
  <si>
    <t xml:space="preserve">Труба проф 140*140*4   12м </t>
  </si>
  <si>
    <t xml:space="preserve">Труба проф 140*140*5   12м </t>
  </si>
  <si>
    <t xml:space="preserve">Труба проф 140*140*6   12м </t>
  </si>
  <si>
    <t>Труба проф 160*160*4   12м</t>
  </si>
  <si>
    <t xml:space="preserve">Труба проф 160*160*5   12м </t>
  </si>
  <si>
    <t>Труба проф 180*180*5   12м</t>
  </si>
  <si>
    <t>Труба проф 180*180*6   12м</t>
  </si>
  <si>
    <t xml:space="preserve">Труба проф 200*200*8 12м </t>
  </si>
  <si>
    <t>Трубы ГОСТ 3262-75</t>
  </si>
  <si>
    <t xml:space="preserve">Труба оцинк.  15*2,8  </t>
  </si>
  <si>
    <t>08кп5</t>
  </si>
  <si>
    <t xml:space="preserve">Труба оцинк.   20*2,8  </t>
  </si>
  <si>
    <t xml:space="preserve">Труба оцинк.   25*3,2 </t>
  </si>
  <si>
    <t xml:space="preserve">Труба оцинк.   32*3,2 </t>
  </si>
  <si>
    <t xml:space="preserve">Труба оцинк.   40*3,5   </t>
  </si>
  <si>
    <t xml:space="preserve">Труба оцинк.   57*3,5   </t>
  </si>
  <si>
    <t xml:space="preserve">Труба оцинк.   76*3,5 </t>
  </si>
  <si>
    <t xml:space="preserve">Труба оцинк.   89*3,5   </t>
  </si>
  <si>
    <t xml:space="preserve">Труба оцинк.  108*4,0   </t>
  </si>
  <si>
    <t xml:space="preserve">Резка металла </t>
  </si>
  <si>
    <t>Приложение №3 Техническое задание к поставке металлопроката</t>
  </si>
  <si>
    <t>Сумма цен за единицу (с НДС 22%/без НДС)</t>
  </si>
  <si>
    <t>Начальная максимальная цена по всем позициям: 11 506 010 (одиннадцать миллионов пятьсот шесть тысяч десять ) рублей 00 копеек, (принимаются за основу при оценке заявок) с НДС 22% (принимается за основу при оценке заявок).
При этом цена за единицу товара по каждой позиции, предложенная участником закупки, не должна превышать начальную максимальную цену, установленную за единицу товара для каждой позиции.</t>
  </si>
  <si>
    <t>1.Условия и сроки поставки: в течение 10-ти календарных дней с момента получения заявки от Покупателя.</t>
  </si>
  <si>
    <t>2. Место поставки: Иркутская область, г. Иркутск, ул. Генерала Доватора,35 или склад поставщика не далее 50 км. от  г. Иркутска.</t>
  </si>
  <si>
    <t>3. Соответствие товара ГОСТ: копия  сертификатов и паспортов качества  на металлопрокат предоставляется при получении товара.</t>
  </si>
  <si>
    <t>Поставка труб новых для АО «ДСИО»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</si>
</sst>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rgb="FF000000"/>
      <name val="Calibri"/>
      <family val="2"/>
    </font>
    <font>
      <sz val="11"/>
      <color theme="1"/>
      <name val="Calibri"/>
      <family val="2"/>
      <charset val="204"/>
      <scheme val="minor"/>
    </font>
    <font>
      <sz val="10"/>
      <color rgb="FF000000"/>
      <name val="Times New Roman"/>
      <family val="1"/>
      <charset val="204"/>
    </font>
    <font>
      <sz val="11"/>
      <color rgb="FF000000"/>
      <name val="Times New Roman"/>
      <family val="1"/>
      <charset val="204"/>
    </font>
    <font>
      <sz val="16"/>
      <color rgb="FF000000"/>
      <name val="Times New Roman"/>
      <family val="1"/>
      <charset val="204"/>
    </font>
    <font>
      <b/>
      <sz val="14"/>
      <color rgb="FF000000"/>
      <name val="Times New Roman"/>
      <family val="1"/>
      <charset val="204"/>
    </font>
    <font>
      <b/>
      <sz val="14"/>
      <name val="Times New Roman"/>
      <family val="1"/>
      <charset val="204"/>
    </font>
    <font>
      <sz val="14"/>
      <name val="Times New Roman"/>
      <family val="1"/>
      <charset val="204"/>
    </font>
    <font>
      <sz val="14"/>
      <color rgb="FF000000"/>
      <name val="Times New Roman"/>
      <family val="1"/>
      <charset val="204"/>
    </font>
    <font>
      <sz val="14"/>
      <color theme="1"/>
      <name val="Times New Roman"/>
      <family val="1"/>
      <charset val="204"/>
    </font>
    <font>
      <sz val="12"/>
      <color rgb="FF000000"/>
      <name val="Times New Roman"/>
      <family val="1"/>
      <charset val="204"/>
    </font>
  </fonts>
  <fills count="3">
    <fill>
      <patternFill patternType="none"/>
    </fill>
    <fill>
      <patternFill patternType="gray125"/>
    </fill>
    <fill>
      <patternFill patternType="solid">
        <fgColor rgb="FFFFFFFF"/>
        <bgColor rgb="FFFFFFCC"/>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29">
    <xf numFmtId="0" fontId="0" fillId="0" borderId="0" xfId="0"/>
    <xf numFmtId="0" fontId="2" fillId="2" borderId="0" xfId="0" applyFont="1" applyFill="1"/>
    <xf numFmtId="0" fontId="3" fillId="0" borderId="0" xfId="0" applyFont="1"/>
    <xf numFmtId="0" fontId="4" fillId="2" borderId="0" xfId="0" applyFont="1" applyFill="1"/>
    <xf numFmtId="0" fontId="4" fillId="2" borderId="0" xfId="0" applyFont="1" applyFill="1" applyAlignment="1"/>
    <xf numFmtId="0" fontId="4" fillId="2" borderId="0" xfId="0" applyFont="1" applyFill="1" applyAlignment="1">
      <alignment wrapText="1"/>
    </xf>
    <xf numFmtId="0" fontId="7" fillId="2" borderId="1" xfId="0" applyFont="1" applyFill="1" applyBorder="1" applyAlignment="1">
      <alignment horizontal="center" vertical="center" wrapText="1"/>
    </xf>
    <xf numFmtId="0" fontId="8" fillId="0" borderId="1" xfId="0" applyFont="1" applyBorder="1" applyAlignment="1">
      <alignment vertical="center"/>
    </xf>
    <xf numFmtId="0" fontId="8" fillId="0" borderId="1" xfId="0" applyFont="1" applyBorder="1" applyAlignment="1">
      <alignment horizontal="center" vertical="center" wrapText="1"/>
    </xf>
    <xf numFmtId="4" fontId="7" fillId="2" borderId="1" xfId="0" applyNumberFormat="1" applyFont="1" applyFill="1" applyBorder="1" applyAlignment="1">
      <alignment horizontal="center" vertical="center" wrapText="1"/>
    </xf>
    <xf numFmtId="0" fontId="8" fillId="2" borderId="1" xfId="0" applyFont="1" applyFill="1" applyBorder="1"/>
    <xf numFmtId="0" fontId="8" fillId="0" borderId="5" xfId="0" applyFont="1" applyBorder="1" applyAlignment="1">
      <alignment horizontal="center" vertical="center" wrapText="1"/>
    </xf>
    <xf numFmtId="0" fontId="8" fillId="0" borderId="1" xfId="0" applyFont="1" applyBorder="1" applyAlignment="1">
      <alignment horizontal="center" vertical="center"/>
    </xf>
    <xf numFmtId="4" fontId="7" fillId="2" borderId="1" xfId="0" applyNumberFormat="1" applyFont="1" applyFill="1" applyBorder="1" applyAlignment="1">
      <alignment vertical="center"/>
    </xf>
    <xf numFmtId="0" fontId="8" fillId="2" borderId="1" xfId="0" applyFont="1" applyFill="1" applyBorder="1" applyAlignment="1">
      <alignment horizontal="center"/>
    </xf>
    <xf numFmtId="0" fontId="9" fillId="0" borderId="1" xfId="0" applyFont="1" applyBorder="1" applyAlignment="1">
      <alignment vertical="center"/>
    </xf>
    <xf numFmtId="4" fontId="8" fillId="2" borderId="1" xfId="0" applyNumberFormat="1" applyFont="1" applyFill="1" applyBorder="1" applyAlignment="1">
      <alignment horizontal="center" vertical="center"/>
    </xf>
    <xf numFmtId="0" fontId="8" fillId="0" borderId="1" xfId="0" applyFont="1" applyBorder="1" applyAlignment="1">
      <alignment vertical="center" wrapText="1"/>
    </xf>
    <xf numFmtId="0" fontId="8" fillId="2" borderId="0" xfId="0" applyFont="1" applyFill="1" applyAlignment="1">
      <alignment horizontal="left" vertical="center" wrapText="1"/>
    </xf>
    <xf numFmtId="0" fontId="4" fillId="2" borderId="0" xfId="0" applyFont="1" applyFill="1" applyAlignment="1">
      <alignment horizontal="left" vertical="top" wrapText="1"/>
    </xf>
    <xf numFmtId="0" fontId="10" fillId="2" borderId="0" xfId="0" applyFont="1" applyFill="1" applyAlignment="1">
      <alignment horizont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5" fillId="0" borderId="7" xfId="0" applyFont="1" applyBorder="1" applyAlignment="1">
      <alignment horizontal="left" vertical="center"/>
    </xf>
    <xf numFmtId="0" fontId="5" fillId="2" borderId="0" xfId="0" applyFont="1" applyFill="1" applyAlignment="1">
      <alignment horizontal="left" vertical="center" wrapText="1"/>
    </xf>
    <xf numFmtId="0" fontId="6" fillId="2" borderId="2"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2" borderId="3" xfId="0" applyFont="1" applyFill="1" applyBorder="1" applyAlignment="1">
      <alignment horizontal="center" vertical="center"/>
    </xf>
  </cellXfs>
  <cellStyles count="2">
    <cellStyle name="Обычный" xfId="0" builtinId="0"/>
    <cellStyle name="Обычный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C119"/>
  <sheetViews>
    <sheetView tabSelected="1" topLeftCell="A97" zoomScaleNormal="100" workbookViewId="0">
      <selection activeCell="P116" sqref="P116"/>
    </sheetView>
  </sheetViews>
  <sheetFormatPr defaultRowHeight="15" x14ac:dyDescent="0.25"/>
  <cols>
    <col min="1" max="1" width="6.5703125" style="1" customWidth="1"/>
    <col min="2" max="2" width="62.28515625" style="1" customWidth="1"/>
    <col min="3" max="4" width="19.28515625" style="1" customWidth="1"/>
    <col min="5" max="5" width="20.42578125" style="1" customWidth="1"/>
    <col min="6" max="6" width="22.42578125" style="1" customWidth="1"/>
    <col min="7" max="1014" width="9.140625" style="1" customWidth="1"/>
    <col min="1015" max="1017" width="9.140625" style="2" customWidth="1"/>
  </cols>
  <sheetData>
    <row r="1" spans="1:19" ht="15.75" x14ac:dyDescent="0.25">
      <c r="A1" s="20" t="s">
        <v>120</v>
      </c>
      <c r="B1" s="20"/>
      <c r="C1" s="20"/>
      <c r="D1" s="20"/>
      <c r="E1" s="20"/>
      <c r="F1" s="20"/>
    </row>
    <row r="2" spans="1:19" ht="41.25" customHeight="1" x14ac:dyDescent="0.25">
      <c r="A2" s="28" t="s">
        <v>126</v>
      </c>
      <c r="B2" s="28"/>
      <c r="C2" s="28"/>
      <c r="D2" s="28"/>
      <c r="E2" s="28"/>
      <c r="F2" s="28"/>
    </row>
    <row r="3" spans="1:19" ht="15" customHeight="1" x14ac:dyDescent="0.25">
      <c r="A3" s="27" t="s">
        <v>0</v>
      </c>
      <c r="B3" s="27" t="s">
        <v>1</v>
      </c>
      <c r="C3" s="25" t="s">
        <v>3</v>
      </c>
      <c r="D3" s="25" t="s">
        <v>4</v>
      </c>
      <c r="E3" s="27" t="s">
        <v>5</v>
      </c>
      <c r="F3" s="27" t="s">
        <v>6</v>
      </c>
    </row>
    <row r="4" spans="1:19" ht="69" customHeight="1" x14ac:dyDescent="0.25">
      <c r="A4" s="25"/>
      <c r="B4" s="25"/>
      <c r="C4" s="26"/>
      <c r="D4" s="26"/>
      <c r="E4" s="25"/>
      <c r="F4" s="25"/>
    </row>
    <row r="5" spans="1:19" ht="28.5" customHeight="1" x14ac:dyDescent="0.25">
      <c r="A5" s="6"/>
      <c r="B5" s="7" t="s">
        <v>7</v>
      </c>
      <c r="C5" s="8"/>
      <c r="D5" s="8"/>
      <c r="E5" s="9"/>
      <c r="F5" s="9"/>
    </row>
    <row r="6" spans="1:19" ht="24.75" customHeight="1" x14ac:dyDescent="0.3">
      <c r="A6" s="10">
        <v>1</v>
      </c>
      <c r="B6" s="7" t="s">
        <v>8</v>
      </c>
      <c r="C6" s="8" t="s">
        <v>9</v>
      </c>
      <c r="D6" s="11" t="s">
        <v>2</v>
      </c>
      <c r="E6" s="9">
        <v>92900</v>
      </c>
      <c r="F6" s="9">
        <f>E6/1.22</f>
        <v>76147.540983606552</v>
      </c>
    </row>
    <row r="7" spans="1:19" ht="24.75" customHeight="1" x14ac:dyDescent="0.3">
      <c r="A7" s="10">
        <v>2</v>
      </c>
      <c r="B7" s="7" t="s">
        <v>10</v>
      </c>
      <c r="C7" s="8" t="s">
        <v>9</v>
      </c>
      <c r="D7" s="11" t="s">
        <v>2</v>
      </c>
      <c r="E7" s="9">
        <v>92900</v>
      </c>
      <c r="F7" s="9">
        <f t="shared" ref="F7:F70" si="0">E7/1.22</f>
        <v>76147.540983606552</v>
      </c>
    </row>
    <row r="8" spans="1:19" ht="21" customHeight="1" x14ac:dyDescent="0.3">
      <c r="A8" s="10">
        <v>3</v>
      </c>
      <c r="B8" s="7" t="s">
        <v>11</v>
      </c>
      <c r="C8" s="8" t="s">
        <v>9</v>
      </c>
      <c r="D8" s="11" t="s">
        <v>2</v>
      </c>
      <c r="E8" s="9">
        <v>91800</v>
      </c>
      <c r="F8" s="9">
        <f t="shared" si="0"/>
        <v>75245.901639344258</v>
      </c>
      <c r="H8" s="19"/>
      <c r="I8" s="19"/>
      <c r="J8" s="19"/>
      <c r="K8" s="19"/>
      <c r="L8" s="19"/>
    </row>
    <row r="9" spans="1:19" ht="21.75" customHeight="1" x14ac:dyDescent="0.3">
      <c r="A9" s="10">
        <v>4</v>
      </c>
      <c r="B9" s="7" t="s">
        <v>12</v>
      </c>
      <c r="C9" s="8" t="s">
        <v>9</v>
      </c>
      <c r="D9" s="11" t="s">
        <v>2</v>
      </c>
      <c r="E9" s="9">
        <v>91800</v>
      </c>
      <c r="F9" s="9">
        <f t="shared" si="0"/>
        <v>75245.901639344258</v>
      </c>
      <c r="H9" s="19"/>
      <c r="I9" s="19"/>
      <c r="J9" s="19"/>
      <c r="K9" s="19"/>
      <c r="L9" s="19"/>
    </row>
    <row r="10" spans="1:19" ht="21.75" customHeight="1" x14ac:dyDescent="0.3">
      <c r="A10" s="10">
        <v>5</v>
      </c>
      <c r="B10" s="7" t="s">
        <v>13</v>
      </c>
      <c r="C10" s="8" t="s">
        <v>9</v>
      </c>
      <c r="D10" s="11" t="s">
        <v>2</v>
      </c>
      <c r="E10" s="9">
        <v>91800</v>
      </c>
      <c r="F10" s="9">
        <f t="shared" si="0"/>
        <v>75245.901639344258</v>
      </c>
    </row>
    <row r="11" spans="1:19" ht="22.5" customHeight="1" x14ac:dyDescent="0.3">
      <c r="A11" s="10">
        <v>6</v>
      </c>
      <c r="B11" s="7" t="s">
        <v>14</v>
      </c>
      <c r="C11" s="12" t="s">
        <v>9</v>
      </c>
      <c r="D11" s="11" t="s">
        <v>2</v>
      </c>
      <c r="E11" s="9">
        <v>91800</v>
      </c>
      <c r="F11" s="9">
        <f t="shared" si="0"/>
        <v>75245.901639344258</v>
      </c>
    </row>
    <row r="12" spans="1:19" ht="20.25" customHeight="1" x14ac:dyDescent="0.3">
      <c r="A12" s="10"/>
      <c r="B12" s="7" t="s">
        <v>15</v>
      </c>
      <c r="C12" s="6"/>
      <c r="D12" s="11"/>
      <c r="E12" s="13"/>
      <c r="F12" s="9"/>
      <c r="G12" s="3"/>
      <c r="H12" s="3"/>
      <c r="I12" s="3"/>
      <c r="J12" s="3"/>
      <c r="K12" s="3"/>
      <c r="L12" s="3"/>
      <c r="M12" s="3"/>
      <c r="N12" s="3"/>
      <c r="O12" s="3"/>
      <c r="P12" s="3"/>
      <c r="Q12" s="3"/>
      <c r="R12" s="3"/>
      <c r="S12" s="3"/>
    </row>
    <row r="13" spans="1:19" ht="20.25" customHeight="1" x14ac:dyDescent="0.3">
      <c r="A13" s="10">
        <v>7</v>
      </c>
      <c r="B13" s="7" t="s">
        <v>16</v>
      </c>
      <c r="C13" s="6" t="s">
        <v>9</v>
      </c>
      <c r="D13" s="11" t="s">
        <v>2</v>
      </c>
      <c r="E13" s="9">
        <v>91800</v>
      </c>
      <c r="F13" s="9">
        <f t="shared" si="0"/>
        <v>75245.901639344258</v>
      </c>
      <c r="G13" s="3"/>
      <c r="H13" s="3"/>
      <c r="I13" s="3"/>
      <c r="J13" s="3"/>
      <c r="K13" s="3"/>
      <c r="L13" s="3"/>
      <c r="M13" s="3"/>
      <c r="N13" s="3"/>
      <c r="O13" s="3"/>
      <c r="P13" s="3"/>
      <c r="Q13" s="3"/>
      <c r="R13" s="3"/>
      <c r="S13" s="3"/>
    </row>
    <row r="14" spans="1:19" ht="18.75" customHeight="1" x14ac:dyDescent="0.3">
      <c r="A14" s="10">
        <v>8</v>
      </c>
      <c r="B14" s="7" t="s">
        <v>17</v>
      </c>
      <c r="C14" s="14" t="s">
        <v>9</v>
      </c>
      <c r="D14" s="11" t="s">
        <v>2</v>
      </c>
      <c r="E14" s="9">
        <v>91800</v>
      </c>
      <c r="F14" s="9">
        <f t="shared" si="0"/>
        <v>75245.901639344258</v>
      </c>
      <c r="G14" s="3"/>
      <c r="H14" s="3"/>
      <c r="I14" s="3"/>
      <c r="J14" s="3"/>
      <c r="K14" s="3"/>
      <c r="L14" s="3"/>
      <c r="M14" s="3"/>
      <c r="N14" s="3"/>
      <c r="O14" s="3"/>
      <c r="P14" s="3"/>
      <c r="Q14" s="3"/>
      <c r="R14" s="3"/>
      <c r="S14" s="3"/>
    </row>
    <row r="15" spans="1:19" ht="20.25" x14ac:dyDescent="0.3">
      <c r="A15" s="10">
        <v>9</v>
      </c>
      <c r="B15" s="7" t="s">
        <v>18</v>
      </c>
      <c r="C15" s="14" t="s">
        <v>9</v>
      </c>
      <c r="D15" s="11" t="s">
        <v>2</v>
      </c>
      <c r="E15" s="9">
        <v>91800</v>
      </c>
      <c r="F15" s="9">
        <f t="shared" si="0"/>
        <v>75245.901639344258</v>
      </c>
      <c r="G15" s="3"/>
      <c r="H15" s="3"/>
      <c r="I15" s="3"/>
      <c r="J15" s="3"/>
      <c r="K15" s="3"/>
      <c r="L15" s="3"/>
      <c r="M15" s="3"/>
      <c r="N15" s="3"/>
      <c r="O15" s="3"/>
      <c r="P15" s="3"/>
      <c r="Q15" s="3"/>
      <c r="R15" s="3"/>
      <c r="S15" s="3"/>
    </row>
    <row r="16" spans="1:19" ht="20.25" customHeight="1" x14ac:dyDescent="0.3">
      <c r="A16" s="10">
        <v>10</v>
      </c>
      <c r="B16" s="7" t="s">
        <v>19</v>
      </c>
      <c r="C16" s="14" t="s">
        <v>9</v>
      </c>
      <c r="D16" s="11" t="s">
        <v>2</v>
      </c>
      <c r="E16" s="9">
        <v>91800</v>
      </c>
      <c r="F16" s="9">
        <f t="shared" si="0"/>
        <v>75245.901639344258</v>
      </c>
    </row>
    <row r="17" spans="1:44" ht="20.25" customHeight="1" x14ac:dyDescent="0.3">
      <c r="A17" s="10">
        <v>11</v>
      </c>
      <c r="B17" s="7" t="s">
        <v>20</v>
      </c>
      <c r="C17" s="14" t="s">
        <v>9</v>
      </c>
      <c r="D17" s="11" t="s">
        <v>2</v>
      </c>
      <c r="E17" s="9">
        <v>91800</v>
      </c>
      <c r="F17" s="9">
        <f t="shared" si="0"/>
        <v>75245.901639344258</v>
      </c>
    </row>
    <row r="18" spans="1:44" ht="20.25" customHeight="1" x14ac:dyDescent="0.3">
      <c r="A18" s="10">
        <v>12</v>
      </c>
      <c r="B18" s="7" t="s">
        <v>21</v>
      </c>
      <c r="C18" s="14" t="s">
        <v>9</v>
      </c>
      <c r="D18" s="11" t="s">
        <v>2</v>
      </c>
      <c r="E18" s="9">
        <v>91800</v>
      </c>
      <c r="F18" s="9">
        <f t="shared" si="0"/>
        <v>75245.901639344258</v>
      </c>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row>
    <row r="19" spans="1:44" ht="21" customHeight="1" x14ac:dyDescent="0.3">
      <c r="A19" s="10">
        <v>13</v>
      </c>
      <c r="B19" s="7" t="s">
        <v>22</v>
      </c>
      <c r="C19" s="14" t="s">
        <v>9</v>
      </c>
      <c r="D19" s="11" t="s">
        <v>2</v>
      </c>
      <c r="E19" s="9">
        <v>91800</v>
      </c>
      <c r="F19" s="9">
        <f t="shared" si="0"/>
        <v>75245.901639344258</v>
      </c>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row>
    <row r="20" spans="1:44" ht="20.25" x14ac:dyDescent="0.3">
      <c r="A20" s="10">
        <v>14</v>
      </c>
      <c r="B20" s="7" t="s">
        <v>23</v>
      </c>
      <c r="C20" s="14" t="s">
        <v>9</v>
      </c>
      <c r="D20" s="11" t="s">
        <v>2</v>
      </c>
      <c r="E20" s="9">
        <v>91800</v>
      </c>
      <c r="F20" s="9">
        <f t="shared" si="0"/>
        <v>75245.901639344258</v>
      </c>
      <c r="G20" s="4"/>
      <c r="H20" s="4"/>
      <c r="I20" s="4"/>
      <c r="J20" s="4"/>
      <c r="K20" s="4"/>
      <c r="L20" s="4"/>
      <c r="M20" s="4"/>
      <c r="N20" s="4"/>
      <c r="O20" s="4"/>
      <c r="P20" s="4"/>
      <c r="Q20" s="4"/>
      <c r="R20" s="4"/>
      <c r="S20" s="4"/>
    </row>
    <row r="21" spans="1:44" ht="18.75" x14ac:dyDescent="0.3">
      <c r="A21" s="10">
        <v>15</v>
      </c>
      <c r="B21" s="7" t="s">
        <v>24</v>
      </c>
      <c r="C21" s="14" t="s">
        <v>9</v>
      </c>
      <c r="D21" s="11" t="s">
        <v>2</v>
      </c>
      <c r="E21" s="9">
        <v>91800</v>
      </c>
      <c r="F21" s="9">
        <f t="shared" si="0"/>
        <v>75245.901639344258</v>
      </c>
    </row>
    <row r="22" spans="1:44" ht="18.75" x14ac:dyDescent="0.3">
      <c r="A22" s="10">
        <v>16</v>
      </c>
      <c r="B22" s="7" t="s">
        <v>25</v>
      </c>
      <c r="C22" s="14" t="s">
        <v>9</v>
      </c>
      <c r="D22" s="11" t="s">
        <v>2</v>
      </c>
      <c r="E22" s="9">
        <v>91800</v>
      </c>
      <c r="F22" s="9">
        <f t="shared" si="0"/>
        <v>75245.901639344258</v>
      </c>
    </row>
    <row r="23" spans="1:44" ht="18.75" x14ac:dyDescent="0.3">
      <c r="A23" s="10">
        <v>17</v>
      </c>
      <c r="B23" s="7" t="s">
        <v>26</v>
      </c>
      <c r="C23" s="14" t="s">
        <v>9</v>
      </c>
      <c r="D23" s="11" t="s">
        <v>2</v>
      </c>
      <c r="E23" s="9">
        <v>91800</v>
      </c>
      <c r="F23" s="9">
        <f t="shared" si="0"/>
        <v>75245.901639344258</v>
      </c>
    </row>
    <row r="24" spans="1:44" ht="18.75" x14ac:dyDescent="0.3">
      <c r="A24" s="10">
        <v>18</v>
      </c>
      <c r="B24" s="7" t="s">
        <v>27</v>
      </c>
      <c r="C24" s="14" t="s">
        <v>9</v>
      </c>
      <c r="D24" s="11" t="s">
        <v>2</v>
      </c>
      <c r="E24" s="9">
        <v>91800</v>
      </c>
      <c r="F24" s="9">
        <f t="shared" si="0"/>
        <v>75245.901639344258</v>
      </c>
    </row>
    <row r="25" spans="1:44" ht="18.75" x14ac:dyDescent="0.3">
      <c r="A25" s="10">
        <v>19</v>
      </c>
      <c r="B25" s="7" t="s">
        <v>28</v>
      </c>
      <c r="C25" s="14" t="s">
        <v>9</v>
      </c>
      <c r="D25" s="11" t="s">
        <v>2</v>
      </c>
      <c r="E25" s="9">
        <v>91800</v>
      </c>
      <c r="F25" s="9">
        <f t="shared" si="0"/>
        <v>75245.901639344258</v>
      </c>
    </row>
    <row r="26" spans="1:44" ht="18.75" x14ac:dyDescent="0.3">
      <c r="A26" s="10">
        <v>20</v>
      </c>
      <c r="B26" s="7" t="s">
        <v>29</v>
      </c>
      <c r="C26" s="14" t="s">
        <v>9</v>
      </c>
      <c r="D26" s="11" t="s">
        <v>2</v>
      </c>
      <c r="E26" s="9">
        <v>91800</v>
      </c>
      <c r="F26" s="9">
        <f t="shared" si="0"/>
        <v>75245.901639344258</v>
      </c>
    </row>
    <row r="27" spans="1:44" ht="18.75" x14ac:dyDescent="0.3">
      <c r="A27" s="10">
        <v>21</v>
      </c>
      <c r="B27" s="7" t="s">
        <v>30</v>
      </c>
      <c r="C27" s="14" t="s">
        <v>31</v>
      </c>
      <c r="D27" s="11" t="s">
        <v>2</v>
      </c>
      <c r="E27" s="9">
        <v>91800</v>
      </c>
      <c r="F27" s="9">
        <f t="shared" si="0"/>
        <v>75245.901639344258</v>
      </c>
    </row>
    <row r="28" spans="1:44" ht="18.75" x14ac:dyDescent="0.3">
      <c r="A28" s="10">
        <v>22</v>
      </c>
      <c r="B28" s="15" t="s">
        <v>32</v>
      </c>
      <c r="C28" s="14" t="s">
        <v>33</v>
      </c>
      <c r="D28" s="11" t="s">
        <v>2</v>
      </c>
      <c r="E28" s="9">
        <v>97940</v>
      </c>
      <c r="F28" s="9">
        <f t="shared" si="0"/>
        <v>80278.688524590165</v>
      </c>
    </row>
    <row r="29" spans="1:44" ht="18.75" x14ac:dyDescent="0.3">
      <c r="A29" s="10">
        <v>23</v>
      </c>
      <c r="B29" s="7" t="s">
        <v>34</v>
      </c>
      <c r="C29" s="14" t="s">
        <v>31</v>
      </c>
      <c r="D29" s="11" t="s">
        <v>2</v>
      </c>
      <c r="E29" s="9">
        <v>97940</v>
      </c>
      <c r="F29" s="9">
        <f t="shared" si="0"/>
        <v>80278.688524590165</v>
      </c>
    </row>
    <row r="30" spans="1:44" ht="18.75" x14ac:dyDescent="0.3">
      <c r="A30" s="10">
        <v>24</v>
      </c>
      <c r="B30" s="7" t="s">
        <v>35</v>
      </c>
      <c r="C30" s="14" t="s">
        <v>31</v>
      </c>
      <c r="D30" s="11" t="s">
        <v>2</v>
      </c>
      <c r="E30" s="9">
        <v>97940</v>
      </c>
      <c r="F30" s="9">
        <f t="shared" si="0"/>
        <v>80278.688524590165</v>
      </c>
    </row>
    <row r="31" spans="1:44" ht="18.75" x14ac:dyDescent="0.3">
      <c r="A31" s="10">
        <v>25</v>
      </c>
      <c r="B31" s="7" t="s">
        <v>36</v>
      </c>
      <c r="C31" s="14" t="s">
        <v>31</v>
      </c>
      <c r="D31" s="11" t="s">
        <v>2</v>
      </c>
      <c r="E31" s="9">
        <v>97940</v>
      </c>
      <c r="F31" s="9">
        <f t="shared" si="0"/>
        <v>80278.688524590165</v>
      </c>
    </row>
    <row r="32" spans="1:44" ht="18.75" x14ac:dyDescent="0.3">
      <c r="A32" s="10">
        <v>26</v>
      </c>
      <c r="B32" s="7" t="s">
        <v>37</v>
      </c>
      <c r="C32" s="14" t="s">
        <v>9</v>
      </c>
      <c r="D32" s="11" t="s">
        <v>2</v>
      </c>
      <c r="E32" s="9">
        <v>102660</v>
      </c>
      <c r="F32" s="9">
        <f t="shared" si="0"/>
        <v>84147.540983606566</v>
      </c>
    </row>
    <row r="33" spans="1:6" ht="18.75" x14ac:dyDescent="0.3">
      <c r="A33" s="10"/>
      <c r="B33" s="7" t="s">
        <v>38</v>
      </c>
      <c r="C33" s="14"/>
      <c r="D33" s="11"/>
      <c r="E33" s="10"/>
      <c r="F33" s="9"/>
    </row>
    <row r="34" spans="1:6" ht="18.75" x14ac:dyDescent="0.3">
      <c r="A34" s="10">
        <v>27</v>
      </c>
      <c r="B34" s="7" t="s">
        <v>39</v>
      </c>
      <c r="C34" s="14" t="s">
        <v>31</v>
      </c>
      <c r="D34" s="11" t="s">
        <v>2</v>
      </c>
      <c r="E34" s="16">
        <v>179360</v>
      </c>
      <c r="F34" s="9">
        <f t="shared" si="0"/>
        <v>147016.39344262297</v>
      </c>
    </row>
    <row r="35" spans="1:6" ht="18.75" x14ac:dyDescent="0.3">
      <c r="A35" s="10">
        <v>28</v>
      </c>
      <c r="B35" s="7" t="s">
        <v>40</v>
      </c>
      <c r="C35" s="14" t="s">
        <v>31</v>
      </c>
      <c r="D35" s="11" t="s">
        <v>2</v>
      </c>
      <c r="E35" s="16">
        <v>186600</v>
      </c>
      <c r="F35" s="9">
        <f t="shared" si="0"/>
        <v>152950.81967213115</v>
      </c>
    </row>
    <row r="36" spans="1:6" ht="18.75" x14ac:dyDescent="0.3">
      <c r="A36" s="10">
        <v>29</v>
      </c>
      <c r="B36" s="7" t="s">
        <v>41</v>
      </c>
      <c r="C36" s="14" t="s">
        <v>31</v>
      </c>
      <c r="D36" s="11" t="s">
        <v>2</v>
      </c>
      <c r="E36" s="16">
        <v>164600</v>
      </c>
      <c r="F36" s="9">
        <f t="shared" si="0"/>
        <v>134918.03278688525</v>
      </c>
    </row>
    <row r="37" spans="1:6" ht="18.75" x14ac:dyDescent="0.3">
      <c r="A37" s="10">
        <v>30</v>
      </c>
      <c r="B37" s="7" t="s">
        <v>42</v>
      </c>
      <c r="C37" s="14" t="s">
        <v>33</v>
      </c>
      <c r="D37" s="11" t="s">
        <v>2</v>
      </c>
      <c r="E37" s="16">
        <v>174800</v>
      </c>
      <c r="F37" s="9">
        <f t="shared" si="0"/>
        <v>143278.68852459016</v>
      </c>
    </row>
    <row r="38" spans="1:6" ht="18.75" x14ac:dyDescent="0.3">
      <c r="A38" s="10">
        <v>31</v>
      </c>
      <c r="B38" s="7" t="s">
        <v>43</v>
      </c>
      <c r="C38" s="14" t="s">
        <v>31</v>
      </c>
      <c r="D38" s="11" t="s">
        <v>2</v>
      </c>
      <c r="E38" s="16">
        <v>164600</v>
      </c>
      <c r="F38" s="9">
        <f t="shared" si="0"/>
        <v>134918.03278688525</v>
      </c>
    </row>
    <row r="39" spans="1:6" ht="18.75" x14ac:dyDescent="0.3">
      <c r="A39" s="10">
        <v>32</v>
      </c>
      <c r="B39" s="7" t="s">
        <v>44</v>
      </c>
      <c r="C39" s="14" t="s">
        <v>33</v>
      </c>
      <c r="D39" s="11" t="s">
        <v>2</v>
      </c>
      <c r="E39" s="16">
        <v>174800</v>
      </c>
      <c r="F39" s="9">
        <f t="shared" si="0"/>
        <v>143278.68852459016</v>
      </c>
    </row>
    <row r="40" spans="1:6" ht="18.75" x14ac:dyDescent="0.3">
      <c r="A40" s="10">
        <v>33</v>
      </c>
      <c r="B40" s="7" t="s">
        <v>45</v>
      </c>
      <c r="C40" s="14" t="s">
        <v>31</v>
      </c>
      <c r="D40" s="11" t="s">
        <v>2</v>
      </c>
      <c r="E40" s="16">
        <v>165350</v>
      </c>
      <c r="F40" s="9">
        <f t="shared" si="0"/>
        <v>135532.78688524591</v>
      </c>
    </row>
    <row r="41" spans="1:6" ht="18.75" x14ac:dyDescent="0.3">
      <c r="A41" s="10">
        <v>34</v>
      </c>
      <c r="B41" s="7" t="s">
        <v>46</v>
      </c>
      <c r="C41" s="14" t="s">
        <v>33</v>
      </c>
      <c r="D41" s="11" t="s">
        <v>2</v>
      </c>
      <c r="E41" s="16">
        <v>177950</v>
      </c>
      <c r="F41" s="9">
        <f t="shared" si="0"/>
        <v>145860.65573770492</v>
      </c>
    </row>
    <row r="42" spans="1:6" ht="18.75" x14ac:dyDescent="0.3">
      <c r="A42" s="10">
        <v>35</v>
      </c>
      <c r="B42" s="7" t="s">
        <v>47</v>
      </c>
      <c r="C42" s="14" t="s">
        <v>31</v>
      </c>
      <c r="D42" s="11" t="s">
        <v>2</v>
      </c>
      <c r="E42" s="16">
        <v>169600</v>
      </c>
      <c r="F42" s="9">
        <f t="shared" si="0"/>
        <v>139016.39344262297</v>
      </c>
    </row>
    <row r="43" spans="1:6" ht="18.75" x14ac:dyDescent="0.3">
      <c r="A43" s="10">
        <v>36</v>
      </c>
      <c r="B43" s="7" t="s">
        <v>48</v>
      </c>
      <c r="C43" s="14" t="s">
        <v>31</v>
      </c>
      <c r="D43" s="11" t="s">
        <v>2</v>
      </c>
      <c r="E43" s="16">
        <v>170600</v>
      </c>
      <c r="F43" s="9">
        <f t="shared" si="0"/>
        <v>139836.06557377049</v>
      </c>
    </row>
    <row r="44" spans="1:6" ht="18.75" x14ac:dyDescent="0.3">
      <c r="A44" s="10">
        <v>37</v>
      </c>
      <c r="B44" s="7" t="s">
        <v>49</v>
      </c>
      <c r="C44" s="14" t="s">
        <v>31</v>
      </c>
      <c r="D44" s="11" t="s">
        <v>2</v>
      </c>
      <c r="E44" s="16">
        <v>170600</v>
      </c>
      <c r="F44" s="9">
        <f t="shared" si="0"/>
        <v>139836.06557377049</v>
      </c>
    </row>
    <row r="45" spans="1:6" ht="18.75" x14ac:dyDescent="0.3">
      <c r="A45" s="10">
        <v>38</v>
      </c>
      <c r="B45" s="7" t="s">
        <v>50</v>
      </c>
      <c r="C45" s="14" t="s">
        <v>31</v>
      </c>
      <c r="D45" s="11" t="s">
        <v>2</v>
      </c>
      <c r="E45" s="16">
        <v>165350</v>
      </c>
      <c r="F45" s="9">
        <f t="shared" si="0"/>
        <v>135532.78688524591</v>
      </c>
    </row>
    <row r="46" spans="1:6" ht="18.75" x14ac:dyDescent="0.3">
      <c r="A46" s="10">
        <v>39</v>
      </c>
      <c r="B46" s="7" t="s">
        <v>51</v>
      </c>
      <c r="C46" s="14" t="s">
        <v>31</v>
      </c>
      <c r="D46" s="11" t="s">
        <v>2</v>
      </c>
      <c r="E46" s="16">
        <v>164600</v>
      </c>
      <c r="F46" s="9">
        <f t="shared" si="0"/>
        <v>134918.03278688525</v>
      </c>
    </row>
    <row r="47" spans="1:6" ht="18.75" x14ac:dyDescent="0.3">
      <c r="A47" s="10">
        <v>40</v>
      </c>
      <c r="B47" s="7" t="s">
        <v>52</v>
      </c>
      <c r="C47" s="14" t="s">
        <v>31</v>
      </c>
      <c r="D47" s="11" t="s">
        <v>2</v>
      </c>
      <c r="E47" s="16">
        <v>170600</v>
      </c>
      <c r="F47" s="9">
        <f t="shared" si="0"/>
        <v>139836.06557377049</v>
      </c>
    </row>
    <row r="48" spans="1:6" ht="18.75" x14ac:dyDescent="0.3">
      <c r="A48" s="10">
        <v>41</v>
      </c>
      <c r="B48" s="7" t="s">
        <v>53</v>
      </c>
      <c r="C48" s="14" t="s">
        <v>31</v>
      </c>
      <c r="D48" s="11" t="s">
        <v>2</v>
      </c>
      <c r="E48" s="16">
        <v>170600</v>
      </c>
      <c r="F48" s="9">
        <f t="shared" si="0"/>
        <v>139836.06557377049</v>
      </c>
    </row>
    <row r="49" spans="1:6" ht="18.75" x14ac:dyDescent="0.3">
      <c r="A49" s="10">
        <v>42</v>
      </c>
      <c r="B49" s="7" t="s">
        <v>54</v>
      </c>
      <c r="C49" s="14" t="s">
        <v>31</v>
      </c>
      <c r="D49" s="11" t="s">
        <v>2</v>
      </c>
      <c r="E49" s="16">
        <v>192650</v>
      </c>
      <c r="F49" s="9">
        <f t="shared" si="0"/>
        <v>157909.83606557376</v>
      </c>
    </row>
    <row r="50" spans="1:6" ht="18.75" x14ac:dyDescent="0.3">
      <c r="A50" s="10">
        <v>43</v>
      </c>
      <c r="B50" s="7" t="s">
        <v>55</v>
      </c>
      <c r="C50" s="14" t="s">
        <v>31</v>
      </c>
      <c r="D50" s="11" t="s">
        <v>2</v>
      </c>
      <c r="E50" s="16">
        <v>192650</v>
      </c>
      <c r="F50" s="9">
        <f t="shared" si="0"/>
        <v>157909.83606557376</v>
      </c>
    </row>
    <row r="51" spans="1:6" ht="18.75" x14ac:dyDescent="0.3">
      <c r="A51" s="10">
        <v>44</v>
      </c>
      <c r="B51" s="7" t="s">
        <v>56</v>
      </c>
      <c r="C51" s="14" t="s">
        <v>31</v>
      </c>
      <c r="D51" s="11" t="s">
        <v>2</v>
      </c>
      <c r="E51" s="16">
        <v>202100</v>
      </c>
      <c r="F51" s="9">
        <f t="shared" si="0"/>
        <v>165655.73770491805</v>
      </c>
    </row>
    <row r="52" spans="1:6" ht="18.75" x14ac:dyDescent="0.3">
      <c r="A52" s="10">
        <v>45</v>
      </c>
      <c r="B52" s="7" t="s">
        <v>57</v>
      </c>
      <c r="C52" s="14" t="s">
        <v>31</v>
      </c>
      <c r="D52" s="11" t="s">
        <v>2</v>
      </c>
      <c r="E52" s="16">
        <v>202100</v>
      </c>
      <c r="F52" s="9">
        <f t="shared" si="0"/>
        <v>165655.73770491805</v>
      </c>
    </row>
    <row r="53" spans="1:6" ht="18.75" x14ac:dyDescent="0.3">
      <c r="A53" s="10"/>
      <c r="B53" s="17" t="s">
        <v>58</v>
      </c>
      <c r="C53" s="14"/>
      <c r="D53" s="11"/>
      <c r="E53" s="10"/>
      <c r="F53" s="9"/>
    </row>
    <row r="54" spans="1:6" ht="18.75" x14ac:dyDescent="0.3">
      <c r="A54" s="10">
        <v>46</v>
      </c>
      <c r="B54" s="7" t="s">
        <v>59</v>
      </c>
      <c r="C54" s="14" t="s">
        <v>9</v>
      </c>
      <c r="D54" s="11" t="s">
        <v>2</v>
      </c>
      <c r="E54" s="16">
        <v>99300</v>
      </c>
      <c r="F54" s="9">
        <f t="shared" si="0"/>
        <v>81393.442622950824</v>
      </c>
    </row>
    <row r="55" spans="1:6" ht="18.75" x14ac:dyDescent="0.3">
      <c r="A55" s="10">
        <v>47</v>
      </c>
      <c r="B55" s="7" t="s">
        <v>60</v>
      </c>
      <c r="C55" s="14" t="s">
        <v>9</v>
      </c>
      <c r="D55" s="11" t="s">
        <v>2</v>
      </c>
      <c r="E55" s="16">
        <v>96200</v>
      </c>
      <c r="F55" s="9">
        <f t="shared" si="0"/>
        <v>78852.459016393448</v>
      </c>
    </row>
    <row r="56" spans="1:6" ht="18.75" x14ac:dyDescent="0.3">
      <c r="A56" s="10">
        <v>48</v>
      </c>
      <c r="B56" s="7" t="s">
        <v>61</v>
      </c>
      <c r="C56" s="14" t="s">
        <v>9</v>
      </c>
      <c r="D56" s="11" t="s">
        <v>2</v>
      </c>
      <c r="E56" s="16">
        <v>98300</v>
      </c>
      <c r="F56" s="9">
        <f t="shared" si="0"/>
        <v>80573.770491803283</v>
      </c>
    </row>
    <row r="57" spans="1:6" ht="18.75" x14ac:dyDescent="0.3">
      <c r="A57" s="10">
        <v>49</v>
      </c>
      <c r="B57" s="7" t="s">
        <v>62</v>
      </c>
      <c r="C57" s="14" t="s">
        <v>9</v>
      </c>
      <c r="D57" s="11" t="s">
        <v>2</v>
      </c>
      <c r="E57" s="16">
        <v>96200</v>
      </c>
      <c r="F57" s="9">
        <f t="shared" si="0"/>
        <v>78852.459016393448</v>
      </c>
    </row>
    <row r="58" spans="1:6" ht="18.75" x14ac:dyDescent="0.3">
      <c r="A58" s="10">
        <v>50</v>
      </c>
      <c r="B58" s="7" t="s">
        <v>63</v>
      </c>
      <c r="C58" s="14" t="s">
        <v>9</v>
      </c>
      <c r="D58" s="11" t="s">
        <v>2</v>
      </c>
      <c r="E58" s="16">
        <v>98300</v>
      </c>
      <c r="F58" s="9">
        <f t="shared" si="0"/>
        <v>80573.770491803283</v>
      </c>
    </row>
    <row r="59" spans="1:6" ht="18.75" x14ac:dyDescent="0.3">
      <c r="A59" s="10">
        <v>51</v>
      </c>
      <c r="B59" s="7" t="s">
        <v>64</v>
      </c>
      <c r="C59" s="14" t="s">
        <v>9</v>
      </c>
      <c r="D59" s="11" t="s">
        <v>2</v>
      </c>
      <c r="E59" s="16">
        <v>98300</v>
      </c>
      <c r="F59" s="9">
        <f t="shared" si="0"/>
        <v>80573.770491803283</v>
      </c>
    </row>
    <row r="60" spans="1:6" ht="18.75" x14ac:dyDescent="0.3">
      <c r="A60" s="10">
        <v>52</v>
      </c>
      <c r="B60" s="7" t="s">
        <v>65</v>
      </c>
      <c r="C60" s="14" t="s">
        <v>9</v>
      </c>
      <c r="D60" s="11" t="s">
        <v>2</v>
      </c>
      <c r="E60" s="16">
        <v>96200</v>
      </c>
      <c r="F60" s="9">
        <f t="shared" si="0"/>
        <v>78852.459016393448</v>
      </c>
    </row>
    <row r="61" spans="1:6" ht="18.75" x14ac:dyDescent="0.3">
      <c r="A61" s="10">
        <v>53</v>
      </c>
      <c r="B61" s="7" t="s">
        <v>66</v>
      </c>
      <c r="C61" s="14" t="s">
        <v>9</v>
      </c>
      <c r="D61" s="11" t="s">
        <v>2</v>
      </c>
      <c r="E61" s="16">
        <v>98300</v>
      </c>
      <c r="F61" s="9">
        <f t="shared" si="0"/>
        <v>80573.770491803283</v>
      </c>
    </row>
    <row r="62" spans="1:6" ht="18.75" x14ac:dyDescent="0.3">
      <c r="A62" s="10">
        <v>54</v>
      </c>
      <c r="B62" s="7" t="s">
        <v>67</v>
      </c>
      <c r="C62" s="14" t="s">
        <v>9</v>
      </c>
      <c r="D62" s="11" t="s">
        <v>2</v>
      </c>
      <c r="E62" s="16">
        <v>96200</v>
      </c>
      <c r="F62" s="9">
        <f t="shared" si="0"/>
        <v>78852.459016393448</v>
      </c>
    </row>
    <row r="63" spans="1:6" ht="18.75" x14ac:dyDescent="0.3">
      <c r="A63" s="10">
        <v>55</v>
      </c>
      <c r="B63" s="7" t="s">
        <v>68</v>
      </c>
      <c r="C63" s="14" t="s">
        <v>9</v>
      </c>
      <c r="D63" s="11" t="s">
        <v>2</v>
      </c>
      <c r="E63" s="16">
        <v>98300</v>
      </c>
      <c r="F63" s="9">
        <f t="shared" si="0"/>
        <v>80573.770491803283</v>
      </c>
    </row>
    <row r="64" spans="1:6" ht="18.75" x14ac:dyDescent="0.3">
      <c r="A64" s="10">
        <v>56</v>
      </c>
      <c r="B64" s="7" t="s">
        <v>69</v>
      </c>
      <c r="C64" s="14" t="s">
        <v>9</v>
      </c>
      <c r="D64" s="11" t="s">
        <v>2</v>
      </c>
      <c r="E64" s="16">
        <v>96200</v>
      </c>
      <c r="F64" s="9">
        <f t="shared" si="0"/>
        <v>78852.459016393448</v>
      </c>
    </row>
    <row r="65" spans="1:6" ht="18.75" x14ac:dyDescent="0.3">
      <c r="A65" s="10">
        <v>57</v>
      </c>
      <c r="B65" s="7" t="s">
        <v>70</v>
      </c>
      <c r="C65" s="14" t="s">
        <v>9</v>
      </c>
      <c r="D65" s="11" t="s">
        <v>2</v>
      </c>
      <c r="E65" s="16">
        <v>98300</v>
      </c>
      <c r="F65" s="9">
        <f t="shared" si="0"/>
        <v>80573.770491803283</v>
      </c>
    </row>
    <row r="66" spans="1:6" ht="18.75" x14ac:dyDescent="0.3">
      <c r="A66" s="10">
        <v>58</v>
      </c>
      <c r="B66" s="7" t="s">
        <v>71</v>
      </c>
      <c r="C66" s="14" t="s">
        <v>9</v>
      </c>
      <c r="D66" s="11" t="s">
        <v>2</v>
      </c>
      <c r="E66" s="16">
        <v>96200</v>
      </c>
      <c r="F66" s="9">
        <f t="shared" si="0"/>
        <v>78852.459016393448</v>
      </c>
    </row>
    <row r="67" spans="1:6" ht="18.75" x14ac:dyDescent="0.3">
      <c r="A67" s="10">
        <v>59</v>
      </c>
      <c r="B67" s="7" t="s">
        <v>72</v>
      </c>
      <c r="C67" s="14" t="s">
        <v>9</v>
      </c>
      <c r="D67" s="11" t="s">
        <v>2</v>
      </c>
      <c r="E67" s="16">
        <v>91900</v>
      </c>
      <c r="F67" s="9">
        <f t="shared" si="0"/>
        <v>75327.868852459025</v>
      </c>
    </row>
    <row r="68" spans="1:6" ht="18.75" x14ac:dyDescent="0.3">
      <c r="A68" s="10">
        <v>60</v>
      </c>
      <c r="B68" s="7" t="s">
        <v>73</v>
      </c>
      <c r="C68" s="14" t="s">
        <v>9</v>
      </c>
      <c r="D68" s="11" t="s">
        <v>2</v>
      </c>
      <c r="E68" s="16">
        <v>98300</v>
      </c>
      <c r="F68" s="9">
        <f t="shared" si="0"/>
        <v>80573.770491803283</v>
      </c>
    </row>
    <row r="69" spans="1:6" ht="18.75" x14ac:dyDescent="0.3">
      <c r="A69" s="10">
        <v>61</v>
      </c>
      <c r="B69" s="7" t="s">
        <v>74</v>
      </c>
      <c r="C69" s="14" t="s">
        <v>9</v>
      </c>
      <c r="D69" s="11" t="s">
        <v>2</v>
      </c>
      <c r="E69" s="16">
        <v>96200</v>
      </c>
      <c r="F69" s="9">
        <f t="shared" si="0"/>
        <v>78852.459016393448</v>
      </c>
    </row>
    <row r="70" spans="1:6" ht="18.75" x14ac:dyDescent="0.3">
      <c r="A70" s="10">
        <v>62</v>
      </c>
      <c r="B70" s="7" t="s">
        <v>75</v>
      </c>
      <c r="C70" s="14" t="s">
        <v>9</v>
      </c>
      <c r="D70" s="11" t="s">
        <v>2</v>
      </c>
      <c r="E70" s="16">
        <v>91900</v>
      </c>
      <c r="F70" s="9">
        <f t="shared" si="0"/>
        <v>75327.868852459025</v>
      </c>
    </row>
    <row r="71" spans="1:6" ht="18.75" x14ac:dyDescent="0.3">
      <c r="A71" s="10">
        <v>63</v>
      </c>
      <c r="B71" s="7" t="s">
        <v>76</v>
      </c>
      <c r="C71" s="14" t="s">
        <v>9</v>
      </c>
      <c r="D71" s="11" t="s">
        <v>2</v>
      </c>
      <c r="E71" s="16">
        <v>91900</v>
      </c>
      <c r="F71" s="9">
        <f t="shared" ref="F71:F113" si="1">E71/1.22</f>
        <v>75327.868852459025</v>
      </c>
    </row>
    <row r="72" spans="1:6" ht="18.75" x14ac:dyDescent="0.3">
      <c r="A72" s="10">
        <v>64</v>
      </c>
      <c r="B72" s="7" t="s">
        <v>77</v>
      </c>
      <c r="C72" s="14" t="s">
        <v>9</v>
      </c>
      <c r="D72" s="11" t="s">
        <v>2</v>
      </c>
      <c r="E72" s="16">
        <v>96200</v>
      </c>
      <c r="F72" s="9">
        <f t="shared" si="1"/>
        <v>78852.459016393448</v>
      </c>
    </row>
    <row r="73" spans="1:6" ht="18.75" x14ac:dyDescent="0.3">
      <c r="A73" s="10">
        <v>65</v>
      </c>
      <c r="B73" s="7" t="s">
        <v>78</v>
      </c>
      <c r="C73" s="14" t="s">
        <v>9</v>
      </c>
      <c r="D73" s="11" t="s">
        <v>2</v>
      </c>
      <c r="E73" s="16">
        <v>91900</v>
      </c>
      <c r="F73" s="9">
        <f t="shared" si="1"/>
        <v>75327.868852459025</v>
      </c>
    </row>
    <row r="74" spans="1:6" ht="18.75" x14ac:dyDescent="0.3">
      <c r="A74" s="10">
        <v>66</v>
      </c>
      <c r="B74" s="7" t="s">
        <v>79</v>
      </c>
      <c r="C74" s="14" t="s">
        <v>9</v>
      </c>
      <c r="D74" s="11" t="s">
        <v>2</v>
      </c>
      <c r="E74" s="16">
        <v>96200</v>
      </c>
      <c r="F74" s="9">
        <f t="shared" si="1"/>
        <v>78852.459016393448</v>
      </c>
    </row>
    <row r="75" spans="1:6" ht="18.75" x14ac:dyDescent="0.3">
      <c r="A75" s="10">
        <v>67</v>
      </c>
      <c r="B75" s="7" t="s">
        <v>80</v>
      </c>
      <c r="C75" s="14" t="s">
        <v>9</v>
      </c>
      <c r="D75" s="11" t="s">
        <v>2</v>
      </c>
      <c r="E75" s="16">
        <v>91900</v>
      </c>
      <c r="F75" s="9">
        <f t="shared" si="1"/>
        <v>75327.868852459025</v>
      </c>
    </row>
    <row r="76" spans="1:6" ht="18.75" x14ac:dyDescent="0.3">
      <c r="A76" s="10">
        <v>68</v>
      </c>
      <c r="B76" s="7" t="s">
        <v>81</v>
      </c>
      <c r="C76" s="14" t="s">
        <v>9</v>
      </c>
      <c r="D76" s="11" t="s">
        <v>2</v>
      </c>
      <c r="E76" s="16">
        <v>96200</v>
      </c>
      <c r="F76" s="9">
        <f t="shared" si="1"/>
        <v>78852.459016393448</v>
      </c>
    </row>
    <row r="77" spans="1:6" ht="18.75" x14ac:dyDescent="0.3">
      <c r="A77" s="10">
        <v>69</v>
      </c>
      <c r="B77" s="7" t="s">
        <v>82</v>
      </c>
      <c r="C77" s="14" t="s">
        <v>9</v>
      </c>
      <c r="D77" s="11" t="s">
        <v>2</v>
      </c>
      <c r="E77" s="16">
        <v>91900</v>
      </c>
      <c r="F77" s="9">
        <f t="shared" si="1"/>
        <v>75327.868852459025</v>
      </c>
    </row>
    <row r="78" spans="1:6" ht="18.75" x14ac:dyDescent="0.3">
      <c r="A78" s="10">
        <v>70</v>
      </c>
      <c r="B78" s="7" t="s">
        <v>83</v>
      </c>
      <c r="C78" s="14" t="s">
        <v>9</v>
      </c>
      <c r="D78" s="11" t="s">
        <v>2</v>
      </c>
      <c r="E78" s="16">
        <v>91900</v>
      </c>
      <c r="F78" s="9">
        <f t="shared" si="1"/>
        <v>75327.868852459025</v>
      </c>
    </row>
    <row r="79" spans="1:6" ht="18.75" x14ac:dyDescent="0.3">
      <c r="A79" s="10">
        <v>71</v>
      </c>
      <c r="B79" s="7" t="s">
        <v>84</v>
      </c>
      <c r="C79" s="14" t="s">
        <v>9</v>
      </c>
      <c r="D79" s="11" t="s">
        <v>2</v>
      </c>
      <c r="E79" s="16">
        <v>96200</v>
      </c>
      <c r="F79" s="9">
        <f t="shared" si="1"/>
        <v>78852.459016393448</v>
      </c>
    </row>
    <row r="80" spans="1:6" ht="18.75" x14ac:dyDescent="0.3">
      <c r="A80" s="10">
        <v>72</v>
      </c>
      <c r="B80" s="7" t="s">
        <v>85</v>
      </c>
      <c r="C80" s="14" t="s">
        <v>9</v>
      </c>
      <c r="D80" s="11" t="s">
        <v>2</v>
      </c>
      <c r="E80" s="16">
        <v>91900</v>
      </c>
      <c r="F80" s="9">
        <f t="shared" si="1"/>
        <v>75327.868852459025</v>
      </c>
    </row>
    <row r="81" spans="1:6" ht="18.75" x14ac:dyDescent="0.3">
      <c r="A81" s="10">
        <v>73</v>
      </c>
      <c r="B81" s="7" t="s">
        <v>86</v>
      </c>
      <c r="C81" s="14" t="s">
        <v>9</v>
      </c>
      <c r="D81" s="11" t="s">
        <v>2</v>
      </c>
      <c r="E81" s="16">
        <v>96200</v>
      </c>
      <c r="F81" s="9">
        <f t="shared" si="1"/>
        <v>78852.459016393448</v>
      </c>
    </row>
    <row r="82" spans="1:6" ht="18.75" x14ac:dyDescent="0.3">
      <c r="A82" s="10">
        <v>74</v>
      </c>
      <c r="B82" s="7" t="s">
        <v>87</v>
      </c>
      <c r="C82" s="14" t="s">
        <v>9</v>
      </c>
      <c r="D82" s="11" t="s">
        <v>2</v>
      </c>
      <c r="E82" s="16">
        <v>91900</v>
      </c>
      <c r="F82" s="9">
        <f t="shared" si="1"/>
        <v>75327.868852459025</v>
      </c>
    </row>
    <row r="83" spans="1:6" ht="18.75" x14ac:dyDescent="0.3">
      <c r="A83" s="10">
        <v>75</v>
      </c>
      <c r="B83" s="7" t="s">
        <v>88</v>
      </c>
      <c r="C83" s="14" t="s">
        <v>9</v>
      </c>
      <c r="D83" s="11" t="s">
        <v>2</v>
      </c>
      <c r="E83" s="16">
        <v>91900</v>
      </c>
      <c r="F83" s="9">
        <f t="shared" si="1"/>
        <v>75327.868852459025</v>
      </c>
    </row>
    <row r="84" spans="1:6" ht="18.75" x14ac:dyDescent="0.3">
      <c r="A84" s="10">
        <v>76</v>
      </c>
      <c r="B84" s="7" t="s">
        <v>89</v>
      </c>
      <c r="C84" s="14" t="s">
        <v>9</v>
      </c>
      <c r="D84" s="11" t="s">
        <v>2</v>
      </c>
      <c r="E84" s="16">
        <v>91900</v>
      </c>
      <c r="F84" s="9">
        <f t="shared" si="1"/>
        <v>75327.868852459025</v>
      </c>
    </row>
    <row r="85" spans="1:6" ht="18.75" x14ac:dyDescent="0.3">
      <c r="A85" s="10">
        <v>77</v>
      </c>
      <c r="B85" s="7" t="s">
        <v>90</v>
      </c>
      <c r="C85" s="14" t="s">
        <v>9</v>
      </c>
      <c r="D85" s="11" t="s">
        <v>2</v>
      </c>
      <c r="E85" s="16">
        <v>91900</v>
      </c>
      <c r="F85" s="9">
        <f t="shared" si="1"/>
        <v>75327.868852459025</v>
      </c>
    </row>
    <row r="86" spans="1:6" ht="18.75" x14ac:dyDescent="0.3">
      <c r="A86" s="10">
        <v>78</v>
      </c>
      <c r="B86" s="7" t="s">
        <v>91</v>
      </c>
      <c r="C86" s="14" t="s">
        <v>9</v>
      </c>
      <c r="D86" s="11" t="s">
        <v>2</v>
      </c>
      <c r="E86" s="16">
        <v>91900</v>
      </c>
      <c r="F86" s="9">
        <f t="shared" si="1"/>
        <v>75327.868852459025</v>
      </c>
    </row>
    <row r="87" spans="1:6" ht="18.75" x14ac:dyDescent="0.3">
      <c r="A87" s="10">
        <v>79</v>
      </c>
      <c r="B87" s="7" t="s">
        <v>92</v>
      </c>
      <c r="C87" s="14" t="s">
        <v>9</v>
      </c>
      <c r="D87" s="11" t="s">
        <v>2</v>
      </c>
      <c r="E87" s="16">
        <v>91900</v>
      </c>
      <c r="F87" s="9">
        <f t="shared" si="1"/>
        <v>75327.868852459025</v>
      </c>
    </row>
    <row r="88" spans="1:6" ht="18.75" x14ac:dyDescent="0.3">
      <c r="A88" s="10">
        <v>80</v>
      </c>
      <c r="B88" s="7" t="s">
        <v>93</v>
      </c>
      <c r="C88" s="14" t="s">
        <v>9</v>
      </c>
      <c r="D88" s="11" t="s">
        <v>2</v>
      </c>
      <c r="E88" s="16">
        <v>91900</v>
      </c>
      <c r="F88" s="9">
        <f t="shared" si="1"/>
        <v>75327.868852459025</v>
      </c>
    </row>
    <row r="89" spans="1:6" ht="18.75" x14ac:dyDescent="0.3">
      <c r="A89" s="10">
        <v>81</v>
      </c>
      <c r="B89" s="7" t="s">
        <v>94</v>
      </c>
      <c r="C89" s="14" t="s">
        <v>9</v>
      </c>
      <c r="D89" s="11" t="s">
        <v>2</v>
      </c>
      <c r="E89" s="16">
        <v>91900</v>
      </c>
      <c r="F89" s="9">
        <f t="shared" si="1"/>
        <v>75327.868852459025</v>
      </c>
    </row>
    <row r="90" spans="1:6" ht="18.75" x14ac:dyDescent="0.3">
      <c r="A90" s="10">
        <v>82</v>
      </c>
      <c r="B90" s="7" t="s">
        <v>95</v>
      </c>
      <c r="C90" s="14" t="s">
        <v>9</v>
      </c>
      <c r="D90" s="11" t="s">
        <v>2</v>
      </c>
      <c r="E90" s="16">
        <v>91900</v>
      </c>
      <c r="F90" s="9">
        <f t="shared" si="1"/>
        <v>75327.868852459025</v>
      </c>
    </row>
    <row r="91" spans="1:6" ht="18.75" x14ac:dyDescent="0.3">
      <c r="A91" s="10">
        <v>83</v>
      </c>
      <c r="B91" s="7" t="s">
        <v>96</v>
      </c>
      <c r="C91" s="14" t="s">
        <v>9</v>
      </c>
      <c r="D91" s="11" t="s">
        <v>2</v>
      </c>
      <c r="E91" s="16">
        <v>91900</v>
      </c>
      <c r="F91" s="9">
        <f t="shared" si="1"/>
        <v>75327.868852459025</v>
      </c>
    </row>
    <row r="92" spans="1:6" ht="18.75" x14ac:dyDescent="0.3">
      <c r="A92" s="10">
        <v>84</v>
      </c>
      <c r="B92" s="7" t="s">
        <v>97</v>
      </c>
      <c r="C92" s="14" t="s">
        <v>9</v>
      </c>
      <c r="D92" s="11" t="s">
        <v>2</v>
      </c>
      <c r="E92" s="16">
        <v>91900</v>
      </c>
      <c r="F92" s="9">
        <f t="shared" si="1"/>
        <v>75327.868852459025</v>
      </c>
    </row>
    <row r="93" spans="1:6" ht="18.75" x14ac:dyDescent="0.3">
      <c r="A93" s="10">
        <v>85</v>
      </c>
      <c r="B93" s="7" t="s">
        <v>98</v>
      </c>
      <c r="C93" s="14" t="s">
        <v>9</v>
      </c>
      <c r="D93" s="11" t="s">
        <v>2</v>
      </c>
      <c r="E93" s="16">
        <v>91900</v>
      </c>
      <c r="F93" s="9">
        <f t="shared" si="1"/>
        <v>75327.868852459025</v>
      </c>
    </row>
    <row r="94" spans="1:6" ht="18.75" x14ac:dyDescent="0.3">
      <c r="A94" s="10">
        <v>86</v>
      </c>
      <c r="B94" s="7" t="s">
        <v>99</v>
      </c>
      <c r="C94" s="14" t="s">
        <v>9</v>
      </c>
      <c r="D94" s="11" t="s">
        <v>2</v>
      </c>
      <c r="E94" s="16">
        <v>91900</v>
      </c>
      <c r="F94" s="9">
        <f t="shared" si="1"/>
        <v>75327.868852459025</v>
      </c>
    </row>
    <row r="95" spans="1:6" ht="18.75" x14ac:dyDescent="0.3">
      <c r="A95" s="10">
        <v>87</v>
      </c>
      <c r="B95" s="7" t="s">
        <v>100</v>
      </c>
      <c r="C95" s="14" t="s">
        <v>9</v>
      </c>
      <c r="D95" s="11" t="s">
        <v>2</v>
      </c>
      <c r="E95" s="16">
        <v>91900</v>
      </c>
      <c r="F95" s="9">
        <f t="shared" si="1"/>
        <v>75327.868852459025</v>
      </c>
    </row>
    <row r="96" spans="1:6" ht="18.75" x14ac:dyDescent="0.3">
      <c r="A96" s="10">
        <v>88</v>
      </c>
      <c r="B96" s="7" t="s">
        <v>101</v>
      </c>
      <c r="C96" s="14" t="s">
        <v>9</v>
      </c>
      <c r="D96" s="11" t="s">
        <v>2</v>
      </c>
      <c r="E96" s="16">
        <v>91900</v>
      </c>
      <c r="F96" s="9">
        <f t="shared" si="1"/>
        <v>75327.868852459025</v>
      </c>
    </row>
    <row r="97" spans="1:6" ht="18.75" x14ac:dyDescent="0.3">
      <c r="A97" s="10">
        <v>89</v>
      </c>
      <c r="B97" s="7" t="s">
        <v>102</v>
      </c>
      <c r="C97" s="14" t="s">
        <v>9</v>
      </c>
      <c r="D97" s="11" t="s">
        <v>2</v>
      </c>
      <c r="E97" s="16">
        <v>91900</v>
      </c>
      <c r="F97" s="9">
        <f t="shared" si="1"/>
        <v>75327.868852459025</v>
      </c>
    </row>
    <row r="98" spans="1:6" ht="18.75" x14ac:dyDescent="0.3">
      <c r="A98" s="10">
        <v>90</v>
      </c>
      <c r="B98" s="7" t="s">
        <v>103</v>
      </c>
      <c r="C98" s="14" t="s">
        <v>9</v>
      </c>
      <c r="D98" s="11" t="s">
        <v>2</v>
      </c>
      <c r="E98" s="16">
        <v>91900</v>
      </c>
      <c r="F98" s="9">
        <f t="shared" si="1"/>
        <v>75327.868852459025</v>
      </c>
    </row>
    <row r="99" spans="1:6" ht="18.75" x14ac:dyDescent="0.3">
      <c r="A99" s="10">
        <v>91</v>
      </c>
      <c r="B99" s="7" t="s">
        <v>104</v>
      </c>
      <c r="C99" s="14" t="s">
        <v>9</v>
      </c>
      <c r="D99" s="11" t="s">
        <v>2</v>
      </c>
      <c r="E99" s="16">
        <v>91900</v>
      </c>
      <c r="F99" s="9">
        <f t="shared" si="1"/>
        <v>75327.868852459025</v>
      </c>
    </row>
    <row r="100" spans="1:6" ht="18.75" x14ac:dyDescent="0.3">
      <c r="A100" s="10">
        <v>92</v>
      </c>
      <c r="B100" s="7" t="s">
        <v>105</v>
      </c>
      <c r="C100" s="14" t="s">
        <v>9</v>
      </c>
      <c r="D100" s="11" t="s">
        <v>2</v>
      </c>
      <c r="E100" s="16">
        <v>91900</v>
      </c>
      <c r="F100" s="9">
        <f t="shared" si="1"/>
        <v>75327.868852459025</v>
      </c>
    </row>
    <row r="101" spans="1:6" ht="18.75" x14ac:dyDescent="0.3">
      <c r="A101" s="10">
        <v>93</v>
      </c>
      <c r="B101" s="7" t="s">
        <v>106</v>
      </c>
      <c r="C101" s="14" t="s">
        <v>9</v>
      </c>
      <c r="D101" s="11" t="s">
        <v>2</v>
      </c>
      <c r="E101" s="16">
        <v>91900</v>
      </c>
      <c r="F101" s="9">
        <f t="shared" si="1"/>
        <v>75327.868852459025</v>
      </c>
    </row>
    <row r="102" spans="1:6" ht="18.75" x14ac:dyDescent="0.3">
      <c r="A102" s="10">
        <v>94</v>
      </c>
      <c r="B102" s="7" t="s">
        <v>107</v>
      </c>
      <c r="C102" s="14" t="s">
        <v>9</v>
      </c>
      <c r="D102" s="11" t="s">
        <v>2</v>
      </c>
      <c r="E102" s="16">
        <v>101400</v>
      </c>
      <c r="F102" s="9">
        <f t="shared" si="1"/>
        <v>83114.75409836066</v>
      </c>
    </row>
    <row r="103" spans="1:6" ht="18.75" x14ac:dyDescent="0.3">
      <c r="A103" s="10"/>
      <c r="B103" s="7" t="s">
        <v>108</v>
      </c>
      <c r="C103" s="14"/>
      <c r="D103" s="11"/>
      <c r="E103" s="16"/>
      <c r="F103" s="9"/>
    </row>
    <row r="104" spans="1:6" ht="18.75" x14ac:dyDescent="0.3">
      <c r="A104" s="10">
        <v>95</v>
      </c>
      <c r="B104" s="7" t="s">
        <v>109</v>
      </c>
      <c r="C104" s="14" t="s">
        <v>110</v>
      </c>
      <c r="D104" s="11" t="s">
        <v>2</v>
      </c>
      <c r="E104" s="16">
        <v>132160</v>
      </c>
      <c r="F104" s="9">
        <f t="shared" si="1"/>
        <v>108327.86885245903</v>
      </c>
    </row>
    <row r="105" spans="1:6" ht="18.75" x14ac:dyDescent="0.3">
      <c r="A105" s="10">
        <v>96</v>
      </c>
      <c r="B105" s="7" t="s">
        <v>111</v>
      </c>
      <c r="C105" s="14" t="s">
        <v>110</v>
      </c>
      <c r="D105" s="11" t="s">
        <v>2</v>
      </c>
      <c r="E105" s="16">
        <v>122400</v>
      </c>
      <c r="F105" s="9">
        <f t="shared" si="1"/>
        <v>100327.86885245903</v>
      </c>
    </row>
    <row r="106" spans="1:6" ht="18.75" x14ac:dyDescent="0.3">
      <c r="A106" s="10">
        <v>97</v>
      </c>
      <c r="B106" s="7" t="s">
        <v>112</v>
      </c>
      <c r="C106" s="14" t="s">
        <v>110</v>
      </c>
      <c r="D106" s="11" t="s">
        <v>2</v>
      </c>
      <c r="E106" s="16">
        <v>121100</v>
      </c>
      <c r="F106" s="9">
        <f t="shared" si="1"/>
        <v>99262.295081967211</v>
      </c>
    </row>
    <row r="107" spans="1:6" ht="18.75" x14ac:dyDescent="0.3">
      <c r="A107" s="10">
        <v>98</v>
      </c>
      <c r="B107" s="7" t="s">
        <v>113</v>
      </c>
      <c r="C107" s="14" t="s">
        <v>110</v>
      </c>
      <c r="D107" s="11" t="s">
        <v>2</v>
      </c>
      <c r="E107" s="16">
        <v>121100</v>
      </c>
      <c r="F107" s="9">
        <f t="shared" si="1"/>
        <v>99262.295081967211</v>
      </c>
    </row>
    <row r="108" spans="1:6" ht="18.75" x14ac:dyDescent="0.3">
      <c r="A108" s="10">
        <v>99</v>
      </c>
      <c r="B108" s="7" t="s">
        <v>114</v>
      </c>
      <c r="C108" s="14" t="s">
        <v>110</v>
      </c>
      <c r="D108" s="11" t="s">
        <v>2</v>
      </c>
      <c r="E108" s="16">
        <v>121100</v>
      </c>
      <c r="F108" s="9">
        <f t="shared" si="1"/>
        <v>99262.295081967211</v>
      </c>
    </row>
    <row r="109" spans="1:6" ht="18.75" x14ac:dyDescent="0.3">
      <c r="A109" s="10">
        <v>100</v>
      </c>
      <c r="B109" s="7" t="s">
        <v>115</v>
      </c>
      <c r="C109" s="14" t="s">
        <v>110</v>
      </c>
      <c r="D109" s="11" t="s">
        <v>2</v>
      </c>
      <c r="E109" s="16">
        <v>121100</v>
      </c>
      <c r="F109" s="9">
        <f t="shared" si="1"/>
        <v>99262.295081967211</v>
      </c>
    </row>
    <row r="110" spans="1:6" ht="18.75" x14ac:dyDescent="0.3">
      <c r="A110" s="10">
        <v>101</v>
      </c>
      <c r="B110" s="7" t="s">
        <v>116</v>
      </c>
      <c r="C110" s="14" t="s">
        <v>110</v>
      </c>
      <c r="D110" s="11" t="s">
        <v>2</v>
      </c>
      <c r="E110" s="16">
        <v>121100</v>
      </c>
      <c r="F110" s="9">
        <f t="shared" si="1"/>
        <v>99262.295081967211</v>
      </c>
    </row>
    <row r="111" spans="1:6" ht="18.75" x14ac:dyDescent="0.3">
      <c r="A111" s="10">
        <v>102</v>
      </c>
      <c r="B111" s="7" t="s">
        <v>117</v>
      </c>
      <c r="C111" s="14" t="s">
        <v>110</v>
      </c>
      <c r="D111" s="11" t="s">
        <v>2</v>
      </c>
      <c r="E111" s="16">
        <v>121100</v>
      </c>
      <c r="F111" s="9">
        <f t="shared" si="1"/>
        <v>99262.295081967211</v>
      </c>
    </row>
    <row r="112" spans="1:6" ht="18.75" x14ac:dyDescent="0.3">
      <c r="A112" s="10">
        <v>103</v>
      </c>
      <c r="B112" s="7" t="s">
        <v>118</v>
      </c>
      <c r="C112" s="14" t="s">
        <v>110</v>
      </c>
      <c r="D112" s="11" t="s">
        <v>2</v>
      </c>
      <c r="E112" s="16">
        <v>122720</v>
      </c>
      <c r="F112" s="9">
        <f t="shared" si="1"/>
        <v>100590.16393442624</v>
      </c>
    </row>
    <row r="113" spans="1:6" ht="18.75" x14ac:dyDescent="0.3">
      <c r="A113" s="10">
        <v>104</v>
      </c>
      <c r="B113" s="7" t="s">
        <v>119</v>
      </c>
      <c r="C113" s="14"/>
      <c r="D113" s="8" t="s">
        <v>2</v>
      </c>
      <c r="E113" s="16">
        <v>1800</v>
      </c>
      <c r="F113" s="9">
        <f t="shared" si="1"/>
        <v>1475.4098360655737</v>
      </c>
    </row>
    <row r="114" spans="1:6" ht="18.75" x14ac:dyDescent="0.25">
      <c r="A114" s="21" t="s">
        <v>121</v>
      </c>
      <c r="B114" s="22"/>
      <c r="C114" s="22"/>
      <c r="D114" s="23"/>
      <c r="E114" s="16">
        <f>SUM(E6:E113)</f>
        <v>11506010</v>
      </c>
      <c r="F114" s="16">
        <f>SUM(F6:F113)</f>
        <v>9431155.7377049197</v>
      </c>
    </row>
    <row r="116" spans="1:6" ht="106.5" customHeight="1" x14ac:dyDescent="0.25">
      <c r="A116" s="24" t="s">
        <v>122</v>
      </c>
      <c r="B116" s="24"/>
      <c r="C116" s="24"/>
      <c r="D116" s="24"/>
      <c r="E116" s="24"/>
      <c r="F116" s="24"/>
    </row>
    <row r="117" spans="1:6" ht="25.5" customHeight="1" x14ac:dyDescent="0.25">
      <c r="A117" s="18" t="s">
        <v>123</v>
      </c>
      <c r="B117" s="18"/>
      <c r="C117" s="18"/>
      <c r="D117" s="18"/>
      <c r="E117" s="18"/>
      <c r="F117" s="18"/>
    </row>
    <row r="118" spans="1:6" ht="43.5" customHeight="1" x14ac:dyDescent="0.25">
      <c r="A118" s="18" t="s">
        <v>124</v>
      </c>
      <c r="B118" s="18"/>
      <c r="C118" s="18"/>
      <c r="D118" s="18"/>
      <c r="E118" s="18"/>
      <c r="F118" s="18"/>
    </row>
    <row r="119" spans="1:6" ht="44.25" customHeight="1" x14ac:dyDescent="0.25">
      <c r="A119" s="18" t="s">
        <v>125</v>
      </c>
      <c r="B119" s="18"/>
      <c r="C119" s="18"/>
      <c r="D119" s="18"/>
      <c r="E119" s="18"/>
      <c r="F119" s="18"/>
    </row>
  </sheetData>
  <mergeCells count="15">
    <mergeCell ref="A1:F1"/>
    <mergeCell ref="A114:D114"/>
    <mergeCell ref="A116:F116"/>
    <mergeCell ref="D3:D4"/>
    <mergeCell ref="A3:A4"/>
    <mergeCell ref="B3:B4"/>
    <mergeCell ref="C3:C4"/>
    <mergeCell ref="A2:F2"/>
    <mergeCell ref="E3:E4"/>
    <mergeCell ref="F3:F4"/>
    <mergeCell ref="A119:F119"/>
    <mergeCell ref="A117:F117"/>
    <mergeCell ref="A118:F118"/>
    <mergeCell ref="H8:L8"/>
    <mergeCell ref="H9:L9"/>
  </mergeCells>
  <pageMargins left="0.25" right="0.25" top="0.75" bottom="0.75" header="0.51180555555555496" footer="0.51180555555555496"/>
  <pageSetup paperSize="9" scale="80" firstPageNumber="0" fitToHeight="0"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70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ТЗ</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c:creator>
  <dc:description/>
  <cp:lastModifiedBy>Лубнина Софья Максимовна</cp:lastModifiedBy>
  <cp:revision>8</cp:revision>
  <cp:lastPrinted>2024-01-31T04:31:32Z</cp:lastPrinted>
  <dcterms:created xsi:type="dcterms:W3CDTF">2015-01-29T01:07:55Z</dcterms:created>
  <dcterms:modified xsi:type="dcterms:W3CDTF">2026-08-10T09:19:07Z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