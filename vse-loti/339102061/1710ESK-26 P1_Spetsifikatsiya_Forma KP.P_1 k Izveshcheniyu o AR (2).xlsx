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rv-backup\Exchange\АУП\Департамент обеспечения деятельности\Группа по закупкам\Закупки\ОЗП\2026\Теплосети\ТМЦ\Металлопрокат\"/>
    </mc:Choice>
  </mc:AlternateContent>
  <bookViews>
    <workbookView xWindow="-120" yWindow="-120" windowWidth="29040" windowHeight="15840"/>
  </bookViews>
  <sheets>
    <sheet name="Лист1" sheetId="1" r:id="rId1"/>
  </sheets>
  <definedNames>
    <definedName name="_xlnm._FilterDatabase" localSheetId="0" hidden="1">Лист1!$A$7:$V$58</definedName>
    <definedName name="_xlnm.Print_Area" localSheetId="0">Лист1!$K$2:$V$54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1" l="1"/>
  <c r="J9" i="1" s="1"/>
  <c r="H10" i="1"/>
  <c r="J10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H25" i="1"/>
  <c r="J25" i="1" s="1"/>
  <c r="H26" i="1"/>
  <c r="J26" i="1" s="1"/>
  <c r="H27" i="1"/>
  <c r="J27" i="1" s="1"/>
  <c r="H28" i="1"/>
  <c r="J28" i="1" s="1"/>
  <c r="H29" i="1"/>
  <c r="J29" i="1" s="1"/>
  <c r="H30" i="1"/>
  <c r="J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H37" i="1"/>
  <c r="J37" i="1" s="1"/>
  <c r="H38" i="1"/>
  <c r="J38" i="1" s="1"/>
  <c r="H39" i="1"/>
  <c r="J39" i="1" s="1"/>
  <c r="H40" i="1"/>
  <c r="J40" i="1" s="1"/>
  <c r="H8" i="1"/>
  <c r="J8" i="1" s="1"/>
  <c r="J41" i="1" l="1"/>
  <c r="J42" i="1" s="1"/>
</calcChain>
</file>

<file path=xl/sharedStrings.xml><?xml version="1.0" encoding="utf-8"?>
<sst xmlns="http://schemas.openxmlformats.org/spreadsheetml/2006/main" count="457" uniqueCount="89">
  <si>
    <t xml:space="preserve">№ 
п/п
</t>
  </si>
  <si>
    <t xml:space="preserve">Ед. 
изм.
</t>
  </si>
  <si>
    <t>Кол-во</t>
  </si>
  <si>
    <t>Товарный знак (марка)</t>
  </si>
  <si>
    <t>I. НОМЕНКЛАТУРА И СТОИМОСТЬ ТОВАРА</t>
  </si>
  <si>
    <t>СПЕЦИФИКАЦИЯ НА ПОСТАВКУ ТОВАРОВ</t>
  </si>
  <si>
    <t>II.       МАКСИМАЛЬНЫЙ ЛИМИТ СТОИМОСТИ ТОВАРОВ ПО ДОГОВОРУ</t>
  </si>
  <si>
    <t>Инструкция по составлению коммерческого предложенния</t>
  </si>
  <si>
    <t>Стороны вправе изменить количество всех предусмотренных договором товаров, при изменении потребности Заказчика в товарах на поставку, которых заключен договор, в пределах 50 процентов цены договора, а также при выявлении потребности в дополнительном объеме товаров, не предусмотренных договором, но связанных с товарами, предусмотренными договором.</t>
  </si>
  <si>
    <t>Гарантийный срок</t>
  </si>
  <si>
    <t>Цены за единицу товаров являются твердыми и устанавливаются на весь срок действия договора</t>
  </si>
  <si>
    <t>III.    СРОК ФИКСАЦИИ ЕДИНИЧНЫХ РАСЦЕНОК НА ТОВАРЫ</t>
  </si>
  <si>
    <t>КОММЕРЧЕСКОЕ ПРЕДЛОЖЕНИЕ НА ПОСТАВКУ ТОВАРОВ</t>
  </si>
  <si>
    <t>IV.  МИНИМАЛЬНЫЙ СРОК ОТСРОЧКИ ОПЛАТЫ ПОСТАВЛЕННЫХ ТОВАРОВ</t>
  </si>
  <si>
    <t>V.  СРОК ПОСТАВКИ ТОВАРОВ</t>
  </si>
  <si>
    <t>VI.    ТРЕБОВАНИЯ К ПОРЯДКУ ПОСТАВКИ И РАЗГРУЗКИ ТОВАРОВ</t>
  </si>
  <si>
    <t>VII.     ИНЫЕ УСЛОВИЯ ИСПОЛНЕНИЯ ДОГОВОРА</t>
  </si>
  <si>
    <t>IV.  СРОК ОТСРОЧКИ ОПЛАТЫ ПОСТАВЛЕННЫХ ТОВАРОВ</t>
  </si>
  <si>
    <t>НМЦ ДОГОВОРА, руб. с НДС</t>
  </si>
  <si>
    <t>Страна происхождения</t>
  </si>
  <si>
    <t>Производитель</t>
  </si>
  <si>
    <t>ЦЕНА ДОГОВОРА, руб. с НДС</t>
  </si>
  <si>
    <t>Договор заключается путем включения условий поставки товаров, указанных в Коммерческом предложении, в Проект договора (Приложение №2 к Извещению о закупке), с учетом преддоговорных переговоров</t>
  </si>
  <si>
    <t>кол-во</t>
  </si>
  <si>
    <t>Количество и периоды поставки товаров указаны в графике поставки (пункт 1 настоящей Спецификации).
Поставка товаров осуществляется отдельными партиями, в соответствии с установленными периодами поставки, заявкой на поставку товаров.
Объединение товаров из разных партий, либо увеличение (уменьшение) количества товаров, входящих в каждую партию, допускается исключительно при получении соответствующей заявки на поставку товаров.</t>
  </si>
  <si>
    <t>Кол-во по всем партиям</t>
  </si>
  <si>
    <t>Номенклатура</t>
  </si>
  <si>
    <t>Характеристики товаров</t>
  </si>
  <si>
    <t>• Спецификация на поставку товаров содержит сведения о потребности заказчика в продукции с определенными условиями поставки, и объединена в один файл с формой коммерческого предложения исключительно для удобтсва заполнения такой формы.
После заполнения всех условий Коммеческого предложения на поставку товаров по установленной форме, часть документа со спецификацией на поставку товаров удаляется. 
• Коммерческое предложение составляется на официальном бланке, с присвоением даты и номера, в соответствии с принятыми у лица, составляющего такое предложение, правилами документооборота, подписывается уполномоченным лицом и скрепляется печатью участника закупки
• Коммерческое предложение должно содержать:
- сведения о лице, составившем коммерческое предложение: организационно-правовую форму и фирменное наименование участника закупки, ИНН/КПП/ОГРН, юридический и почтовый адрес, контактный телефон, адрес электронной почты (в случае, если указанные сведения есть в  наличии в форме бланка, то дублировать такие сведения в предложении не нужно)
- все установленные в форме показатели
- информацию о том, что участник закупки не является плательщиком НДС в случае, если участник закупки не является плательщиком НДС
• Условия исполнения договора, указанные в коммерческом предложении, должны соответствовать извещению о закупке
• Предлагаемая стоимость за единицу товара должна включать все расходы, связанные с поставкой товаров, в том числе стоимость тары/упаковки, расходы на погрузку, доставку товаров до места поставки товаров, разгрузку (если предусмотрено спецификацией), выполнение гарантийных обязательств, уплату налогов, сборов, пошлин, иных платежей, которые являются обязательными в силу закона, за исключением налога на добавочную стоимость.
• Предлагаемые характеристики товаров должны быть указаны в объеме не меньшем, чем в Проекте договора (Приложение №2 к извещению о закупке), и соответствовать требованиям извещения о закупке. В случае, если настоящей Спецификацией допускается предложение эквивалента, то харакетристики предлагаемого эквивалента должны быть не хуже, чем в укзанном товарном знаке (предложение эквивалента несоответствующего потребностям заказчика является основанием для оклонения заявки).
• В случае несогласия с графиком поставок, указанным в настоящей Спецификации, коммерческое предложение должно содержать иной график поставок партий (несогласие с сроками поставки является основанием для оклонения заявки).
• Несоответствие любого показателя предложения извещению о закупке, и (или) предложение продукции, несоответствующей потребностям заказчика, и (или) несогласие с проектом договора (Часть II) документации о закупке, является основанием для отклонения такого предложения. 
• В случае несогласия с графиком поставок, указанным в настоящей Спецификации, коммерческое предложение должно содержать иной график поставок партий (несогласие с сроками поставки является основанием для оклонения заявки).</t>
  </si>
  <si>
    <t>Требования</t>
  </si>
  <si>
    <t>Наименование товара</t>
  </si>
  <si>
    <t>Руководитель группы по закупкам                                                                                                                                                                                                Ю.Ю. Трущева</t>
  </si>
  <si>
    <t>согласно требованиям технического задания</t>
  </si>
  <si>
    <t>Заполняется Участником закупки</t>
  </si>
  <si>
    <t>Главный специалист по закупкам                                                                                                                                                                                                  В.С. Молодкина</t>
  </si>
  <si>
    <t>Начальная (максимальная) цена за единицу с учетом всех расходов, 
руб. с НДС</t>
  </si>
  <si>
    <t>Начальная (максимальная) сумма с учетом всех расходов, 
руб. с НДС</t>
  </si>
  <si>
    <t>Цена за единицу с учетом всех расходов, 
руб. с НДС</t>
  </si>
  <si>
    <t>Сумма с учетом всех расходов, руб. с НДС</t>
  </si>
  <si>
    <t>30 рабочих  дней</t>
  </si>
  <si>
    <t>Код в соответствии с
ОКПД 2</t>
  </si>
  <si>
    <t xml:space="preserve">Вид требования на основании Постановления Правительства РФ от 23.12.2024 №1875 </t>
  </si>
  <si>
    <t>в том числе НДС 22%</t>
  </si>
  <si>
    <t>Арматурная сталь 20А-III 25ГС ГОСТ 5781-82</t>
  </si>
  <si>
    <t>Лист 10мм ст 3сп</t>
  </si>
  <si>
    <t>ЛИСТ 2 ММ СТ 3СП</t>
  </si>
  <si>
    <t>ЛИСТ 20ММ СТ 3СП</t>
  </si>
  <si>
    <t>ЛИСТ 3 ММ СТ 3СП</t>
  </si>
  <si>
    <t>Лист ПВ 406х1000х3000 Ст 3сп</t>
  </si>
  <si>
    <t>Труба Ф 108х5 ГОСТ 10704-91 Ст.20</t>
  </si>
  <si>
    <t>ТРУБА Ф 159х5 ГОСТ 10704-91 Ст.20</t>
  </si>
  <si>
    <t>ТРУБА Ф 159х6 ГОСТ 10704-91 СТ.20</t>
  </si>
  <si>
    <t>ТРУБА Ф 219Х6 ГОСТ 10704-91 СТ.20</t>
  </si>
  <si>
    <t>Труба Ф 219х6 ГОСТ 8732-78 Ст.20</t>
  </si>
  <si>
    <t>Труба Ф 273х7 ГОСТ 10704-91 Ст.20</t>
  </si>
  <si>
    <t>Труба Ф 273х7 ГОСТ 8732-78 Ст.20</t>
  </si>
  <si>
    <t>ТРУБА Ф 325х8 ГОСТ 10704-91 Ст.20</t>
  </si>
  <si>
    <t>ТРУБА Ф 426Х9 ГОСТ 10704-91 Ст.20</t>
  </si>
  <si>
    <t>Труба Ф 426х9 ГОСТ 8732-78 Ст.20</t>
  </si>
  <si>
    <t>Труба Ф 530х8 ГОСТ 20295-85 17Г1С</t>
  </si>
  <si>
    <t>Труба Ф 530х8 ГОСТ 20295-85 17Г1С-У</t>
  </si>
  <si>
    <t>Труба Ф 57х4 ГОСТ 8732-78 Ст.20</t>
  </si>
  <si>
    <t>ТРУБА Ф 630Х10  20295-85  17Г1С</t>
  </si>
  <si>
    <t>Труба Ф 76х4 ГОСТ 8732-78 Ст.20</t>
  </si>
  <si>
    <t>ТРУБА Ф 820Х10  20295-85  17Г1С</t>
  </si>
  <si>
    <t>Труба Ф 89х4 ГОСТ 8732-78 Ст.20</t>
  </si>
  <si>
    <t>ТРУБА Ф 89Х6  8732-78  20</t>
  </si>
  <si>
    <t>Уголок 40х40х4-В ГОСТ 8510-86(8509-93)/ Ст3сп ГОСТ 535-2005</t>
  </si>
  <si>
    <t>Уголок 50х50х5-В ГОСТ 8510-86(8509-93)/ Ст3сп ГОСТ 535-2005</t>
  </si>
  <si>
    <t>Уголок 75х75х6-В С245 ГОСТ 27772-2015 ГОСТ 8509-93</t>
  </si>
  <si>
    <t>ШВЕЛЛЕР 10 СТ  3СП</t>
  </si>
  <si>
    <t>Швеллер 14П-В ГОСТ 8240-97 Ст3сп ГОСТ 535-2005</t>
  </si>
  <si>
    <t>Швеллер 16П-В ГОСТ 8240-97 Ст3сп ГОСТ 535-2005</t>
  </si>
  <si>
    <t>Швеллер 20П-В ГОСТ 8240-97 Ст3сп ГОСТ 535-2005</t>
  </si>
  <si>
    <t>Швеллер 22П-В ГОСТ 8240-97 Ст3сп ГОСТ 535-2005</t>
  </si>
  <si>
    <t>24.10.62.210</t>
  </si>
  <si>
    <t>преимущество</t>
  </si>
  <si>
    <t xml:space="preserve">24.10.31.000 </t>
  </si>
  <si>
    <t>24.20.13.130</t>
  </si>
  <si>
    <t xml:space="preserve">24.20.13.110 </t>
  </si>
  <si>
    <t>24.10.71.110</t>
  </si>
  <si>
    <t>24.10.71.130</t>
  </si>
  <si>
    <t>ЛИСТ 5ММ ПРОСЕЧНО-ВЫТЯЖНОЙ 
Ст3сп  ГОСТ19903</t>
  </si>
  <si>
    <t>тн</t>
  </si>
  <si>
    <t>Номер реестровой записи в каталоге промышленной продукции
 ГИСП (при наличии)</t>
  </si>
  <si>
    <t>Поставка осуществляется автомобильным транспортом Поставщика по адресу: г. Нижний Новгород, пр. Ленина, д.88
Приёмка-передача Товара осуществляется в рабочие дни с 9.00 до 16.00 час (обед с 12.00 до 13.00 час) по московскому времени
Стоимость тары/упаковки, расходы на погрузку, доставку товаров до места поставки товаров, выполнение гарантийных обязательств, уплату налогов, сборов, пошлин, иных платежей, которые являются обязательными в силу закона, включены в цену товара.
Стоимость разгрузки Товара на складе Покупателя включена в цену договора, и осуществляется силами Поставщика: Нет</t>
  </si>
  <si>
    <t>График поставки партий в 2027 году</t>
  </si>
  <si>
    <t>по заявкам</t>
  </si>
  <si>
    <t xml:space="preserve"> Приложение №1 к Извещению о проведении анализа рынка № 1710ЭСК-26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</si>
</sst>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"/>
    <numFmt numFmtId="165" formatCode="#,##0.00\ _₽"/>
  </numFmts>
  <fonts count="10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8"/>
      <name val="Arial"/>
      <family val="2"/>
      <charset val="204"/>
    </font>
    <font>
      <b/>
      <sz val="1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u/>
      <sz val="10"/>
      <color theme="1"/>
      <name val="Times New Roman"/>
      <family val="1"/>
      <charset val="204"/>
    </font>
    <font>
      <i/>
      <sz val="10"/>
      <color rgb="FFFF0000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7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6" fillId="0" borderId="0" xfId="0" applyFont="1"/>
    <xf numFmtId="165" fontId="6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165" fontId="6" fillId="0" borderId="34" xfId="0" applyNumberFormat="1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165" fontId="6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165" fontId="4" fillId="0" borderId="39" xfId="0" applyNumberFormat="1" applyFont="1" applyBorder="1" applyAlignment="1">
      <alignment horizontal="center" vertical="center"/>
    </xf>
    <xf numFmtId="165" fontId="4" fillId="0" borderId="40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 wrapText="1"/>
    </xf>
    <xf numFmtId="1" fontId="6" fillId="0" borderId="35" xfId="0" applyNumberFormat="1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164" fontId="6" fillId="0" borderId="35" xfId="0" applyNumberFormat="1" applyFont="1" applyBorder="1" applyAlignment="1">
      <alignment horizontal="center" vertical="center" wrapText="1"/>
    </xf>
    <xf numFmtId="165" fontId="6" fillId="0" borderId="35" xfId="0" applyNumberFormat="1" applyFont="1" applyBorder="1" applyAlignment="1">
      <alignment horizontal="center" vertical="center" wrapText="1"/>
    </xf>
    <xf numFmtId="0" fontId="6" fillId="0" borderId="44" xfId="0" applyFont="1" applyBorder="1" applyAlignment="1">
      <alignment horizontal="center" vertical="center" wrapText="1"/>
    </xf>
    <xf numFmtId="0" fontId="8" fillId="0" borderId="35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165" fontId="6" fillId="0" borderId="27" xfId="0" applyNumberFormat="1" applyFont="1" applyBorder="1" applyAlignment="1">
      <alignment horizontal="center" vertical="center" wrapText="1"/>
    </xf>
    <xf numFmtId="165" fontId="6" fillId="0" borderId="2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30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right" vertical="center" wrapText="1"/>
    </xf>
    <xf numFmtId="0" fontId="4" fillId="0" borderId="9" xfId="0" applyFont="1" applyBorder="1" applyAlignment="1">
      <alignment horizontal="right" vertical="center" wrapText="1"/>
    </xf>
    <xf numFmtId="0" fontId="4" fillId="0" borderId="19" xfId="0" applyFont="1" applyBorder="1" applyAlignment="1">
      <alignment horizontal="right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165" fontId="6" fillId="0" borderId="20" xfId="0" applyNumberFormat="1" applyFont="1" applyBorder="1" applyAlignment="1">
      <alignment horizontal="center" vertical="center" wrapText="1"/>
    </xf>
    <xf numFmtId="164" fontId="6" fillId="0" borderId="20" xfId="0" applyNumberFormat="1" applyFont="1" applyBorder="1" applyAlignment="1">
      <alignment horizontal="center" vertical="center" wrapText="1"/>
    </xf>
    <xf numFmtId="0" fontId="6" fillId="0" borderId="43" xfId="0" applyFont="1" applyBorder="1" applyAlignment="1">
      <alignment horizontal="center" vertical="center" wrapText="1"/>
    </xf>
    <xf numFmtId="165" fontId="6" fillId="0" borderId="28" xfId="0" applyNumberFormat="1" applyFont="1" applyBorder="1" applyAlignment="1">
      <alignment horizontal="center" vertical="center" wrapText="1"/>
    </xf>
    <xf numFmtId="165" fontId="6" fillId="0" borderId="26" xfId="0" applyNumberFormat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164" fontId="6" fillId="0" borderId="36" xfId="0" applyNumberFormat="1" applyFont="1" applyBorder="1" applyAlignment="1">
      <alignment horizontal="center" vertical="center" wrapText="1"/>
    </xf>
    <xf numFmtId="164" fontId="6" fillId="0" borderId="37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3"/>
  <sheetViews>
    <sheetView tabSelected="1" zoomScale="85" zoomScaleNormal="85" workbookViewId="0">
      <selection activeCell="H13" sqref="H13"/>
    </sheetView>
  </sheetViews>
  <sheetFormatPr defaultRowHeight="15" x14ac:dyDescent="0.25"/>
  <cols>
    <col min="1" max="1" width="6.140625" style="1" customWidth="1"/>
    <col min="2" max="2" width="38.42578125" style="1" customWidth="1"/>
    <col min="3" max="3" width="15.140625" style="1" customWidth="1"/>
    <col min="4" max="4" width="19.85546875" style="1" customWidth="1"/>
    <col min="5" max="5" width="20.85546875" style="1" customWidth="1"/>
    <col min="6" max="6" width="5.7109375" style="1" customWidth="1"/>
    <col min="7" max="7" width="16.28515625" style="1" customWidth="1"/>
    <col min="8" max="8" width="13.7109375" style="2" customWidth="1"/>
    <col min="9" max="9" width="14" style="2" customWidth="1"/>
    <col min="10" max="10" width="13.7109375" style="4" customWidth="1"/>
    <col min="11" max="11" width="4" style="1" customWidth="1"/>
    <col min="12" max="12" width="20.85546875" style="1" customWidth="1"/>
    <col min="13" max="13" width="19.7109375" style="1" bestFit="1" customWidth="1"/>
    <col min="14" max="14" width="18.85546875" style="1" customWidth="1"/>
    <col min="15" max="15" width="20.85546875" style="1" customWidth="1"/>
    <col min="16" max="17" width="18.42578125" style="1" customWidth="1"/>
    <col min="18" max="18" width="20.42578125" style="1" customWidth="1"/>
    <col min="19" max="19" width="5.28515625" style="1" customWidth="1"/>
    <col min="20" max="20" width="7" style="1" customWidth="1"/>
    <col min="21" max="21" width="12.5703125" style="4" customWidth="1"/>
    <col min="22" max="22" width="12.7109375" style="5" customWidth="1"/>
  </cols>
  <sheetData>
    <row r="1" spans="1:22" s="3" customFormat="1" ht="26.25" customHeight="1" thickBot="1" x14ac:dyDescent="0.25">
      <c r="A1" s="48" t="s">
        <v>88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2" s="3" customFormat="1" ht="22.5" customHeight="1" x14ac:dyDescent="0.2">
      <c r="A2" s="49" t="s">
        <v>5</v>
      </c>
      <c r="B2" s="50"/>
      <c r="C2" s="50"/>
      <c r="D2" s="50"/>
      <c r="E2" s="50"/>
      <c r="F2" s="50"/>
      <c r="G2" s="50"/>
      <c r="H2" s="51"/>
      <c r="I2" s="51"/>
      <c r="J2" s="51"/>
      <c r="K2" s="55" t="s">
        <v>12</v>
      </c>
      <c r="L2" s="56"/>
      <c r="M2" s="56"/>
      <c r="N2" s="56"/>
      <c r="O2" s="56"/>
      <c r="P2" s="56"/>
      <c r="Q2" s="56"/>
      <c r="R2" s="56"/>
      <c r="S2" s="56"/>
      <c r="T2" s="56"/>
      <c r="U2" s="56"/>
      <c r="V2" s="57"/>
    </row>
    <row r="3" spans="1:22" s="3" customFormat="1" ht="24.75" customHeight="1" thickBot="1" x14ac:dyDescent="0.25">
      <c r="A3" s="52" t="s">
        <v>4</v>
      </c>
      <c r="B3" s="53"/>
      <c r="C3" s="53"/>
      <c r="D3" s="53"/>
      <c r="E3" s="53"/>
      <c r="F3" s="53"/>
      <c r="G3" s="53"/>
      <c r="H3" s="54"/>
      <c r="I3" s="54"/>
      <c r="J3" s="54"/>
      <c r="K3" s="58" t="s">
        <v>4</v>
      </c>
      <c r="L3" s="59"/>
      <c r="M3" s="59"/>
      <c r="N3" s="59"/>
      <c r="O3" s="59"/>
      <c r="P3" s="59"/>
      <c r="Q3" s="59"/>
      <c r="R3" s="59"/>
      <c r="S3" s="59"/>
      <c r="T3" s="59"/>
      <c r="U3" s="59"/>
      <c r="V3" s="60"/>
    </row>
    <row r="4" spans="1:22" s="3" customFormat="1" ht="15.75" customHeight="1" thickBot="1" x14ac:dyDescent="0.25">
      <c r="A4" s="27" t="s">
        <v>0</v>
      </c>
      <c r="B4" s="27" t="s">
        <v>30</v>
      </c>
      <c r="C4" s="27" t="s">
        <v>40</v>
      </c>
      <c r="D4" s="27" t="s">
        <v>41</v>
      </c>
      <c r="E4" s="27" t="s">
        <v>29</v>
      </c>
      <c r="F4" s="27" t="s">
        <v>1</v>
      </c>
      <c r="G4" s="75" t="s">
        <v>86</v>
      </c>
      <c r="H4" s="68" t="s">
        <v>25</v>
      </c>
      <c r="I4" s="67" t="s">
        <v>35</v>
      </c>
      <c r="J4" s="67" t="s">
        <v>36</v>
      </c>
      <c r="K4" s="25" t="s">
        <v>0</v>
      </c>
      <c r="L4" s="27" t="s">
        <v>26</v>
      </c>
      <c r="M4" s="29" t="s">
        <v>3</v>
      </c>
      <c r="N4" s="29" t="s">
        <v>27</v>
      </c>
      <c r="O4" s="29" t="s">
        <v>19</v>
      </c>
      <c r="P4" s="29" t="s">
        <v>20</v>
      </c>
      <c r="Q4" s="29" t="s">
        <v>84</v>
      </c>
      <c r="R4" s="29" t="s">
        <v>9</v>
      </c>
      <c r="S4" s="29" t="s">
        <v>1</v>
      </c>
      <c r="T4" s="29" t="s">
        <v>2</v>
      </c>
      <c r="U4" s="31" t="s">
        <v>37</v>
      </c>
      <c r="V4" s="70" t="s">
        <v>38</v>
      </c>
    </row>
    <row r="5" spans="1:22" s="3" customFormat="1" ht="22.5" customHeight="1" thickBot="1" x14ac:dyDescent="0.25">
      <c r="A5" s="27"/>
      <c r="B5" s="27"/>
      <c r="C5" s="27"/>
      <c r="D5" s="27"/>
      <c r="E5" s="27"/>
      <c r="F5" s="27"/>
      <c r="G5" s="76"/>
      <c r="H5" s="68"/>
      <c r="I5" s="67"/>
      <c r="J5" s="67"/>
      <c r="K5" s="26"/>
      <c r="L5" s="27"/>
      <c r="M5" s="30"/>
      <c r="N5" s="30"/>
      <c r="O5" s="30"/>
      <c r="P5" s="30"/>
      <c r="Q5" s="30"/>
      <c r="R5" s="30"/>
      <c r="S5" s="30"/>
      <c r="T5" s="30"/>
      <c r="U5" s="32"/>
      <c r="V5" s="71"/>
    </row>
    <row r="6" spans="1:22" s="3" customFormat="1" ht="20.25" customHeight="1" thickBot="1" x14ac:dyDescent="0.25">
      <c r="A6" s="27"/>
      <c r="B6" s="27"/>
      <c r="C6" s="27"/>
      <c r="D6" s="27"/>
      <c r="E6" s="27"/>
      <c r="F6" s="27"/>
      <c r="G6" s="11" t="s">
        <v>87</v>
      </c>
      <c r="H6" s="68"/>
      <c r="I6" s="67"/>
      <c r="J6" s="67"/>
      <c r="K6" s="26"/>
      <c r="L6" s="27"/>
      <c r="M6" s="30"/>
      <c r="N6" s="30"/>
      <c r="O6" s="30"/>
      <c r="P6" s="30"/>
      <c r="Q6" s="30"/>
      <c r="R6" s="30"/>
      <c r="S6" s="30"/>
      <c r="T6" s="30"/>
      <c r="U6" s="32"/>
      <c r="V6" s="71"/>
    </row>
    <row r="7" spans="1:22" s="3" customFormat="1" ht="21.75" customHeight="1" thickBot="1" x14ac:dyDescent="0.25">
      <c r="A7" s="27"/>
      <c r="B7" s="27"/>
      <c r="C7" s="27"/>
      <c r="D7" s="27"/>
      <c r="E7" s="27"/>
      <c r="F7" s="27"/>
      <c r="G7" s="11" t="s">
        <v>23</v>
      </c>
      <c r="H7" s="68"/>
      <c r="I7" s="67"/>
      <c r="J7" s="67"/>
      <c r="K7" s="26"/>
      <c r="L7" s="28"/>
      <c r="M7" s="30"/>
      <c r="N7" s="30"/>
      <c r="O7" s="30"/>
      <c r="P7" s="30"/>
      <c r="Q7" s="69"/>
      <c r="R7" s="30"/>
      <c r="S7" s="30"/>
      <c r="T7" s="30"/>
      <c r="U7" s="32"/>
      <c r="V7" s="71"/>
    </row>
    <row r="8" spans="1:22" s="3" customFormat="1" ht="25.5" x14ac:dyDescent="0.2">
      <c r="A8" s="10">
        <v>1</v>
      </c>
      <c r="B8" s="10" t="s">
        <v>43</v>
      </c>
      <c r="C8" s="10" t="s">
        <v>75</v>
      </c>
      <c r="D8" s="10" t="s">
        <v>76</v>
      </c>
      <c r="E8" s="7" t="s">
        <v>32</v>
      </c>
      <c r="F8" s="7" t="s">
        <v>83</v>
      </c>
      <c r="G8" s="7">
        <v>0.11899999999999999</v>
      </c>
      <c r="H8" s="18">
        <f>G8</f>
        <v>0.11899999999999999</v>
      </c>
      <c r="I8" s="8">
        <v>176710.5</v>
      </c>
      <c r="J8" s="9">
        <f>H8*I8</f>
        <v>21028.549499999997</v>
      </c>
      <c r="K8" s="16"/>
      <c r="L8" s="13" t="s">
        <v>33</v>
      </c>
      <c r="M8" s="13" t="s">
        <v>33</v>
      </c>
      <c r="N8" s="13" t="s">
        <v>33</v>
      </c>
      <c r="O8" s="13" t="s">
        <v>33</v>
      </c>
      <c r="P8" s="13" t="s">
        <v>33</v>
      </c>
      <c r="Q8" s="13" t="s">
        <v>33</v>
      </c>
      <c r="R8" s="13" t="s">
        <v>33</v>
      </c>
      <c r="S8" s="7"/>
      <c r="T8" s="7"/>
      <c r="U8" s="8"/>
      <c r="V8" s="9"/>
    </row>
    <row r="9" spans="1:22" s="3" customFormat="1" ht="25.5" x14ac:dyDescent="0.2">
      <c r="A9" s="19">
        <v>2</v>
      </c>
      <c r="B9" s="19" t="s">
        <v>44</v>
      </c>
      <c r="C9" s="19" t="s">
        <v>77</v>
      </c>
      <c r="D9" s="19" t="s">
        <v>76</v>
      </c>
      <c r="E9" s="20" t="s">
        <v>32</v>
      </c>
      <c r="F9" s="20" t="s">
        <v>83</v>
      </c>
      <c r="G9" s="20">
        <v>0.36299999999999999</v>
      </c>
      <c r="H9" s="21">
        <f t="shared" ref="H9:H40" si="0">G9</f>
        <v>0.36299999999999999</v>
      </c>
      <c r="I9" s="22">
        <v>153622.20000000001</v>
      </c>
      <c r="J9" s="12">
        <f t="shared" ref="J9:J40" si="1">H9*I9</f>
        <v>55764.8586</v>
      </c>
      <c r="K9" s="23"/>
      <c r="L9" s="24" t="s">
        <v>33</v>
      </c>
      <c r="M9" s="24" t="s">
        <v>33</v>
      </c>
      <c r="N9" s="24" t="s">
        <v>33</v>
      </c>
      <c r="O9" s="24" t="s">
        <v>33</v>
      </c>
      <c r="P9" s="24" t="s">
        <v>33</v>
      </c>
      <c r="Q9" s="24" t="s">
        <v>33</v>
      </c>
      <c r="R9" s="24" t="s">
        <v>33</v>
      </c>
      <c r="S9" s="20"/>
      <c r="T9" s="20"/>
      <c r="U9" s="22"/>
      <c r="V9" s="12"/>
    </row>
    <row r="10" spans="1:22" s="3" customFormat="1" ht="25.5" x14ac:dyDescent="0.2">
      <c r="A10" s="19">
        <v>3</v>
      </c>
      <c r="B10" s="19" t="s">
        <v>45</v>
      </c>
      <c r="C10" s="19" t="s">
        <v>77</v>
      </c>
      <c r="D10" s="19" t="s">
        <v>76</v>
      </c>
      <c r="E10" s="20" t="s">
        <v>32</v>
      </c>
      <c r="F10" s="20" t="s">
        <v>83</v>
      </c>
      <c r="G10" s="20">
        <v>0.51</v>
      </c>
      <c r="H10" s="21">
        <f t="shared" si="0"/>
        <v>0.51</v>
      </c>
      <c r="I10" s="22">
        <v>139822.44</v>
      </c>
      <c r="J10" s="12">
        <f t="shared" si="1"/>
        <v>71309.444400000008</v>
      </c>
      <c r="K10" s="23"/>
      <c r="L10" s="24" t="s">
        <v>33</v>
      </c>
      <c r="M10" s="24" t="s">
        <v>33</v>
      </c>
      <c r="N10" s="24" t="s">
        <v>33</v>
      </c>
      <c r="O10" s="24" t="s">
        <v>33</v>
      </c>
      <c r="P10" s="24" t="s">
        <v>33</v>
      </c>
      <c r="Q10" s="24" t="s">
        <v>33</v>
      </c>
      <c r="R10" s="24" t="s">
        <v>33</v>
      </c>
      <c r="S10" s="20"/>
      <c r="T10" s="20"/>
      <c r="U10" s="22"/>
      <c r="V10" s="12"/>
    </row>
    <row r="11" spans="1:22" s="3" customFormat="1" ht="25.5" x14ac:dyDescent="0.2">
      <c r="A11" s="19">
        <v>4</v>
      </c>
      <c r="B11" s="19" t="s">
        <v>46</v>
      </c>
      <c r="C11" s="19" t="s">
        <v>77</v>
      </c>
      <c r="D11" s="19" t="s">
        <v>76</v>
      </c>
      <c r="E11" s="20" t="s">
        <v>32</v>
      </c>
      <c r="F11" s="20" t="s">
        <v>83</v>
      </c>
      <c r="G11" s="20">
        <v>0.72</v>
      </c>
      <c r="H11" s="21">
        <f t="shared" si="0"/>
        <v>0.72</v>
      </c>
      <c r="I11" s="22">
        <v>156225.15</v>
      </c>
      <c r="J11" s="12">
        <f t="shared" si="1"/>
        <v>112482.10799999999</v>
      </c>
      <c r="K11" s="23"/>
      <c r="L11" s="24" t="s">
        <v>33</v>
      </c>
      <c r="M11" s="24" t="s">
        <v>33</v>
      </c>
      <c r="N11" s="24" t="s">
        <v>33</v>
      </c>
      <c r="O11" s="24" t="s">
        <v>33</v>
      </c>
      <c r="P11" s="24" t="s">
        <v>33</v>
      </c>
      <c r="Q11" s="24" t="s">
        <v>33</v>
      </c>
      <c r="R11" s="24" t="s">
        <v>33</v>
      </c>
      <c r="S11" s="20"/>
      <c r="T11" s="20"/>
      <c r="U11" s="22"/>
      <c r="V11" s="12"/>
    </row>
    <row r="12" spans="1:22" s="3" customFormat="1" ht="25.5" x14ac:dyDescent="0.2">
      <c r="A12" s="19">
        <v>5</v>
      </c>
      <c r="B12" s="19" t="s">
        <v>47</v>
      </c>
      <c r="C12" s="19" t="s">
        <v>77</v>
      </c>
      <c r="D12" s="19" t="s">
        <v>76</v>
      </c>
      <c r="E12" s="20" t="s">
        <v>32</v>
      </c>
      <c r="F12" s="20" t="s">
        <v>83</v>
      </c>
      <c r="G12" s="20">
        <v>0.76</v>
      </c>
      <c r="H12" s="21">
        <f t="shared" si="0"/>
        <v>0.76</v>
      </c>
      <c r="I12" s="22">
        <v>138954.79</v>
      </c>
      <c r="J12" s="12">
        <f t="shared" si="1"/>
        <v>105605.6404</v>
      </c>
      <c r="K12" s="23"/>
      <c r="L12" s="24" t="s">
        <v>33</v>
      </c>
      <c r="M12" s="24" t="s">
        <v>33</v>
      </c>
      <c r="N12" s="24" t="s">
        <v>33</v>
      </c>
      <c r="O12" s="24" t="s">
        <v>33</v>
      </c>
      <c r="P12" s="24" t="s">
        <v>33</v>
      </c>
      <c r="Q12" s="24" t="s">
        <v>33</v>
      </c>
      <c r="R12" s="24" t="s">
        <v>33</v>
      </c>
      <c r="S12" s="20"/>
      <c r="T12" s="20"/>
      <c r="U12" s="22"/>
      <c r="V12" s="12"/>
    </row>
    <row r="13" spans="1:22" s="3" customFormat="1" ht="25.5" x14ac:dyDescent="0.2">
      <c r="A13" s="19">
        <v>6</v>
      </c>
      <c r="B13" s="19" t="s">
        <v>82</v>
      </c>
      <c r="C13" s="19" t="s">
        <v>77</v>
      </c>
      <c r="D13" s="19" t="s">
        <v>76</v>
      </c>
      <c r="E13" s="20" t="s">
        <v>32</v>
      </c>
      <c r="F13" s="20" t="s">
        <v>83</v>
      </c>
      <c r="G13" s="20">
        <v>0.188</v>
      </c>
      <c r="H13" s="21">
        <f t="shared" si="0"/>
        <v>0.188</v>
      </c>
      <c r="I13" s="22">
        <v>168331.63</v>
      </c>
      <c r="J13" s="12">
        <f t="shared" si="1"/>
        <v>31646.346440000001</v>
      </c>
      <c r="K13" s="23"/>
      <c r="L13" s="24" t="s">
        <v>33</v>
      </c>
      <c r="M13" s="24" t="s">
        <v>33</v>
      </c>
      <c r="N13" s="24" t="s">
        <v>33</v>
      </c>
      <c r="O13" s="24" t="s">
        <v>33</v>
      </c>
      <c r="P13" s="24" t="s">
        <v>33</v>
      </c>
      <c r="Q13" s="24" t="s">
        <v>33</v>
      </c>
      <c r="R13" s="24" t="s">
        <v>33</v>
      </c>
      <c r="S13" s="20"/>
      <c r="T13" s="20"/>
      <c r="U13" s="22"/>
      <c r="V13" s="12"/>
    </row>
    <row r="14" spans="1:22" s="3" customFormat="1" ht="25.5" x14ac:dyDescent="0.2">
      <c r="A14" s="19">
        <v>7</v>
      </c>
      <c r="B14" s="19" t="s">
        <v>48</v>
      </c>
      <c r="C14" s="19" t="s">
        <v>77</v>
      </c>
      <c r="D14" s="19" t="s">
        <v>76</v>
      </c>
      <c r="E14" s="20" t="s">
        <v>32</v>
      </c>
      <c r="F14" s="20" t="s">
        <v>83</v>
      </c>
      <c r="G14" s="20">
        <v>0.18</v>
      </c>
      <c r="H14" s="21">
        <f t="shared" si="0"/>
        <v>0.18</v>
      </c>
      <c r="I14" s="22">
        <v>161307.79</v>
      </c>
      <c r="J14" s="12">
        <f t="shared" si="1"/>
        <v>29035.4022</v>
      </c>
      <c r="K14" s="23"/>
      <c r="L14" s="24" t="s">
        <v>33</v>
      </c>
      <c r="M14" s="24" t="s">
        <v>33</v>
      </c>
      <c r="N14" s="24" t="s">
        <v>33</v>
      </c>
      <c r="O14" s="24" t="s">
        <v>33</v>
      </c>
      <c r="P14" s="24" t="s">
        <v>33</v>
      </c>
      <c r="Q14" s="24" t="s">
        <v>33</v>
      </c>
      <c r="R14" s="24" t="s">
        <v>33</v>
      </c>
      <c r="S14" s="20"/>
      <c r="T14" s="20"/>
      <c r="U14" s="22"/>
      <c r="V14" s="12"/>
    </row>
    <row r="15" spans="1:22" s="3" customFormat="1" ht="25.5" x14ac:dyDescent="0.2">
      <c r="A15" s="19">
        <v>8</v>
      </c>
      <c r="B15" s="19" t="s">
        <v>49</v>
      </c>
      <c r="C15" s="19" t="s">
        <v>78</v>
      </c>
      <c r="D15" s="19" t="s">
        <v>76</v>
      </c>
      <c r="E15" s="20" t="s">
        <v>32</v>
      </c>
      <c r="F15" s="20" t="s">
        <v>83</v>
      </c>
      <c r="G15" s="20">
        <v>0.30399999999999999</v>
      </c>
      <c r="H15" s="21">
        <f t="shared" si="0"/>
        <v>0.30399999999999999</v>
      </c>
      <c r="I15" s="22">
        <v>144215.32</v>
      </c>
      <c r="J15" s="12">
        <f t="shared" si="1"/>
        <v>43841.457280000002</v>
      </c>
      <c r="K15" s="23"/>
      <c r="L15" s="24" t="s">
        <v>33</v>
      </c>
      <c r="M15" s="24" t="s">
        <v>33</v>
      </c>
      <c r="N15" s="24" t="s">
        <v>33</v>
      </c>
      <c r="O15" s="24" t="s">
        <v>33</v>
      </c>
      <c r="P15" s="24" t="s">
        <v>33</v>
      </c>
      <c r="Q15" s="24" t="s">
        <v>33</v>
      </c>
      <c r="R15" s="24" t="s">
        <v>33</v>
      </c>
      <c r="S15" s="20"/>
      <c r="T15" s="20"/>
      <c r="U15" s="22"/>
      <c r="V15" s="12"/>
    </row>
    <row r="16" spans="1:22" s="3" customFormat="1" ht="25.5" x14ac:dyDescent="0.2">
      <c r="A16" s="19">
        <v>9</v>
      </c>
      <c r="B16" s="19" t="s">
        <v>50</v>
      </c>
      <c r="C16" s="19" t="s">
        <v>78</v>
      </c>
      <c r="D16" s="19" t="s">
        <v>76</v>
      </c>
      <c r="E16" s="20" t="s">
        <v>32</v>
      </c>
      <c r="F16" s="20" t="s">
        <v>83</v>
      </c>
      <c r="G16" s="20">
        <v>0.114</v>
      </c>
      <c r="H16" s="21">
        <f t="shared" si="0"/>
        <v>0.114</v>
      </c>
      <c r="I16" s="22">
        <v>148636.21</v>
      </c>
      <c r="J16" s="12">
        <f t="shared" si="1"/>
        <v>16944.52794</v>
      </c>
      <c r="K16" s="23"/>
      <c r="L16" s="24" t="s">
        <v>33</v>
      </c>
      <c r="M16" s="24" t="s">
        <v>33</v>
      </c>
      <c r="N16" s="24" t="s">
        <v>33</v>
      </c>
      <c r="O16" s="24" t="s">
        <v>33</v>
      </c>
      <c r="P16" s="24" t="s">
        <v>33</v>
      </c>
      <c r="Q16" s="24" t="s">
        <v>33</v>
      </c>
      <c r="R16" s="24" t="s">
        <v>33</v>
      </c>
      <c r="S16" s="20"/>
      <c r="T16" s="20"/>
      <c r="U16" s="22"/>
      <c r="V16" s="12"/>
    </row>
    <row r="17" spans="1:22" s="3" customFormat="1" ht="25.5" x14ac:dyDescent="0.2">
      <c r="A17" s="19">
        <v>10</v>
      </c>
      <c r="B17" s="19" t="s">
        <v>51</v>
      </c>
      <c r="C17" s="19" t="s">
        <v>78</v>
      </c>
      <c r="D17" s="19" t="s">
        <v>76</v>
      </c>
      <c r="E17" s="20" t="s">
        <v>32</v>
      </c>
      <c r="F17" s="20" t="s">
        <v>83</v>
      </c>
      <c r="G17" s="20">
        <v>0.13600000000000001</v>
      </c>
      <c r="H17" s="21">
        <f t="shared" si="0"/>
        <v>0.13600000000000001</v>
      </c>
      <c r="I17" s="22">
        <v>144504.55000000002</v>
      </c>
      <c r="J17" s="12">
        <f t="shared" si="1"/>
        <v>19652.618800000004</v>
      </c>
      <c r="K17" s="23"/>
      <c r="L17" s="24" t="s">
        <v>33</v>
      </c>
      <c r="M17" s="24" t="s">
        <v>33</v>
      </c>
      <c r="N17" s="24" t="s">
        <v>33</v>
      </c>
      <c r="O17" s="24" t="s">
        <v>33</v>
      </c>
      <c r="P17" s="24" t="s">
        <v>33</v>
      </c>
      <c r="Q17" s="24" t="s">
        <v>33</v>
      </c>
      <c r="R17" s="24" t="s">
        <v>33</v>
      </c>
      <c r="S17" s="20"/>
      <c r="T17" s="20"/>
      <c r="U17" s="22"/>
      <c r="V17" s="12"/>
    </row>
    <row r="18" spans="1:22" s="3" customFormat="1" ht="25.5" x14ac:dyDescent="0.2">
      <c r="A18" s="19">
        <v>11</v>
      </c>
      <c r="B18" s="19" t="s">
        <v>52</v>
      </c>
      <c r="C18" s="19" t="s">
        <v>78</v>
      </c>
      <c r="D18" s="19" t="s">
        <v>76</v>
      </c>
      <c r="E18" s="20" t="s">
        <v>32</v>
      </c>
      <c r="F18" s="20" t="s">
        <v>83</v>
      </c>
      <c r="G18" s="20">
        <v>0.186</v>
      </c>
      <c r="H18" s="21">
        <f t="shared" si="0"/>
        <v>0.186</v>
      </c>
      <c r="I18" s="22">
        <v>171306.43</v>
      </c>
      <c r="J18" s="12">
        <f t="shared" si="1"/>
        <v>31862.99598</v>
      </c>
      <c r="K18" s="23"/>
      <c r="L18" s="24" t="s">
        <v>33</v>
      </c>
      <c r="M18" s="24" t="s">
        <v>33</v>
      </c>
      <c r="N18" s="24" t="s">
        <v>33</v>
      </c>
      <c r="O18" s="24" t="s">
        <v>33</v>
      </c>
      <c r="P18" s="24" t="s">
        <v>33</v>
      </c>
      <c r="Q18" s="24" t="s">
        <v>33</v>
      </c>
      <c r="R18" s="24" t="s">
        <v>33</v>
      </c>
      <c r="S18" s="20"/>
      <c r="T18" s="20"/>
      <c r="U18" s="22"/>
      <c r="V18" s="12"/>
    </row>
    <row r="19" spans="1:22" s="3" customFormat="1" ht="25.5" x14ac:dyDescent="0.2">
      <c r="A19" s="19">
        <v>12</v>
      </c>
      <c r="B19" s="19" t="s">
        <v>53</v>
      </c>
      <c r="C19" s="19" t="s">
        <v>79</v>
      </c>
      <c r="D19" s="19" t="s">
        <v>76</v>
      </c>
      <c r="E19" s="20" t="s">
        <v>32</v>
      </c>
      <c r="F19" s="20" t="s">
        <v>83</v>
      </c>
      <c r="G19" s="20">
        <v>1.1339999999999999</v>
      </c>
      <c r="H19" s="21">
        <f t="shared" si="0"/>
        <v>1.1339999999999999</v>
      </c>
      <c r="I19" s="22">
        <v>215999.80000000002</v>
      </c>
      <c r="J19" s="12">
        <f t="shared" si="1"/>
        <v>244943.7732</v>
      </c>
      <c r="K19" s="23"/>
      <c r="L19" s="24" t="s">
        <v>33</v>
      </c>
      <c r="M19" s="24" t="s">
        <v>33</v>
      </c>
      <c r="N19" s="24" t="s">
        <v>33</v>
      </c>
      <c r="O19" s="24" t="s">
        <v>33</v>
      </c>
      <c r="P19" s="24" t="s">
        <v>33</v>
      </c>
      <c r="Q19" s="24" t="s">
        <v>33</v>
      </c>
      <c r="R19" s="24" t="s">
        <v>33</v>
      </c>
      <c r="S19" s="20"/>
      <c r="T19" s="20"/>
      <c r="U19" s="22"/>
      <c r="V19" s="12"/>
    </row>
    <row r="20" spans="1:22" s="3" customFormat="1" ht="25.5" x14ac:dyDescent="0.2">
      <c r="A20" s="19">
        <v>13</v>
      </c>
      <c r="B20" s="19" t="s">
        <v>54</v>
      </c>
      <c r="C20" s="19" t="s">
        <v>78</v>
      </c>
      <c r="D20" s="19" t="s">
        <v>76</v>
      </c>
      <c r="E20" s="20" t="s">
        <v>32</v>
      </c>
      <c r="F20" s="20" t="s">
        <v>83</v>
      </c>
      <c r="G20" s="20">
        <v>1.0129999999999999</v>
      </c>
      <c r="H20" s="21">
        <f t="shared" si="0"/>
        <v>1.0129999999999999</v>
      </c>
      <c r="I20" s="22">
        <v>145978.63</v>
      </c>
      <c r="J20" s="12">
        <f t="shared" si="1"/>
        <v>147876.35218999998</v>
      </c>
      <c r="K20" s="23"/>
      <c r="L20" s="24" t="s">
        <v>33</v>
      </c>
      <c r="M20" s="24" t="s">
        <v>33</v>
      </c>
      <c r="N20" s="24" t="s">
        <v>33</v>
      </c>
      <c r="O20" s="24" t="s">
        <v>33</v>
      </c>
      <c r="P20" s="24" t="s">
        <v>33</v>
      </c>
      <c r="Q20" s="24" t="s">
        <v>33</v>
      </c>
      <c r="R20" s="24" t="s">
        <v>33</v>
      </c>
      <c r="S20" s="20"/>
      <c r="T20" s="20"/>
      <c r="U20" s="22"/>
      <c r="V20" s="12"/>
    </row>
    <row r="21" spans="1:22" s="3" customFormat="1" ht="25.5" x14ac:dyDescent="0.2">
      <c r="A21" s="19">
        <v>14</v>
      </c>
      <c r="B21" s="19" t="s">
        <v>55</v>
      </c>
      <c r="C21" s="19" t="s">
        <v>79</v>
      </c>
      <c r="D21" s="19" t="s">
        <v>76</v>
      </c>
      <c r="E21" s="20" t="s">
        <v>32</v>
      </c>
      <c r="F21" s="20" t="s">
        <v>83</v>
      </c>
      <c r="G21" s="20">
        <v>0.27600000000000002</v>
      </c>
      <c r="H21" s="21">
        <f t="shared" si="0"/>
        <v>0.27600000000000002</v>
      </c>
      <c r="I21" s="22">
        <v>243393.42</v>
      </c>
      <c r="J21" s="12">
        <f t="shared" si="1"/>
        <v>67176.583920000005</v>
      </c>
      <c r="K21" s="23"/>
      <c r="L21" s="24" t="s">
        <v>33</v>
      </c>
      <c r="M21" s="24" t="s">
        <v>33</v>
      </c>
      <c r="N21" s="24" t="s">
        <v>33</v>
      </c>
      <c r="O21" s="24" t="s">
        <v>33</v>
      </c>
      <c r="P21" s="24" t="s">
        <v>33</v>
      </c>
      <c r="Q21" s="24" t="s">
        <v>33</v>
      </c>
      <c r="R21" s="24" t="s">
        <v>33</v>
      </c>
      <c r="S21" s="20"/>
      <c r="T21" s="20"/>
      <c r="U21" s="22"/>
      <c r="V21" s="12"/>
    </row>
    <row r="22" spans="1:22" s="3" customFormat="1" ht="25.5" x14ac:dyDescent="0.2">
      <c r="A22" s="19">
        <v>15</v>
      </c>
      <c r="B22" s="19" t="s">
        <v>56</v>
      </c>
      <c r="C22" s="19" t="s">
        <v>78</v>
      </c>
      <c r="D22" s="19" t="s">
        <v>76</v>
      </c>
      <c r="E22" s="20" t="s">
        <v>32</v>
      </c>
      <c r="F22" s="20" t="s">
        <v>83</v>
      </c>
      <c r="G22" s="20">
        <v>0.375</v>
      </c>
      <c r="H22" s="21">
        <f t="shared" si="0"/>
        <v>0.375</v>
      </c>
      <c r="I22" s="22">
        <v>147218.13</v>
      </c>
      <c r="J22" s="12">
        <f t="shared" si="1"/>
        <v>55206.798750000002</v>
      </c>
      <c r="K22" s="23"/>
      <c r="L22" s="24" t="s">
        <v>33</v>
      </c>
      <c r="M22" s="24" t="s">
        <v>33</v>
      </c>
      <c r="N22" s="24" t="s">
        <v>33</v>
      </c>
      <c r="O22" s="24" t="s">
        <v>33</v>
      </c>
      <c r="P22" s="24" t="s">
        <v>33</v>
      </c>
      <c r="Q22" s="24" t="s">
        <v>33</v>
      </c>
      <c r="R22" s="24" t="s">
        <v>33</v>
      </c>
      <c r="S22" s="20"/>
      <c r="T22" s="20"/>
      <c r="U22" s="22"/>
      <c r="V22" s="12"/>
    </row>
    <row r="23" spans="1:22" s="3" customFormat="1" ht="25.5" x14ac:dyDescent="0.2">
      <c r="A23" s="19">
        <v>16</v>
      </c>
      <c r="B23" s="19" t="s">
        <v>57</v>
      </c>
      <c r="C23" s="19" t="s">
        <v>78</v>
      </c>
      <c r="D23" s="19" t="s">
        <v>76</v>
      </c>
      <c r="E23" s="20" t="s">
        <v>32</v>
      </c>
      <c r="F23" s="20" t="s">
        <v>83</v>
      </c>
      <c r="G23" s="20">
        <v>3.33</v>
      </c>
      <c r="H23" s="21">
        <f t="shared" si="0"/>
        <v>3.33</v>
      </c>
      <c r="I23" s="22">
        <v>154655.13</v>
      </c>
      <c r="J23" s="12">
        <f t="shared" si="1"/>
        <v>515001.58290000004</v>
      </c>
      <c r="K23" s="23"/>
      <c r="L23" s="24" t="s">
        <v>33</v>
      </c>
      <c r="M23" s="24" t="s">
        <v>33</v>
      </c>
      <c r="N23" s="24" t="s">
        <v>33</v>
      </c>
      <c r="O23" s="24" t="s">
        <v>33</v>
      </c>
      <c r="P23" s="24" t="s">
        <v>33</v>
      </c>
      <c r="Q23" s="24" t="s">
        <v>33</v>
      </c>
      <c r="R23" s="24" t="s">
        <v>33</v>
      </c>
      <c r="S23" s="20"/>
      <c r="T23" s="20"/>
      <c r="U23" s="22"/>
      <c r="V23" s="12"/>
    </row>
    <row r="24" spans="1:22" s="3" customFormat="1" ht="25.5" x14ac:dyDescent="0.2">
      <c r="A24" s="19">
        <v>17</v>
      </c>
      <c r="B24" s="19" t="s">
        <v>58</v>
      </c>
      <c r="C24" s="19" t="s">
        <v>79</v>
      </c>
      <c r="D24" s="19" t="s">
        <v>76</v>
      </c>
      <c r="E24" s="20" t="s">
        <v>32</v>
      </c>
      <c r="F24" s="20" t="s">
        <v>83</v>
      </c>
      <c r="G24" s="20">
        <v>0.55500000000000005</v>
      </c>
      <c r="H24" s="21">
        <f t="shared" si="0"/>
        <v>0.55500000000000005</v>
      </c>
      <c r="I24" s="22">
        <v>278513.96000000002</v>
      </c>
      <c r="J24" s="12">
        <f t="shared" si="1"/>
        <v>154575.24780000001</v>
      </c>
      <c r="K24" s="23"/>
      <c r="L24" s="24" t="s">
        <v>33</v>
      </c>
      <c r="M24" s="24" t="s">
        <v>33</v>
      </c>
      <c r="N24" s="24" t="s">
        <v>33</v>
      </c>
      <c r="O24" s="24" t="s">
        <v>33</v>
      </c>
      <c r="P24" s="24" t="s">
        <v>33</v>
      </c>
      <c r="Q24" s="24" t="s">
        <v>33</v>
      </c>
      <c r="R24" s="24" t="s">
        <v>33</v>
      </c>
      <c r="S24" s="20"/>
      <c r="T24" s="20"/>
      <c r="U24" s="22"/>
      <c r="V24" s="12"/>
    </row>
    <row r="25" spans="1:22" s="3" customFormat="1" ht="25.5" x14ac:dyDescent="0.2">
      <c r="A25" s="19">
        <v>18</v>
      </c>
      <c r="B25" s="19" t="s">
        <v>59</v>
      </c>
      <c r="C25" s="19" t="s">
        <v>78</v>
      </c>
      <c r="D25" s="19" t="s">
        <v>76</v>
      </c>
      <c r="E25" s="20" t="s">
        <v>32</v>
      </c>
      <c r="F25" s="20" t="s">
        <v>83</v>
      </c>
      <c r="G25" s="20">
        <v>0.61799999999999999</v>
      </c>
      <c r="H25" s="21">
        <f t="shared" si="0"/>
        <v>0.61799999999999999</v>
      </c>
      <c r="I25" s="22">
        <v>206110.43</v>
      </c>
      <c r="J25" s="12">
        <f t="shared" si="1"/>
        <v>127376.24574</v>
      </c>
      <c r="K25" s="23"/>
      <c r="L25" s="24" t="s">
        <v>33</v>
      </c>
      <c r="M25" s="24" t="s">
        <v>33</v>
      </c>
      <c r="N25" s="24" t="s">
        <v>33</v>
      </c>
      <c r="O25" s="24" t="s">
        <v>33</v>
      </c>
      <c r="P25" s="24" t="s">
        <v>33</v>
      </c>
      <c r="Q25" s="24" t="s">
        <v>33</v>
      </c>
      <c r="R25" s="24" t="s">
        <v>33</v>
      </c>
      <c r="S25" s="20"/>
      <c r="T25" s="20"/>
      <c r="U25" s="22"/>
      <c r="V25" s="12"/>
    </row>
    <row r="26" spans="1:22" s="3" customFormat="1" ht="25.5" x14ac:dyDescent="0.2">
      <c r="A26" s="19">
        <v>19</v>
      </c>
      <c r="B26" s="19" t="s">
        <v>60</v>
      </c>
      <c r="C26" s="19" t="s">
        <v>78</v>
      </c>
      <c r="D26" s="19" t="s">
        <v>76</v>
      </c>
      <c r="E26" s="20" t="s">
        <v>32</v>
      </c>
      <c r="F26" s="20" t="s">
        <v>83</v>
      </c>
      <c r="G26" s="20">
        <v>0.61799999999999999</v>
      </c>
      <c r="H26" s="21">
        <f t="shared" si="0"/>
        <v>0.61799999999999999</v>
      </c>
      <c r="I26" s="22">
        <v>206110.43</v>
      </c>
      <c r="J26" s="12">
        <f t="shared" si="1"/>
        <v>127376.24574</v>
      </c>
      <c r="K26" s="23"/>
      <c r="L26" s="24" t="s">
        <v>33</v>
      </c>
      <c r="M26" s="24" t="s">
        <v>33</v>
      </c>
      <c r="N26" s="24" t="s">
        <v>33</v>
      </c>
      <c r="O26" s="24" t="s">
        <v>33</v>
      </c>
      <c r="P26" s="24" t="s">
        <v>33</v>
      </c>
      <c r="Q26" s="24" t="s">
        <v>33</v>
      </c>
      <c r="R26" s="24" t="s">
        <v>33</v>
      </c>
      <c r="S26" s="20"/>
      <c r="T26" s="20"/>
      <c r="U26" s="22"/>
      <c r="V26" s="12"/>
    </row>
    <row r="27" spans="1:22" s="3" customFormat="1" ht="25.5" x14ac:dyDescent="0.2">
      <c r="A27" s="19">
        <v>20</v>
      </c>
      <c r="B27" s="19" t="s">
        <v>61</v>
      </c>
      <c r="C27" s="19" t="s">
        <v>79</v>
      </c>
      <c r="D27" s="19" t="s">
        <v>76</v>
      </c>
      <c r="E27" s="20" t="s">
        <v>32</v>
      </c>
      <c r="F27" s="20" t="s">
        <v>83</v>
      </c>
      <c r="G27" s="20">
        <v>3.2000000000000001E-2</v>
      </c>
      <c r="H27" s="21">
        <f t="shared" si="0"/>
        <v>3.2000000000000001E-2</v>
      </c>
      <c r="I27" s="22">
        <v>301266.12</v>
      </c>
      <c r="J27" s="12">
        <f t="shared" si="1"/>
        <v>9640.51584</v>
      </c>
      <c r="K27" s="23"/>
      <c r="L27" s="24" t="s">
        <v>33</v>
      </c>
      <c r="M27" s="24" t="s">
        <v>33</v>
      </c>
      <c r="N27" s="24" t="s">
        <v>33</v>
      </c>
      <c r="O27" s="24" t="s">
        <v>33</v>
      </c>
      <c r="P27" s="24" t="s">
        <v>33</v>
      </c>
      <c r="Q27" s="24" t="s">
        <v>33</v>
      </c>
      <c r="R27" s="24" t="s">
        <v>33</v>
      </c>
      <c r="S27" s="20"/>
      <c r="T27" s="20"/>
      <c r="U27" s="22"/>
      <c r="V27" s="12"/>
    </row>
    <row r="28" spans="1:22" s="3" customFormat="1" ht="25.5" x14ac:dyDescent="0.2">
      <c r="A28" s="19">
        <v>21</v>
      </c>
      <c r="B28" s="19" t="s">
        <v>62</v>
      </c>
      <c r="C28" s="19" t="s">
        <v>78</v>
      </c>
      <c r="D28" s="19" t="s">
        <v>76</v>
      </c>
      <c r="E28" s="20" t="s">
        <v>32</v>
      </c>
      <c r="F28" s="20" t="s">
        <v>83</v>
      </c>
      <c r="G28" s="20">
        <v>0.91700000000000004</v>
      </c>
      <c r="H28" s="21">
        <f t="shared" si="0"/>
        <v>0.91700000000000004</v>
      </c>
      <c r="I28" s="22">
        <v>248764.6</v>
      </c>
      <c r="J28" s="12">
        <f t="shared" si="1"/>
        <v>228117.13820000002</v>
      </c>
      <c r="K28" s="23"/>
      <c r="L28" s="24" t="s">
        <v>33</v>
      </c>
      <c r="M28" s="24" t="s">
        <v>33</v>
      </c>
      <c r="N28" s="24" t="s">
        <v>33</v>
      </c>
      <c r="O28" s="24" t="s">
        <v>33</v>
      </c>
      <c r="P28" s="24" t="s">
        <v>33</v>
      </c>
      <c r="Q28" s="24" t="s">
        <v>33</v>
      </c>
      <c r="R28" s="24" t="s">
        <v>33</v>
      </c>
      <c r="S28" s="20"/>
      <c r="T28" s="20"/>
      <c r="U28" s="22"/>
      <c r="V28" s="12"/>
    </row>
    <row r="29" spans="1:22" s="3" customFormat="1" ht="25.5" x14ac:dyDescent="0.2">
      <c r="A29" s="19">
        <v>22</v>
      </c>
      <c r="B29" s="19" t="s">
        <v>63</v>
      </c>
      <c r="C29" s="19" t="s">
        <v>79</v>
      </c>
      <c r="D29" s="19" t="s">
        <v>76</v>
      </c>
      <c r="E29" s="20" t="s">
        <v>32</v>
      </c>
      <c r="F29" s="20" t="s">
        <v>83</v>
      </c>
      <c r="G29" s="20">
        <v>0.127</v>
      </c>
      <c r="H29" s="21">
        <f t="shared" si="0"/>
        <v>0.127</v>
      </c>
      <c r="I29" s="22">
        <v>247456.47</v>
      </c>
      <c r="J29" s="12">
        <f t="shared" si="1"/>
        <v>31426.971690000002</v>
      </c>
      <c r="K29" s="23"/>
      <c r="L29" s="24" t="s">
        <v>33</v>
      </c>
      <c r="M29" s="24" t="s">
        <v>33</v>
      </c>
      <c r="N29" s="24" t="s">
        <v>33</v>
      </c>
      <c r="O29" s="24" t="s">
        <v>33</v>
      </c>
      <c r="P29" s="24" t="s">
        <v>33</v>
      </c>
      <c r="Q29" s="24" t="s">
        <v>33</v>
      </c>
      <c r="R29" s="24" t="s">
        <v>33</v>
      </c>
      <c r="S29" s="20"/>
      <c r="T29" s="20"/>
      <c r="U29" s="22"/>
      <c r="V29" s="12"/>
    </row>
    <row r="30" spans="1:22" s="3" customFormat="1" ht="25.5" x14ac:dyDescent="0.2">
      <c r="A30" s="19">
        <v>23</v>
      </c>
      <c r="B30" s="19" t="s">
        <v>64</v>
      </c>
      <c r="C30" s="19" t="s">
        <v>78</v>
      </c>
      <c r="D30" s="19" t="s">
        <v>76</v>
      </c>
      <c r="E30" s="20" t="s">
        <v>32</v>
      </c>
      <c r="F30" s="20" t="s">
        <v>83</v>
      </c>
      <c r="G30" s="20">
        <v>1.1839999999999999</v>
      </c>
      <c r="H30" s="21">
        <f t="shared" si="0"/>
        <v>1.1839999999999999</v>
      </c>
      <c r="I30" s="22">
        <v>225833.84</v>
      </c>
      <c r="J30" s="12">
        <f t="shared" si="1"/>
        <v>267387.26655999996</v>
      </c>
      <c r="K30" s="23"/>
      <c r="L30" s="24" t="s">
        <v>33</v>
      </c>
      <c r="M30" s="24" t="s">
        <v>33</v>
      </c>
      <c r="N30" s="24" t="s">
        <v>33</v>
      </c>
      <c r="O30" s="24" t="s">
        <v>33</v>
      </c>
      <c r="P30" s="24" t="s">
        <v>33</v>
      </c>
      <c r="Q30" s="24" t="s">
        <v>33</v>
      </c>
      <c r="R30" s="24" t="s">
        <v>33</v>
      </c>
      <c r="S30" s="20"/>
      <c r="T30" s="20"/>
      <c r="U30" s="22"/>
      <c r="V30" s="12"/>
    </row>
    <row r="31" spans="1:22" s="3" customFormat="1" ht="25.5" x14ac:dyDescent="0.2">
      <c r="A31" s="19">
        <v>24</v>
      </c>
      <c r="B31" s="19" t="s">
        <v>65</v>
      </c>
      <c r="C31" s="19" t="s">
        <v>79</v>
      </c>
      <c r="D31" s="19" t="s">
        <v>76</v>
      </c>
      <c r="E31" s="20" t="s">
        <v>32</v>
      </c>
      <c r="F31" s="20" t="s">
        <v>83</v>
      </c>
      <c r="G31" s="20">
        <v>0.25</v>
      </c>
      <c r="H31" s="21">
        <f t="shared" si="0"/>
        <v>0.25</v>
      </c>
      <c r="I31" s="22">
        <v>247456.47</v>
      </c>
      <c r="J31" s="12">
        <f t="shared" si="1"/>
        <v>61864.1175</v>
      </c>
      <c r="K31" s="23"/>
      <c r="L31" s="24" t="s">
        <v>33</v>
      </c>
      <c r="M31" s="24" t="s">
        <v>33</v>
      </c>
      <c r="N31" s="24" t="s">
        <v>33</v>
      </c>
      <c r="O31" s="24" t="s">
        <v>33</v>
      </c>
      <c r="P31" s="24" t="s">
        <v>33</v>
      </c>
      <c r="Q31" s="24" t="s">
        <v>33</v>
      </c>
      <c r="R31" s="24" t="s">
        <v>33</v>
      </c>
      <c r="S31" s="20"/>
      <c r="T31" s="20"/>
      <c r="U31" s="22"/>
      <c r="V31" s="12"/>
    </row>
    <row r="32" spans="1:22" s="3" customFormat="1" ht="25.5" x14ac:dyDescent="0.2">
      <c r="A32" s="19">
        <v>25</v>
      </c>
      <c r="B32" s="19" t="s">
        <v>66</v>
      </c>
      <c r="C32" s="19" t="s">
        <v>79</v>
      </c>
      <c r="D32" s="19" t="s">
        <v>76</v>
      </c>
      <c r="E32" s="20" t="s">
        <v>32</v>
      </c>
      <c r="F32" s="20" t="s">
        <v>83</v>
      </c>
      <c r="G32" s="20">
        <v>7.3999999999999996E-2</v>
      </c>
      <c r="H32" s="21">
        <f t="shared" si="0"/>
        <v>7.3999999999999996E-2</v>
      </c>
      <c r="I32" s="22">
        <v>249935.47</v>
      </c>
      <c r="J32" s="12">
        <f t="shared" si="1"/>
        <v>18495.22478</v>
      </c>
      <c r="K32" s="23"/>
      <c r="L32" s="24" t="s">
        <v>33</v>
      </c>
      <c r="M32" s="24" t="s">
        <v>33</v>
      </c>
      <c r="N32" s="24" t="s">
        <v>33</v>
      </c>
      <c r="O32" s="24" t="s">
        <v>33</v>
      </c>
      <c r="P32" s="24" t="s">
        <v>33</v>
      </c>
      <c r="Q32" s="24" t="s">
        <v>33</v>
      </c>
      <c r="R32" s="24" t="s">
        <v>33</v>
      </c>
      <c r="S32" s="20"/>
      <c r="T32" s="20"/>
      <c r="U32" s="22"/>
      <c r="V32" s="12"/>
    </row>
    <row r="33" spans="1:22" s="3" customFormat="1" ht="25.5" x14ac:dyDescent="0.2">
      <c r="A33" s="19">
        <v>26</v>
      </c>
      <c r="B33" s="19" t="s">
        <v>67</v>
      </c>
      <c r="C33" s="19" t="s">
        <v>80</v>
      </c>
      <c r="D33" s="19" t="s">
        <v>76</v>
      </c>
      <c r="E33" s="20" t="s">
        <v>32</v>
      </c>
      <c r="F33" s="20" t="s">
        <v>83</v>
      </c>
      <c r="G33" s="20">
        <v>1.4999999999999999E-2</v>
      </c>
      <c r="H33" s="21">
        <f t="shared" si="0"/>
        <v>1.4999999999999999E-2</v>
      </c>
      <c r="I33" s="22">
        <v>165893.26999999999</v>
      </c>
      <c r="J33" s="12">
        <f t="shared" si="1"/>
        <v>2488.3990499999995</v>
      </c>
      <c r="K33" s="23"/>
      <c r="L33" s="24" t="s">
        <v>33</v>
      </c>
      <c r="M33" s="24" t="s">
        <v>33</v>
      </c>
      <c r="N33" s="24" t="s">
        <v>33</v>
      </c>
      <c r="O33" s="24" t="s">
        <v>33</v>
      </c>
      <c r="P33" s="24" t="s">
        <v>33</v>
      </c>
      <c r="Q33" s="24" t="s">
        <v>33</v>
      </c>
      <c r="R33" s="24" t="s">
        <v>33</v>
      </c>
      <c r="S33" s="20"/>
      <c r="T33" s="20"/>
      <c r="U33" s="22"/>
      <c r="V33" s="12"/>
    </row>
    <row r="34" spans="1:22" s="3" customFormat="1" ht="25.5" x14ac:dyDescent="0.2">
      <c r="A34" s="19">
        <v>27</v>
      </c>
      <c r="B34" s="19" t="s">
        <v>68</v>
      </c>
      <c r="C34" s="19" t="s">
        <v>80</v>
      </c>
      <c r="D34" s="19" t="s">
        <v>76</v>
      </c>
      <c r="E34" s="20" t="s">
        <v>32</v>
      </c>
      <c r="F34" s="20" t="s">
        <v>83</v>
      </c>
      <c r="G34" s="20">
        <v>0.44</v>
      </c>
      <c r="H34" s="21">
        <f t="shared" si="0"/>
        <v>0.44</v>
      </c>
      <c r="I34" s="22">
        <v>154861.70000000001</v>
      </c>
      <c r="J34" s="12">
        <f t="shared" si="1"/>
        <v>68139.148000000001</v>
      </c>
      <c r="K34" s="23"/>
      <c r="L34" s="24" t="s">
        <v>33</v>
      </c>
      <c r="M34" s="24" t="s">
        <v>33</v>
      </c>
      <c r="N34" s="24" t="s">
        <v>33</v>
      </c>
      <c r="O34" s="24" t="s">
        <v>33</v>
      </c>
      <c r="P34" s="24" t="s">
        <v>33</v>
      </c>
      <c r="Q34" s="24" t="s">
        <v>33</v>
      </c>
      <c r="R34" s="24" t="s">
        <v>33</v>
      </c>
      <c r="S34" s="20"/>
      <c r="T34" s="20"/>
      <c r="U34" s="22"/>
      <c r="V34" s="12"/>
    </row>
    <row r="35" spans="1:22" s="3" customFormat="1" ht="25.5" x14ac:dyDescent="0.2">
      <c r="A35" s="19">
        <v>28</v>
      </c>
      <c r="B35" s="19" t="s">
        <v>69</v>
      </c>
      <c r="C35" s="19" t="s">
        <v>80</v>
      </c>
      <c r="D35" s="19" t="s">
        <v>76</v>
      </c>
      <c r="E35" s="20" t="s">
        <v>32</v>
      </c>
      <c r="F35" s="20" t="s">
        <v>83</v>
      </c>
      <c r="G35" s="20">
        <v>0.52</v>
      </c>
      <c r="H35" s="21">
        <f t="shared" si="0"/>
        <v>0.52</v>
      </c>
      <c r="I35" s="22">
        <v>157960.47</v>
      </c>
      <c r="J35" s="12">
        <f t="shared" si="1"/>
        <v>82139.444400000008</v>
      </c>
      <c r="K35" s="23"/>
      <c r="L35" s="24" t="s">
        <v>33</v>
      </c>
      <c r="M35" s="24" t="s">
        <v>33</v>
      </c>
      <c r="N35" s="24" t="s">
        <v>33</v>
      </c>
      <c r="O35" s="24" t="s">
        <v>33</v>
      </c>
      <c r="P35" s="24" t="s">
        <v>33</v>
      </c>
      <c r="Q35" s="24" t="s">
        <v>33</v>
      </c>
      <c r="R35" s="24" t="s">
        <v>33</v>
      </c>
      <c r="S35" s="20"/>
      <c r="T35" s="20"/>
      <c r="U35" s="22"/>
      <c r="V35" s="12"/>
    </row>
    <row r="36" spans="1:22" s="3" customFormat="1" ht="25.5" x14ac:dyDescent="0.2">
      <c r="A36" s="19">
        <v>29</v>
      </c>
      <c r="B36" s="19" t="s">
        <v>70</v>
      </c>
      <c r="C36" s="19" t="s">
        <v>81</v>
      </c>
      <c r="D36" s="19" t="s">
        <v>76</v>
      </c>
      <c r="E36" s="20" t="s">
        <v>32</v>
      </c>
      <c r="F36" s="20" t="s">
        <v>83</v>
      </c>
      <c r="G36" s="20">
        <v>1.196</v>
      </c>
      <c r="H36" s="21">
        <f t="shared" si="0"/>
        <v>1.196</v>
      </c>
      <c r="I36" s="22">
        <v>163613.13</v>
      </c>
      <c r="J36" s="12">
        <f t="shared" si="1"/>
        <v>195681.30348</v>
      </c>
      <c r="K36" s="23"/>
      <c r="L36" s="24" t="s">
        <v>33</v>
      </c>
      <c r="M36" s="24" t="s">
        <v>33</v>
      </c>
      <c r="N36" s="24" t="s">
        <v>33</v>
      </c>
      <c r="O36" s="24" t="s">
        <v>33</v>
      </c>
      <c r="P36" s="24" t="s">
        <v>33</v>
      </c>
      <c r="Q36" s="24" t="s">
        <v>33</v>
      </c>
      <c r="R36" s="24" t="s">
        <v>33</v>
      </c>
      <c r="S36" s="20"/>
      <c r="T36" s="20"/>
      <c r="U36" s="22"/>
      <c r="V36" s="12"/>
    </row>
    <row r="37" spans="1:22" s="3" customFormat="1" ht="25.5" x14ac:dyDescent="0.2">
      <c r="A37" s="19">
        <v>30</v>
      </c>
      <c r="B37" s="19" t="s">
        <v>71</v>
      </c>
      <c r="C37" s="19" t="s">
        <v>81</v>
      </c>
      <c r="D37" s="19" t="s">
        <v>76</v>
      </c>
      <c r="E37" s="20" t="s">
        <v>32</v>
      </c>
      <c r="F37" s="20" t="s">
        <v>83</v>
      </c>
      <c r="G37" s="20">
        <v>0.88800000000000001</v>
      </c>
      <c r="H37" s="21">
        <f t="shared" si="0"/>
        <v>0.88800000000000001</v>
      </c>
      <c r="I37" s="22">
        <v>169190.88</v>
      </c>
      <c r="J37" s="12">
        <f t="shared" si="1"/>
        <v>150241.50143999999</v>
      </c>
      <c r="K37" s="23"/>
      <c r="L37" s="24" t="s">
        <v>33</v>
      </c>
      <c r="M37" s="24" t="s">
        <v>33</v>
      </c>
      <c r="N37" s="24" t="s">
        <v>33</v>
      </c>
      <c r="O37" s="24" t="s">
        <v>33</v>
      </c>
      <c r="P37" s="24" t="s">
        <v>33</v>
      </c>
      <c r="Q37" s="24" t="s">
        <v>33</v>
      </c>
      <c r="R37" s="24" t="s">
        <v>33</v>
      </c>
      <c r="S37" s="20"/>
      <c r="T37" s="20"/>
      <c r="U37" s="22"/>
      <c r="V37" s="12"/>
    </row>
    <row r="38" spans="1:22" s="3" customFormat="1" ht="25.5" x14ac:dyDescent="0.2">
      <c r="A38" s="19">
        <v>31</v>
      </c>
      <c r="B38" s="19" t="s">
        <v>72</v>
      </c>
      <c r="C38" s="19" t="s">
        <v>81</v>
      </c>
      <c r="D38" s="19" t="s">
        <v>76</v>
      </c>
      <c r="E38" s="20" t="s">
        <v>32</v>
      </c>
      <c r="F38" s="20" t="s">
        <v>83</v>
      </c>
      <c r="G38" s="20">
        <v>2.1560000000000001</v>
      </c>
      <c r="H38" s="21">
        <f t="shared" si="0"/>
        <v>2.1560000000000001</v>
      </c>
      <c r="I38" s="22">
        <v>175161.13</v>
      </c>
      <c r="J38" s="12">
        <f t="shared" si="1"/>
        <v>377647.39628000004</v>
      </c>
      <c r="K38" s="23"/>
      <c r="L38" s="24" t="s">
        <v>33</v>
      </c>
      <c r="M38" s="24" t="s">
        <v>33</v>
      </c>
      <c r="N38" s="24" t="s">
        <v>33</v>
      </c>
      <c r="O38" s="24" t="s">
        <v>33</v>
      </c>
      <c r="P38" s="24" t="s">
        <v>33</v>
      </c>
      <c r="Q38" s="24" t="s">
        <v>33</v>
      </c>
      <c r="R38" s="24" t="s">
        <v>33</v>
      </c>
      <c r="S38" s="20"/>
      <c r="T38" s="20"/>
      <c r="U38" s="22"/>
      <c r="V38" s="12"/>
    </row>
    <row r="39" spans="1:22" s="3" customFormat="1" ht="25.5" x14ac:dyDescent="0.2">
      <c r="A39" s="19">
        <v>32</v>
      </c>
      <c r="B39" s="19" t="s">
        <v>73</v>
      </c>
      <c r="C39" s="19" t="s">
        <v>81</v>
      </c>
      <c r="D39" s="19" t="s">
        <v>76</v>
      </c>
      <c r="E39" s="20" t="s">
        <v>32</v>
      </c>
      <c r="F39" s="20" t="s">
        <v>83</v>
      </c>
      <c r="G39" s="20">
        <v>0.55000000000000004</v>
      </c>
      <c r="H39" s="21">
        <f t="shared" si="0"/>
        <v>0.55000000000000004</v>
      </c>
      <c r="I39" s="22">
        <v>200219.69</v>
      </c>
      <c r="J39" s="12">
        <f t="shared" si="1"/>
        <v>110120.82950000001</v>
      </c>
      <c r="K39" s="23"/>
      <c r="L39" s="24" t="s">
        <v>33</v>
      </c>
      <c r="M39" s="24" t="s">
        <v>33</v>
      </c>
      <c r="N39" s="24" t="s">
        <v>33</v>
      </c>
      <c r="O39" s="24" t="s">
        <v>33</v>
      </c>
      <c r="P39" s="24" t="s">
        <v>33</v>
      </c>
      <c r="Q39" s="24" t="s">
        <v>33</v>
      </c>
      <c r="R39" s="24" t="s">
        <v>33</v>
      </c>
      <c r="S39" s="20"/>
      <c r="T39" s="20"/>
      <c r="U39" s="22"/>
      <c r="V39" s="12"/>
    </row>
    <row r="40" spans="1:22" s="3" customFormat="1" ht="25.5" x14ac:dyDescent="0.2">
      <c r="A40" s="19">
        <v>33</v>
      </c>
      <c r="B40" s="19" t="s">
        <v>74</v>
      </c>
      <c r="C40" s="19" t="s">
        <v>81</v>
      </c>
      <c r="D40" s="19" t="s">
        <v>76</v>
      </c>
      <c r="E40" s="20" t="s">
        <v>32</v>
      </c>
      <c r="F40" s="20" t="s">
        <v>83</v>
      </c>
      <c r="G40" s="20">
        <v>0.504</v>
      </c>
      <c r="H40" s="21">
        <f t="shared" si="0"/>
        <v>0.504</v>
      </c>
      <c r="I40" s="22">
        <v>200219.69</v>
      </c>
      <c r="J40" s="12">
        <f t="shared" si="1"/>
        <v>100910.72376000001</v>
      </c>
      <c r="K40" s="23"/>
      <c r="L40" s="24" t="s">
        <v>33</v>
      </c>
      <c r="M40" s="24" t="s">
        <v>33</v>
      </c>
      <c r="N40" s="24" t="s">
        <v>33</v>
      </c>
      <c r="O40" s="24" t="s">
        <v>33</v>
      </c>
      <c r="P40" s="24" t="s">
        <v>33</v>
      </c>
      <c r="Q40" s="24" t="s">
        <v>33</v>
      </c>
      <c r="R40" s="24" t="s">
        <v>33</v>
      </c>
      <c r="S40" s="20"/>
      <c r="T40" s="20"/>
      <c r="U40" s="22"/>
      <c r="V40" s="12"/>
    </row>
    <row r="41" spans="1:22" s="3" customFormat="1" ht="13.5" customHeight="1" x14ac:dyDescent="0.2">
      <c r="A41" s="61" t="s">
        <v>18</v>
      </c>
      <c r="B41" s="62"/>
      <c r="C41" s="62"/>
      <c r="D41" s="62"/>
      <c r="E41" s="62"/>
      <c r="F41" s="62"/>
      <c r="G41" s="62"/>
      <c r="H41" s="62"/>
      <c r="I41" s="63"/>
      <c r="J41" s="14">
        <f>SUM(J8:J40)</f>
        <v>3683006.7602599994</v>
      </c>
      <c r="K41" s="61" t="s">
        <v>21</v>
      </c>
      <c r="L41" s="62"/>
      <c r="M41" s="62"/>
      <c r="N41" s="62"/>
      <c r="O41" s="62"/>
      <c r="P41" s="62"/>
      <c r="Q41" s="62"/>
      <c r="R41" s="62"/>
      <c r="S41" s="62"/>
      <c r="T41" s="62"/>
      <c r="U41" s="63"/>
      <c r="V41" s="6"/>
    </row>
    <row r="42" spans="1:22" s="3" customFormat="1" ht="13.5" customHeight="1" thickBot="1" x14ac:dyDescent="0.25">
      <c r="A42" s="61" t="s">
        <v>42</v>
      </c>
      <c r="B42" s="62"/>
      <c r="C42" s="62"/>
      <c r="D42" s="62"/>
      <c r="E42" s="62"/>
      <c r="F42" s="62"/>
      <c r="G42" s="62"/>
      <c r="H42" s="62"/>
      <c r="I42" s="63"/>
      <c r="J42" s="15">
        <f>J41*22/122</f>
        <v>664148.76004688512</v>
      </c>
      <c r="K42" s="61" t="s">
        <v>42</v>
      </c>
      <c r="L42" s="62"/>
      <c r="M42" s="62"/>
      <c r="N42" s="62"/>
      <c r="O42" s="62"/>
      <c r="P42" s="62"/>
      <c r="Q42" s="62"/>
      <c r="R42" s="62"/>
      <c r="S42" s="62"/>
      <c r="T42" s="62"/>
      <c r="U42" s="63"/>
      <c r="V42" s="17"/>
    </row>
    <row r="43" spans="1:22" s="3" customFormat="1" ht="17.45" customHeight="1" x14ac:dyDescent="0.2">
      <c r="A43" s="41" t="s">
        <v>6</v>
      </c>
      <c r="B43" s="42"/>
      <c r="C43" s="42"/>
      <c r="D43" s="42"/>
      <c r="E43" s="42"/>
      <c r="F43" s="42"/>
      <c r="G43" s="42"/>
      <c r="H43" s="42"/>
      <c r="I43" s="42"/>
      <c r="J43" s="43"/>
      <c r="K43" s="64" t="s">
        <v>6</v>
      </c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6"/>
    </row>
    <row r="44" spans="1:22" s="3" customFormat="1" ht="46.15" customHeight="1" thickBot="1" x14ac:dyDescent="0.25">
      <c r="A44" s="72" t="s">
        <v>8</v>
      </c>
      <c r="B44" s="73"/>
      <c r="C44" s="73"/>
      <c r="D44" s="73"/>
      <c r="E44" s="73"/>
      <c r="F44" s="73"/>
      <c r="G44" s="73"/>
      <c r="H44" s="73"/>
      <c r="I44" s="73"/>
      <c r="J44" s="74"/>
      <c r="K44" s="35" t="s">
        <v>33</v>
      </c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7"/>
    </row>
    <row r="45" spans="1:22" s="3" customFormat="1" ht="18" customHeight="1" x14ac:dyDescent="0.2">
      <c r="A45" s="41" t="s">
        <v>11</v>
      </c>
      <c r="B45" s="42"/>
      <c r="C45" s="42"/>
      <c r="D45" s="42"/>
      <c r="E45" s="42"/>
      <c r="F45" s="42"/>
      <c r="G45" s="42"/>
      <c r="H45" s="42"/>
      <c r="I45" s="42"/>
      <c r="J45" s="43"/>
      <c r="K45" s="41" t="s">
        <v>11</v>
      </c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3"/>
    </row>
    <row r="46" spans="1:22" s="3" customFormat="1" ht="18" customHeight="1" thickBot="1" x14ac:dyDescent="0.25">
      <c r="A46" s="72" t="s">
        <v>10</v>
      </c>
      <c r="B46" s="73"/>
      <c r="C46" s="73"/>
      <c r="D46" s="73"/>
      <c r="E46" s="73"/>
      <c r="F46" s="73"/>
      <c r="G46" s="73"/>
      <c r="H46" s="73"/>
      <c r="I46" s="73"/>
      <c r="J46" s="74"/>
      <c r="K46" s="35" t="s">
        <v>33</v>
      </c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7"/>
    </row>
    <row r="47" spans="1:22" s="3" customFormat="1" ht="18" customHeight="1" x14ac:dyDescent="0.2">
      <c r="A47" s="45" t="s">
        <v>13</v>
      </c>
      <c r="B47" s="46"/>
      <c r="C47" s="46"/>
      <c r="D47" s="46"/>
      <c r="E47" s="46"/>
      <c r="F47" s="46"/>
      <c r="G47" s="46"/>
      <c r="H47" s="47"/>
      <c r="I47" s="47"/>
      <c r="J47" s="47"/>
      <c r="K47" s="41" t="s">
        <v>17</v>
      </c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3"/>
    </row>
    <row r="48" spans="1:22" s="3" customFormat="1" ht="18" customHeight="1" thickBot="1" x14ac:dyDescent="0.25">
      <c r="A48" s="38" t="s">
        <v>39</v>
      </c>
      <c r="B48" s="39"/>
      <c r="C48" s="39"/>
      <c r="D48" s="39"/>
      <c r="E48" s="39"/>
      <c r="F48" s="39"/>
      <c r="G48" s="39"/>
      <c r="H48" s="40"/>
      <c r="I48" s="40"/>
      <c r="J48" s="40"/>
      <c r="K48" s="35" t="s">
        <v>33</v>
      </c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7"/>
    </row>
    <row r="49" spans="1:22" s="3" customFormat="1" ht="15.75" customHeight="1" x14ac:dyDescent="0.2">
      <c r="A49" s="45" t="s">
        <v>14</v>
      </c>
      <c r="B49" s="46"/>
      <c r="C49" s="46"/>
      <c r="D49" s="46"/>
      <c r="E49" s="46"/>
      <c r="F49" s="46"/>
      <c r="G49" s="46"/>
      <c r="H49" s="47"/>
      <c r="I49" s="47"/>
      <c r="J49" s="47"/>
      <c r="K49" s="41" t="s">
        <v>14</v>
      </c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3"/>
    </row>
    <row r="50" spans="1:22" s="3" customFormat="1" ht="68.45" customHeight="1" thickBot="1" x14ac:dyDescent="0.25">
      <c r="A50" s="38" t="s">
        <v>24</v>
      </c>
      <c r="B50" s="39"/>
      <c r="C50" s="39"/>
      <c r="D50" s="39"/>
      <c r="E50" s="39"/>
      <c r="F50" s="39"/>
      <c r="G50" s="39"/>
      <c r="H50" s="40"/>
      <c r="I50" s="40"/>
      <c r="J50" s="40"/>
      <c r="K50" s="35" t="s">
        <v>33</v>
      </c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7"/>
    </row>
    <row r="51" spans="1:22" s="3" customFormat="1" ht="19.149999999999999" customHeight="1" x14ac:dyDescent="0.2">
      <c r="A51" s="45" t="s">
        <v>15</v>
      </c>
      <c r="B51" s="46"/>
      <c r="C51" s="46"/>
      <c r="D51" s="46"/>
      <c r="E51" s="46"/>
      <c r="F51" s="46"/>
      <c r="G51" s="46"/>
      <c r="H51" s="47"/>
      <c r="I51" s="47"/>
      <c r="J51" s="47"/>
      <c r="K51" s="41" t="s">
        <v>15</v>
      </c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3"/>
    </row>
    <row r="52" spans="1:22" s="3" customFormat="1" ht="81.599999999999994" customHeight="1" thickBot="1" x14ac:dyDescent="0.25">
      <c r="A52" s="38" t="s">
        <v>85</v>
      </c>
      <c r="B52" s="39"/>
      <c r="C52" s="39"/>
      <c r="D52" s="39"/>
      <c r="E52" s="39"/>
      <c r="F52" s="39"/>
      <c r="G52" s="39"/>
      <c r="H52" s="40"/>
      <c r="I52" s="40"/>
      <c r="J52" s="40"/>
      <c r="K52" s="35" t="s">
        <v>33</v>
      </c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7"/>
    </row>
    <row r="53" spans="1:22" s="3" customFormat="1" ht="18.600000000000001" customHeight="1" x14ac:dyDescent="0.2">
      <c r="A53" s="45" t="s">
        <v>16</v>
      </c>
      <c r="B53" s="46"/>
      <c r="C53" s="46"/>
      <c r="D53" s="46"/>
      <c r="E53" s="46"/>
      <c r="F53" s="46"/>
      <c r="G53" s="46"/>
      <c r="H53" s="47"/>
      <c r="I53" s="47"/>
      <c r="J53" s="47"/>
      <c r="K53" s="41" t="s">
        <v>16</v>
      </c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3"/>
    </row>
    <row r="54" spans="1:22" s="3" customFormat="1" ht="28.15" customHeight="1" thickBot="1" x14ac:dyDescent="0.25">
      <c r="A54" s="38" t="s">
        <v>22</v>
      </c>
      <c r="B54" s="39"/>
      <c r="C54" s="39"/>
      <c r="D54" s="39"/>
      <c r="E54" s="39"/>
      <c r="F54" s="39"/>
      <c r="G54" s="39"/>
      <c r="H54" s="40"/>
      <c r="I54" s="40"/>
      <c r="J54" s="40"/>
      <c r="K54" s="35" t="s">
        <v>33</v>
      </c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7"/>
    </row>
    <row r="55" spans="1:22" s="3" customFormat="1" ht="16.899999999999999" customHeight="1" x14ac:dyDescent="0.2">
      <c r="A55" s="44" t="s">
        <v>7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</row>
    <row r="56" spans="1:22" s="3" customFormat="1" ht="216.6" customHeight="1" x14ac:dyDescent="0.2">
      <c r="A56" s="34" t="s">
        <v>28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spans="1:22" s="3" customFormat="1" ht="40.5" customHeight="1" x14ac:dyDescent="0.2">
      <c r="A57" s="33" t="s">
        <v>34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</row>
    <row r="58" spans="1:22" ht="54" customHeight="1" x14ac:dyDescent="0.25">
      <c r="A58" s="33" t="s">
        <v>31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</row>
    <row r="63" spans="1:22" x14ac:dyDescent="0.25">
      <c r="C63" s="2"/>
    </row>
  </sheetData>
  <autoFilter ref="A7:V58"/>
  <mergeCells count="59">
    <mergeCell ref="A51:J51"/>
    <mergeCell ref="A47:J47"/>
    <mergeCell ref="A48:J48"/>
    <mergeCell ref="A45:J45"/>
    <mergeCell ref="G4:G5"/>
    <mergeCell ref="C4:C7"/>
    <mergeCell ref="D4:D7"/>
    <mergeCell ref="A4:A7"/>
    <mergeCell ref="B4:B7"/>
    <mergeCell ref="E4:E7"/>
    <mergeCell ref="F4:F7"/>
    <mergeCell ref="K45:V45"/>
    <mergeCell ref="K44:V44"/>
    <mergeCell ref="K48:V48"/>
    <mergeCell ref="K46:V46"/>
    <mergeCell ref="A44:J44"/>
    <mergeCell ref="A46:J46"/>
    <mergeCell ref="A1:V1"/>
    <mergeCell ref="A2:J2"/>
    <mergeCell ref="A43:J43"/>
    <mergeCell ref="A3:J3"/>
    <mergeCell ref="K2:V2"/>
    <mergeCell ref="K3:V3"/>
    <mergeCell ref="A41:I41"/>
    <mergeCell ref="K41:U41"/>
    <mergeCell ref="K43:V43"/>
    <mergeCell ref="A42:I42"/>
    <mergeCell ref="I4:I7"/>
    <mergeCell ref="J4:J7"/>
    <mergeCell ref="H4:H7"/>
    <mergeCell ref="Q4:Q7"/>
    <mergeCell ref="V4:V7"/>
    <mergeCell ref="K42:U42"/>
    <mergeCell ref="A58:V58"/>
    <mergeCell ref="A56:V56"/>
    <mergeCell ref="K50:V50"/>
    <mergeCell ref="A54:J54"/>
    <mergeCell ref="K47:V47"/>
    <mergeCell ref="A52:J52"/>
    <mergeCell ref="K53:V53"/>
    <mergeCell ref="K52:V52"/>
    <mergeCell ref="A57:V57"/>
    <mergeCell ref="A55:V55"/>
    <mergeCell ref="K54:V54"/>
    <mergeCell ref="A53:J53"/>
    <mergeCell ref="A49:J49"/>
    <mergeCell ref="A50:J50"/>
    <mergeCell ref="K49:V49"/>
    <mergeCell ref="K51:V51"/>
    <mergeCell ref="P4:P7"/>
    <mergeCell ref="R4:R7"/>
    <mergeCell ref="S4:S7"/>
    <mergeCell ref="T4:T7"/>
    <mergeCell ref="U4:U7"/>
    <mergeCell ref="K4:K7"/>
    <mergeCell ref="L4:L7"/>
    <mergeCell ref="M4:M7"/>
    <mergeCell ref="N4:N7"/>
    <mergeCell ref="O4:O7"/>
  </mergeCells>
  <phoneticPr fontId="9" type="noConversion"/>
  <pageMargins left="0.11811023622047245" right="0.11811023622047245" top="0.35433070866141736" bottom="0.15748031496062992" header="0.31496062992125984" footer="0.31496062992125984"/>
  <pageSetup paperSize="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 Игоревич Шушков</dc:creator>
  <cp:lastModifiedBy>Трущева Юлия Юрьевна</cp:lastModifiedBy>
  <cp:lastPrinted>2021-01-05T07:35:55Z</cp:lastPrinted>
  <dcterms:created xsi:type="dcterms:W3CDTF">2019-10-16T11:00:21Z</dcterms:created>
  <dcterms:modified xsi:type="dcterms:W3CDTF">2026-08-11T05:56:31Z</dcterms:modified>
</cp:coreProperties>
</file>