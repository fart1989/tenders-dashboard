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wmf" ContentType="image/x-wmf"/>
  <Override PartName="/xl/media/image2.wmf" ContentType="image/x-wmf"/>
  <Override PartName="/xl/media/image3.wmf" ContentType="image/x-wmf"/>
  <Override PartName="/xl/media/image4.wmf" ContentType="image/x-wmf"/>
  <Override PartName="/xl/media/image5.wmf" ContentType="image/x-wmf"/>
  <Override PartName="/xl/media/image6.wmf" ContentType="image/x-wmf"/>
  <Override PartName="/xl/media/image7.wmf" ContentType="image/x-wmf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definedNames>
    <definedName function="false" hidden="true" localSheetId="0" name="_xlnm._FilterDatabase" vbProcedure="false">Лист1!$A$7:$O$8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8" authorId="0">
      <text>
        <r>
          <rPr>
            <sz val="11"/>
            <color rgb="FF000000"/>
            <rFont val="Calibri"/>
            <family val="2"/>
            <charset val="204"/>
          </rPr>
          <t xml:space="preserve">Внимание! 
При необходимости, строки можно добавить, раскрыв их. Таблица рассчитана на 10 автоматически рассчитываемых строк. Необходимо лишь заполнить наименование, ед. изм., количество и цены 3 предложений.
Если строк больше, то требуется добавить недостающие строки и продлить зону авторасчета.</t>
        </r>
      </text>
    </comment>
    <comment ref="N8" authorId="0">
      <text>
        <r>
          <rPr>
            <sz val="11"/>
            <color rgb="FF000000"/>
            <rFont val="Calibri"/>
            <family val="2"/>
            <charset val="204"/>
          </rPr>
          <t xml:space="preserve">При формировании спецификации в плане-графике необходимо использовать округленные значения цены за единицу, так как при публикации извещения значения вводятся не менее 1 копейки</t>
        </r>
      </text>
    </comment>
  </commentList>
</comments>
</file>

<file path=xl/sharedStrings.xml><?xml version="1.0" encoding="utf-8"?>
<sst xmlns="http://schemas.openxmlformats.org/spreadsheetml/2006/main" count="32" uniqueCount="28">
  <si>
    <t xml:space="preserve">
РАЗДЕЛ 4. 
(приложение к аукционной документации)</t>
  </si>
  <si>
    <t xml:space="preserve">Обоснование начальной (максимальной) цены договора </t>
  </si>
  <si>
    <t xml:space="preserve">Поставка ГСМ</t>
  </si>
  <si>
    <t xml:space="preserve">Для определения начальной (максимальной) цены Договораа (далее - НМЦД) применен метод сопоставимых рыночных цен (анализ рынка). Метод сопоставимых рыночных цен (анализа рынка) является приоритетным для определения и обоснования начальной (максимальной) цены договора, цены договора заключаемого с единственным поставщиком (подрядчиком, исполнителем)         </t>
  </si>
  <si>
    <t xml:space="preserve">№</t>
  </si>
  <si>
    <t xml:space="preserve">Наименование</t>
  </si>
  <si>
    <t xml:space="preserve">Характеристики товара</t>
  </si>
  <si>
    <t xml:space="preserve">Ед. изм</t>
  </si>
  <si>
    <t xml:space="preserve">Кол-во</t>
  </si>
  <si>
    <t xml:space="preserve">Коммерческие предложения (руб./ед.изм.)</t>
  </si>
  <si>
    <t xml:space="preserve">Однородность совокупности значений выявленных цен, используемых в расчете Н(М)ЦД</t>
  </si>
  <si>
    <t xml:space="preserve">Н(М)ЦД, определяемая методом сопоставимых рыночных цен (анализа рынка)</t>
  </si>
  <si>
    <t xml:space="preserve">Коммерческое предложение № 1 </t>
  </si>
  <si>
    <t xml:space="preserve">Коммерческое предложение № 2 </t>
  </si>
  <si>
    <r>
      <rPr>
        <b val="true"/>
        <sz val="10"/>
        <rFont val="Times New Roman"/>
        <family val="1"/>
        <charset val="204"/>
      </rPr>
      <t xml:space="preserve">Коммерческое предложение № 3</t>
    </r>
    <r>
      <rPr>
        <b val="true"/>
        <sz val="10"/>
        <color rgb="FFFF0000"/>
        <rFont val="Times New Roman"/>
        <family val="1"/>
        <charset val="204"/>
      </rPr>
      <t xml:space="preserve"> </t>
    </r>
  </si>
  <si>
    <r>
      <rPr>
        <b val="true"/>
        <sz val="10"/>
        <rFont val="Times New Roman"/>
        <family val="1"/>
        <charset val="204"/>
      </rPr>
      <t xml:space="preserve">Средняя арифметическая цена за единицу     &lt;</t>
    </r>
    <r>
      <rPr>
        <b val="true"/>
        <i val="true"/>
        <sz val="10"/>
        <rFont val="Times New Roman"/>
        <family val="1"/>
        <charset val="204"/>
      </rPr>
      <t xml:space="preserve">ц</t>
    </r>
    <r>
      <rPr>
        <b val="true"/>
        <sz val="10"/>
        <rFont val="Times New Roman"/>
        <family val="1"/>
        <charset val="204"/>
      </rPr>
      <t xml:space="preserve">&gt; </t>
    </r>
  </si>
  <si>
    <t xml:space="preserve">Среднее квадратичное отклонение</t>
  </si>
  <si>
    <r>
      <rPr>
        <b val="true"/>
        <sz val="10"/>
        <rFont val="Times New Roman"/>
        <family val="1"/>
        <charset val="204"/>
      </rPr>
      <t xml:space="preserve">коэффициент вариации цен V (%)           </t>
    </r>
    <r>
      <rPr>
        <i val="true"/>
        <sz val="10"/>
        <rFont val="Times New Roman"/>
        <family val="1"/>
        <charset val="204"/>
      </rPr>
      <t xml:space="preserve">         (не должен превышать 33%)</t>
    </r>
  </si>
  <si>
    <r>
      <rPr>
        <b val="true"/>
        <sz val="10"/>
        <rFont val="Times New Roman"/>
        <family val="1"/>
        <charset val="204"/>
      </rPr>
      <t xml:space="preserve">Расчет Н(М)ЦД по формуле</t>
    </r>
    <r>
      <rPr>
        <sz val="10"/>
        <rFont val="Times New Roman"/>
        <family val="1"/>
        <charset val="204"/>
      </rPr>
      <t xml:space="preserve">                                  v - количество (объем) закупаемого товара (работы, услуги);
n - количество значений, используемых в расчете;
i - номер источника ценовой информации;
     - цена единицы</t>
    </r>
  </si>
  <si>
    <t xml:space="preserve">Цена за единицу изм. (руб.)</t>
  </si>
  <si>
    <t xml:space="preserve">Цена за единицу изм. с округлением  до сотых долей после запятой (руб.)</t>
  </si>
  <si>
    <t xml:space="preserve">Н(М)ЦД, ЦДЕП договора с учетом округления цены за единицу (руб.)</t>
  </si>
  <si>
    <t xml:space="preserve">Бензин автомобильный АИ-92</t>
  </si>
  <si>
    <t xml:space="preserve">В соответствии с Техническим заданием </t>
  </si>
  <si>
    <t xml:space="preserve">л; дм3</t>
  </si>
  <si>
    <t xml:space="preserve">Бензин автомобильный АИ-95</t>
  </si>
  <si>
    <t xml:space="preserve">Дизельное топливо (зимнее)</t>
  </si>
  <si>
    <t xml:space="preserve">Максимальное значение цены договора, рублей:   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</si>
</sst>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.00_ ;[RED]\-#,##0.00\ "/>
    <numFmt numFmtId="167" formatCode="#,##0.00"/>
    <numFmt numFmtId="168" formatCode="#,##0.00000"/>
  </numFmts>
  <fonts count="12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6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10"/>
      <color rgb="FFFF0000"/>
      <name val="Times New Roman"/>
      <family val="1"/>
      <charset val="204"/>
    </font>
    <font>
      <b val="true"/>
      <i val="true"/>
      <sz val="10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 2" xfId="20"/>
  </cellStyles>
  <dxfs count="3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ont>
        <b val="1"/>
        <i val="0"/>
        <color rgb="FF000000"/>
      </font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wmf"/><Relationship Id="rId4" Type="http://schemas.openxmlformats.org/officeDocument/2006/relationships/image" Target="../media/image4.wmf"/><Relationship Id="rId5" Type="http://schemas.openxmlformats.org/officeDocument/2006/relationships/image" Target="../media/image5.wmf"/><Relationship Id="rId6" Type="http://schemas.openxmlformats.org/officeDocument/2006/relationships/image" Target="../media/image6.wmf"/><Relationship Id="rId7" Type="http://schemas.openxmlformats.org/officeDocument/2006/relationships/image" Target="../media/image7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28440</xdr:colOff>
      <xdr:row>6</xdr:row>
      <xdr:rowOff>1057320</xdr:rowOff>
    </xdr:from>
    <xdr:to>
      <xdr:col>10</xdr:col>
      <xdr:colOff>923400</xdr:colOff>
      <xdr:row>6</xdr:row>
      <xdr:rowOff>1533240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2407040" y="3876840"/>
          <a:ext cx="894960" cy="4759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9</xdr:col>
      <xdr:colOff>28440</xdr:colOff>
      <xdr:row>6</xdr:row>
      <xdr:rowOff>733320</xdr:rowOff>
    </xdr:from>
    <xdr:to>
      <xdr:col>9</xdr:col>
      <xdr:colOff>771120</xdr:colOff>
      <xdr:row>6</xdr:row>
      <xdr:rowOff>1161720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1349720" y="3552840"/>
          <a:ext cx="742680" cy="4284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11</xdr:col>
      <xdr:colOff>9360</xdr:colOff>
      <xdr:row>6</xdr:row>
      <xdr:rowOff>1743120</xdr:rowOff>
    </xdr:from>
    <xdr:to>
      <xdr:col>11</xdr:col>
      <xdr:colOff>1476000</xdr:colOff>
      <xdr:row>6</xdr:row>
      <xdr:rowOff>2133360</xdr:rowOff>
    </xdr:to>
    <xdr:pic>
      <xdr:nvPicPr>
        <xdr:cNvPr id="2" name="Picture 5" descr=""/>
        <xdr:cNvPicPr/>
      </xdr:nvPicPr>
      <xdr:blipFill>
        <a:blip r:embed="rId3"/>
        <a:stretch/>
      </xdr:blipFill>
      <xdr:spPr>
        <a:xfrm>
          <a:off x="13800960" y="4562640"/>
          <a:ext cx="1466640" cy="390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11</xdr:col>
      <xdr:colOff>162000</xdr:colOff>
      <xdr:row>6</xdr:row>
      <xdr:rowOff>1457280</xdr:rowOff>
    </xdr:from>
    <xdr:to>
      <xdr:col>11</xdr:col>
      <xdr:colOff>323640</xdr:colOff>
      <xdr:row>6</xdr:row>
      <xdr:rowOff>1676160</xdr:rowOff>
    </xdr:to>
    <xdr:pic>
      <xdr:nvPicPr>
        <xdr:cNvPr id="3" name="Picture 6" descr=""/>
        <xdr:cNvPicPr/>
      </xdr:nvPicPr>
      <xdr:blipFill>
        <a:blip r:embed="rId4"/>
        <a:stretch/>
      </xdr:blipFill>
      <xdr:spPr>
        <a:xfrm>
          <a:off x="13953600" y="4276800"/>
          <a:ext cx="161640" cy="2188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9</xdr:col>
      <xdr:colOff>28440</xdr:colOff>
      <xdr:row>6</xdr:row>
      <xdr:rowOff>733320</xdr:rowOff>
    </xdr:from>
    <xdr:to>
      <xdr:col>9</xdr:col>
      <xdr:colOff>771120</xdr:colOff>
      <xdr:row>6</xdr:row>
      <xdr:rowOff>1161720</xdr:rowOff>
    </xdr:to>
    <xdr:pic>
      <xdr:nvPicPr>
        <xdr:cNvPr id="4" name="Picture 2" descr=""/>
        <xdr:cNvPicPr/>
      </xdr:nvPicPr>
      <xdr:blipFill>
        <a:blip r:embed="rId5"/>
        <a:stretch/>
      </xdr:blipFill>
      <xdr:spPr>
        <a:xfrm>
          <a:off x="11349720" y="3552840"/>
          <a:ext cx="742680" cy="4284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11</xdr:col>
      <xdr:colOff>9360</xdr:colOff>
      <xdr:row>6</xdr:row>
      <xdr:rowOff>1743120</xdr:rowOff>
    </xdr:from>
    <xdr:to>
      <xdr:col>11</xdr:col>
      <xdr:colOff>1476000</xdr:colOff>
      <xdr:row>6</xdr:row>
      <xdr:rowOff>2133360</xdr:rowOff>
    </xdr:to>
    <xdr:pic>
      <xdr:nvPicPr>
        <xdr:cNvPr id="5" name="Picture 5" descr=""/>
        <xdr:cNvPicPr/>
      </xdr:nvPicPr>
      <xdr:blipFill>
        <a:blip r:embed="rId6"/>
        <a:stretch/>
      </xdr:blipFill>
      <xdr:spPr>
        <a:xfrm>
          <a:off x="13800960" y="4562640"/>
          <a:ext cx="1466640" cy="3902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11</xdr:col>
      <xdr:colOff>162000</xdr:colOff>
      <xdr:row>6</xdr:row>
      <xdr:rowOff>1457280</xdr:rowOff>
    </xdr:from>
    <xdr:to>
      <xdr:col>11</xdr:col>
      <xdr:colOff>323640</xdr:colOff>
      <xdr:row>6</xdr:row>
      <xdr:rowOff>1676160</xdr:rowOff>
    </xdr:to>
    <xdr:pic>
      <xdr:nvPicPr>
        <xdr:cNvPr id="6" name="Picture 6" descr=""/>
        <xdr:cNvPicPr/>
      </xdr:nvPicPr>
      <xdr:blipFill>
        <a:blip r:embed="rId7"/>
        <a:stretch/>
      </xdr:blipFill>
      <xdr:spPr>
        <a:xfrm>
          <a:off x="13953600" y="4276800"/>
          <a:ext cx="161640" cy="2188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B8" colorId="64" zoomScale="100" zoomScaleNormal="100" zoomScalePageLayoutView="100" workbookViewId="0">
      <selection pane="topLeft" activeCell="F23" activeCellId="0" sqref="F23"/>
    </sheetView>
  </sheetViews>
  <sheetFormatPr defaultColWidth="9.1171875" defaultRowHeight="12.75" zeroHeight="false" outlineLevelRow="0" outlineLevelCol="0"/>
  <cols>
    <col collapsed="false" customWidth="true" hidden="false" outlineLevel="0" max="1" min="1" style="1" width="5.55"/>
    <col collapsed="false" customWidth="true" hidden="false" outlineLevel="0" max="2" min="2" style="1" width="20.33"/>
    <col collapsed="false" customWidth="true" hidden="false" outlineLevel="0" max="3" min="3" style="1" width="27.45"/>
    <col collapsed="false" customWidth="true" hidden="false" outlineLevel="0" max="4" min="4" style="1" width="13.55"/>
    <col collapsed="false" customWidth="true" hidden="false" outlineLevel="0" max="5" min="5" style="1" width="8.55"/>
    <col collapsed="false" customWidth="true" hidden="false" outlineLevel="0" max="6" min="6" style="1" width="13.33"/>
    <col collapsed="false" customWidth="true" hidden="false" outlineLevel="0" max="7" min="7" style="1" width="13.66"/>
    <col collapsed="false" customWidth="true" hidden="false" outlineLevel="0" max="8" min="8" style="1" width="13.55"/>
    <col collapsed="false" customWidth="true" hidden="false" outlineLevel="0" max="9" min="9" style="1" width="11.33"/>
    <col collapsed="false" customWidth="true" hidden="false" outlineLevel="0" max="10" min="10" style="1" width="11.89"/>
    <col collapsed="false" customWidth="true" hidden="false" outlineLevel="0" max="11" min="11" style="1" width="15.89"/>
    <col collapsed="false" customWidth="true" hidden="false" outlineLevel="0" max="12" min="12" style="1" width="22.67"/>
    <col collapsed="false" customWidth="true" hidden="false" outlineLevel="0" max="13" min="13" style="2" width="14.66"/>
    <col collapsed="false" customWidth="true" hidden="false" outlineLevel="0" max="14" min="14" style="1" width="11.89"/>
    <col collapsed="false" customWidth="true" hidden="false" outlineLevel="0" max="15" min="15" style="1" width="16"/>
    <col collapsed="false" customWidth="false" hidden="false" outlineLevel="0" max="244" min="16" style="1" width="9.11"/>
    <col collapsed="false" customWidth="true" hidden="false" outlineLevel="0" max="245" min="245" style="1" width="3.11"/>
    <col collapsed="false" customWidth="true" hidden="false" outlineLevel="0" max="246" min="246" style="1" width="15.55"/>
    <col collapsed="false" customWidth="true" hidden="false" outlineLevel="0" max="247" min="247" style="1" width="55.11"/>
    <col collapsed="false" customWidth="true" hidden="false" outlineLevel="0" max="248" min="248" style="1" width="5.88"/>
    <col collapsed="false" customWidth="true" hidden="false" outlineLevel="0" max="249" min="249" style="1" width="6.88"/>
    <col collapsed="false" customWidth="true" hidden="false" outlineLevel="0" max="252" min="250" style="1" width="10.55"/>
    <col collapsed="false" customWidth="false" hidden="true" outlineLevel="0" max="259" min="253" style="1" width="9.14"/>
    <col collapsed="false" customWidth="true" hidden="false" outlineLevel="0" max="260" min="260" style="1" width="11.44"/>
    <col collapsed="false" customWidth="true" hidden="false" outlineLevel="0" max="261" min="261" style="1" width="12.55"/>
    <col collapsed="false" customWidth="true" hidden="false" outlineLevel="0" max="262" min="262" style="1" width="14"/>
    <col collapsed="false" customWidth="true" hidden="false" outlineLevel="0" max="263" min="263" style="1" width="22.44"/>
    <col collapsed="false" customWidth="true" hidden="false" outlineLevel="0" max="264" min="264" style="1" width="10.55"/>
    <col collapsed="false" customWidth="true" hidden="false" outlineLevel="0" max="265" min="265" style="1" width="9.44"/>
    <col collapsed="false" customWidth="true" hidden="false" outlineLevel="0" max="266" min="266" style="1" width="11.89"/>
    <col collapsed="false" customWidth="false" hidden="false" outlineLevel="0" max="500" min="267" style="1" width="9.11"/>
    <col collapsed="false" customWidth="true" hidden="false" outlineLevel="0" max="501" min="501" style="1" width="3.11"/>
    <col collapsed="false" customWidth="true" hidden="false" outlineLevel="0" max="502" min="502" style="1" width="15.55"/>
    <col collapsed="false" customWidth="true" hidden="false" outlineLevel="0" max="503" min="503" style="1" width="55.11"/>
    <col collapsed="false" customWidth="true" hidden="false" outlineLevel="0" max="504" min="504" style="1" width="5.88"/>
    <col collapsed="false" customWidth="true" hidden="false" outlineLevel="0" max="505" min="505" style="1" width="6.88"/>
    <col collapsed="false" customWidth="true" hidden="false" outlineLevel="0" max="508" min="506" style="1" width="10.55"/>
    <col collapsed="false" customWidth="false" hidden="true" outlineLevel="0" max="515" min="509" style="1" width="9.14"/>
    <col collapsed="false" customWidth="true" hidden="false" outlineLevel="0" max="516" min="516" style="1" width="11.44"/>
    <col collapsed="false" customWidth="true" hidden="false" outlineLevel="0" max="517" min="517" style="1" width="12.55"/>
    <col collapsed="false" customWidth="true" hidden="false" outlineLevel="0" max="518" min="518" style="1" width="14"/>
    <col collapsed="false" customWidth="true" hidden="false" outlineLevel="0" max="519" min="519" style="1" width="22.44"/>
    <col collapsed="false" customWidth="true" hidden="false" outlineLevel="0" max="520" min="520" style="1" width="10.55"/>
    <col collapsed="false" customWidth="true" hidden="false" outlineLevel="0" max="521" min="521" style="1" width="9.44"/>
    <col collapsed="false" customWidth="true" hidden="false" outlineLevel="0" max="522" min="522" style="1" width="11.89"/>
    <col collapsed="false" customWidth="false" hidden="false" outlineLevel="0" max="756" min="523" style="1" width="9.11"/>
    <col collapsed="false" customWidth="true" hidden="false" outlineLevel="0" max="757" min="757" style="1" width="3.11"/>
    <col collapsed="false" customWidth="true" hidden="false" outlineLevel="0" max="758" min="758" style="1" width="15.55"/>
    <col collapsed="false" customWidth="true" hidden="false" outlineLevel="0" max="759" min="759" style="1" width="55.11"/>
    <col collapsed="false" customWidth="true" hidden="false" outlineLevel="0" max="760" min="760" style="1" width="5.88"/>
    <col collapsed="false" customWidth="true" hidden="false" outlineLevel="0" max="761" min="761" style="1" width="6.88"/>
    <col collapsed="false" customWidth="true" hidden="false" outlineLevel="0" max="764" min="762" style="1" width="10.55"/>
    <col collapsed="false" customWidth="false" hidden="true" outlineLevel="0" max="771" min="765" style="1" width="9.14"/>
    <col collapsed="false" customWidth="true" hidden="false" outlineLevel="0" max="772" min="772" style="1" width="11.44"/>
    <col collapsed="false" customWidth="true" hidden="false" outlineLevel="0" max="773" min="773" style="1" width="12.55"/>
    <col collapsed="false" customWidth="true" hidden="false" outlineLevel="0" max="774" min="774" style="1" width="14"/>
    <col collapsed="false" customWidth="true" hidden="false" outlineLevel="0" max="775" min="775" style="1" width="22.44"/>
    <col collapsed="false" customWidth="true" hidden="false" outlineLevel="0" max="776" min="776" style="1" width="10.55"/>
    <col collapsed="false" customWidth="true" hidden="false" outlineLevel="0" max="777" min="777" style="1" width="9.44"/>
    <col collapsed="false" customWidth="true" hidden="false" outlineLevel="0" max="778" min="778" style="1" width="11.89"/>
    <col collapsed="false" customWidth="false" hidden="false" outlineLevel="0" max="1012" min="779" style="1" width="9.11"/>
    <col collapsed="false" customWidth="true" hidden="false" outlineLevel="0" max="1013" min="1013" style="1" width="3.11"/>
    <col collapsed="false" customWidth="true" hidden="false" outlineLevel="0" max="1014" min="1014" style="1" width="15.55"/>
    <col collapsed="false" customWidth="true" hidden="false" outlineLevel="0" max="1015" min="1015" style="1" width="55.11"/>
    <col collapsed="false" customWidth="true" hidden="false" outlineLevel="0" max="1016" min="1016" style="1" width="5.88"/>
    <col collapsed="false" customWidth="true" hidden="false" outlineLevel="0" max="1017" min="1017" style="1" width="6.88"/>
    <col collapsed="false" customWidth="true" hidden="false" outlineLevel="0" max="1020" min="1018" style="1" width="10.55"/>
    <col collapsed="false" customWidth="false" hidden="true" outlineLevel="0" max="1024" min="1021" style="1" width="9.14"/>
  </cols>
  <sheetData>
    <row r="1" customFormat="false" ht="27.75" hidden="true" customHeight="true" outlineLevel="0" collapsed="false">
      <c r="M1" s="3"/>
      <c r="N1" s="3"/>
      <c r="O1" s="3"/>
    </row>
    <row r="2" customFormat="false" ht="57.7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customFormat="false" ht="18" hidden="false" customHeight="true" outlineLevel="0" collapsed="false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customFormat="false" ht="33.75" hidden="false" customHeight="true" outlineLevel="0" collapsed="false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72" hidden="false" customHeight="true" outlineLevel="0" collapsed="false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customFormat="false" ht="40.5" hidden="false" customHeight="true" outlineLevel="0" collapsed="false">
      <c r="A6" s="8" t="s">
        <v>4</v>
      </c>
      <c r="B6" s="8" t="s">
        <v>5</v>
      </c>
      <c r="C6" s="8" t="s">
        <v>6</v>
      </c>
      <c r="D6" s="8" t="s">
        <v>7</v>
      </c>
      <c r="E6" s="9" t="s">
        <v>8</v>
      </c>
      <c r="F6" s="10" t="s">
        <v>9</v>
      </c>
      <c r="G6" s="10"/>
      <c r="H6" s="10"/>
      <c r="I6" s="11" t="s">
        <v>10</v>
      </c>
      <c r="J6" s="11"/>
      <c r="K6" s="11"/>
      <c r="L6" s="12" t="s">
        <v>11</v>
      </c>
      <c r="M6" s="12"/>
      <c r="N6" s="12"/>
      <c r="O6" s="12"/>
    </row>
    <row r="7" customFormat="false" ht="168" hidden="false" customHeight="true" outlineLevel="0" collapsed="false">
      <c r="A7" s="8"/>
      <c r="B7" s="8"/>
      <c r="C7" s="8"/>
      <c r="D7" s="8"/>
      <c r="E7" s="9"/>
      <c r="F7" s="8" t="s">
        <v>12</v>
      </c>
      <c r="G7" s="8" t="s">
        <v>13</v>
      </c>
      <c r="H7" s="8" t="s">
        <v>14</v>
      </c>
      <c r="I7" s="13" t="s">
        <v>15</v>
      </c>
      <c r="J7" s="13" t="s">
        <v>16</v>
      </c>
      <c r="K7" s="12" t="s">
        <v>17</v>
      </c>
      <c r="L7" s="12" t="s">
        <v>18</v>
      </c>
      <c r="M7" s="11" t="s">
        <v>19</v>
      </c>
      <c r="N7" s="12" t="s">
        <v>20</v>
      </c>
      <c r="O7" s="12" t="s">
        <v>21</v>
      </c>
    </row>
    <row r="8" s="22" customFormat="true" ht="39.75" hidden="false" customHeight="true" outlineLevel="0" collapsed="false">
      <c r="A8" s="12" t="n">
        <v>1</v>
      </c>
      <c r="B8" s="14" t="s">
        <v>22</v>
      </c>
      <c r="C8" s="14" t="s">
        <v>23</v>
      </c>
      <c r="D8" s="14" t="s">
        <v>24</v>
      </c>
      <c r="E8" s="14" t="n">
        <v>60000</v>
      </c>
      <c r="F8" s="15" t="n">
        <v>115</v>
      </c>
      <c r="G8" s="16" t="n">
        <v>97</v>
      </c>
      <c r="H8" s="16" t="n">
        <v>118</v>
      </c>
      <c r="I8" s="17" t="n">
        <f aca="false">AVERAGE(F8,G8,H8)</f>
        <v>110</v>
      </c>
      <c r="J8" s="17" t="n">
        <f aca="false">SQRT(VAR(F8:H8))</f>
        <v>11.3578166916005</v>
      </c>
      <c r="K8" s="18" t="n">
        <f aca="false">J8/I8*100</f>
        <v>10.325287901455</v>
      </c>
      <c r="L8" s="19" t="n">
        <f aca="false">E8*SUM(F8:H8)/COLUMNS(F8:H8)</f>
        <v>6600000</v>
      </c>
      <c r="M8" s="20" t="n">
        <f aca="false">L8/E8</f>
        <v>110</v>
      </c>
      <c r="N8" s="21" t="n">
        <f aca="false">ROUND(M8,2)</f>
        <v>110</v>
      </c>
      <c r="O8" s="21" t="n">
        <f aca="false">N8*E8</f>
        <v>6600000</v>
      </c>
    </row>
    <row r="9" s="22" customFormat="true" ht="39.75" hidden="false" customHeight="true" outlineLevel="0" collapsed="false">
      <c r="A9" s="12" t="n">
        <v>2</v>
      </c>
      <c r="B9" s="14" t="s">
        <v>25</v>
      </c>
      <c r="C9" s="14" t="s">
        <v>23</v>
      </c>
      <c r="D9" s="14" t="s">
        <v>24</v>
      </c>
      <c r="E9" s="14" t="n">
        <v>20000</v>
      </c>
      <c r="F9" s="15" t="n">
        <v>125</v>
      </c>
      <c r="G9" s="16" t="n">
        <v>103</v>
      </c>
      <c r="H9" s="16" t="n">
        <v>129</v>
      </c>
      <c r="I9" s="17" t="n">
        <f aca="false">AVERAGE(F9,G9,H9)</f>
        <v>119</v>
      </c>
      <c r="J9" s="17" t="n">
        <f aca="false">SQRT(VAR(F9:H9))</f>
        <v>14</v>
      </c>
      <c r="K9" s="18" t="n">
        <f aca="false">J9/I9*100</f>
        <v>11.7647058823529</v>
      </c>
      <c r="L9" s="19" t="n">
        <f aca="false">E9*SUM(F9:H9)/COLUMNS(F9:H9)</f>
        <v>2380000</v>
      </c>
      <c r="M9" s="20" t="n">
        <f aca="false">L9/E9</f>
        <v>119</v>
      </c>
      <c r="N9" s="21" t="n">
        <f aca="false">ROUND(M9,2)</f>
        <v>119</v>
      </c>
      <c r="O9" s="21" t="n">
        <f aca="false">N9*E9</f>
        <v>2380000</v>
      </c>
    </row>
    <row r="10" s="22" customFormat="true" ht="39.75" hidden="false" customHeight="true" outlineLevel="0" collapsed="false">
      <c r="A10" s="12" t="n">
        <v>3</v>
      </c>
      <c r="B10" s="14" t="s">
        <v>26</v>
      </c>
      <c r="C10" s="14" t="s">
        <v>23</v>
      </c>
      <c r="D10" s="14" t="s">
        <v>24</v>
      </c>
      <c r="E10" s="14" t="n">
        <v>30000</v>
      </c>
      <c r="F10" s="15" t="n">
        <v>115</v>
      </c>
      <c r="G10" s="16" t="n">
        <v>110</v>
      </c>
      <c r="H10" s="16" t="n">
        <v>147</v>
      </c>
      <c r="I10" s="17" t="n">
        <f aca="false">AVERAGE(F10,G10,H10)</f>
        <v>124</v>
      </c>
      <c r="J10" s="17" t="n">
        <f aca="false">SQRT(VAR(F10:H10))</f>
        <v>20.0748598998847</v>
      </c>
      <c r="K10" s="18" t="n">
        <f aca="false">J10/I10*100</f>
        <v>16.1894031450683</v>
      </c>
      <c r="L10" s="19" t="n">
        <f aca="false">E10*SUM(F10:H10)/COLUMNS(F10:H10)</f>
        <v>3720000</v>
      </c>
      <c r="M10" s="20" t="n">
        <f aca="false">L10/E10</f>
        <v>124</v>
      </c>
      <c r="N10" s="21" t="n">
        <f aca="false">ROUND(M10,2)</f>
        <v>124</v>
      </c>
      <c r="O10" s="21" t="n">
        <f aca="false">N10*E10</f>
        <v>3720000</v>
      </c>
    </row>
    <row r="11" customFormat="false" ht="41.25" hidden="false" customHeight="true" outlineLevel="0" collapsed="false">
      <c r="A11" s="23" t="s">
        <v>27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 t="n">
        <f aca="false">SUM(O8:O10)</f>
        <v>12700000</v>
      </c>
    </row>
  </sheetData>
  <autoFilter ref="A7:O8"/>
  <mergeCells count="14">
    <mergeCell ref="M1:O1"/>
    <mergeCell ref="A2:O2"/>
    <mergeCell ref="A3:O3"/>
    <mergeCell ref="A4:O4"/>
    <mergeCell ref="A5:O5"/>
    <mergeCell ref="A6:A7"/>
    <mergeCell ref="B6:B7"/>
    <mergeCell ref="C6:C7"/>
    <mergeCell ref="D6:D7"/>
    <mergeCell ref="E6:E7"/>
    <mergeCell ref="F6:H6"/>
    <mergeCell ref="I6:K6"/>
    <mergeCell ref="L6:O6"/>
    <mergeCell ref="A11:N11"/>
  </mergeCells>
  <conditionalFormatting sqref="K8:K10">
    <cfRule type="cellIs" priority="2" operator="greaterThan" aboveAverage="0" equalAverage="0" bottom="0" percent="0" rank="0" text="" dxfId="2">
      <formula>33</formula>
    </cfRule>
  </conditionalFormatting>
  <printOptions headings="false" gridLines="false" gridLinesSet="true" horizontalCentered="false" verticalCentered="false"/>
  <pageMargins left="0.315277777777778" right="0.196527777777778" top="0.275694444444444" bottom="0.747916666666667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dc:description/>
  <dc:language>ru-RU</dc:language>
  <cp:lastModifiedBy/>
  <dcterms:modified xsi:type="dcterms:W3CDTF">2026-08-17T06:08:28Z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