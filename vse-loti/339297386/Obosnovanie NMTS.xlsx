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ilestorage\Отдел снабжения\04_Волкова\Волкова О.С\БЮДЖЕТ 2026\2 ООО СамРЭК-Тепло Жигулевск\Стальная труба\"/>
    </mc:Choice>
  </mc:AlternateContent>
  <bookViews>
    <workbookView xWindow="0" yWindow="0" windowWidth="28800" windowHeight="12435"/>
  </bookViews>
  <sheets>
    <sheet name="Лист1" sheetId="1" r:id="rId1"/>
    <sheet name="Лист2" sheetId="2" r:id="rId2"/>
  </sheets>
  <definedNames>
    <definedName name="_xlnm._FilterDatabase" localSheetId="1" hidden="1">Лист2!$A$9:$L$16</definedName>
    <definedName name="_xlnm.Print_Area" localSheetId="1">Лист2!$A$1:$L$18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2" l="1"/>
  <c r="J11" i="2" l="1"/>
  <c r="J12" i="2"/>
  <c r="J13" i="2"/>
  <c r="J14" i="2"/>
  <c r="H11" i="2"/>
  <c r="H12" i="2"/>
  <c r="H13" i="2"/>
  <c r="H14" i="2"/>
  <c r="F14" i="2" l="1"/>
  <c r="K11" i="2" l="1"/>
  <c r="L11" i="2" s="1"/>
  <c r="K12" i="2"/>
  <c r="L12" i="2" s="1"/>
  <c r="K13" i="2"/>
  <c r="L13" i="2" s="1"/>
  <c r="K14" i="2"/>
  <c r="L14" i="2" s="1"/>
  <c r="K10" i="2"/>
  <c r="L10" i="2" s="1"/>
  <c r="J10" i="2"/>
  <c r="H10" i="2"/>
  <c r="H15" i="2" s="1"/>
  <c r="F11" i="2"/>
  <c r="F12" i="2"/>
  <c r="F13" i="2"/>
  <c r="F10" i="2"/>
  <c r="F15" i="2" l="1"/>
  <c r="L15" i="2"/>
  <c r="J15" i="2"/>
  <c r="J16" i="2"/>
  <c r="H16" i="2" l="1"/>
  <c r="F16" i="2" l="1"/>
  <c r="L16" i="2" l="1"/>
  <c r="F14" i="1"/>
  <c r="F13" i="1" s="1"/>
  <c r="E9" i="1" l="1"/>
</calcChain>
</file>

<file path=xl/sharedStrings.xml><?xml version="1.0" encoding="utf-8"?>
<sst xmlns="http://schemas.openxmlformats.org/spreadsheetml/2006/main" count="49" uniqueCount="35">
  <si>
    <t xml:space="preserve">Протокол </t>
  </si>
  <si>
    <t xml:space="preserve">обоснования начальной (максимальной) цены договора </t>
  </si>
  <si>
    <t xml:space="preserve">Наименование товаров, работ, услуг                                                               </t>
  </si>
  <si>
    <t>Обоснование</t>
  </si>
  <si>
    <t>Цена предложения за единицу продукции, указанная в источнике №1, (руб.)</t>
  </si>
  <si>
    <t>НМЦ договора (руб.)</t>
  </si>
  <si>
    <t>Цена предложения за единицу продукции, указанная в источнике №3, (руб.)</t>
  </si>
  <si>
    <t>Ед. изм.</t>
  </si>
  <si>
    <t>Кол-во ед.</t>
  </si>
  <si>
    <t xml:space="preserve">Наименование товара                                                             </t>
  </si>
  <si>
    <t>Ср. арифм. величина цены за единицу, руб</t>
  </si>
  <si>
    <t>№ п/п</t>
  </si>
  <si>
    <t>НМЦ лота (договора) , руб.</t>
  </si>
  <si>
    <t xml:space="preserve">Начальная (максимальная) цена договора (ЛОТ №1), руб.: </t>
  </si>
  <si>
    <t>ИТОГО:</t>
  </si>
  <si>
    <t>Цена предложения за единицу продукции, указанная в источнике №2, (руб.)</t>
  </si>
  <si>
    <t>Цена за единицу</t>
  </si>
  <si>
    <t>Сумма</t>
  </si>
  <si>
    <t>Начальник отдела закупок и снабжения</t>
  </si>
  <si>
    <t>Гришков М.В.</t>
  </si>
  <si>
    <t>т</t>
  </si>
  <si>
    <t>начальной (максимальной) цены договора на поставку стальных труб</t>
  </si>
  <si>
    <t xml:space="preserve">на поставку стальных труб
</t>
  </si>
  <si>
    <t>Поставка стальных труб</t>
  </si>
  <si>
    <t xml:space="preserve"> "     "          2026 г.</t>
  </si>
  <si>
    <r>
      <t>В соответствии с Положением о закупке товаров, работ, услуг ООО</t>
    </r>
    <r>
      <rPr>
        <sz val="12"/>
        <color rgb="FF000000"/>
        <rFont val="Times New Roman"/>
        <family val="1"/>
        <charset val="204"/>
      </rPr>
      <t xml:space="preserve"> «СамРЭК-Тепло Жигулевск» </t>
    </r>
    <r>
      <rPr>
        <sz val="12"/>
        <color theme="1"/>
        <rFont val="Times New Roman"/>
        <family val="1"/>
        <charset val="204"/>
      </rPr>
      <t>(далее - Положение о закупке) для обоснования начальной (максимальной) цены договора на поставку стальных труб был использован метод сопоставимых рыночных цен (анализ рынка), проведен анализ информации, предоставленных компаниями поставщиками, о цене поставляемого товара в соответствии с техническим заданием (таблица №1).</t>
    </r>
  </si>
  <si>
    <t>КП № 178 от 05.08.2026</t>
  </si>
  <si>
    <t>Труба стальная электросварная прямошовная  76х4мм  ГОСТ 10704-91 (Сталь 20 ГОСТ 1050-2013)</t>
  </si>
  <si>
    <t xml:space="preserve">т </t>
  </si>
  <si>
    <t>Труба стальная электросварная прямошовная  89х4мм ГОСТ 10704-91 Сталь 20 (Сталь 20 ГОСТ 1050-2013)</t>
  </si>
  <si>
    <t>Труба стальная электросварная прямошовная Ду 108х6мм ГОСТ 10704-91 Сталь 20 (Сталь 20 ГОСТ 1050-2013)</t>
  </si>
  <si>
    <t>Труба стальная электросварная прямошовная 219х8мм ГОСТ 10704-91 Сталь 20 (Сталь 20 ГОСТ 1050-2013)</t>
  </si>
  <si>
    <t>Труба стальная электросварная прямошовная 325х10мм ГОСТ 10704-91 Сталь 20 (Сталь 20 ГОСТ 1050-2013)</t>
  </si>
  <si>
    <t xml:space="preserve">КП № 32 от 05.08.2026 </t>
  </si>
  <si>
    <t>КП № 55 от 05.08.2026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</si>
</sst>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0.00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1"/>
    </xf>
    <xf numFmtId="0" fontId="3" fillId="0" borderId="0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Fill="1"/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0" fillId="0" borderId="0" xfId="0" applyFill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4" fontId="12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/>
    <xf numFmtId="0" fontId="9" fillId="0" borderId="0" xfId="0" applyFont="1" applyBorder="1" applyAlignment="1">
      <alignment vertical="center" wrapText="1"/>
    </xf>
    <xf numFmtId="4" fontId="9" fillId="0" borderId="0" xfId="0" applyNumberFormat="1" applyFont="1" applyBorder="1" applyAlignment="1">
      <alignment horizontal="center" vertical="center" wrapText="1"/>
    </xf>
    <xf numFmtId="4" fontId="9" fillId="0" borderId="0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8" fillId="0" borderId="7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165" fontId="8" fillId="2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2" fontId="9" fillId="0" borderId="7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top" wrapText="1"/>
    </xf>
    <xf numFmtId="0" fontId="11" fillId="0" borderId="4" xfId="0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/>
    <xf numFmtId="0" fontId="6" fillId="3" borderId="0" xfId="0" applyFont="1" applyFill="1" applyBorder="1"/>
    <xf numFmtId="0" fontId="6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4">
    <cellStyle name="Обычный" xfId="0" builtinId="0"/>
    <cellStyle name="Обычный 3" xfId="1"/>
    <cellStyle name="Финансовый 3" xfId="2"/>
    <cellStyle name="Финансовый 4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tabSelected="1" view="pageBreakPreview" zoomScaleNormal="100" zoomScaleSheetLayoutView="100" workbookViewId="0">
      <selection activeCell="B14" sqref="B14:E14"/>
    </sheetView>
  </sheetViews>
  <sheetFormatPr defaultRowHeight="15" x14ac:dyDescent="0.25"/>
  <cols>
    <col min="1" max="1" width="2" customWidth="1"/>
    <col min="2" max="2" width="10.7109375" customWidth="1"/>
    <col min="3" max="3" width="28.140625" customWidth="1"/>
    <col min="4" max="4" width="12" customWidth="1"/>
    <col min="5" max="5" width="11.7109375" customWidth="1"/>
    <col min="6" max="6" width="21.85546875" customWidth="1"/>
    <col min="9" max="9" width="13.5703125" customWidth="1"/>
    <col min="10" max="10" width="14.28515625" customWidth="1"/>
  </cols>
  <sheetData>
    <row r="1" spans="2:9" ht="9" customHeight="1" x14ac:dyDescent="0.25"/>
    <row r="2" spans="2:9" ht="15.75" x14ac:dyDescent="0.25">
      <c r="B2" s="54" t="s">
        <v>0</v>
      </c>
      <c r="C2" s="54"/>
      <c r="D2" s="54"/>
      <c r="E2" s="54"/>
      <c r="F2" s="54"/>
    </row>
    <row r="3" spans="2:9" ht="26.25" customHeight="1" x14ac:dyDescent="0.25">
      <c r="B3" s="54" t="s">
        <v>1</v>
      </c>
      <c r="C3" s="54"/>
      <c r="D3" s="54"/>
      <c r="E3" s="54"/>
      <c r="F3" s="54"/>
    </row>
    <row r="4" spans="2:9" ht="25.5" customHeight="1" x14ac:dyDescent="0.25">
      <c r="B4" s="55" t="s">
        <v>22</v>
      </c>
      <c r="C4" s="55"/>
      <c r="D4" s="55"/>
      <c r="E4" s="55"/>
      <c r="F4" s="55"/>
    </row>
    <row r="5" spans="2:9" ht="5.25" customHeight="1" x14ac:dyDescent="0.25"/>
    <row r="6" spans="2:9" ht="15.75" x14ac:dyDescent="0.25">
      <c r="B6" s="1" t="s">
        <v>24</v>
      </c>
      <c r="C6" s="1"/>
    </row>
    <row r="7" spans="2:9" ht="7.5" customHeight="1" x14ac:dyDescent="0.25"/>
    <row r="8" spans="2:9" ht="135" customHeight="1" x14ac:dyDescent="0.25">
      <c r="B8" s="56" t="s">
        <v>25</v>
      </c>
      <c r="C8" s="56"/>
      <c r="D8" s="56"/>
      <c r="E8" s="56"/>
      <c r="F8" s="56"/>
      <c r="G8" s="2"/>
      <c r="H8" s="2"/>
      <c r="I8" s="2"/>
    </row>
    <row r="9" spans="2:9" s="7" customFormat="1" ht="49.5" customHeight="1" x14ac:dyDescent="0.25">
      <c r="B9" s="50" t="s">
        <v>13</v>
      </c>
      <c r="C9" s="50"/>
      <c r="D9" s="50"/>
      <c r="E9" s="58">
        <f>F14</f>
        <v>1120233</v>
      </c>
      <c r="F9" s="58"/>
      <c r="G9" s="2"/>
      <c r="H9" s="2"/>
      <c r="I9" s="2"/>
    </row>
    <row r="10" spans="2:9" ht="23.25" customHeight="1" x14ac:dyDescent="0.25">
      <c r="E10" s="57"/>
      <c r="F10" s="57"/>
    </row>
    <row r="11" spans="2:9" ht="30" x14ac:dyDescent="0.25">
      <c r="B11" s="19" t="s">
        <v>11</v>
      </c>
      <c r="C11" s="20" t="s">
        <v>2</v>
      </c>
      <c r="D11" s="20" t="s">
        <v>7</v>
      </c>
      <c r="E11" s="20" t="s">
        <v>8</v>
      </c>
      <c r="F11" s="20" t="s">
        <v>12</v>
      </c>
    </row>
    <row r="12" spans="2:9" x14ac:dyDescent="0.25">
      <c r="B12" s="19">
        <v>1</v>
      </c>
      <c r="C12" s="19">
        <v>2</v>
      </c>
      <c r="D12" s="19">
        <v>3</v>
      </c>
      <c r="E12" s="19">
        <v>4</v>
      </c>
      <c r="F12" s="19">
        <v>5</v>
      </c>
    </row>
    <row r="13" spans="2:9" ht="81.75" customHeight="1" x14ac:dyDescent="0.25">
      <c r="B13" s="23">
        <v>1</v>
      </c>
      <c r="C13" s="24" t="s">
        <v>23</v>
      </c>
      <c r="D13" s="44" t="s">
        <v>20</v>
      </c>
      <c r="E13" s="44">
        <v>13.099</v>
      </c>
      <c r="F13" s="28">
        <f>F14</f>
        <v>1120233</v>
      </c>
    </row>
    <row r="14" spans="2:9" ht="21" customHeight="1" x14ac:dyDescent="0.25">
      <c r="B14" s="51" t="s">
        <v>14</v>
      </c>
      <c r="C14" s="52"/>
      <c r="D14" s="52"/>
      <c r="E14" s="53"/>
      <c r="F14" s="21">
        <f>Лист2!L15</f>
        <v>1120233</v>
      </c>
    </row>
    <row r="15" spans="2:9" ht="29.25" customHeight="1" x14ac:dyDescent="0.25"/>
    <row r="16" spans="2:9" ht="47.25" customHeight="1" x14ac:dyDescent="0.25">
      <c r="B16" s="50" t="s">
        <v>18</v>
      </c>
      <c r="C16" s="50"/>
      <c r="F16" s="5" t="s">
        <v>19</v>
      </c>
    </row>
  </sheetData>
  <mergeCells count="9">
    <mergeCell ref="B16:C16"/>
    <mergeCell ref="B14:E14"/>
    <mergeCell ref="B2:F2"/>
    <mergeCell ref="B3:F3"/>
    <mergeCell ref="B4:F4"/>
    <mergeCell ref="B9:D9"/>
    <mergeCell ref="B8:F8"/>
    <mergeCell ref="E10:F10"/>
    <mergeCell ref="E9:F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view="pageBreakPreview" zoomScaleNormal="100" zoomScaleSheetLayoutView="100" workbookViewId="0">
      <pane ySplit="8" topLeftCell="A9" activePane="bottomLeft" state="frozen"/>
      <selection pane="bottomLeft" activeCell="N20" sqref="N20"/>
    </sheetView>
  </sheetViews>
  <sheetFormatPr defaultRowHeight="15" x14ac:dyDescent="0.25"/>
  <cols>
    <col min="1" max="1" width="8.28515625" style="37" customWidth="1"/>
    <col min="2" max="2" width="29.42578125" style="30" customWidth="1"/>
    <col min="3" max="3" width="5.85546875" style="30" customWidth="1"/>
    <col min="4" max="4" width="5" customWidth="1"/>
    <col min="5" max="5" width="10.42578125" style="18" customWidth="1"/>
    <col min="6" max="6" width="14.140625" style="18" customWidth="1"/>
    <col min="7" max="7" width="11.5703125" customWidth="1"/>
    <col min="8" max="8" width="13.85546875" style="18" customWidth="1"/>
    <col min="9" max="9" width="11.140625" style="18" customWidth="1"/>
    <col min="10" max="10" width="12.28515625" style="18" customWidth="1"/>
    <col min="11" max="11" width="12.7109375" customWidth="1"/>
    <col min="12" max="12" width="14.7109375" customWidth="1"/>
    <col min="13" max="13" width="10" bestFit="1" customWidth="1"/>
  </cols>
  <sheetData>
    <row r="1" spans="1:13" ht="6.75" customHeight="1" x14ac:dyDescent="0.25">
      <c r="A1" s="35"/>
      <c r="D1" s="9"/>
      <c r="E1" s="15"/>
      <c r="F1" s="15"/>
      <c r="G1" s="9"/>
      <c r="H1" s="15"/>
      <c r="I1" s="15"/>
      <c r="J1" s="15"/>
      <c r="K1" s="9"/>
      <c r="L1" s="9"/>
      <c r="M1" s="9"/>
    </row>
    <row r="2" spans="1:13" x14ac:dyDescent="0.25">
      <c r="A2" s="59" t="s">
        <v>3</v>
      </c>
      <c r="B2" s="59"/>
      <c r="C2" s="59"/>
      <c r="D2" s="59"/>
      <c r="E2" s="59"/>
      <c r="F2" s="60"/>
      <c r="G2" s="59"/>
      <c r="H2" s="59"/>
      <c r="I2" s="59"/>
      <c r="J2" s="59"/>
      <c r="K2" s="59"/>
      <c r="L2" s="59"/>
      <c r="M2" s="9"/>
    </row>
    <row r="3" spans="1:13" s="8" customFormat="1" ht="15" customHeight="1" x14ac:dyDescent="0.25">
      <c r="A3" s="61" t="s">
        <v>21</v>
      </c>
      <c r="B3" s="61"/>
      <c r="C3" s="61"/>
      <c r="D3" s="61"/>
      <c r="E3" s="61"/>
      <c r="F3" s="62"/>
      <c r="G3" s="61"/>
      <c r="H3" s="61"/>
      <c r="I3" s="61"/>
      <c r="J3" s="61"/>
      <c r="K3" s="61"/>
      <c r="L3" s="61"/>
      <c r="M3" s="10"/>
    </row>
    <row r="4" spans="1:13" ht="3.75" customHeight="1" x14ac:dyDescent="0.25">
      <c r="A4" s="11"/>
      <c r="D4" s="9"/>
      <c r="E4" s="15"/>
      <c r="F4" s="15"/>
      <c r="G4" s="9"/>
      <c r="H4" s="15"/>
      <c r="I4" s="15"/>
      <c r="J4" s="15"/>
      <c r="K4" s="9"/>
      <c r="L4" s="9"/>
      <c r="M4" s="9"/>
    </row>
    <row r="5" spans="1:13" ht="5.25" customHeight="1" x14ac:dyDescent="0.25">
      <c r="A5" s="64"/>
      <c r="B5" s="64"/>
      <c r="C5" s="64"/>
      <c r="D5" s="64"/>
      <c r="E5" s="64"/>
      <c r="F5" s="65"/>
      <c r="G5" s="64"/>
      <c r="H5" s="64"/>
      <c r="I5" s="64"/>
      <c r="J5" s="64"/>
      <c r="K5" s="64"/>
      <c r="L5" s="64"/>
      <c r="M5" s="4"/>
    </row>
    <row r="6" spans="1:13" ht="89.25" customHeight="1" x14ac:dyDescent="0.25">
      <c r="A6" s="70" t="s">
        <v>11</v>
      </c>
      <c r="B6" s="73" t="s">
        <v>9</v>
      </c>
      <c r="C6" s="73" t="s">
        <v>7</v>
      </c>
      <c r="D6" s="73" t="s">
        <v>8</v>
      </c>
      <c r="E6" s="68" t="s">
        <v>4</v>
      </c>
      <c r="F6" s="69"/>
      <c r="G6" s="77" t="s">
        <v>15</v>
      </c>
      <c r="H6" s="78"/>
      <c r="I6" s="68" t="s">
        <v>6</v>
      </c>
      <c r="J6" s="76"/>
      <c r="K6" s="73" t="s">
        <v>10</v>
      </c>
      <c r="L6" s="73" t="s">
        <v>5</v>
      </c>
      <c r="M6" s="4"/>
    </row>
    <row r="7" spans="1:13" ht="29.25" customHeight="1" x14ac:dyDescent="0.25">
      <c r="A7" s="71"/>
      <c r="B7" s="74"/>
      <c r="C7" s="74"/>
      <c r="D7" s="74"/>
      <c r="E7" s="68" t="s">
        <v>26</v>
      </c>
      <c r="F7" s="76"/>
      <c r="G7" s="68" t="s">
        <v>33</v>
      </c>
      <c r="H7" s="76"/>
      <c r="I7" s="68" t="s">
        <v>34</v>
      </c>
      <c r="J7" s="76"/>
      <c r="K7" s="74"/>
      <c r="L7" s="74"/>
      <c r="M7" s="4"/>
    </row>
    <row r="8" spans="1:13" ht="27.75" customHeight="1" x14ac:dyDescent="0.25">
      <c r="A8" s="72"/>
      <c r="B8" s="75"/>
      <c r="C8" s="75"/>
      <c r="D8" s="75"/>
      <c r="E8" s="16" t="s">
        <v>16</v>
      </c>
      <c r="F8" s="16" t="s">
        <v>17</v>
      </c>
      <c r="G8" s="16" t="s">
        <v>16</v>
      </c>
      <c r="H8" s="16" t="s">
        <v>17</v>
      </c>
      <c r="I8" s="16" t="s">
        <v>16</v>
      </c>
      <c r="J8" s="16" t="s">
        <v>17</v>
      </c>
      <c r="K8" s="75"/>
      <c r="L8" s="75"/>
      <c r="M8" s="4"/>
    </row>
    <row r="9" spans="1:13" x14ac:dyDescent="0.25">
      <c r="A9" s="13">
        <v>1</v>
      </c>
      <c r="B9" s="29">
        <v>2</v>
      </c>
      <c r="C9" s="26">
        <v>3</v>
      </c>
      <c r="D9" s="27">
        <v>4</v>
      </c>
      <c r="E9" s="16">
        <v>5</v>
      </c>
      <c r="F9" s="16">
        <v>6</v>
      </c>
      <c r="G9" s="14">
        <v>7</v>
      </c>
      <c r="H9" s="16">
        <v>8</v>
      </c>
      <c r="I9" s="16">
        <v>9</v>
      </c>
      <c r="J9" s="16">
        <v>10</v>
      </c>
      <c r="K9" s="14">
        <v>11</v>
      </c>
      <c r="L9" s="14">
        <v>12</v>
      </c>
      <c r="M9" s="4"/>
    </row>
    <row r="10" spans="1:13" ht="38.25" x14ac:dyDescent="0.25">
      <c r="A10" s="25">
        <v>1</v>
      </c>
      <c r="B10" s="45" t="s">
        <v>27</v>
      </c>
      <c r="C10" s="26" t="s">
        <v>20</v>
      </c>
      <c r="D10" s="46">
        <v>0.59799999999999998</v>
      </c>
      <c r="E10" s="38">
        <v>75500</v>
      </c>
      <c r="F10" s="38">
        <f>D10*E10</f>
        <v>45149</v>
      </c>
      <c r="G10" s="40">
        <v>80000</v>
      </c>
      <c r="H10" s="39">
        <f>D10*G10</f>
        <v>47840</v>
      </c>
      <c r="I10" s="39">
        <v>78000</v>
      </c>
      <c r="J10" s="39">
        <f>D10*I10</f>
        <v>46644</v>
      </c>
      <c r="K10" s="40">
        <f>(E10+G10+I10)/3</f>
        <v>77833.333333333328</v>
      </c>
      <c r="L10" s="40">
        <f>D10*K10</f>
        <v>46544.333333333328</v>
      </c>
      <c r="M10" s="4"/>
    </row>
    <row r="11" spans="1:13" ht="51" x14ac:dyDescent="0.25">
      <c r="A11" s="25">
        <v>2</v>
      </c>
      <c r="B11" s="45" t="s">
        <v>29</v>
      </c>
      <c r="C11" s="26" t="s">
        <v>20</v>
      </c>
      <c r="D11" s="47">
        <v>0.70599999999999996</v>
      </c>
      <c r="E11" s="38">
        <v>75500</v>
      </c>
      <c r="F11" s="38">
        <f t="shared" ref="F11:F14" si="0">D11*E11</f>
        <v>53303</v>
      </c>
      <c r="G11" s="39">
        <v>80000</v>
      </c>
      <c r="H11" s="39">
        <f t="shared" ref="H11:H14" si="1">D11*G11</f>
        <v>56480</v>
      </c>
      <c r="I11" s="39">
        <v>78000</v>
      </c>
      <c r="J11" s="39">
        <f t="shared" ref="J11:J14" si="2">D11*I11</f>
        <v>55068</v>
      </c>
      <c r="K11" s="39">
        <f t="shared" ref="K11:K14" si="3">(E11+G11+I11)/3</f>
        <v>77833.333333333328</v>
      </c>
      <c r="L11" s="40">
        <f t="shared" ref="L11:L14" si="4">D11*K11</f>
        <v>54950.333333333328</v>
      </c>
      <c r="M11" s="4"/>
    </row>
    <row r="12" spans="1:13" ht="51" x14ac:dyDescent="0.25">
      <c r="A12" s="25">
        <v>3</v>
      </c>
      <c r="B12" s="45" t="s">
        <v>30</v>
      </c>
      <c r="C12" s="26" t="s">
        <v>28</v>
      </c>
      <c r="D12" s="46">
        <v>1.27</v>
      </c>
      <c r="E12" s="38">
        <v>76500</v>
      </c>
      <c r="F12" s="38">
        <f t="shared" si="0"/>
        <v>97155</v>
      </c>
      <c r="G12" s="40">
        <v>79000</v>
      </c>
      <c r="H12" s="39">
        <f t="shared" si="1"/>
        <v>100330</v>
      </c>
      <c r="I12" s="39">
        <v>78000</v>
      </c>
      <c r="J12" s="39">
        <f t="shared" si="2"/>
        <v>99060</v>
      </c>
      <c r="K12" s="40">
        <f t="shared" si="3"/>
        <v>77833.333333333328</v>
      </c>
      <c r="L12" s="40">
        <f t="shared" si="4"/>
        <v>98848.333333333328</v>
      </c>
      <c r="M12" s="4"/>
    </row>
    <row r="13" spans="1:13" ht="51" x14ac:dyDescent="0.25">
      <c r="A13" s="25">
        <v>4</v>
      </c>
      <c r="B13" s="45" t="s">
        <v>31</v>
      </c>
      <c r="C13" s="26" t="s">
        <v>28</v>
      </c>
      <c r="D13" s="46">
        <v>3.9980000000000002</v>
      </c>
      <c r="E13" s="38">
        <v>84000</v>
      </c>
      <c r="F13" s="38">
        <f t="shared" si="0"/>
        <v>335832</v>
      </c>
      <c r="G13" s="40">
        <v>86000</v>
      </c>
      <c r="H13" s="39">
        <f t="shared" si="1"/>
        <v>343828</v>
      </c>
      <c r="I13" s="39">
        <v>86000</v>
      </c>
      <c r="J13" s="39">
        <f t="shared" si="2"/>
        <v>343828</v>
      </c>
      <c r="K13" s="40">
        <f t="shared" si="3"/>
        <v>85333.333333333328</v>
      </c>
      <c r="L13" s="40">
        <f t="shared" si="4"/>
        <v>341162.66666666669</v>
      </c>
      <c r="M13" s="4"/>
    </row>
    <row r="14" spans="1:13" ht="51" x14ac:dyDescent="0.25">
      <c r="A14" s="25">
        <v>5</v>
      </c>
      <c r="B14" s="45" t="s">
        <v>32</v>
      </c>
      <c r="C14" s="26" t="s">
        <v>20</v>
      </c>
      <c r="D14" s="46">
        <v>6.5270000000000001</v>
      </c>
      <c r="E14" s="38">
        <v>87000</v>
      </c>
      <c r="F14" s="38">
        <f t="shared" si="0"/>
        <v>567849</v>
      </c>
      <c r="G14" s="40">
        <v>90000</v>
      </c>
      <c r="H14" s="39">
        <f t="shared" si="1"/>
        <v>587430</v>
      </c>
      <c r="I14" s="39">
        <v>89000</v>
      </c>
      <c r="J14" s="39">
        <f t="shared" si="2"/>
        <v>580903</v>
      </c>
      <c r="K14" s="40">
        <f t="shared" si="3"/>
        <v>88666.666666666672</v>
      </c>
      <c r="L14" s="40">
        <f t="shared" si="4"/>
        <v>578727.33333333337</v>
      </c>
      <c r="M14" s="4"/>
    </row>
    <row r="15" spans="1:13" x14ac:dyDescent="0.25">
      <c r="A15" s="41" t="s">
        <v>14</v>
      </c>
      <c r="B15" s="42"/>
      <c r="C15" s="42"/>
      <c r="D15" s="42"/>
      <c r="E15" s="42"/>
      <c r="F15" s="48">
        <f>SUM(F10:F14)</f>
        <v>1099288</v>
      </c>
      <c r="G15" s="34"/>
      <c r="H15" s="34">
        <f>SUM(H10:H14)</f>
        <v>1135908</v>
      </c>
      <c r="I15" s="43"/>
      <c r="J15" s="34">
        <f>SUM(J10:J14)</f>
        <v>1125503</v>
      </c>
      <c r="K15" s="43"/>
      <c r="L15" s="34">
        <f>SUM(L10:L14)</f>
        <v>1120233</v>
      </c>
      <c r="M15" s="49">
        <f>(F15+H15+J15)/3</f>
        <v>1120233</v>
      </c>
    </row>
    <row r="16" spans="1:13" hidden="1" x14ac:dyDescent="0.25">
      <c r="A16" s="36"/>
      <c r="B16" s="31"/>
      <c r="C16" s="31"/>
      <c r="D16" s="31"/>
      <c r="E16" s="31"/>
      <c r="F16" s="33" t="e">
        <f>SUM(#REF!)</f>
        <v>#REF!</v>
      </c>
      <c r="G16" s="31"/>
      <c r="H16" s="33" t="e">
        <f>SUM(#REF!)</f>
        <v>#REF!</v>
      </c>
      <c r="I16" s="31"/>
      <c r="J16" s="33" t="e">
        <f>SUM(#REF!)</f>
        <v>#REF!</v>
      </c>
      <c r="K16" s="31"/>
      <c r="L16" s="32" t="e">
        <f>(F16+H16+J16)/3</f>
        <v>#REF!</v>
      </c>
      <c r="M16" s="4"/>
    </row>
    <row r="17" spans="1:14" ht="15.75" customHeight="1" x14ac:dyDescent="0.25">
      <c r="A17" s="35"/>
      <c r="D17" s="9"/>
      <c r="E17" s="22"/>
      <c r="F17" s="22"/>
      <c r="G17" s="4"/>
      <c r="H17" s="4"/>
      <c r="I17" s="4"/>
      <c r="J17" s="4"/>
      <c r="K17" s="4"/>
      <c r="L17" s="4"/>
      <c r="M17" s="4"/>
    </row>
    <row r="18" spans="1:14" ht="28.5" customHeight="1" x14ac:dyDescent="0.25">
      <c r="A18" s="63" t="s">
        <v>18</v>
      </c>
      <c r="B18" s="63"/>
      <c r="C18" s="63"/>
      <c r="D18" s="63"/>
      <c r="E18" s="17"/>
      <c r="F18" s="17"/>
      <c r="G18" s="4"/>
      <c r="H18" s="17"/>
      <c r="I18" s="17"/>
      <c r="J18" s="17"/>
      <c r="K18" s="66" t="s">
        <v>19</v>
      </c>
      <c r="L18" s="67"/>
      <c r="M18" s="12"/>
      <c r="N18" s="6"/>
    </row>
    <row r="19" spans="1:14" ht="15.75" x14ac:dyDescent="0.25">
      <c r="A19" s="3"/>
    </row>
  </sheetData>
  <autoFilter ref="A9:L16"/>
  <mergeCells count="17">
    <mergeCell ref="G7:H7"/>
    <mergeCell ref="A2:L2"/>
    <mergeCell ref="A3:L3"/>
    <mergeCell ref="A18:D18"/>
    <mergeCell ref="A5:L5"/>
    <mergeCell ref="K18:L18"/>
    <mergeCell ref="E6:F6"/>
    <mergeCell ref="A6:A8"/>
    <mergeCell ref="B6:B8"/>
    <mergeCell ref="I6:J6"/>
    <mergeCell ref="I7:J7"/>
    <mergeCell ref="K6:K8"/>
    <mergeCell ref="L6:L8"/>
    <mergeCell ref="C6:C8"/>
    <mergeCell ref="D6:D8"/>
    <mergeCell ref="E7:F7"/>
    <mergeCell ref="G6:H6"/>
  </mergeCells>
  <pageMargins left="0.19685039370078741" right="0.19685039370078741" top="0.39370078740157483" bottom="0.39370078740157483" header="0.31496062992125984" footer="0.31496062992125984"/>
  <pageSetup paperSize="9"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Лист2!Область_печати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Дубошина М.А.</dc:creator>
  <cp:lastModifiedBy>User</cp:lastModifiedBy>
  <cp:lastPrinted>2022-05-06T10:20:43Z</cp:lastPrinted>
  <dcterms:created xsi:type="dcterms:W3CDTF">2017-08-07T06:56:36Z</dcterms:created>
  <dcterms:modified xsi:type="dcterms:W3CDTF">2026-08-05T09:34:18Z</dcterms:modified>
</cp:coreProperties>
</file>