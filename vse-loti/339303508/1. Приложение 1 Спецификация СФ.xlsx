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5200" windowHeight="11850"/>
  </bookViews>
  <sheets>
    <sheet name="Лист1" sheetId="1" r:id="rId1"/>
  </sheets>
  <definedNames>
    <definedName name="_xlnm.Print_Titles" localSheetId="0">Лист1!$8:$9</definedName>
    <definedName name="_xlnm.Print_Area" localSheetId="0">Лист1!$B$1:$M$33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2" i="1" l="1"/>
  <c r="E13" i="1"/>
  <c r="E14" i="1"/>
  <c r="E15" i="1"/>
  <c r="E16" i="1"/>
  <c r="E17" i="1"/>
  <c r="E18" i="1"/>
  <c r="E19" i="1"/>
  <c r="E20" i="1"/>
  <c r="E21" i="1"/>
  <c r="E22" i="1"/>
  <c r="E11" i="1"/>
  <c r="G23" i="1" l="1"/>
  <c r="F23" i="1" l="1"/>
  <c r="E23" i="1"/>
</calcChain>
</file>

<file path=xl/sharedStrings.xml><?xml version="1.0" encoding="utf-8"?>
<sst xmlns="http://schemas.openxmlformats.org/spreadsheetml/2006/main" count="70" uniqueCount="37">
  <si>
    <t>Наименование, описание продукции (упаковав, кондитерский набор + развивающий вкладыш)</t>
  </si>
  <si>
    <t>Ед.изм</t>
  </si>
  <si>
    <t>Всего</t>
  </si>
  <si>
    <t>ставка, %</t>
  </si>
  <si>
    <t>сумма, руб. коп.</t>
  </si>
  <si>
    <t>Общая стоимость Продукции с учетом НДС  (руб. коп.)</t>
  </si>
  <si>
    <t>Срок поставки</t>
  </si>
  <si>
    <t>Грузополучатель (наименование, адрес  поставки)</t>
  </si>
  <si>
    <t>Кол-во</t>
  </si>
  <si>
    <t>№ п/п</t>
  </si>
  <si>
    <t>Цена единицы Продукции без НДС (руб.коп.)</t>
  </si>
  <si>
    <t>НДС</t>
  </si>
  <si>
    <t>СПЕЦИФИКАЦИЯ</t>
  </si>
  <si>
    <t>шт.</t>
  </si>
  <si>
    <r>
      <rPr>
        <b/>
        <sz val="10"/>
        <color theme="1"/>
        <rFont val="Tahoma"/>
        <family val="2"/>
        <charset val="204"/>
      </rPr>
      <t>Страна происхождения товара:</t>
    </r>
    <r>
      <rPr>
        <sz val="10"/>
        <color theme="1"/>
        <rFont val="Tahoma"/>
        <family val="2"/>
        <charset val="204"/>
      </rPr>
      <t xml:space="preserve"> Россия</t>
    </r>
    <r>
      <rPr>
        <b/>
        <sz val="10"/>
        <color theme="1"/>
        <rFont val="Tahoma"/>
        <family val="2"/>
        <charset val="204"/>
      </rPr>
      <t xml:space="preserve">                                                                                                                                              Обязательные технические правила, которым должна соответствовать Продукция: </t>
    </r>
    <r>
      <rPr>
        <sz val="10"/>
        <color theme="1"/>
        <rFont val="Tahoma"/>
        <family val="2"/>
        <charset val="204"/>
      </rPr>
      <t>должна быть новой, не бывшей в употреблении (в эксплуатации, в консервации), по своему качеству должна соответствовать ГОСУ, ОСТУ, ТУ.</t>
    </r>
    <r>
      <rPr>
        <b/>
        <sz val="10"/>
        <color theme="1"/>
        <rFont val="Tahoma"/>
        <family val="2"/>
        <charset val="204"/>
      </rPr>
      <t xml:space="preserve">
Специальные требования к упаковке (указывается при необходимости): </t>
    </r>
    <r>
      <rPr>
        <sz val="10"/>
        <color theme="1"/>
        <rFont val="Tahoma"/>
        <family val="2"/>
        <charset val="204"/>
      </rPr>
      <t xml:space="preserve">продукция поставляется в таре и упаковке (картон, текстиль, жесть и т.д.), соответствующей государственным стандартам, техническим условиям, предъявляемым к поставке данного вида продукции, на таре должен быть ярлык, на котором четко проставлено число, месяц, год изготовления продукции. Тара и упаковка должны быть прочными, сухими, без нарушения целостности со специальной маркировкой, с обязательным элементом корпоративной символики ПАО «Т ПЛЮС». Упаковка должна предохранять продукцию от всякого рода повреждений, утраты товарного вида при его перевозке с учетом возможных перегрузок в пути и хранения. </t>
    </r>
    <r>
      <rPr>
        <b/>
        <sz val="10"/>
        <color theme="1"/>
        <rFont val="Tahoma"/>
        <family val="2"/>
        <charset val="204"/>
      </rPr>
      <t xml:space="preserve">
Способ доставки: </t>
    </r>
    <r>
      <rPr>
        <sz val="10"/>
        <color theme="1"/>
        <rFont val="Tahoma"/>
        <family val="2"/>
        <charset val="204"/>
      </rPr>
      <t xml:space="preserve">продукция доставляется автомобильным транспортом силами Поставщика на склады грузополучателей Покупателя, за счет средств Поставщика.  </t>
    </r>
  </si>
  <si>
    <t xml:space="preserve">от имени Покупателя  (ПАО "Т Плюс") </t>
  </si>
  <si>
    <t xml:space="preserve">ПАО «Т Плюс» Филиал «Свердловский» «Аппарат управления»         
 ИНН/КПП     6315376946/667143001
620075, Свердловская область,
г. Екатеринбург, пр-кт. Ленина, д. 38.
</t>
  </si>
  <si>
    <t xml:space="preserve">ПАО «Т Плюс» Филиал «Свердловский» «Нижнетуринская ГРЭС» ИНН/КПП             6315376946/668145001
624221, Свердловская область,
г. Нижняя Тура, ул. Нагорная, 22.
</t>
  </si>
  <si>
    <t xml:space="preserve">ПАО «Т Плюс» Филиал «Свердловский», «Первоуральская ТЭЦ» ИНН/КПП              6315376946/668445001
623100, Свердловская область,
г. Первоуральск, ул. Торговая, 1.
</t>
  </si>
  <si>
    <t xml:space="preserve">ПАО «Т Плюс» Филиал «Свердловский», «Свердловская ТЭЦ» ИНН/КПП             6315376946/667145004
          620017, Свердловская область, г. Екатеринбург, пр-кт. Космонавтов, 21.
</t>
  </si>
  <si>
    <t xml:space="preserve">ПАО «Т Плюс» Филиал «Свердловский», ПП «Локальные котельные г. Екатеринбурга»      ИНН/КПП             6315376946/667145009
   620050, Свердловская область, г. Екатеринбург, ул. Минометчиков, д.13
</t>
  </si>
  <si>
    <t xml:space="preserve">ПАО «Т Плюс» Филиал «Свердловский», ПП «Гурзуфская котельная»  ИНН/КПП             6315376946/667145007
 620102, Свердловская область, г. Екатеринбург, ул. Гурзуфская, д. 40 А
</t>
  </si>
  <si>
    <t xml:space="preserve">ПАО «Т Плюс» Филиал «Свердловский», ПП «ТЭЦ Академическая»
ИНН/КПП
6315376946/667143001
620016, Свердловская область, г. Екатеринбург, Складской проезд, 4а
</t>
  </si>
  <si>
    <t xml:space="preserve">ПАО «Т Плюс» Филиал «Свердловский», Котельная АКАДЕМЭНЕРГО
ИНН/КПП
6315376946/667143001    
620016, Свердловская область, г. Екатеринбург, Складской проезд, 4
</t>
  </si>
  <si>
    <t xml:space="preserve">ПАО «Т Плюс» Филиал «Свердловский», ПП ТЭЦ «ТМЗ»
ИНН/КПП
6315376946/667145004   
620017, Свердловская область, г. Екатеринбург, ул. Фронтовых бригад, д. 18
</t>
  </si>
  <si>
    <t xml:space="preserve">Обособленное подразделение 
ПАО «Т Плюс» 
Первоуральские ТС
ИНН/КПП 6315376946/668445002  623104, Свердловская обл.,  г. Первоуральск, Московское шоссе 3 км, автовокзальная площадь
</t>
  </si>
  <si>
    <t xml:space="preserve">ПАО «Т Плюс» Филиал «Свердловский»,  
«Нижнетуринские ТС»
ИНН/КПП
6315376946/668145001  
624221, Нижняя Тура 40 лет октября, 10б
</t>
  </si>
  <si>
    <t>Итого</t>
  </si>
  <si>
    <t xml:space="preserve">ПАО «Т Плюс» Филиал «Свердловский», «Ново-Свердловская ТЭЦ» ИНН/КПП              6315376946/667045001
         620072, Свердловская область, 
г. Екатеринбург, Ново-Свердловская ТЭЦ тер., стр. 12, помещ.1
</t>
  </si>
  <si>
    <t>от имени Поставщика   (_____________)</t>
  </si>
  <si>
    <t xml:space="preserve">Приложение №1 к договору поставки
                                              № _________
   От «___» __________________ 2026 г.
</t>
  </si>
  <si>
    <t>Ноябрь 2026 г.</t>
  </si>
  <si>
    <t xml:space="preserve">                   _______________________/_________________/ 
                                       М.П.   «__»_________2026 года    </t>
  </si>
  <si>
    <t xml:space="preserve">                                                                                   _________________________/Темина С.В./ 
                  М.П.   «__»_________2026 года                                                 
</t>
  </si>
  <si>
    <t>Детям от 0 до 6 лет</t>
  </si>
  <si>
    <t>Детям от 7 до 14 лет</t>
  </si>
  <si>
    <r>
      <rPr>
        <b/>
        <sz val="7"/>
        <rFont val="Tahoma"/>
        <family val="2"/>
        <charset val="204"/>
      </rPr>
      <t xml:space="preserve">Детский Новогодний подарок в составе:    </t>
    </r>
    <r>
      <rPr>
        <sz val="7"/>
        <rFont val="Tahoma"/>
        <family val="2"/>
        <charset val="204"/>
      </rPr>
      <t xml:space="preserve">                                                         
- кондитерский набор: мешочек для кондитерских изделий с новогодним поздравлением; кондитерский набор 210 грамм                                                                                        
- поздравительное письмо (открытка) в конверте от Деда Мороза, текст поздравлений и дизайн согласуется с Заказчиком не позднее 14 дней до начала поставки;
- вложения для каждой возрастной группы (согласно указанному количеству подарков):
</t>
    </r>
    <r>
      <rPr>
        <u/>
        <sz val="7"/>
        <rFont val="Tahoma"/>
        <family val="2"/>
        <charset val="204"/>
      </rPr>
      <t xml:space="preserve">- от 0 до 6 лет включительно:       </t>
    </r>
    <r>
      <rPr>
        <sz val="7"/>
        <rFont val="Tahoma"/>
        <family val="2"/>
        <charset val="204"/>
      </rPr>
      <t xml:space="preserve">                               
1.Настольная игра с новогодним дизайном и тематикой
Настольная игра должна являться игровым набором путешественника. Содержать в себе: настольную игру ходилку, наклейки, паспорт, карточки для раскрашивания, книжку с заданиями, фишки и кубики в комплекте. В наборе должно быть не менее 48 наклеек, паспорт размером не менее 7,5*10см, 6 фишек. Упаковка должна содержать новогодние элементы в дизайне.  Размер упаковки не менее 22,2*2,3*17,7 см.
2. Символ года 2027г. 
Мягкая игрушка ‑ брелок, символ наступающего года 2027 - коза. На роге у козы должна быть имитация качана капусты зелёного цвета. Игрушка должна иметь чёткие формы, быть преимущественно белого цвета. Металлическое кольцо с карабином должно быть не менее 4,5см в длину. Все элементы мордочки должны быть вышиты, глаза зеленого цвета, диаметр не менее 1,4см, взгляд добрый. Пришивные рога коричневого цвета не менее 2,5*4см. Пришивные уши размером не менее 3*3,5см. Игрушка‑брелок должна иметь диаметр не менее 14см, быть плотнонабитой и приятной на ощупь.
3. Магический куб:
Кубик с магнитной основой должен формироваться в разнообразные 72 фигуры. Основные цвета: синий, голубой, белый. Размер не менее 6*6см. 
4. Гирлянда длиной не менее 3х метров, теплый свет, работа от батареек, должны быть в комплекте. 
</t>
    </r>
    <r>
      <rPr>
        <u/>
        <sz val="7"/>
        <rFont val="Tahoma"/>
        <family val="2"/>
        <charset val="204"/>
      </rPr>
      <t xml:space="preserve">- от 7 до 14 лет включительно:   </t>
    </r>
    <r>
      <rPr>
        <sz val="7"/>
        <rFont val="Tahoma"/>
        <family val="2"/>
        <charset val="204"/>
      </rPr>
      <t xml:space="preserve">                                      
1. Коробка из плотного микрогофрокартона размером не менее 32,5*16*28см. Новогодний дизайн в современном вязаном стиле. Должно быть нанесение логотипа Заказчика и поздравительная надпись оранжевого цвета. Сюжет должен представлять собой новогоднюю красочную ярмарку, на которой изображены дети, карусель, новогодняя ёлка и т.д. Пластиковая ручка должна быть надежно закреплена. 
2.Музыкальная колонка 
Должна иметь качественный чистый звук, металлический корпус. Колонка должна иметь функцию селфи. В комплекте должен быть шнурок для переноса в руке, на рюкзаке и т.д. Комплектация: картонная коробка, колонка, шнур для крепления, usb провод дял зарядки, фиксатор колонки в упаковке, инструкция.
3. Мягкая игрушка символ 2027 года. Должна иметь функцию превращения в подушку для отдыха размером не менее 36*40см. Пришивная голова размером не менее 16*10*14см. Пришивные уши размером не мене 5*5см, пришивной хвост размером не менее 5*4см. Основной цвет – белый; мордочка, внутренняя часть ушей, имитированные лапы и хвост должны быть оранжевого цвета. Глаза вышивные размером не менее 1,3*1,6см. Также подушка должна легко формироваться в подголовный валик-игрушку. Основная часть игрушки из имитированной ткани под овечью шерсть.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</si>
</sst>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0"/>
      <color theme="1"/>
      <name val="Tahoma"/>
      <family val="2"/>
      <charset val="204"/>
    </font>
    <font>
      <sz val="10"/>
      <color theme="1"/>
      <name val="Tahoma"/>
      <family val="2"/>
      <charset val="204"/>
    </font>
    <font>
      <sz val="10"/>
      <color rgb="FF000000"/>
      <name val="Tahoma"/>
      <family val="2"/>
      <charset val="204"/>
    </font>
    <font>
      <sz val="10"/>
      <name val="Tahoma"/>
      <family val="2"/>
      <charset val="204"/>
    </font>
    <font>
      <sz val="8"/>
      <name val="Tahoma"/>
      <family val="2"/>
      <charset val="204"/>
    </font>
    <font>
      <b/>
      <sz val="10"/>
      <name val="Tahoma"/>
      <family val="2"/>
      <charset val="204"/>
    </font>
    <font>
      <sz val="7"/>
      <name val="Tahoma"/>
      <family val="2"/>
      <charset val="204"/>
    </font>
    <font>
      <b/>
      <sz val="7"/>
      <name val="Tahoma"/>
      <family val="2"/>
      <charset val="204"/>
    </font>
    <font>
      <u/>
      <sz val="7"/>
      <name val="Tahoma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3" borderId="0" xfId="0" applyFill="1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vertical="top" wrapText="1"/>
    </xf>
    <xf numFmtId="0" fontId="3" fillId="0" borderId="10" xfId="0" applyFont="1" applyBorder="1" applyAlignment="1">
      <alignment horizontal="center" vertical="center" wrapText="1"/>
    </xf>
    <xf numFmtId="9" fontId="2" fillId="3" borderId="1" xfId="0" applyNumberFormat="1" applyFont="1" applyFill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9" fontId="2" fillId="3" borderId="5" xfId="0" applyNumberFormat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top" wrapText="1"/>
    </xf>
    <xf numFmtId="0" fontId="0" fillId="3" borderId="0" xfId="0" applyFill="1" applyAlignment="1">
      <alignment horizontal="center" wrapText="1"/>
    </xf>
    <xf numFmtId="0" fontId="0" fillId="3" borderId="0" xfId="0" applyFill="1" applyAlignment="1">
      <alignment horizont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M32"/>
  <sheetViews>
    <sheetView tabSelected="1" topLeftCell="A21" zoomScale="84" zoomScaleNormal="84" workbookViewId="0">
      <selection activeCell="C22" sqref="C22"/>
    </sheetView>
  </sheetViews>
  <sheetFormatPr defaultRowHeight="15" x14ac:dyDescent="0.25"/>
  <cols>
    <col min="1" max="1" width="7.28515625" customWidth="1"/>
    <col min="2" max="2" width="5.85546875" customWidth="1"/>
    <col min="3" max="3" width="107.85546875" customWidth="1"/>
    <col min="4" max="4" width="9.7109375" customWidth="1"/>
    <col min="5" max="7" width="9.140625" style="3"/>
    <col min="8" max="8" width="13.28515625" style="3" customWidth="1"/>
    <col min="9" max="9" width="8.7109375" style="3" customWidth="1"/>
    <col min="10" max="10" width="11.28515625" style="3" customWidth="1"/>
    <col min="11" max="11" width="12.7109375" style="3" customWidth="1"/>
    <col min="12" max="12" width="9.140625" style="3"/>
    <col min="13" max="13" width="29.28515625" style="3" customWidth="1"/>
  </cols>
  <sheetData>
    <row r="2" spans="2:13" x14ac:dyDescent="0.25">
      <c r="L2" s="24" t="s">
        <v>30</v>
      </c>
      <c r="M2" s="25"/>
    </row>
    <row r="3" spans="2:13" x14ac:dyDescent="0.25">
      <c r="L3" s="25"/>
      <c r="M3" s="25"/>
    </row>
    <row r="4" spans="2:13" ht="31.5" customHeight="1" x14ac:dyDescent="0.25">
      <c r="L4" s="25"/>
      <c r="M4" s="25"/>
    </row>
    <row r="6" spans="2:13" x14ac:dyDescent="0.25">
      <c r="G6" s="53" t="s">
        <v>12</v>
      </c>
      <c r="H6" s="53"/>
      <c r="I6" s="53"/>
    </row>
    <row r="8" spans="2:13" x14ac:dyDescent="0.25">
      <c r="B8" s="41" t="s">
        <v>9</v>
      </c>
      <c r="C8" s="39" t="s">
        <v>0</v>
      </c>
      <c r="D8" s="39" t="s">
        <v>1</v>
      </c>
      <c r="E8" s="36" t="s">
        <v>8</v>
      </c>
      <c r="F8" s="38"/>
      <c r="G8" s="37"/>
      <c r="H8" s="34" t="s">
        <v>10</v>
      </c>
      <c r="I8" s="36" t="s">
        <v>11</v>
      </c>
      <c r="J8" s="37"/>
      <c r="K8" s="34" t="s">
        <v>5</v>
      </c>
      <c r="L8" s="34" t="s">
        <v>6</v>
      </c>
      <c r="M8" s="34" t="s">
        <v>7</v>
      </c>
    </row>
    <row r="9" spans="2:13" ht="108" customHeight="1" x14ac:dyDescent="0.25">
      <c r="B9" s="41"/>
      <c r="C9" s="40"/>
      <c r="D9" s="40"/>
      <c r="E9" s="4" t="s">
        <v>2</v>
      </c>
      <c r="F9" s="5" t="s">
        <v>34</v>
      </c>
      <c r="G9" s="5" t="s">
        <v>35</v>
      </c>
      <c r="H9" s="35"/>
      <c r="I9" s="5" t="s">
        <v>3</v>
      </c>
      <c r="J9" s="5" t="s">
        <v>4</v>
      </c>
      <c r="K9" s="35"/>
      <c r="L9" s="35"/>
      <c r="M9" s="35"/>
    </row>
    <row r="10" spans="2:13" ht="13.5" customHeight="1" thickBot="1" x14ac:dyDescent="0.3">
      <c r="B10" s="1">
        <v>1</v>
      </c>
      <c r="C10" s="1">
        <v>2</v>
      </c>
      <c r="D10" s="1">
        <v>3</v>
      </c>
      <c r="E10" s="42">
        <v>4</v>
      </c>
      <c r="F10" s="43"/>
      <c r="G10" s="44"/>
      <c r="H10" s="6">
        <v>5</v>
      </c>
      <c r="I10" s="45">
        <v>6</v>
      </c>
      <c r="J10" s="46"/>
      <c r="K10" s="7">
        <v>7</v>
      </c>
      <c r="L10" s="7">
        <v>8</v>
      </c>
      <c r="M10" s="7">
        <v>9</v>
      </c>
    </row>
    <row r="11" spans="2:13" ht="261.75" thickBot="1" x14ac:dyDescent="0.3">
      <c r="B11" s="2">
        <v>1</v>
      </c>
      <c r="C11" s="23" t="s">
        <v>36</v>
      </c>
      <c r="D11" s="11" t="s">
        <v>13</v>
      </c>
      <c r="E11" s="19">
        <f>F11+G11</f>
        <v>412</v>
      </c>
      <c r="F11" s="20">
        <v>152</v>
      </c>
      <c r="G11" s="20">
        <v>260</v>
      </c>
      <c r="H11" s="13"/>
      <c r="I11" s="12"/>
      <c r="J11" s="13"/>
      <c r="K11" s="13"/>
      <c r="L11" s="8" t="s">
        <v>31</v>
      </c>
      <c r="M11" s="9" t="s">
        <v>16</v>
      </c>
    </row>
    <row r="12" spans="2:13" ht="261.75" thickBot="1" x14ac:dyDescent="0.3">
      <c r="B12" s="2">
        <v>2</v>
      </c>
      <c r="C12" s="23" t="s">
        <v>36</v>
      </c>
      <c r="D12" s="11" t="s">
        <v>13</v>
      </c>
      <c r="E12" s="19">
        <f t="shared" ref="E12:E22" si="0">F12+G12</f>
        <v>120</v>
      </c>
      <c r="F12" s="20">
        <v>40</v>
      </c>
      <c r="G12" s="20">
        <v>80</v>
      </c>
      <c r="H12" s="13"/>
      <c r="I12" s="12"/>
      <c r="J12" s="13"/>
      <c r="K12" s="13"/>
      <c r="L12" s="8" t="s">
        <v>31</v>
      </c>
      <c r="M12" s="9" t="s">
        <v>17</v>
      </c>
    </row>
    <row r="13" spans="2:13" ht="298.5" customHeight="1" thickBot="1" x14ac:dyDescent="0.3">
      <c r="B13" s="2">
        <v>3</v>
      </c>
      <c r="C13" s="23" t="s">
        <v>36</v>
      </c>
      <c r="D13" s="11" t="s">
        <v>13</v>
      </c>
      <c r="E13" s="19">
        <f t="shared" si="0"/>
        <v>115</v>
      </c>
      <c r="F13" s="20">
        <v>45</v>
      </c>
      <c r="G13" s="20">
        <v>70</v>
      </c>
      <c r="H13" s="13"/>
      <c r="I13" s="12"/>
      <c r="J13" s="13"/>
      <c r="K13" s="13"/>
      <c r="L13" s="8" t="s">
        <v>31</v>
      </c>
      <c r="M13" s="9" t="s">
        <v>18</v>
      </c>
    </row>
    <row r="14" spans="2:13" ht="261.75" thickBot="1" x14ac:dyDescent="0.3">
      <c r="B14" s="2">
        <v>4</v>
      </c>
      <c r="C14" s="23" t="s">
        <v>36</v>
      </c>
      <c r="D14" s="11" t="s">
        <v>13</v>
      </c>
      <c r="E14" s="19">
        <f t="shared" si="0"/>
        <v>108</v>
      </c>
      <c r="F14" s="20">
        <v>40</v>
      </c>
      <c r="G14" s="20">
        <v>68</v>
      </c>
      <c r="H14" s="13"/>
      <c r="I14" s="12"/>
      <c r="J14" s="13"/>
      <c r="K14" s="13"/>
      <c r="L14" s="8" t="s">
        <v>31</v>
      </c>
      <c r="M14" s="9" t="s">
        <v>28</v>
      </c>
    </row>
    <row r="15" spans="2:13" ht="261.75" thickBot="1" x14ac:dyDescent="0.3">
      <c r="B15" s="2">
        <v>5</v>
      </c>
      <c r="C15" s="23" t="s">
        <v>36</v>
      </c>
      <c r="D15" s="11" t="s">
        <v>13</v>
      </c>
      <c r="E15" s="19">
        <f t="shared" si="0"/>
        <v>73</v>
      </c>
      <c r="F15" s="20">
        <v>40</v>
      </c>
      <c r="G15" s="20">
        <v>33</v>
      </c>
      <c r="H15" s="13"/>
      <c r="I15" s="12"/>
      <c r="J15" s="13"/>
      <c r="K15" s="13"/>
      <c r="L15" s="8" t="s">
        <v>31</v>
      </c>
      <c r="M15" s="9" t="s">
        <v>19</v>
      </c>
    </row>
    <row r="16" spans="2:13" ht="261.75" thickBot="1" x14ac:dyDescent="0.3">
      <c r="B16" s="2">
        <v>6</v>
      </c>
      <c r="C16" s="23" t="s">
        <v>36</v>
      </c>
      <c r="D16" s="11" t="s">
        <v>13</v>
      </c>
      <c r="E16" s="19">
        <f t="shared" si="0"/>
        <v>120</v>
      </c>
      <c r="F16" s="20">
        <v>40</v>
      </c>
      <c r="G16" s="20">
        <v>80</v>
      </c>
      <c r="H16" s="13"/>
      <c r="I16" s="12"/>
      <c r="J16" s="13"/>
      <c r="K16" s="13"/>
      <c r="L16" s="8" t="s">
        <v>31</v>
      </c>
      <c r="M16" s="9" t="s">
        <v>20</v>
      </c>
    </row>
    <row r="17" spans="2:13" ht="261.75" thickBot="1" x14ac:dyDescent="0.3">
      <c r="B17" s="2">
        <v>7</v>
      </c>
      <c r="C17" s="23" t="s">
        <v>36</v>
      </c>
      <c r="D17" s="11" t="s">
        <v>13</v>
      </c>
      <c r="E17" s="19">
        <f t="shared" si="0"/>
        <v>50</v>
      </c>
      <c r="F17" s="20">
        <v>15</v>
      </c>
      <c r="G17" s="20">
        <v>35</v>
      </c>
      <c r="H17" s="13"/>
      <c r="I17" s="12"/>
      <c r="J17" s="13"/>
      <c r="K17" s="13"/>
      <c r="L17" s="8" t="s">
        <v>31</v>
      </c>
      <c r="M17" s="9" t="s">
        <v>21</v>
      </c>
    </row>
    <row r="18" spans="2:13" ht="261.75" thickBot="1" x14ac:dyDescent="0.3">
      <c r="B18" s="2">
        <v>8</v>
      </c>
      <c r="C18" s="23" t="s">
        <v>36</v>
      </c>
      <c r="D18" s="11" t="s">
        <v>13</v>
      </c>
      <c r="E18" s="19">
        <f t="shared" si="0"/>
        <v>60</v>
      </c>
      <c r="F18" s="20">
        <v>30</v>
      </c>
      <c r="G18" s="20">
        <v>30</v>
      </c>
      <c r="H18" s="13"/>
      <c r="I18" s="12"/>
      <c r="J18" s="13"/>
      <c r="K18" s="13"/>
      <c r="L18" s="8" t="s">
        <v>31</v>
      </c>
      <c r="M18" s="9" t="s">
        <v>22</v>
      </c>
    </row>
    <row r="19" spans="2:13" ht="315.75" customHeight="1" thickBot="1" x14ac:dyDescent="0.3">
      <c r="B19" s="2">
        <v>9</v>
      </c>
      <c r="C19" s="23" t="s">
        <v>36</v>
      </c>
      <c r="D19" s="11" t="s">
        <v>13</v>
      </c>
      <c r="E19" s="19">
        <f t="shared" si="0"/>
        <v>30</v>
      </c>
      <c r="F19" s="20">
        <v>12</v>
      </c>
      <c r="G19" s="20">
        <v>18</v>
      </c>
      <c r="H19" s="13"/>
      <c r="I19" s="12"/>
      <c r="J19" s="13"/>
      <c r="K19" s="13"/>
      <c r="L19" s="8" t="s">
        <v>31</v>
      </c>
      <c r="M19" s="9" t="s">
        <v>23</v>
      </c>
    </row>
    <row r="20" spans="2:13" ht="261.75" thickBot="1" x14ac:dyDescent="0.3">
      <c r="B20" s="2">
        <v>10</v>
      </c>
      <c r="C20" s="23" t="s">
        <v>36</v>
      </c>
      <c r="D20" s="11" t="s">
        <v>13</v>
      </c>
      <c r="E20" s="19">
        <f t="shared" si="0"/>
        <v>27</v>
      </c>
      <c r="F20" s="20">
        <v>9</v>
      </c>
      <c r="G20" s="20">
        <v>18</v>
      </c>
      <c r="H20" s="13"/>
      <c r="I20" s="12"/>
      <c r="J20" s="13"/>
      <c r="K20" s="13"/>
      <c r="L20" s="8" t="s">
        <v>31</v>
      </c>
      <c r="M20" s="9" t="s">
        <v>24</v>
      </c>
    </row>
    <row r="21" spans="2:13" ht="261.75" thickBot="1" x14ac:dyDescent="0.3">
      <c r="B21" s="2">
        <v>11</v>
      </c>
      <c r="C21" s="23" t="s">
        <v>36</v>
      </c>
      <c r="D21" s="11" t="s">
        <v>13</v>
      </c>
      <c r="E21" s="19">
        <f t="shared" si="0"/>
        <v>140</v>
      </c>
      <c r="F21" s="20">
        <v>45</v>
      </c>
      <c r="G21" s="20">
        <v>95</v>
      </c>
      <c r="H21" s="13"/>
      <c r="I21" s="12"/>
      <c r="J21" s="13"/>
      <c r="K21" s="13"/>
      <c r="L21" s="8" t="s">
        <v>31</v>
      </c>
      <c r="M21" s="9" t="s">
        <v>25</v>
      </c>
    </row>
    <row r="22" spans="2:13" ht="261" x14ac:dyDescent="0.25">
      <c r="B22" s="2">
        <v>12</v>
      </c>
      <c r="C22" s="23" t="s">
        <v>36</v>
      </c>
      <c r="D22" s="14" t="s">
        <v>13</v>
      </c>
      <c r="E22" s="19">
        <f t="shared" si="0"/>
        <v>95</v>
      </c>
      <c r="F22" s="21">
        <v>30</v>
      </c>
      <c r="G22" s="21">
        <v>65</v>
      </c>
      <c r="H22" s="13"/>
      <c r="I22" s="15"/>
      <c r="J22" s="13"/>
      <c r="K22" s="13"/>
      <c r="L22" s="8" t="s">
        <v>31</v>
      </c>
      <c r="M22" s="16" t="s">
        <v>26</v>
      </c>
    </row>
    <row r="23" spans="2:13" ht="23.25" customHeight="1" x14ac:dyDescent="0.25">
      <c r="B23" s="18"/>
      <c r="C23" s="10" t="s">
        <v>27</v>
      </c>
      <c r="D23" s="17"/>
      <c r="E23" s="22">
        <f>SUM(E11:E22)</f>
        <v>1350</v>
      </c>
      <c r="F23" s="19">
        <f>SUM(F11:F22)</f>
        <v>498</v>
      </c>
      <c r="G23" s="19">
        <f>SUM(G11:G22)</f>
        <v>852</v>
      </c>
      <c r="H23" s="13"/>
      <c r="I23" s="12"/>
      <c r="J23" s="13"/>
      <c r="K23" s="13"/>
      <c r="L23" s="8"/>
      <c r="M23" s="9"/>
    </row>
    <row r="24" spans="2:13" x14ac:dyDescent="0.25">
      <c r="B24" s="26" t="s">
        <v>14</v>
      </c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</row>
    <row r="25" spans="2:13" x14ac:dyDescent="0.25"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</row>
    <row r="26" spans="2:13" x14ac:dyDescent="0.25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</row>
    <row r="27" spans="2:13" x14ac:dyDescent="0.25"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</row>
    <row r="28" spans="2:13" x14ac:dyDescent="0.25"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</row>
    <row r="29" spans="2:13" ht="39" customHeight="1" x14ac:dyDescent="0.25"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</row>
    <row r="30" spans="2:13" ht="21.75" customHeight="1" x14ac:dyDescent="0.25"/>
    <row r="31" spans="2:13" ht="18" customHeight="1" x14ac:dyDescent="0.25">
      <c r="B31" s="28" t="s">
        <v>29</v>
      </c>
      <c r="C31" s="29"/>
      <c r="D31" s="29"/>
      <c r="E31" s="29"/>
      <c r="F31" s="29"/>
      <c r="G31" s="29"/>
      <c r="H31" s="30"/>
      <c r="I31" s="31" t="s">
        <v>15</v>
      </c>
      <c r="J31" s="32"/>
      <c r="K31" s="32"/>
      <c r="L31" s="32"/>
      <c r="M31" s="33"/>
    </row>
    <row r="32" spans="2:13" ht="42" customHeight="1" x14ac:dyDescent="0.25">
      <c r="B32" s="47" t="s">
        <v>32</v>
      </c>
      <c r="C32" s="48"/>
      <c r="D32" s="48"/>
      <c r="E32" s="48"/>
      <c r="F32" s="48"/>
      <c r="G32" s="48"/>
      <c r="H32" s="49"/>
      <c r="I32" s="50" t="s">
        <v>33</v>
      </c>
      <c r="J32" s="51"/>
      <c r="K32" s="51"/>
      <c r="L32" s="51"/>
      <c r="M32" s="52"/>
    </row>
  </sheetData>
  <mergeCells count="18">
    <mergeCell ref="B32:H32"/>
    <mergeCell ref="I32:M32"/>
    <mergeCell ref="G6:I6"/>
    <mergeCell ref="L2:M4"/>
    <mergeCell ref="B24:M29"/>
    <mergeCell ref="B31:H31"/>
    <mergeCell ref="I31:M31"/>
    <mergeCell ref="H8:H9"/>
    <mergeCell ref="I8:J8"/>
    <mergeCell ref="K8:K9"/>
    <mergeCell ref="L8:L9"/>
    <mergeCell ref="M8:M9"/>
    <mergeCell ref="E8:G8"/>
    <mergeCell ref="D8:D9"/>
    <mergeCell ref="B8:B9"/>
    <mergeCell ref="C8:C9"/>
    <mergeCell ref="E10:G10"/>
    <mergeCell ref="I10:J10"/>
  </mergeCells>
  <pageMargins left="0.39370078740157483" right="0.31496062992125984" top="0.74803149606299213" bottom="0.74803149606299213" header="0.31496062992125984" footer="0.31496062992125984"/>
  <pageSetup paperSize="9" scale="5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Лист1</vt:lpstr>
      <vt:lpstr>Лист1!Заголовки_для_печати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2026-08-12T06:47:35Z</dcterms:modified>
</cp:coreProperties>
</file>