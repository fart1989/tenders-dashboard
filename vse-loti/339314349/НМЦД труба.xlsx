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9C7A0F0D-112A-4C70-81E5-CFB867D8184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B16" i="1" l="1"/>
  <c r="AA14" i="1" l="1"/>
  <c r="AB14" i="1" s="1"/>
  <c r="AA13" i="1" l="1"/>
  <c r="AA12" i="1"/>
  <c r="AB13" i="1" l="1"/>
  <c r="AB12" i="1"/>
</calcChain>
</file>

<file path=xl/sharedStrings.xml><?xml version="1.0" encoding="utf-8"?>
<sst xmlns="http://schemas.openxmlformats.org/spreadsheetml/2006/main" count="145" uniqueCount="71">
  <si>
    <t xml:space="preserve"> </t>
  </si>
  <si>
    <t xml:space="preserve">Обоснование начальной (максимальной) цены контракта, 
цены контракта, заключаемого с единственным поставщиком (подрядчиком, исполнителем)           </t>
  </si>
  <si>
    <t>Характеристики объекта закупки</t>
  </si>
  <si>
    <t xml:space="preserve">Расчет НМЦК (рын) произведен по формуле:
V - количество (объем) закупаемого товара;
n - количество значений, используемых в расчете;
i - номер источника ценовой информации;
Цi - цена единицы товара                            </t>
  </si>
  <si>
    <t>№</t>
  </si>
  <si>
    <t>Наименование товара, услуги (работы)</t>
  </si>
  <si>
    <t>Единица измерения</t>
  </si>
  <si>
    <t>Кол-во</t>
  </si>
  <si>
    <t>{Поставщик_4}</t>
  </si>
  <si>
    <t>{Поставщик_5}</t>
  </si>
  <si>
    <t>{Поставщик_6}</t>
  </si>
  <si>
    <t>{Поставщик_7}</t>
  </si>
  <si>
    <t>{Поставщик_8}</t>
  </si>
  <si>
    <t>{Поставщик_9}</t>
  </si>
  <si>
    <t>{Поставщик_10}</t>
  </si>
  <si>
    <t>{Поставщик_11}</t>
  </si>
  <si>
    <t>{Поставщик_12}</t>
  </si>
  <si>
    <t>{Поставщик_13}</t>
  </si>
  <si>
    <t>{Поставщик_14}</t>
  </si>
  <si>
    <t>{Поставщик_15}</t>
  </si>
  <si>
    <t>{Поставщик_16}</t>
  </si>
  <si>
    <t>{Поставщик_17}</t>
  </si>
  <si>
    <t>{Поставщик_18}</t>
  </si>
  <si>
    <t>{Поставщик_19}</t>
  </si>
  <si>
    <t>{Поставщик_20}</t>
  </si>
  <si>
    <t>Коэффициент вариации (%)</t>
  </si>
  <si>
    <t>НМЦК (рын)</t>
  </si>
  <si>
    <t>Цена (руб.)</t>
  </si>
  <si>
    <t>{Цена_4}</t>
  </si>
  <si>
    <t>{Цена_5}</t>
  </si>
  <si>
    <t>{Цена_6}</t>
  </si>
  <si>
    <t>{Цена_7}</t>
  </si>
  <si>
    <t>{Цена_8}</t>
  </si>
  <si>
    <t>{Цена_9}</t>
  </si>
  <si>
    <t>{Цена_10}</t>
  </si>
  <si>
    <t>{Цена_11}</t>
  </si>
  <si>
    <t>{Цена_12}</t>
  </si>
  <si>
    <t>{Цена_13}</t>
  </si>
  <si>
    <t>{Цена_14}</t>
  </si>
  <si>
    <t>{Цена_15}</t>
  </si>
  <si>
    <t>{Цена_16}</t>
  </si>
  <si>
    <t>{Цена_17}</t>
  </si>
  <si>
    <t>{Цена_18}</t>
  </si>
  <si>
    <t>{Цена_19}</t>
  </si>
  <si>
    <t>{Цена_20}</t>
  </si>
  <si>
    <t>Итого:</t>
  </si>
  <si>
    <t>(должность)</t>
  </si>
  <si>
    <t>(подпись/расшифровка подписи)</t>
  </si>
  <si>
    <t>1</t>
  </si>
  <si>
    <t>т</t>
  </si>
  <si>
    <t>2</t>
  </si>
  <si>
    <t>3</t>
  </si>
  <si>
    <t>шт</t>
  </si>
  <si>
    <t>Доставка</t>
  </si>
  <si>
    <t>Поставщик 1</t>
  </si>
  <si>
    <t>Поставщик 2</t>
  </si>
  <si>
    <t>Поставщик 3</t>
  </si>
  <si>
    <t>Используемый метод определения НМЦК
с обоснованием:</t>
  </si>
  <si>
    <t>Метод сопоставимых рыночных цен (анализа рынка) является приоритетным для определения и обоснования начальной (максимальной) цены контракта, цены контракта, заключаемого с единственным поставщиком (подрядчиком, исполнителем) (в соответствии с п.6 ст.22 44-ФЗ)
Расчет выполнен в соответствии с Методическими рекомендациями, утвержденными приказом МЭР РФ от 02.10.2013 №567</t>
  </si>
  <si>
    <t>Характеристики объекта закупки указаны в описании объекта закупки</t>
  </si>
  <si>
    <t>Средняя цена (руб.)</t>
  </si>
  <si>
    <t xml:space="preserve">/ </t>
  </si>
  <si>
    <t>Начальник отдела снабжения  МУП "ВКС":</t>
  </si>
  <si>
    <t>Труба стальная электросварная 530*12 ст.20 ГОСТ 10704/10711</t>
  </si>
  <si>
    <t>*0</t>
  </si>
  <si>
    <t>* доставка включена в стоимость</t>
  </si>
  <si>
    <t>Дата подготовки обоснования НМЦК:30.07.2026г.</t>
  </si>
  <si>
    <t>Отвод 530*10 ГОСТ 17375-2008</t>
  </si>
  <si>
    <t>Отвод 108*4 ГОСТ 17375-2002</t>
  </si>
  <si>
    <t>На основании проведенного анализа рынка и расчетов, НМЦК составляет: 1401542,653 рублей.</t>
  </si>
  <si>
    <t>Поставка трубы, отводов для нужд МУП «ВКС»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</si>
</sst>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#,##0.00#########"/>
  </numFmts>
  <fonts count="16" x14ac:knownFonts="1">
    <font>
      <sz val="11"/>
      <color theme="1"/>
      <name val="Calibri"/>
      <family val="2"/>
      <scheme val="minor"/>
    </font>
    <font>
      <sz val="11"/>
      <color rgb="FF000000"/>
      <name val="Times New Roman"/>
      <family val="1"/>
      <charset val="204"/>
    </font>
    <font>
      <sz val="8"/>
      <color rgb="FF000000"/>
      <name val="Times New Roman"/>
      <family val="1"/>
      <charset val="204"/>
    </font>
    <font>
      <sz val="11"/>
      <color rgb="FF000000"/>
      <name val="Calibri"/>
      <family val="2"/>
      <charset val="204"/>
    </font>
    <font>
      <sz val="16"/>
      <color rgb="FF000000"/>
      <name val="Times New Roman"/>
      <family val="1"/>
      <charset val="204"/>
    </font>
    <font>
      <sz val="10"/>
      <color rgb="FF000000"/>
      <name val="Times New Roman"/>
      <family val="1"/>
      <charset val="204"/>
    </font>
    <font>
      <sz val="10"/>
      <name val="Times New Roman"/>
      <family val="1"/>
      <charset val="204"/>
    </font>
    <font>
      <sz val="10.8"/>
      <color rgb="FF000000"/>
      <name val="Calibri"/>
      <family val="2"/>
      <charset val="204"/>
    </font>
    <font>
      <sz val="9"/>
      <color rgb="FF000000"/>
      <name val="Calibri"/>
      <family val="2"/>
      <charset val="204"/>
    </font>
    <font>
      <sz val="10.8"/>
      <color rgb="FF000000"/>
      <name val="Times New Roman"/>
      <family val="1"/>
      <charset val="204"/>
    </font>
    <font>
      <sz val="9"/>
      <color rgb="FF000000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b/>
      <sz val="12"/>
      <color rgb="FF000000"/>
      <name val="Times New Roman"/>
      <family val="1"/>
      <charset val="204"/>
    </font>
    <font>
      <sz val="11"/>
      <color theme="1"/>
      <name val="Calibri"/>
      <family val="2"/>
      <scheme val="minor"/>
    </font>
    <font>
      <b/>
      <sz val="16"/>
      <color rgb="FF000000"/>
      <name val="Times New Roman"/>
      <family val="1"/>
      <charset val="204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0C0C0"/>
      </left>
      <right/>
      <top style="medium">
        <color rgb="FFC0C0C0"/>
      </top>
      <bottom style="medium">
        <color rgb="FFC0C0C0"/>
      </bottom>
      <diagonal/>
    </border>
    <border>
      <left/>
      <right/>
      <top style="medium">
        <color rgb="FFC0C0C0"/>
      </top>
      <bottom style="medium">
        <color rgb="FFC0C0C0"/>
      </bottom>
      <diagonal/>
    </border>
    <border>
      <left style="medium">
        <color rgb="FFC0C0C0"/>
      </left>
      <right/>
      <top style="medium">
        <color rgb="FFC0C0C0"/>
      </top>
      <bottom style="thin">
        <color auto="1"/>
      </bottom>
      <diagonal/>
    </border>
    <border>
      <left/>
      <right/>
      <top style="medium">
        <color rgb="FFC0C0C0"/>
      </top>
      <bottom style="thin">
        <color auto="1"/>
      </bottom>
      <diagonal/>
    </border>
    <border>
      <left style="medium">
        <color rgb="FFC0C0C0"/>
      </left>
      <right/>
      <top/>
      <bottom style="medium">
        <color rgb="FFC0C0C0"/>
      </bottom>
      <diagonal/>
    </border>
    <border>
      <left/>
      <right/>
      <top/>
      <bottom style="medium">
        <color rgb="FFC0C0C0"/>
      </bottom>
      <diagonal/>
    </border>
  </borders>
  <cellStyleXfs count="2">
    <xf numFmtId="0" fontId="0" fillId="0" borderId="0" applyAlignment="0"/>
    <xf numFmtId="43" fontId="13" fillId="0" borderId="0" applyFont="0" applyFill="0" applyBorder="0" applyAlignment="0" applyProtection="0"/>
  </cellStyleXfs>
  <cellXfs count="50">
    <xf numFmtId="0" fontId="0" fillId="0" borderId="0" xfId="0"/>
    <xf numFmtId="0" fontId="1" fillId="0" borderId="0" xfId="0" applyFont="1"/>
    <xf numFmtId="2" fontId="2" fillId="0" borderId="0" xfId="0" applyNumberFormat="1" applyFont="1" applyAlignment="1">
      <alignment vertical="top" wrapText="1"/>
    </xf>
    <xf numFmtId="0" fontId="3" fillId="0" borderId="0" xfId="0" applyFont="1"/>
    <xf numFmtId="2" fontId="1" fillId="0" borderId="0" xfId="0" applyNumberFormat="1" applyFont="1"/>
    <xf numFmtId="164" fontId="5" fillId="0" borderId="1" xfId="0" applyNumberFormat="1" applyFont="1" applyBorder="1" applyAlignment="1">
      <alignment horizontal="center" vertical="center" wrapText="1"/>
    </xf>
    <xf numFmtId="49" fontId="5" fillId="0" borderId="5" xfId="0" applyNumberFormat="1" applyFont="1" applyBorder="1" applyAlignment="1">
      <alignment horizontal="center" vertical="center" wrapText="1"/>
    </xf>
    <xf numFmtId="2" fontId="1" fillId="0" borderId="5" xfId="0" applyNumberFormat="1" applyFont="1" applyBorder="1" applyAlignment="1">
      <alignment horizontal="center" vertical="center"/>
    </xf>
    <xf numFmtId="49" fontId="5" fillId="0" borderId="1" xfId="0" applyNumberFormat="1" applyFont="1" applyBorder="1" applyAlignment="1">
      <alignment vertical="top" wrapText="1"/>
    </xf>
    <xf numFmtId="2" fontId="1" fillId="0" borderId="1" xfId="0" applyNumberFormat="1" applyFont="1" applyBorder="1" applyAlignment="1">
      <alignment vertical="top"/>
    </xf>
    <xf numFmtId="0" fontId="5" fillId="0" borderId="1" xfId="0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/>
    </xf>
    <xf numFmtId="2" fontId="3" fillId="0" borderId="0" xfId="0" applyNumberFormat="1" applyFont="1"/>
    <xf numFmtId="0" fontId="5" fillId="0" borderId="0" xfId="0" applyFont="1" applyAlignment="1">
      <alignment vertical="center"/>
    </xf>
    <xf numFmtId="0" fontId="7" fillId="0" borderId="0" xfId="0" applyFont="1" applyAlignment="1">
      <alignment wrapText="1"/>
    </xf>
    <xf numFmtId="0" fontId="8" fillId="0" borderId="0" xfId="0" applyFont="1"/>
    <xf numFmtId="0" fontId="5" fillId="0" borderId="0" xfId="0" applyFont="1" applyAlignment="1">
      <alignment vertical="top" wrapText="1"/>
    </xf>
    <xf numFmtId="0" fontId="9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10" fillId="0" borderId="0" xfId="0" applyFont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12" fillId="0" borderId="0" xfId="0" applyFont="1"/>
    <xf numFmtId="43" fontId="3" fillId="0" borderId="0" xfId="1" applyFont="1"/>
    <xf numFmtId="4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top" wrapText="1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/>
    </xf>
    <xf numFmtId="0" fontId="5" fillId="0" borderId="9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left" vertical="center" wrapText="1"/>
    </xf>
    <xf numFmtId="0" fontId="9" fillId="0" borderId="11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top" wrapText="1"/>
    </xf>
    <xf numFmtId="0" fontId="5" fillId="0" borderId="14" xfId="0" applyFont="1" applyBorder="1" applyAlignment="1">
      <alignment horizontal="center" vertical="top" wrapText="1"/>
    </xf>
    <xf numFmtId="0" fontId="3" fillId="0" borderId="0" xfId="0" applyNumberFormat="1" applyFont="1" applyAlignment="1">
      <alignment horizontal="left"/>
    </xf>
    <xf numFmtId="0" fontId="14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4" fillId="0" borderId="0" xfId="0" applyFont="1" applyAlignment="1">
      <alignment horizontal="center" wrapText="1"/>
    </xf>
    <xf numFmtId="0" fontId="5" fillId="0" borderId="1" xfId="0" applyFont="1" applyBorder="1" applyAlignment="1">
      <alignment horizontal="left" vertical="center" wrapText="1"/>
    </xf>
    <xf numFmtId="2" fontId="6" fillId="0" borderId="1" xfId="0" applyNumberFormat="1" applyFont="1" applyBorder="1" applyAlignment="1">
      <alignment vertical="top" wrapText="1"/>
    </xf>
    <xf numFmtId="2" fontId="5" fillId="0" borderId="1" xfId="0" applyNumberFormat="1" applyFont="1" applyBorder="1" applyAlignment="1">
      <alignment horizontal="center" vertical="center" wrapText="1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wmf"/><Relationship Id="rId2" Type="http://schemas.openxmlformats.org/officeDocument/2006/relationships/image" Target="../media/image2.wmf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429895</xdr:colOff>
      <xdr:row>8</xdr:row>
      <xdr:rowOff>182245</xdr:rowOff>
    </xdr:from>
    <xdr:to>
      <xdr:col>2</xdr:col>
      <xdr:colOff>99695</xdr:colOff>
      <xdr:row>8</xdr:row>
      <xdr:rowOff>802005</xdr:rowOff>
    </xdr:to>
    <xdr:pic>
      <xdr:nvPicPr>
        <xdr:cNvPr id="6" name="Изображение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29895" y="2915920"/>
          <a:ext cx="1612900" cy="619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27</xdr:col>
      <xdr:colOff>219075</xdr:colOff>
      <xdr:row>10</xdr:row>
      <xdr:rowOff>85725</xdr:rowOff>
    </xdr:from>
    <xdr:to>
      <xdr:col>27</xdr:col>
      <xdr:colOff>1600835</xdr:colOff>
      <xdr:row>11</xdr:row>
      <xdr:rowOff>42545</xdr:rowOff>
    </xdr:to>
    <xdr:pic>
      <xdr:nvPicPr>
        <xdr:cNvPr id="7" name="Изображение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0386000" y="4762500"/>
          <a:ext cx="1400810" cy="528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25</xdr:col>
      <xdr:colOff>0</xdr:colOff>
      <xdr:row>10</xdr:row>
      <xdr:rowOff>76200</xdr:rowOff>
    </xdr:from>
    <xdr:to>
      <xdr:col>25</xdr:col>
      <xdr:colOff>1066800</xdr:colOff>
      <xdr:row>11</xdr:row>
      <xdr:rowOff>30480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36375975" y="4752975"/>
          <a:ext cx="1076325" cy="5257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25</xdr:col>
      <xdr:colOff>180976</xdr:colOff>
      <xdr:row>10</xdr:row>
      <xdr:rowOff>152399</xdr:rowOff>
    </xdr:from>
    <xdr:to>
      <xdr:col>26</xdr:col>
      <xdr:colOff>83005</xdr:colOff>
      <xdr:row>11</xdr:row>
      <xdr:rowOff>37464</xdr:rowOff>
    </xdr:to>
    <xdr:pic>
      <xdr:nvPicPr>
        <xdr:cNvPr id="9" name="Picture 1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37804726" y="4829174"/>
          <a:ext cx="1200150" cy="456565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>
    <pageSetUpPr fitToPage="1"/>
  </sheetPr>
  <dimension ref="A1:AD30"/>
  <sheetViews>
    <sheetView tabSelected="1" topLeftCell="A7" zoomScale="70" zoomScaleNormal="70" zoomScaleSheetLayoutView="91" workbookViewId="0">
      <selection activeCell="A17" sqref="A17:AB17"/>
    </sheetView>
  </sheetViews>
  <sheetFormatPr defaultColWidth="9" defaultRowHeight="15" x14ac:dyDescent="0.25"/>
  <cols>
    <col min="1" max="1" width="7.85546875" style="3" customWidth="1"/>
    <col min="2" max="2" width="20.85546875" style="3" customWidth="1"/>
    <col min="3" max="3" width="11.7109375" style="3" customWidth="1"/>
    <col min="4" max="4" width="14.5703125" style="3" customWidth="1"/>
    <col min="5" max="5" width="8.85546875" style="3" customWidth="1"/>
    <col min="6" max="8" width="22" style="12" customWidth="1"/>
    <col min="9" max="25" width="22" style="12" hidden="1" customWidth="1"/>
    <col min="26" max="26" width="19.140625" style="12" customWidth="1"/>
    <col min="27" max="27" width="19.28515625" style="12" customWidth="1"/>
    <col min="28" max="28" width="24.28515625" style="3" customWidth="1"/>
    <col min="29" max="29" width="18.42578125" style="3" customWidth="1"/>
    <col min="30" max="30" width="40.42578125" style="3" customWidth="1"/>
    <col min="31" max="1023" width="9.140625" style="3" customWidth="1"/>
    <col min="1024" max="16384" width="9" style="3"/>
  </cols>
  <sheetData>
    <row r="1" spans="1:30" ht="15" customHeight="1" x14ac:dyDescent="0.25">
      <c r="A1" s="1" t="s">
        <v>0</v>
      </c>
      <c r="B1" s="1"/>
      <c r="C1" s="1"/>
      <c r="D1" s="1"/>
      <c r="E1" s="1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30" ht="15" customHeight="1" x14ac:dyDescent="0.25">
      <c r="A2" s="1"/>
      <c r="B2" s="1"/>
      <c r="C2" s="1"/>
      <c r="D2" s="1"/>
      <c r="E2" s="1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 spans="1:30" ht="36" customHeight="1" x14ac:dyDescent="0.3">
      <c r="A3" s="46" t="s">
        <v>1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</row>
    <row r="4" spans="1:30" ht="15" customHeight="1" x14ac:dyDescent="0.25">
      <c r="A4" s="1"/>
      <c r="B4" s="1"/>
      <c r="C4" s="1"/>
      <c r="D4" s="1"/>
      <c r="E4" s="1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 spans="1:30" x14ac:dyDescent="0.25">
      <c r="A5" s="1"/>
      <c r="B5" s="1"/>
      <c r="C5" s="1"/>
      <c r="D5" s="1"/>
      <c r="E5" s="1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 spans="1:30" ht="24.75" customHeight="1" x14ac:dyDescent="0.25">
      <c r="A6" s="26" t="s">
        <v>2</v>
      </c>
      <c r="B6" s="26"/>
      <c r="C6" s="47" t="s">
        <v>59</v>
      </c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</row>
    <row r="7" spans="1:30" ht="42" customHeight="1" x14ac:dyDescent="0.25">
      <c r="A7" s="26" t="s">
        <v>57</v>
      </c>
      <c r="B7" s="26"/>
      <c r="C7" s="47" t="s">
        <v>58</v>
      </c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  <c r="Y7" s="47"/>
      <c r="Z7" s="47"/>
      <c r="AA7" s="47"/>
      <c r="AB7" s="47"/>
    </row>
    <row r="8" spans="1:30" ht="43.5" customHeight="1" x14ac:dyDescent="0.25">
      <c r="A8" s="42" t="s">
        <v>70</v>
      </c>
      <c r="B8" s="43"/>
      <c r="C8" s="44"/>
      <c r="D8" s="44"/>
      <c r="E8" s="44"/>
      <c r="F8" s="44"/>
      <c r="G8" s="44"/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  <c r="AA8" s="44"/>
      <c r="AB8" s="45"/>
    </row>
    <row r="9" spans="1:30" ht="125.25" customHeight="1" x14ac:dyDescent="0.25">
      <c r="A9" s="48" t="s">
        <v>3</v>
      </c>
      <c r="B9" s="48"/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  <c r="AA9" s="48"/>
      <c r="AB9" s="48"/>
    </row>
    <row r="10" spans="1:30" ht="30" customHeight="1" x14ac:dyDescent="0.25">
      <c r="A10" s="26" t="s">
        <v>4</v>
      </c>
      <c r="B10" s="26" t="s">
        <v>5</v>
      </c>
      <c r="C10" s="26"/>
      <c r="D10" s="26" t="s">
        <v>6</v>
      </c>
      <c r="E10" s="49" t="s">
        <v>7</v>
      </c>
      <c r="F10" s="5" t="s">
        <v>54</v>
      </c>
      <c r="G10" s="5" t="s">
        <v>55</v>
      </c>
      <c r="H10" s="5" t="s">
        <v>56</v>
      </c>
      <c r="I10" s="5" t="s">
        <v>8</v>
      </c>
      <c r="J10" s="5" t="s">
        <v>9</v>
      </c>
      <c r="K10" s="5" t="s">
        <v>10</v>
      </c>
      <c r="L10" s="5" t="s">
        <v>11</v>
      </c>
      <c r="M10" s="5" t="s">
        <v>12</v>
      </c>
      <c r="N10" s="5" t="s">
        <v>13</v>
      </c>
      <c r="O10" s="5" t="s">
        <v>14</v>
      </c>
      <c r="P10" s="5" t="s">
        <v>15</v>
      </c>
      <c r="Q10" s="5" t="s">
        <v>16</v>
      </c>
      <c r="R10" s="5" t="s">
        <v>17</v>
      </c>
      <c r="S10" s="5" t="s">
        <v>18</v>
      </c>
      <c r="T10" s="5" t="s">
        <v>19</v>
      </c>
      <c r="U10" s="5" t="s">
        <v>20</v>
      </c>
      <c r="V10" s="5" t="s">
        <v>21</v>
      </c>
      <c r="W10" s="5" t="s">
        <v>22</v>
      </c>
      <c r="X10" s="5" t="s">
        <v>23</v>
      </c>
      <c r="Y10" s="5" t="s">
        <v>24</v>
      </c>
      <c r="Z10" s="6" t="s">
        <v>25</v>
      </c>
      <c r="AA10" s="49" t="s">
        <v>60</v>
      </c>
      <c r="AB10" s="7" t="s">
        <v>26</v>
      </c>
    </row>
    <row r="11" spans="1:30" ht="45" customHeight="1" x14ac:dyDescent="0.25">
      <c r="A11" s="26"/>
      <c r="B11" s="26"/>
      <c r="C11" s="26"/>
      <c r="D11" s="26"/>
      <c r="E11" s="49"/>
      <c r="F11" s="5" t="s">
        <v>27</v>
      </c>
      <c r="G11" s="5" t="s">
        <v>27</v>
      </c>
      <c r="H11" s="5" t="s">
        <v>27</v>
      </c>
      <c r="I11" s="5" t="s">
        <v>27</v>
      </c>
      <c r="J11" s="5" t="s">
        <v>27</v>
      </c>
      <c r="K11" s="5" t="s">
        <v>27</v>
      </c>
      <c r="L11" s="5" t="s">
        <v>27</v>
      </c>
      <c r="M11" s="5" t="s">
        <v>27</v>
      </c>
      <c r="N11" s="5" t="s">
        <v>27</v>
      </c>
      <c r="O11" s="5" t="s">
        <v>27</v>
      </c>
      <c r="P11" s="5" t="s">
        <v>27</v>
      </c>
      <c r="Q11" s="5" t="s">
        <v>27</v>
      </c>
      <c r="R11" s="5" t="s">
        <v>27</v>
      </c>
      <c r="S11" s="5" t="s">
        <v>27</v>
      </c>
      <c r="T11" s="5" t="s">
        <v>27</v>
      </c>
      <c r="U11" s="5" t="s">
        <v>27</v>
      </c>
      <c r="V11" s="5" t="s">
        <v>27</v>
      </c>
      <c r="W11" s="5" t="s">
        <v>27</v>
      </c>
      <c r="X11" s="5" t="s">
        <v>27</v>
      </c>
      <c r="Y11" s="5" t="s">
        <v>27</v>
      </c>
      <c r="Z11" s="8"/>
      <c r="AA11" s="49"/>
      <c r="AB11" s="9"/>
    </row>
    <row r="12" spans="1:30" ht="52.5" customHeight="1" x14ac:dyDescent="0.25">
      <c r="A12" s="10" t="s">
        <v>48</v>
      </c>
      <c r="B12" s="26" t="s">
        <v>63</v>
      </c>
      <c r="C12" s="26"/>
      <c r="D12" s="10" t="s">
        <v>49</v>
      </c>
      <c r="E12" s="11">
        <v>9</v>
      </c>
      <c r="F12" s="5">
        <v>91200</v>
      </c>
      <c r="G12" s="5">
        <v>99964.800000000003</v>
      </c>
      <c r="H12" s="5">
        <v>121041.82</v>
      </c>
      <c r="I12" s="5" t="s">
        <v>28</v>
      </c>
      <c r="J12" s="5" t="s">
        <v>29</v>
      </c>
      <c r="K12" s="5" t="s">
        <v>30</v>
      </c>
      <c r="L12" s="5" t="s">
        <v>31</v>
      </c>
      <c r="M12" s="5" t="s">
        <v>32</v>
      </c>
      <c r="N12" s="5" t="s">
        <v>33</v>
      </c>
      <c r="O12" s="5" t="s">
        <v>34</v>
      </c>
      <c r="P12" s="5" t="s">
        <v>35</v>
      </c>
      <c r="Q12" s="5" t="s">
        <v>36</v>
      </c>
      <c r="R12" s="5" t="s">
        <v>37</v>
      </c>
      <c r="S12" s="5" t="s">
        <v>38</v>
      </c>
      <c r="T12" s="5" t="s">
        <v>39</v>
      </c>
      <c r="U12" s="5" t="s">
        <v>40</v>
      </c>
      <c r="V12" s="5" t="s">
        <v>41</v>
      </c>
      <c r="W12" s="5" t="s">
        <v>42</v>
      </c>
      <c r="X12" s="5" t="s">
        <v>43</v>
      </c>
      <c r="Y12" s="5" t="s">
        <v>44</v>
      </c>
      <c r="Z12" s="5">
        <v>14.74</v>
      </c>
      <c r="AA12" s="24">
        <f>(F12+G12+H12)/3</f>
        <v>104068.87333333334</v>
      </c>
      <c r="AB12" s="24">
        <f>AA12*E12</f>
        <v>936619.86</v>
      </c>
      <c r="AC12" s="12"/>
      <c r="AD12" s="12"/>
    </row>
    <row r="13" spans="1:30" ht="52.5" customHeight="1" x14ac:dyDescent="0.25">
      <c r="A13" s="10" t="s">
        <v>50</v>
      </c>
      <c r="B13" s="26" t="s">
        <v>67</v>
      </c>
      <c r="C13" s="26"/>
      <c r="D13" s="10" t="s">
        <v>52</v>
      </c>
      <c r="E13" s="11">
        <v>10</v>
      </c>
      <c r="F13" s="5">
        <v>24480</v>
      </c>
      <c r="G13" s="5">
        <v>35267.199999999997</v>
      </c>
      <c r="H13" s="5">
        <v>66125.22</v>
      </c>
      <c r="I13" s="5" t="s">
        <v>28</v>
      </c>
      <c r="J13" s="5" t="s">
        <v>29</v>
      </c>
      <c r="K13" s="5" t="s">
        <v>30</v>
      </c>
      <c r="L13" s="5" t="s">
        <v>31</v>
      </c>
      <c r="M13" s="5" t="s">
        <v>32</v>
      </c>
      <c r="N13" s="5" t="s">
        <v>33</v>
      </c>
      <c r="O13" s="5" t="s">
        <v>34</v>
      </c>
      <c r="P13" s="5" t="s">
        <v>35</v>
      </c>
      <c r="Q13" s="5" t="s">
        <v>36</v>
      </c>
      <c r="R13" s="5" t="s">
        <v>37</v>
      </c>
      <c r="S13" s="5" t="s">
        <v>38</v>
      </c>
      <c r="T13" s="5" t="s">
        <v>39</v>
      </c>
      <c r="U13" s="5" t="s">
        <v>40</v>
      </c>
      <c r="V13" s="5" t="s">
        <v>41</v>
      </c>
      <c r="W13" s="5" t="s">
        <v>42</v>
      </c>
      <c r="X13" s="5" t="s">
        <v>43</v>
      </c>
      <c r="Y13" s="5" t="s">
        <v>44</v>
      </c>
      <c r="Z13" s="5">
        <v>29.42</v>
      </c>
      <c r="AA13" s="24">
        <f>(F13+G13+H13)/3</f>
        <v>41957.473333333335</v>
      </c>
      <c r="AB13" s="24">
        <f>AA13*E13</f>
        <v>419574.73333333334</v>
      </c>
      <c r="AC13" s="12"/>
      <c r="AD13" s="12"/>
    </row>
    <row r="14" spans="1:30" ht="52.5" customHeight="1" x14ac:dyDescent="0.25">
      <c r="A14" s="25" t="s">
        <v>51</v>
      </c>
      <c r="B14" s="26" t="s">
        <v>68</v>
      </c>
      <c r="C14" s="26"/>
      <c r="D14" s="25" t="s">
        <v>52</v>
      </c>
      <c r="E14" s="11">
        <v>8</v>
      </c>
      <c r="F14" s="5">
        <v>640</v>
      </c>
      <c r="G14" s="5">
        <v>855.22</v>
      </c>
      <c r="H14" s="5">
        <v>510.3</v>
      </c>
      <c r="I14" s="5" t="s">
        <v>28</v>
      </c>
      <c r="J14" s="5" t="s">
        <v>29</v>
      </c>
      <c r="K14" s="5" t="s">
        <v>30</v>
      </c>
      <c r="L14" s="5" t="s">
        <v>31</v>
      </c>
      <c r="M14" s="5" t="s">
        <v>32</v>
      </c>
      <c r="N14" s="5" t="s">
        <v>33</v>
      </c>
      <c r="O14" s="5" t="s">
        <v>34</v>
      </c>
      <c r="P14" s="5" t="s">
        <v>35</v>
      </c>
      <c r="Q14" s="5" t="s">
        <v>36</v>
      </c>
      <c r="R14" s="5" t="s">
        <v>37</v>
      </c>
      <c r="S14" s="5" t="s">
        <v>38</v>
      </c>
      <c r="T14" s="5" t="s">
        <v>39</v>
      </c>
      <c r="U14" s="5" t="s">
        <v>40</v>
      </c>
      <c r="V14" s="5" t="s">
        <v>41</v>
      </c>
      <c r="W14" s="5" t="s">
        <v>42</v>
      </c>
      <c r="X14" s="5" t="s">
        <v>43</v>
      </c>
      <c r="Y14" s="5" t="s">
        <v>44</v>
      </c>
      <c r="Z14" s="5">
        <v>26.06</v>
      </c>
      <c r="AA14" s="24">
        <f>(F14+G14+H14)/3</f>
        <v>668.50666666666666</v>
      </c>
      <c r="AB14" s="24">
        <f>AA14*E14</f>
        <v>5348.0533333333333</v>
      </c>
      <c r="AC14" s="12"/>
      <c r="AD14" s="12"/>
    </row>
    <row r="15" spans="1:30" ht="52.5" customHeight="1" x14ac:dyDescent="0.25">
      <c r="A15" s="10">
        <v>4</v>
      </c>
      <c r="B15" s="26" t="s">
        <v>53</v>
      </c>
      <c r="C15" s="26"/>
      <c r="D15" s="10" t="s">
        <v>52</v>
      </c>
      <c r="E15" s="11">
        <v>1</v>
      </c>
      <c r="F15" s="5">
        <v>40000</v>
      </c>
      <c r="G15" s="5" t="s">
        <v>64</v>
      </c>
      <c r="H15" s="5" t="s">
        <v>64</v>
      </c>
      <c r="I15" s="5" t="s">
        <v>28</v>
      </c>
      <c r="J15" s="5" t="s">
        <v>29</v>
      </c>
      <c r="K15" s="5" t="s">
        <v>30</v>
      </c>
      <c r="L15" s="5" t="s">
        <v>31</v>
      </c>
      <c r="M15" s="5" t="s">
        <v>32</v>
      </c>
      <c r="N15" s="5" t="s">
        <v>33</v>
      </c>
      <c r="O15" s="5" t="s">
        <v>34</v>
      </c>
      <c r="P15" s="5" t="s">
        <v>35</v>
      </c>
      <c r="Q15" s="5" t="s">
        <v>36</v>
      </c>
      <c r="R15" s="5" t="s">
        <v>37</v>
      </c>
      <c r="S15" s="5" t="s">
        <v>38</v>
      </c>
      <c r="T15" s="5" t="s">
        <v>39</v>
      </c>
      <c r="U15" s="5" t="s">
        <v>40</v>
      </c>
      <c r="V15" s="5" t="s">
        <v>41</v>
      </c>
      <c r="W15" s="5" t="s">
        <v>42</v>
      </c>
      <c r="X15" s="5" t="s">
        <v>43</v>
      </c>
      <c r="Y15" s="5" t="s">
        <v>44</v>
      </c>
      <c r="Z15" s="5"/>
      <c r="AA15" s="24">
        <v>40000</v>
      </c>
      <c r="AB15" s="24">
        <v>40000</v>
      </c>
      <c r="AC15" s="12"/>
      <c r="AD15" s="12"/>
    </row>
    <row r="16" spans="1:30" x14ac:dyDescent="0.25">
      <c r="A16" s="29"/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AA16" s="10" t="s">
        <v>45</v>
      </c>
      <c r="AB16" s="24">
        <f>AB12+AB13+AB15+AB14</f>
        <v>1401542.6466666665</v>
      </c>
      <c r="AD16" s="23"/>
    </row>
    <row r="17" spans="1:28" x14ac:dyDescent="0.25">
      <c r="A17" s="30" t="s">
        <v>69</v>
      </c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2"/>
    </row>
    <row r="18" spans="1:28" x14ac:dyDescent="0.25">
      <c r="A18" s="33"/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</row>
    <row r="20" spans="1:28" x14ac:dyDescent="0.25">
      <c r="A20" s="33" t="s">
        <v>66</v>
      </c>
      <c r="B20" s="33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33"/>
      <c r="AB20" s="33"/>
    </row>
    <row r="21" spans="1:28" x14ac:dyDescent="0.25">
      <c r="A21" s="34"/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  <c r="AB21" s="34"/>
    </row>
    <row r="22" spans="1:28" x14ac:dyDescent="0.25">
      <c r="A22" s="34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  <c r="AB22" s="34"/>
    </row>
    <row r="23" spans="1:28" ht="15.75" thickBot="1" x14ac:dyDescent="0.3">
      <c r="A23" s="1"/>
      <c r="B23" s="1"/>
      <c r="C23" s="1"/>
      <c r="D23" s="1"/>
      <c r="E23" s="1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spans="1:28" ht="45.75" customHeight="1" thickBot="1" x14ac:dyDescent="0.3">
      <c r="A24" s="35" t="s">
        <v>62</v>
      </c>
      <c r="B24" s="36"/>
      <c r="C24" s="36"/>
      <c r="D24" s="13"/>
      <c r="F24" s="41" t="s">
        <v>65</v>
      </c>
      <c r="G24" s="41"/>
      <c r="H24" s="41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spans="1:28" x14ac:dyDescent="0.25">
      <c r="A25" s="37"/>
      <c r="B25" s="38"/>
      <c r="C25" s="38"/>
      <c r="D25" s="14"/>
      <c r="E25" s="15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spans="1:28" ht="15.75" thickBot="1" x14ac:dyDescent="0.3">
      <c r="A26" s="39" t="s">
        <v>46</v>
      </c>
      <c r="B26" s="40"/>
      <c r="C26" s="40"/>
      <c r="D26" s="16"/>
      <c r="E26" s="15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spans="1:28" x14ac:dyDescent="0.25">
      <c r="A27" s="37" t="s">
        <v>61</v>
      </c>
      <c r="B27" s="38"/>
      <c r="C27" s="38"/>
      <c r="D27" s="17"/>
      <c r="E27" s="15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spans="1:28" ht="16.5" thickBot="1" x14ac:dyDescent="0.3">
      <c r="A28" s="27" t="s">
        <v>47</v>
      </c>
      <c r="B28" s="28"/>
      <c r="C28" s="28"/>
      <c r="D28" s="18"/>
      <c r="E28" s="19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3"/>
      <c r="AA28" s="3"/>
    </row>
    <row r="29" spans="1:28" ht="15.75" x14ac:dyDescent="0.25">
      <c r="A29" s="21"/>
      <c r="B29" s="21"/>
      <c r="C29" s="21"/>
      <c r="D29" s="21"/>
      <c r="E29" s="19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3"/>
      <c r="AA29" s="3"/>
    </row>
    <row r="30" spans="1:28" ht="15.75" x14ac:dyDescent="0.25">
      <c r="A30" s="22" t="s">
        <v>0</v>
      </c>
    </row>
  </sheetData>
  <mergeCells count="28">
    <mergeCell ref="B12:C12"/>
    <mergeCell ref="A9:AB9"/>
    <mergeCell ref="A10:A11"/>
    <mergeCell ref="B10:C11"/>
    <mergeCell ref="D10:D11"/>
    <mergeCell ref="E10:E11"/>
    <mergeCell ref="AA10:AA11"/>
    <mergeCell ref="A8:AB8"/>
    <mergeCell ref="A3:AB3"/>
    <mergeCell ref="A6:B6"/>
    <mergeCell ref="C6:AB6"/>
    <mergeCell ref="A7:B7"/>
    <mergeCell ref="C7:AB7"/>
    <mergeCell ref="B15:C15"/>
    <mergeCell ref="B13:C13"/>
    <mergeCell ref="A28:C28"/>
    <mergeCell ref="A16:Y16"/>
    <mergeCell ref="A17:AB17"/>
    <mergeCell ref="A20:AB20"/>
    <mergeCell ref="A21:AB21"/>
    <mergeCell ref="A22:AB22"/>
    <mergeCell ref="A24:C24"/>
    <mergeCell ref="A25:C25"/>
    <mergeCell ref="A26:C26"/>
    <mergeCell ref="A27:C27"/>
    <mergeCell ref="A18:AB18"/>
    <mergeCell ref="F24:H24"/>
    <mergeCell ref="B14:C14"/>
  </mergeCells>
  <phoneticPr fontId="15" type="noConversion"/>
  <pageMargins left="0.39370078740157483" right="0.39370078740157483" top="0.39370078740157483" bottom="0.39370078740157483" header="0" footer="0"/>
  <pageSetup paperSize="9" scale="65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terms:modified xsi:type="dcterms:W3CDTF">2026-08-20T04:50:55Z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2.4.1</vt:lpwstr>
  </property>
</Properties>
</file>