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Шаблон!$B$17:$S$21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<sst xmlns="http://schemas.openxmlformats.org/spreadsheetml/2006/main" count="608" uniqueCount="358">
  <si>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</si>
  <si>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</si>
  <si>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</si>
  <si>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</si>
  <si>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</si>
  <si>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</si>
  <si>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</si>
  <si>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</si>
  <si>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</si>
  <si>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</si>
  <si>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</si>
  <si>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</si>
  <si>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</si>
  <si>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</si>
  <si>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</si>
  <si>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</si>
  <si>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</si>
  <si>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</si>
  <si>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</si>
  <si>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</si>
  <si>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</si>
  <si>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</si>
  <si>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</si>
  <si>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</si>
  <si>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</si>
  <si>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</si>
  <si>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</si>
  <si>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</si>
  <si>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</si>
  <si>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</si>
  <si>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</si>
  <si>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</si>
  <si>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</si>
  <si>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</si>
  <si>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</si>
  <si>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</si>
  <si>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</si>
  <si>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</si>
  <si>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</si>
  <si>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</si>
  <si>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</si>
  <si>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</si>
  <si>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</si>
  <si>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</si>
  <si>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</si>
  <si>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</si>
  <si>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</si>
  <si>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</si>
  <si>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</si>
  <si>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</si>
  <si>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</si>
  <si>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</si>
  <si>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</si>
  <si>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</si>
  <si>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</si>
  <si>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</si>
  <si>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</si>
  <si>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</si>
  <si>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</si>
  <si>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</si>
  <si>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</si>
  <si>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</si>
  <si>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</si>
  <si>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</si>
  <si>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</si>
  <si>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</si>
  <si>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</si>
  <si>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</si>
  <si>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</si>
  <si>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</si>
  <si>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</si>
  <si>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</si>
  <si>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</si>
  <si>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</si>
  <si>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</si>
  <si>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</si>
  <si>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</si>
  <si>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</si>
  <si>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</si>
  <si>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</si>
  <si>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</si>
  <si>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</si>
  <si>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</si>
  <si>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</si>
  <si>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</si>
  <si>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</si>
  <si>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</si>
  <si>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</si>
  <si>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</si>
  <si>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</si>
  <si>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</si>
  <si>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</si>
  <si>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</si>
  <si>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</si>
  <si>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</si>
  <si>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</si>
  <si>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</si>
  <si>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</si>
  <si>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</si>
  <si>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</si>
  <si>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</si>
  <si>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</si>
  <si>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</si>
  <si>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</si>
  <si>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</si>
  <si>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</si>
  <si>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</si>
  <si>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</si>
  <si>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</si>
  <si>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</si>
  <si>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</si>
  <si>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</si>
  <si>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</si>
  <si>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</si>
  <si>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</si>
  <si>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</si>
  <si>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</si>
  <si>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</si>
  <si>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</si>
  <si>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</si>
  <si>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</si>
  <si>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</si>
  <si>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</si>
  <si>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</si>
  <si>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</si>
  <si>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</si>
  <si>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</si>
  <si>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</si>
  <si>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</si>
  <si>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</si>
  <si>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</si>
  <si>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</si>
  <si>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</si>
  <si>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</si>
  <si>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</si>
  <si>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</si>
  <si>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</si>
  <si>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</si>
  <si>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</si>
  <si>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</si>
  <si>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</si>
  <si>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</si>
  <si>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</si>
  <si>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</si>
  <si>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</si>
  <si>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</si>
  <si>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</si>
  <si>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</si>
  <si>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</si>
  <si>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</si>
  <si>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</si>
  <si>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</si>
  <si>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</si>
  <si>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</si>
  <si>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</si>
  <si>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</si>
  <si>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</si>
  <si>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</si>
  <si>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</si>
  <si>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</si>
  <si>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</si>
  <si>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</si>
  <si>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</si>
  <si>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</si>
  <si>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</si>
  <si>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</si>
  <si>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</si>
  <si>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</si>
  <si>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</si>
  <si>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</si>
  <si>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</si>
  <si>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</si>
  <si>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</si>
  <si>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</si>
  <si>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</si>
  <si>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</si>
  <si>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</si>
  <si>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</si>
  <si>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</si>
  <si>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</si>
  <si>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</si>
  <si>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</si>
  <si>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</si>
  <si>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</si>
  <si>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</si>
  <si>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</si>
  <si>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</si>
  <si>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</si>
  <si>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</si>
  <si>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</si>
  <si>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</si>
  <si>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</si>
  <si>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</si>
  <si>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</si>
  <si>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</si>
  <si>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</si>
  <si>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</si>
  <si>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</si>
  <si>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</si>
  <si>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</si>
  <si>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</si>
  <si>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</si>
  <si>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</si>
  <si>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</si>
  <si>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</si>
  <si>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</si>
  <si>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</si>
  <si>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</si>
  <si>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</si>
  <si>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</si>
  <si>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</si>
  <si>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</si>
  <si>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</si>
  <si>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</si>
  <si>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</si>
  <si>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</si>
  <si>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</si>
  <si>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</si>
  <si>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</si>
  <si>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</si>
  <si>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</si>
  <si>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</si>
  <si>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</si>
  <si>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</si>
  <si>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</si>
  <si>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</si>
  <si>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</si>
  <si>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</si>
  <si>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</si>
  <si>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</si>
  <si>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</si>
  <si>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</si>
  <si>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</si>
  <si>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</si>
  <si>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</si>
  <si>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</si>
  <si>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</si>
  <si>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</si>
  <si>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</si>
  <si>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</si>
  <si>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</si>
  <si>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</si>
  <si>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</si>
  <si>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</si>
  <si>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</si>
  <si>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</si>
  <si>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</si>
  <si>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</si>
  <si>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</si>
  <si>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</si>
  <si>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</si>
  <si>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</si>
  <si>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</si>
  <si>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</si>
  <si>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</si>
  <si>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</si>
  <si>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</si>
  <si>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</si>
  <si>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</si>
  <si>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</si>
  <si>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</si>
  <si>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</si>
  <si>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Ввода высоковольтные для нужд АО "ТГК-11"</t>
  </si>
  <si>
    <t>Внимание!!!  Обязательно прочитайте инструкцию по заполнению в конце таблицы.</t>
  </si>
  <si>
    <t>Лот</t>
  </si>
  <si>
    <t>192.26.00896 Ввода высоковольтные для нужд АО "ТГК-11"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</si>
  <si>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</si>
  <si>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</si>
  <si>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</si>
  <si>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</si>
  <si>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</si>
  <si>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</si>
  <si>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</si>
  <si>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</si>
  <si>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</si>
  <si>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</si>
  <si>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</si>
  <si>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</si>
  <si>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</si>
  <si>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</si>
  <si>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</si>
  <si>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</si>
  <si>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</si>
  <si>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</si>
  <si>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</si>
  <si>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</si>
  <si>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</si>
  <si>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</si>
  <si>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</si>
  <si>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</si>
  <si>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</si>
  <si>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</si>
  <si>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</si>
  <si>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</si>
  <si>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</si>
  <si>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</si>
  <si>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</si>
  <si>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</si>
  <si>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</si>
  <si>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</si>
  <si>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</si>
  <si>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</si>
  <si>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</si>
  <si>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</si>
  <si>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</si>
  <si>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</si>
  <si>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</si>
  <si>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</si>
  <si>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</si>
  <si>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</si>
  <si>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</si>
  <si>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</si>
  <si>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</si>
  <si>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</si>
  <si>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</si>
  <si>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570906</t>
  </si>
  <si>
    <t>Ввод высоковольтный переменного тока, конденсаторный, герметичный (Г), с твердой внутренней изоляцией типа RIP (К), для выключателей (В), степень загрязнения очень сильная (IV), предельный угол установки к вертикали 60град, рабочее напряжение до 126кВ 50Гц, номинальный ток 2000А, вид климатического исполнения О1, IZOLYATOR (ИЗОЛЯТОР) ГКВIV-60-126/2000 О1 , дополнительное обозначение: ИВУЕ.686352.139 ТУ 3493-003-31317133-2008</t>
  </si>
  <si>
    <t>Ввод IZOLYATOR (ИЗОЛЯТОР) ГКВIV-60-126/2000 ИВУЕ.686352.139 ТУ 3493-003-31317133-2008</t>
  </si>
  <si>
    <t>ТУ 3493-003-31317133-2008</t>
  </si>
  <si>
    <t>Штука</t>
  </si>
  <si>
    <t>669635</t>
  </si>
  <si>
    <t>Ввод высоковольтный переменного тока, конденсаторный, герметичный (Г), твердая внутренняя изоляция типа RIP (К), наружная изоляция полимерная (П), линейный (Л), для установки в стенах и перекрытиях зданий распределительных устройств, степень загрязнения окружающей среды очень сильная (категория внешней изоляции IV), предельный угол установки к вертикали 90град, рабочее напряжение до 252кВ, номинальный ток 2000А, вид климатического исполнения О1, IZOLYATOR (ИЗОЛЯТОР) ГКЛПIV-90-252/2000 О1, дополнительное обозначение: ИВУЕ.686353.235-01 ТУ 3493-005-31317133-2009</t>
  </si>
  <si>
    <t>Ввод IZOLYATOR (ИЗОЛЯТОР) ГКЛПIV-90-252/2000 О1 ИВУЕ.686353.235-01 ТУ 3493-005-31317133-2009</t>
  </si>
  <si>
    <t>ТУ 3493-005-31317133-2009</t>
  </si>
  <si>
    <t>514827</t>
  </si>
  <si>
    <t>Ввод высоковольтный герметичный (Г), твердая внутренняя изоляция типа RIP (К), наружная изоляция полимерная (П), для трансформаторов (Т), степень загрязнения окружающей среды сильная (категория внешней изоляции III), предельный угол установки к вертикали 90град, наибольшее рабочее напряжение 126кВ, номинальный ток 2000А, вид климатического исполнения О1, IZOLYATOR (ИЗОЛЯТОР) ГКТПIII-90-126/2000 О1, дополнительное обозначение: ИВУЕ.686352.204 ТУ 3493-001-31317133-2008</t>
  </si>
  <si>
    <t>Ввод IZOLYATOR (ИЗОЛЯТОР) ГКТПIII-90-126/2000 О1 ИВУЕ.686352.204 ТУ 3493-001-31317133-2008</t>
  </si>
  <si>
    <t>ТУ 3493-001-31317133-2008</t>
  </si>
  <si>
    <t>704466</t>
  </si>
  <si>
    <t>Ввод высоковольтный переменного тока, конденсаторный, герметичный (Г), твердая внутренняя изоляция типа RIN (Н), линейный (Л), наружная изоляция полимерная (П), для установки в стенах и перекрытиях зданий распределительных устройств, степень загрязнения окружающей среды сильная (категория внешней изоляции IV), предельный угол установки к вертикали 90град, рабочее напряжение до 126кВ, номинальный ток 2000А, вид климатического исполнения О1 (по ГОСТ 15150-69), IZOLYATOR (ИЗОЛЯТОР) ГНЛП IV-90-126/2000 О1 ИВУЕ.686382.234-05 ТУ 3493-017-31317133-2017</t>
  </si>
  <si>
    <t>Ввод IZOLYATOR (ИЗОЛЯТОР) ГНЛП IV-90-126/2000 О1 ИВУЕ.686382.234-05 ТУ 3493-017-31317133-2017</t>
  </si>
  <si>
    <t>ТУ 3493-017-31317133-2017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</si>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</sst>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47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1695430.0</v>
      </c>
      <c r="K18" s="6" t="n">
        <v>1.0</v>
      </c>
      <c r="L18" s="5" t="n">
        <v>1695430.0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Q24,)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1.0</v>
      </c>
      <c r="Y18" s="4" t="n">
        <v>2631446.0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323</v>
      </c>
      <c r="H19" s="4" t="s">
        <v>319</v>
      </c>
      <c r="I19" s="4" t="s">
        <v>0</v>
      </c>
      <c r="J19" s="5" t="n">
        <v>3044800.0</v>
      </c>
      <c r="K19" s="6" t="n">
        <v>9.0</v>
      </c>
      <c r="L19" s="5" t="n">
        <v>2.74032E7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Q24,)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9.0</v>
      </c>
      <c r="Y19" s="4" t="n">
        <v>2631447.0</v>
      </c>
    </row>
    <row r="20">
      <c r="A20" s="1"/>
      <c r="B20" s="4" t="s">
        <v>314</v>
      </c>
      <c r="C20" s="4" t="n">
        <v>3.0</v>
      </c>
      <c r="D20" s="4" t="s">
        <v>324</v>
      </c>
      <c r="E20" s="4" t="s">
        <v>325</v>
      </c>
      <c r="F20" s="4" t="s">
        <v>326</v>
      </c>
      <c r="G20" s="4" t="s">
        <v>327</v>
      </c>
      <c r="H20" s="4" t="s">
        <v>319</v>
      </c>
      <c r="I20" s="4" t="s">
        <v>0</v>
      </c>
      <c r="J20" s="5" t="n">
        <v>1024870.0</v>
      </c>
      <c r="K20" s="6" t="n">
        <v>1.0</v>
      </c>
      <c r="L20" s="5" t="n">
        <v>1024870.0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Q24,)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1.0</v>
      </c>
      <c r="Y20" s="4" t="n">
        <v>2631445.0</v>
      </c>
    </row>
    <row r="21">
      <c r="A21" s="1"/>
      <c r="B21" s="4" t="s">
        <v>314</v>
      </c>
      <c r="C21" s="4" t="n">
        <v>4.0</v>
      </c>
      <c r="D21" s="4" t="s">
        <v>328</v>
      </c>
      <c r="E21" s="4" t="s">
        <v>329</v>
      </c>
      <c r="F21" s="4" t="s">
        <v>330</v>
      </c>
      <c r="G21" s="4" t="s">
        <v>331</v>
      </c>
      <c r="H21" s="4" t="s">
        <v>319</v>
      </c>
      <c r="I21" s="4" t="s">
        <v>0</v>
      </c>
      <c r="J21" s="5" t="n">
        <v>1839200.0</v>
      </c>
      <c r="K21" s="6" t="n">
        <v>9.0</v>
      </c>
      <c r="L21" s="5" t="n">
        <v>1.65528E7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Q24,)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9.0</v>
      </c>
      <c r="Y21" s="4" t="n">
        <v>2631448.0</v>
      </c>
    </row>
    <row r="22" ht="12.75" customHeight="true">
      <c r="K22" s="68"/>
      <c r="L22" s="68"/>
    </row>
    <row r="23" ht="15.0" customHeight="true">
      <c r="K23" t="s" s="69">
        <v>332</v>
      </c>
      <c r="L23" s="69"/>
      <c r="M23" t="s" s="69">
        <v>333</v>
      </c>
      <c r="N23" s="69"/>
      <c r="O23" s="69"/>
      <c r="P23" s="69"/>
      <c r="Q23" s="69"/>
      <c r="R23" s="70"/>
      <c r="S23" s="70"/>
      <c r="W23" t="s" s="71">
        <v>334</v>
      </c>
      <c r="X23" s="72"/>
    </row>
    <row r="24" ht="15.0" customHeight="true">
      <c r="L24" s="73" t="n">
        <f>SUM(L18:L21)</f>
        <v>4.66763E7</v>
      </c>
      <c r="Q24" s="73" t="n">
        <f>W24/L24</f>
        <v>0.0</v>
      </c>
      <c r="W24" s="73" t="n">
        <f>SUM(W18:W21)</f>
        <v>0.0</v>
      </c>
    </row>
    <row r="25" ht="12.75" customHeight="true">
      <c r="R25" t="s" s="68">
        <v>335</v>
      </c>
      <c r="S25" t="s" s="68">
        <v>336</v>
      </c>
      <c r="T25" s="68"/>
    </row>
    <row r="26" ht="12.75" customHeight="true">
      <c r="D26" t="s" s="74">
        <v>337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  <c r="R26" s="77" t="n">
        <f>SUM(V18:V21)</f>
        <v>0.0</v>
      </c>
      <c r="S26" t="n" s="77">
        <v>100.0</v>
      </c>
      <c r="T26" t="s" s="78">
        <v>338</v>
      </c>
    </row>
    <row r="27" ht="15.0" customHeight="true">
      <c r="D27" t="s" s="74">
        <v>339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6"/>
      <c r="R27" s="73" t="n">
        <f>SUMIF(P18:P21,1, V18:V21)</f>
        <v>0.0</v>
      </c>
      <c r="S27" s="73" t="n">
        <f>IF(R26&lt;&gt;0, R27/R26*100,)</f>
        <v>0.0</v>
      </c>
      <c r="T27" s="79" t="str">
        <f>IF(S27&lt;=50," ","РФ/ДНР/ЛНР/ЕАЭС")</f>
        <v> </v>
      </c>
    </row>
    <row r="28" ht="15.0" customHeight="true">
      <c r="D28" t="s" s="74">
        <v>340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6"/>
      <c r="R28" s="73" t="n">
        <f>IF(R26&lt;&gt;0,R26-R27,)</f>
        <v>0.0</v>
      </c>
      <c r="S28" s="73" t="n">
        <f>IF(R26&lt;&gt;0, R28/R26*100,)</f>
        <v>0.0</v>
      </c>
      <c r="T28" s="79" t="str">
        <f>IF(S28&gt;50,"Импорт", " ")</f>
        <v> </v>
      </c>
    </row>
    <row r="29" ht="15.0" customHeight="true">
      <c r="D29" t="s" s="74">
        <v>341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6"/>
      <c r="R29" s="73" t="n">
        <f>SUMIF(M18:M21, 0, V18:V21)</f>
        <v>0.0</v>
      </c>
      <c r="S29" s="73" t="n">
        <f>IF(R26&lt;&gt;0, R29/R26*100,)</f>
        <v>0.0</v>
      </c>
      <c r="T29" s="79" t="str">
        <f>IF(S29&lt;=50," ","РЭП (ПО)")</f>
        <v> </v>
      </c>
    </row>
    <row r="30" ht="15.0" customHeight="true">
      <c r="A30" s="7"/>
    </row>
    <row r="31" ht="15.75" customHeight="true">
      <c r="B31" t="s" s="80">
        <v>342</v>
      </c>
    </row>
    <row r="32" ht="19.5" customHeight="true">
      <c r="B32" t="s" s="81">
        <v>343</v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</row>
    <row r="33" ht="20.25" customHeight="true">
      <c r="B33" t="s" s="82">
        <v>344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 ht="39.75" customHeight="true">
      <c r="B34" t="s" s="84">
        <v>345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ht="19.5" customHeight="true">
      <c r="B35" t="s" s="82">
        <v>346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ht="18.0" customHeight="true">
      <c r="B36" t="s" s="82">
        <v>347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22.5" customHeight="true">
      <c r="B37" t="s" s="82">
        <v>348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19.5" customHeight="true">
      <c r="B38" t="s" s="82">
        <v>349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22.5" customHeight="true">
      <c r="B39" t="s" s="82">
        <v>350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34.5" customHeight="true">
      <c r="B40" t="s" s="82">
        <v>351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36.0" customHeight="true">
      <c r="B41" t="s" s="82">
        <v>352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32.25" customHeight="true">
      <c r="B42" t="s" s="86">
        <v>353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</row>
    <row r="43" ht="33.75" customHeight="true">
      <c r="B43" t="s" s="82">
        <v>354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33.75" customHeight="true">
      <c r="B44" t="s" s="82">
        <v>355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124.5" customHeight="true">
      <c r="B45" t="s" s="82">
        <v>356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33.75" customHeight="true">
      <c r="B46" t="s" s="82">
        <v>357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24.75" customHeight="true">
      <c r="A47" s="7"/>
    </row>
  </sheetData>
  <sheetProtection autoFilter="false" sort="false" password="CDB0" sheet="true" scenarios="true" objects="true"/>
  <autoFilter ref="B17:S21"/>
  <mergeCells count="92">
    <mergeCell ref="K23:L23"/>
    <mergeCell ref="M23:Q23"/>
    <mergeCell ref="I14:I16"/>
    <mergeCell ref="J14:J16"/>
    <mergeCell ref="K14:K16"/>
    <mergeCell ref="L14:L16"/>
    <mergeCell ref="D29:Q29"/>
    <mergeCell ref="B45:W45"/>
    <mergeCell ref="B41:W41"/>
    <mergeCell ref="B42:W42"/>
    <mergeCell ref="B43:W43"/>
    <mergeCell ref="B44:W44"/>
    <mergeCell ref="BS15:BT15"/>
    <mergeCell ref="B46:W46"/>
    <mergeCell ref="B40:W40"/>
    <mergeCell ref="D26:Q26"/>
    <mergeCell ref="D27:Q27"/>
    <mergeCell ref="D28:Q28"/>
    <mergeCell ref="B32:W32"/>
    <mergeCell ref="B33:W33"/>
    <mergeCell ref="B34:W34"/>
    <mergeCell ref="B35:W35"/>
    <mergeCell ref="B36:W36"/>
    <mergeCell ref="B37:W37"/>
    <mergeCell ref="B38:W38"/>
    <mergeCell ref="B39:W39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12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2026-08-21T07:39:54Z</dcterms:created>
  <dc:creator>Apache POI</dc:creator>
</cp:coreProperties>
</file>