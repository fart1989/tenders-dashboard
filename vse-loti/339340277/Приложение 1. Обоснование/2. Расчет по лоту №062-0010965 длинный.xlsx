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DSheet" sheetId="1" state="visible" r:id="rId1"/>
  </sheets>
  <definedNames>
    <definedName name="_xlnm._FilterDatabase" localSheetId="0" hidden="1">TDSheet!$A$5:$K$7</definedName>
    <definedName name="_xlnm.Print_Area" localSheetId="0">TDSheet!$A$1:$E$7</definedName>
    <definedName name="line">TDSheet!#REF!</definedName>
    <definedName name="zmacro">TDSheet!$1:$1048576</definedName>
    <definedName name="_xlnm._FilterDatabase" localSheetId="0" hidden="1">TDSheet!$A$5:$K$7</definedName>
  </definedNames>
  <calcPr fullPrecision="0"/>
</workbook>
</file>

<file path=xl/sharedStrings.xml><?xml version="1.0" encoding="utf-8"?>
<sst xmlns="http://schemas.openxmlformats.org/spreadsheetml/2006/main" count="17" uniqueCount="17">
  <si>
    <t xml:space="preserve">Расчет плановой стоимости ЗНТ № 062-0010965</t>
  </si>
  <si>
    <t xml:space="preserve">Наименование лота: Поставка автогидроподъемника для нужд ПАО «Россети Московский регион» в 2026 году (Лот 1)</t>
  </si>
  <si>
    <t xml:space="preserve">КП 1</t>
  </si>
  <si>
    <t xml:space="preserve">КП 2</t>
  </si>
  <si>
    <t xml:space="preserve">КП 3</t>
  </si>
  <si>
    <t xml:space="preserve">Общая стоимость c НДС, руб</t>
  </si>
  <si>
    <t xml:space="preserve">№ п\п</t>
  </si>
  <si>
    <t xml:space="preserve">Справочный номер к Заявке на проведение торгов (ЗНТ)</t>
  </si>
  <si>
    <t xml:space="preserve">Наименование товара по заявке Покупателя</t>
  </si>
  <si>
    <t xml:space="preserve">Ед. изм</t>
  </si>
  <si>
    <t xml:space="preserve">Кол-во с учетом фасовки</t>
  </si>
  <si>
    <t xml:space="preserve">Цена за ед. без НДС, руб</t>
  </si>
  <si>
    <t xml:space="preserve">Общая стоимость без НДС, руб.</t>
  </si>
  <si>
    <t>062-0010965</t>
  </si>
  <si>
    <t xml:space="preserve">Автогидроподъемник АГП-22 на шасси ГАЗ</t>
  </si>
  <si>
    <t>ШТ</t>
  </si>
  <si>
    <t xml:space="preserve">Итого на сумму: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</si>
</sst>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8.000000"/>
      <color theme="1"/>
      <name val="Arial"/>
    </font>
    <font>
      <sz val="11.000000"/>
      <color theme="1"/>
      <name val="Calibri"/>
      <scheme val="minor"/>
    </font>
    <font>
      <b/>
      <sz val="12.000000"/>
      <name val="Times New Roman"/>
    </font>
    <font>
      <b/>
      <sz val="14.000000"/>
      <name val="Times New Roman"/>
    </font>
    <font>
      <sz val="11.000000"/>
      <name val="Times New Roman"/>
    </font>
    <font>
      <sz val="12.000000"/>
      <color theme="1"/>
      <name val="Times New Roman"/>
    </font>
    <font>
      <b/>
      <sz val="11.000000"/>
      <name val="Times New Roman"/>
    </font>
    <font>
      <b/>
      <sz val="10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31">
    <xf fontId="0" fillId="0" borderId="0" numFmtId="0" xfId="0" applyAlignment="1">
      <alignment horizontal="left"/>
    </xf>
    <xf fontId="2" fillId="0" borderId="0" numFmtId="0" xfId="0" applyFont="1" applyAlignment="1">
      <alignment horizontal="left"/>
    </xf>
    <xf fontId="0" fillId="0" borderId="0" numFmtId="0" xfId="0" applyAlignment="1">
      <alignment horizontal="left"/>
      <protection hidden="0" locked="1"/>
    </xf>
    <xf fontId="3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2" borderId="5" numFmtId="0" xfId="0" applyFont="1" applyFill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0" fillId="0" borderId="0" numFmtId="0" xfId="0" applyAlignment="1">
      <alignment horizontal="left"/>
    </xf>
    <xf fontId="4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4" numFmtId="0" xfId="3" applyFont="1" applyBorder="1" applyAlignment="1" quotePrefix="1">
      <alignment horizontal="center" vertical="center" wrapText="1"/>
    </xf>
    <xf fontId="4" fillId="0" borderId="4" numFmtId="0" xfId="0" applyFont="1" applyBorder="1" applyAlignment="1">
      <alignment horizontal="center" vertical="center"/>
    </xf>
    <xf fontId="4" fillId="2" borderId="4" numFmtId="4" xfId="0" applyNumberFormat="1" applyFont="1" applyFill="1" applyBorder="1" applyAlignment="1">
      <alignment horizontal="center" vertical="center" wrapText="1"/>
    </xf>
    <xf fontId="4" fillId="0" borderId="4" numFmtId="4" xfId="0" applyNumberFormat="1" applyFont="1" applyBorder="1" applyAlignment="1">
      <alignment horizontal="center" vertical="center"/>
    </xf>
    <xf fontId="4" fillId="0" borderId="4" numFmtId="4" xfId="0" applyNumberFormat="1" applyFont="1" applyBorder="1" applyAlignment="1">
      <alignment horizontal="center" vertical="center" wrapText="1"/>
    </xf>
    <xf fontId="4" fillId="0" borderId="5" numFmtId="4" xfId="0" applyNumberFormat="1" applyFont="1" applyBorder="1" applyAlignment="1">
      <alignment horizontal="center" vertical="center" wrapText="1"/>
    </xf>
    <xf fontId="0" fillId="0" borderId="0" numFmtId="0" xfId="0" applyAlignment="1">
      <alignment horizontal="left" vertical="center"/>
    </xf>
    <xf fontId="6" fillId="0" borderId="4" numFmtId="0" xfId="0" applyFont="1" applyBorder="1" applyAlignment="1">
      <alignment horizontal="left" vertical="center"/>
    </xf>
    <xf fontId="0" fillId="0" borderId="4" numFmtId="0" xfId="0" applyBorder="1" applyAlignment="1">
      <alignment horizontal="left" vertical="center"/>
    </xf>
    <xf fontId="7" fillId="0" borderId="4" numFmtId="0" xfId="0" applyFont="1" applyBorder="1" applyAlignment="1">
      <alignment horizontal="left" vertical="center"/>
    </xf>
    <xf fontId="6" fillId="0" borderId="4" numFmtId="0" xfId="0" applyFont="1" applyBorder="1" applyAlignment="1">
      <alignment horizontal="center" vertical="center"/>
    </xf>
    <xf fontId="4" fillId="2" borderId="4" numFmtId="4" xfId="0" applyNumberFormat="1" applyFont="1" applyFill="1" applyBorder="1" applyAlignment="1">
      <alignment horizontal="center" vertical="center"/>
    </xf>
    <xf fontId="6" fillId="0" borderId="4" numFmtId="4" xfId="0" applyNumberFormat="1" applyFont="1" applyBorder="1" applyAlignment="1">
      <alignment horizontal="center" vertical="center"/>
    </xf>
    <xf fontId="0" fillId="0" borderId="0" numFmtId="3" xfId="0" applyNumberFormat="1" applyAlignment="1">
      <alignment horizontal="left"/>
    </xf>
    <xf fontId="0" fillId="0" borderId="0" numFmtId="4" xfId="0" applyNumberFormat="1" applyAlignment="1">
      <alignment horizontal="left" wrapText="1"/>
    </xf>
    <xf fontId="0" fillId="0" borderId="0" numFmtId="4" xfId="0" applyNumberFormat="1" applyAlignment="1">
      <alignment horizontal="left"/>
    </xf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0" fitToPage="0"/>
  </sheetPr>
  <sheetViews>
    <sheetView showRuler="1" zoomScale="85" workbookViewId="0">
      <selection activeCell="I21" activeCellId="0" sqref="I21"/>
    </sheetView>
  </sheetViews>
  <sheetFormatPr defaultColWidth="10.6640625" defaultRowHeight="10.5"/>
  <cols>
    <col customWidth="1" min="1" max="1" width="5.1640625"/>
    <col customWidth="1" min="2" max="2" width="24.33203125"/>
    <col customWidth="1" min="3" max="3" width="28.83203125"/>
    <col customWidth="1" min="4" max="4" width="10.5"/>
    <col customWidth="1" min="5" max="5" width="12.5"/>
    <col customWidth="1" min="6" max="6" width="17.33203125"/>
    <col customWidth="1" min="7" max="7" width="17.83203125"/>
    <col customWidth="1" min="8" max="8" width="18"/>
    <col customWidth="1" min="9" max="9" width="17.83203125"/>
    <col customWidth="1" min="10" max="10" width="15.83203125"/>
    <col customWidth="1" min="11" max="11" width="17.83203125"/>
    <col customWidth="1" min="12" max="12" width="1.5625"/>
    <col customWidth="1" min="13" max="13" width="25"/>
  </cols>
  <sheetData>
    <row r="1" s="1" customFormat="1" ht="15.75" customHeight="1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="1" customFormat="1" ht="15.75" customHeight="1">
      <c r="A2" s="2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="1" customFormat="1" ht="15.75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="1" customFormat="1" ht="15.75" customHeight="1">
      <c r="A4" s="2"/>
      <c r="B4" s="4"/>
      <c r="C4" s="4"/>
      <c r="D4" s="4"/>
      <c r="E4" s="4"/>
      <c r="F4" s="5" t="s">
        <v>2</v>
      </c>
      <c r="G4" s="6"/>
      <c r="H4" s="5" t="s">
        <v>3</v>
      </c>
      <c r="I4" s="6"/>
      <c r="J4" s="5" t="s">
        <v>4</v>
      </c>
      <c r="K4" s="6"/>
      <c r="L4" s="2"/>
      <c r="M4" s="7" t="s">
        <v>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="1" customFormat="1" ht="169.5" customHeight="1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9" t="s">
        <v>11</v>
      </c>
      <c r="G5" s="10" t="s">
        <v>12</v>
      </c>
      <c r="H5" s="9" t="s">
        <v>11</v>
      </c>
      <c r="I5" s="10" t="s">
        <v>12</v>
      </c>
      <c r="J5" s="9" t="s">
        <v>11</v>
      </c>
      <c r="K5" s="10" t="s">
        <v>12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</row>
    <row r="6" s="12" customFormat="1" ht="155.09999999999999" customHeight="1">
      <c r="A6" s="13">
        <v>1</v>
      </c>
      <c r="B6" s="14" t="s">
        <v>13</v>
      </c>
      <c r="C6" s="15" t="s">
        <v>14</v>
      </c>
      <c r="D6" s="16" t="s">
        <v>15</v>
      </c>
      <c r="E6" s="16">
        <v>2</v>
      </c>
      <c r="F6" s="17">
        <v>13700000</v>
      </c>
      <c r="G6" s="18">
        <v>27400000</v>
      </c>
      <c r="H6" s="19">
        <v>15081147.539999999</v>
      </c>
      <c r="I6" s="19">
        <v>30162295.079999998</v>
      </c>
      <c r="J6" s="19">
        <v>13850000</v>
      </c>
      <c r="K6" s="19">
        <v>27700000</v>
      </c>
      <c r="M6" s="20">
        <f>G7*1.22</f>
        <v>33428000</v>
      </c>
    </row>
    <row r="7" s="21" customFormat="1" ht="14.25">
      <c r="A7" s="22" t="s">
        <v>16</v>
      </c>
      <c r="B7" s="22"/>
      <c r="C7" s="23"/>
      <c r="D7" s="24"/>
      <c r="E7" s="25">
        <f>SUM(E6:E6)</f>
        <v>2</v>
      </c>
      <c r="F7" s="26"/>
      <c r="G7" s="27">
        <v>27400000</v>
      </c>
      <c r="H7" s="18"/>
      <c r="I7" s="27">
        <v>30162295.079999998</v>
      </c>
      <c r="J7" s="18"/>
      <c r="K7" s="27">
        <v>27700000</v>
      </c>
      <c r="L7" s="21"/>
      <c r="M7" s="27">
        <f>M6</f>
        <v>33428000</v>
      </c>
      <c r="N7" s="21"/>
      <c r="O7" s="21"/>
      <c r="P7" s="21"/>
      <c r="Q7" s="21"/>
      <c r="R7" s="21"/>
      <c r="S7" s="21"/>
      <c r="T7" s="21"/>
    </row>
    <row r="8" ht="10.5"/>
    <row r="12">
      <c r="F12" s="28"/>
      <c r="H12" s="29"/>
      <c r="J12" s="30"/>
    </row>
  </sheetData>
  <autoFilter ref="A5:K7"/>
  <mergeCells count="6">
    <mergeCell ref="B1:K1"/>
    <mergeCell ref="B2:K2"/>
    <mergeCell ref="F4:G4"/>
    <mergeCell ref="H4:I4"/>
    <mergeCell ref="J4:K4"/>
    <mergeCell ref="M4:M5"/>
  </mergeCells>
  <printOptions headings="0" gridLines="0"/>
  <pageMargins left="0.75" right="0.75" top="1" bottom="1" header="0.5" footer="0.5"/>
  <pageSetup paperSize="9" scale="14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Немцевич</dc:creator>
  <cp:lastModifiedBy>brizhan-sm</cp:lastModifiedBy>
  <cp:revision>4</cp:revision>
  <dcterms:created xsi:type="dcterms:W3CDTF">2020-09-11T07:33:21Z</dcterms:created>
  <dcterms:modified xsi:type="dcterms:W3CDTF">2026-08-17T11:52:48Z</dcterms:modified>
</cp:coreProperties>
</file>