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queryTables/queryTable1.xml" ContentType="application/vnd.openxmlformats-officedocument.spreadsheetml.query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O:\PRM\AD01\Departments\UZIL\ОТдел ТНМО\2026 ЗАКУПКИ\09. Сентябрь\07.09 -36-27 ОЗП (В2В) ЭСВ трубы (Цветкова)\05. Документация ОЗП 36-27\"/>
    </mc:Choice>
  </mc:AlternateContent>
  <bookViews>
    <workbookView xWindow="120" yWindow="75" windowWidth="19020" windowHeight="4335"/>
  </bookViews>
  <sheets>
    <sheet name="для проверки" sheetId="2" r:id="rId1"/>
  </sheets>
  <definedNames>
    <definedName name="_xlnm._FilterDatabase" localSheetId="0" hidden="1">'для проверки'!$B$8:$M$83</definedName>
    <definedName name="ExternalData_1" localSheetId="0">'для проверки'!$A$4:$F$83</definedName>
    <definedName name="_xlnm.Print_Area" localSheetId="0">'для проверки'!$A$1:$N$92</definedName>
  </definedNames>
  <calcPr calcId="162913"/>
</workbook>
</file>

<file path=xl/calcChain.xml><?xml version="1.0" encoding="utf-8"?>
<calcChain xmlns="http://schemas.openxmlformats.org/spreadsheetml/2006/main">
  <c r="J10" i="2" l="1"/>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9" i="2"/>
  <c r="K10" i="2" l="1"/>
  <c r="L10" i="2" s="1"/>
  <c r="K11" i="2"/>
  <c r="L11" i="2" s="1"/>
  <c r="K12" i="2"/>
  <c r="L12" i="2" s="1"/>
  <c r="K13" i="2"/>
  <c r="L13" i="2" s="1"/>
  <c r="K14" i="2"/>
  <c r="L14" i="2" s="1"/>
  <c r="K15" i="2"/>
  <c r="L15" i="2" s="1"/>
  <c r="K16" i="2"/>
  <c r="L16" i="2" s="1"/>
  <c r="K17" i="2"/>
  <c r="L17" i="2" s="1"/>
  <c r="K18" i="2"/>
  <c r="L18" i="2" s="1"/>
  <c r="K19" i="2"/>
  <c r="L19" i="2" s="1"/>
  <c r="K20" i="2"/>
  <c r="L20" i="2" s="1"/>
  <c r="K21" i="2"/>
  <c r="L21" i="2" s="1"/>
  <c r="K22" i="2"/>
  <c r="L22" i="2" s="1"/>
  <c r="K23" i="2"/>
  <c r="L23" i="2" s="1"/>
  <c r="K24" i="2"/>
  <c r="L24" i="2" s="1"/>
  <c r="K25" i="2"/>
  <c r="L25" i="2" s="1"/>
  <c r="K26" i="2"/>
  <c r="L26" i="2" s="1"/>
  <c r="K27" i="2"/>
  <c r="L27" i="2" s="1"/>
  <c r="K28" i="2"/>
  <c r="L28" i="2" s="1"/>
  <c r="K29" i="2"/>
  <c r="L29" i="2" s="1"/>
  <c r="K30" i="2"/>
  <c r="L30" i="2" s="1"/>
  <c r="K31" i="2"/>
  <c r="L31" i="2" s="1"/>
  <c r="K32" i="2"/>
  <c r="L32" i="2" s="1"/>
  <c r="K33" i="2"/>
  <c r="L33" i="2" s="1"/>
  <c r="K34" i="2"/>
  <c r="L34" i="2" s="1"/>
  <c r="K35" i="2"/>
  <c r="L35" i="2" s="1"/>
  <c r="K36" i="2"/>
  <c r="L36" i="2" s="1"/>
  <c r="K37" i="2"/>
  <c r="L37" i="2" s="1"/>
  <c r="K38" i="2"/>
  <c r="L38" i="2" s="1"/>
  <c r="K39" i="2"/>
  <c r="L39" i="2" s="1"/>
  <c r="K40" i="2"/>
  <c r="L40" i="2" s="1"/>
  <c r="K41" i="2"/>
  <c r="L41" i="2" s="1"/>
  <c r="K42" i="2"/>
  <c r="L42" i="2" s="1"/>
  <c r="K43" i="2"/>
  <c r="L43" i="2" s="1"/>
  <c r="K44" i="2"/>
  <c r="L44" i="2" s="1"/>
  <c r="K45" i="2"/>
  <c r="L45" i="2" s="1"/>
  <c r="K46" i="2"/>
  <c r="L46" i="2" s="1"/>
  <c r="K47" i="2"/>
  <c r="L47" i="2" s="1"/>
  <c r="K48" i="2"/>
  <c r="L48" i="2" s="1"/>
  <c r="K49" i="2"/>
  <c r="L49" i="2" s="1"/>
  <c r="K50" i="2"/>
  <c r="L50" i="2" s="1"/>
  <c r="K51" i="2"/>
  <c r="L51" i="2" s="1"/>
  <c r="K52" i="2"/>
  <c r="L52" i="2" s="1"/>
  <c r="K53" i="2"/>
  <c r="L53" i="2" s="1"/>
  <c r="K54" i="2"/>
  <c r="L54" i="2" s="1"/>
  <c r="K55" i="2"/>
  <c r="L55" i="2" s="1"/>
  <c r="K56" i="2"/>
  <c r="L56" i="2" s="1"/>
  <c r="K57" i="2"/>
  <c r="L57" i="2" s="1"/>
  <c r="K58" i="2"/>
  <c r="L58" i="2" s="1"/>
  <c r="K59" i="2"/>
  <c r="L59" i="2" s="1"/>
  <c r="K60" i="2"/>
  <c r="L60" i="2" s="1"/>
  <c r="K61" i="2"/>
  <c r="L61" i="2" s="1"/>
  <c r="K62" i="2"/>
  <c r="L62" i="2" s="1"/>
  <c r="K63" i="2"/>
  <c r="L63" i="2" s="1"/>
  <c r="K64" i="2"/>
  <c r="L64" i="2" s="1"/>
  <c r="K65" i="2"/>
  <c r="L65" i="2" s="1"/>
  <c r="K66" i="2"/>
  <c r="L66" i="2" s="1"/>
  <c r="K67" i="2"/>
  <c r="L67" i="2" s="1"/>
  <c r="K68" i="2"/>
  <c r="L68" i="2" s="1"/>
  <c r="K69" i="2"/>
  <c r="L69" i="2" s="1"/>
  <c r="K70" i="2"/>
  <c r="L70" i="2" s="1"/>
  <c r="K71" i="2"/>
  <c r="L71" i="2" s="1"/>
  <c r="K72" i="2"/>
  <c r="L72" i="2" s="1"/>
  <c r="K73" i="2"/>
  <c r="L73" i="2" s="1"/>
  <c r="K74" i="2"/>
  <c r="L74" i="2" s="1"/>
  <c r="K75" i="2"/>
  <c r="L75" i="2" s="1"/>
  <c r="K76" i="2"/>
  <c r="L76" i="2" s="1"/>
  <c r="K77" i="2"/>
  <c r="L77" i="2" s="1"/>
  <c r="K78" i="2"/>
  <c r="L78" i="2" s="1"/>
  <c r="K79" i="2"/>
  <c r="L79" i="2" s="1"/>
  <c r="K80" i="2"/>
  <c r="L80" i="2" s="1"/>
  <c r="K81" i="2"/>
  <c r="L81" i="2" s="1"/>
  <c r="K82" i="2"/>
  <c r="L82" i="2" s="1"/>
  <c r="K9" i="2"/>
  <c r="K83" i="2" l="1"/>
  <c r="L9" i="2"/>
  <c r="L83" i="2" s="1"/>
  <c r="E83" i="2"/>
</calcChain>
</file>

<file path=xl/comments1.xml><?xml version="1.0" encoding="utf-8"?>
<comments xmlns="http://schemas.openxmlformats.org/spreadsheetml/2006/main">
  <authors>
    <author>Казыханова Анна Николаевна</author>
  </authors>
  <commentList>
    <comment ref="Q8" authorId="0" shapeId="0">
      <text>
        <r>
          <rPr>
            <b/>
            <sz val="9"/>
            <color indexed="81"/>
            <rFont val="Tahoma"/>
            <charset val="1"/>
          </rPr>
          <t>Наименование работы</t>
        </r>
      </text>
    </comment>
  </commentList>
</comments>
</file>

<file path=xl/connections.xml><?xml version="1.0" encoding="utf-8"?>
<connections xmlns="http://schemas.openxmlformats.org/spreadsheetml/2006/main">
  <connection id="1" name="Подключение1" type="4" refreshedVersion="3" saveData="1">
    <webPr sourceData="1" parsePre="1" consecutive="1" xl2000="1" url="mhtml:file://C:\Documents and Settings\plusnin_ip\Мои документы\Лоты 2011\2 полугодие\Подшипники 19178\подшипники 19178.MHTML!file3976.files/sheet001.htm" htmlTables="1">
      <tables count="1">
        <x v="1"/>
      </tables>
    </webPr>
  </connection>
</connections>
</file>

<file path=xl/sharedStrings.xml><?xml version="1.0" encoding="utf-8"?>
<sst xmlns="http://schemas.openxmlformats.org/spreadsheetml/2006/main" count="708" uniqueCount="163">
  <si>
    <t>п/п</t>
  </si>
  <si>
    <t>№ п/п</t>
  </si>
  <si>
    <t>Кол-во</t>
  </si>
  <si>
    <t>Сроки поставки</t>
  </si>
  <si>
    <t xml:space="preserve">Техническое задание </t>
  </si>
  <si>
    <t>Перечень и объемы закупаемой продукции.</t>
  </si>
  <si>
    <t>Показатель</t>
  </si>
  <si>
    <t>Описание</t>
  </si>
  <si>
    <t>Общие требования к условиям поставки</t>
  </si>
  <si>
    <t>Технические требования к продукции</t>
  </si>
  <si>
    <t>Подтверждение соответствия продукции предъявляемым требованиям</t>
  </si>
  <si>
    <t>Требования по порядку расчетов</t>
  </si>
  <si>
    <t>Таблица 1</t>
  </si>
  <si>
    <t>Наименование продукции</t>
  </si>
  <si>
    <t>Техн. Требования</t>
  </si>
  <si>
    <t>Получатель</t>
  </si>
  <si>
    <t>Код МТР SAP</t>
  </si>
  <si>
    <t>Грузополучатель, реквизиты</t>
  </si>
  <si>
    <t>п. 2 таблицы 2</t>
  </si>
  <si>
    <t>ИТОГО:</t>
  </si>
  <si>
    <t>т</t>
  </si>
  <si>
    <t/>
  </si>
  <si>
    <t>Завод</t>
  </si>
  <si>
    <t xml:space="preserve">на поставку ЭСВ труб </t>
  </si>
  <si>
    <t>КОД ОКПД2</t>
  </si>
  <si>
    <t>Преимущество/запрет/ограничение допуска товаров, происходящих из иностранного государства</t>
  </si>
  <si>
    <t>1.1.Продукция должна быть маркирована  и упакована в упаковку, обеспечивающую сохранность Продукции при перевозке, разгрузке и хранении, согласно ГОСТу, ТУ,   и другим нормативным документам. Маркировка должна быть на каждый тип и размер трубы в поставляемой партии.
1.2. Тара (упаковка) возврату не подлежит
1.3.Поставка осуществляетcя путем отгрузок Продукции  автомобильным транспортом силами и за счет Поставщика  до склада Грузополучателя.
1.4.Покупатель вправе уменьшить объем закупаемой продукции, указанный в тех.задании без увеличения стоимости со стороны Поставщика за единицу продукции.
1.5. Заказчик вправе отказаться от принятия Продукции по согласованной спецификации, если поставка по ней просрочена более, чем на десять календарных дней.                                                                                                                                                                                                                                                                                            
1.6. Допускается толеранс в поставке +10%/-5%  веса по договору,но не менее/более  одной цельной трубы по каждой позиции.
1.7. Досрочная и укрупненная поставка может производить по согласованию с Заказчиком.</t>
  </si>
  <si>
    <t>24.20.13.130</t>
  </si>
  <si>
    <t>Обособленное подразделение ПАО "Т Плюс" (ТЭЦ-14-для Закамских ТС). Адрес:  614113, РФ, г.Пермь, ул. Ласьвинская, 106, ИНН 6315376946, КПП 590445002</t>
  </si>
  <si>
    <t xml:space="preserve">Обособленное подразделение ПАО "Т Плюс" (Пермская ТЭЦ-9 для Пермских ТС), Адрес: 614065, РФ, Пермский край, г. Пермь, ул. Промышленая, д.103, ИНН 6315376946, КПП 590445003 </t>
  </si>
  <si>
    <t xml:space="preserve">3.1.  Качество предлагаемой продукции должно быть подтверждено декларацией или сертификатом соответствия требованиям технического регламента Таможенного союза 032/2013 в момент поставки продукции;
3.2 Сертификат качества на продукцию (предусмотренный заводом изготовителем), заверенный печатью поставщика должен быть предоставлены Грузополучателю до  момента поставки продукции по факту, либо по электронной почте, а затем в момент поставки продукции с синей печатью поставщика.
3.3 Покупатель вправе проверить подлинность сертификата на заводе - изготовителе.                                                                                                   </t>
  </si>
  <si>
    <t>Ед. изм</t>
  </si>
  <si>
    <t>ТРУБА 108Х4 СТ20 ГОСТ10704</t>
  </si>
  <si>
    <t>ТРУБА 108Х5 СТ20 ГОСТ10704</t>
  </si>
  <si>
    <t>ТРУБА 133Х5 СТ20 ГОСТ10704</t>
  </si>
  <si>
    <t>ТРУБА 159Х6 СТ20 ГОСТ10705</t>
  </si>
  <si>
    <t>ТРУБА 219Х6 СТ20 ГОСТ10704</t>
  </si>
  <si>
    <t>ТРУБА 219Х6 СТ20 ТИП1 К52 ГОСТ20295</t>
  </si>
  <si>
    <t>ТРУБА 219Х8 СТ20 ГОСТ10704</t>
  </si>
  <si>
    <t>ТРУБА 273Х8 СТ20 ГОСТ10704</t>
  </si>
  <si>
    <t>ТРУБА 325Х8 17Г1СУ ГОСТ10705</t>
  </si>
  <si>
    <t>ТРУБА 530Х9 СТ17Г1С ТИП3 К52 ГОСТ20295</t>
  </si>
  <si>
    <t>ТРУБА 57Х4 СТ20 ГОСТ10704</t>
  </si>
  <si>
    <t>ТРУБА 57Х6 СТ20 ГОСТ10705</t>
  </si>
  <si>
    <t>ТРУБА 630Х9 СТ17Г1С ТИП3 К52 ГОСТ20295</t>
  </si>
  <si>
    <t>ТРУБА 76Х4 СТ20 ГОСТ10704</t>
  </si>
  <si>
    <t>ТРУБА 89Х5 СТ20 ГОСТ10704</t>
  </si>
  <si>
    <t>58942</t>
  </si>
  <si>
    <t>24599</t>
  </si>
  <si>
    <t>290209</t>
  </si>
  <si>
    <t>67598</t>
  </si>
  <si>
    <t>165181</t>
  </si>
  <si>
    <t>82482</t>
  </si>
  <si>
    <t>106871</t>
  </si>
  <si>
    <t>24763</t>
  </si>
  <si>
    <t>422953</t>
  </si>
  <si>
    <t>291642</t>
  </si>
  <si>
    <t>58958</t>
  </si>
  <si>
    <t>118792</t>
  </si>
  <si>
    <t>24951</t>
  </si>
  <si>
    <t>24966</t>
  </si>
  <si>
    <t>180320</t>
  </si>
  <si>
    <t xml:space="preserve">преимущество </t>
  </si>
  <si>
    <t>7UB1</t>
  </si>
  <si>
    <t>7UE1</t>
  </si>
  <si>
    <t>7UO1</t>
  </si>
  <si>
    <t>7UU1</t>
  </si>
  <si>
    <t>7U51</t>
  </si>
  <si>
    <t>7UN1</t>
  </si>
  <si>
    <t>7UJ1</t>
  </si>
  <si>
    <t>7U71</t>
  </si>
  <si>
    <t xml:space="preserve">Обособленное подразделение ПАО "Т Плюс" (Пермская ТЭЦ-6-для Пермских ТС), Адрес: 614025, РФ, Пермский край, г. Пермь, ул. Героев Хасана, д.38, ИНН 6315376946, КПП 590445005 </t>
  </si>
  <si>
    <t>Обособленное подразделение ПАО "Т Плюс" (Пермская ТЭЦ-6), Адрес: 614025, РФ, Пермский край, г. Пермь, ул. Героев Хасана, д.38, ИНН 6315376946, КПП 590445005</t>
  </si>
  <si>
    <t xml:space="preserve">Обособленное подразделение ПАО "Т Плюс" (Пермская ТЭЦ-14), адрес: 614113, РФ, Пермский край, г.Пермь, ул.Ласьвинская, 106. ИНН 6315376946, КПП 590445002 </t>
  </si>
  <si>
    <t xml:space="preserve">Обособленное подразделение ПАО "Т Плюс" (Пермская ТЭЦ-6-для ПТС Майский), Адрес: 614025, РФ, Пермский край, г. Пермь, ул. Героев Хасана, д.38, ИНН 6315376946, КПП 590445005 </t>
  </si>
  <si>
    <t>Труб и арм отопления (обратка) 07</t>
  </si>
  <si>
    <t>Газопровод от ГРП до КЦ 08</t>
  </si>
  <si>
    <t>ТС.ЗТС ТР(распр) теплосет.имущ-ва_02</t>
  </si>
  <si>
    <t>ТС.ЗТС ТР(распр) теплосет.имущ-ва_07</t>
  </si>
  <si>
    <t>ТС.ЗТС ТР(распр) теплосет.имущ-ва_09</t>
  </si>
  <si>
    <t>ТС.ЗТС ТР(распр) теплосет.имущ-ва_10</t>
  </si>
  <si>
    <t>ТС.ПТС ТР оборудования РК №2 УК №3_06</t>
  </si>
  <si>
    <t>ТС.ПТС ТР оборудования РК №2 УК №3_08</t>
  </si>
  <si>
    <t>ТС.ПТС.ТР оборудования РТС №1_08</t>
  </si>
  <si>
    <t>ТС.ПТС.ТР оборудования 5РТС п.Майский_03</t>
  </si>
  <si>
    <t>ТС.КрТС (распр) ТР оборудования РТС№5_01</t>
  </si>
  <si>
    <t>ТС.КрТС (распр) ТР оборудования РТС№5_04</t>
  </si>
  <si>
    <t>ТС.КрТС (распр) ТР оборудования РТС№5_07</t>
  </si>
  <si>
    <t>ТС.КрТС (распр) ТР оборудования РТС№5_09</t>
  </si>
  <si>
    <t>ТС.КрТС (распр) ТР оборудования РТС№5_11</t>
  </si>
  <si>
    <t>ТС.ПТС.ТР оборудования РТС №1_05</t>
  </si>
  <si>
    <t>ТС.ПТС.ТР оборудования РТС №1_06</t>
  </si>
  <si>
    <t>ТС.ПТС.ТР оборудования РТС №1_07</t>
  </si>
  <si>
    <t>ТС.ПТС ТР оборудования РК №1 УК №1_07</t>
  </si>
  <si>
    <t>ТС.ПТС ТР оборудования РК №1 УК №2_07</t>
  </si>
  <si>
    <t>ТС.ПТС ТР оборудования РК №1 УК №3_06</t>
  </si>
  <si>
    <t>ТС.ПТС ТР оборудования РК №1 УК №4_05</t>
  </si>
  <si>
    <t>ТС.ТР.оборудования РТС №4_05</t>
  </si>
  <si>
    <t>ТС.ПТС.ТР оборудования РК №2 УК №2_08</t>
  </si>
  <si>
    <t>ТС.ПТС.ТР оборудования РК №2 УК №2_09</t>
  </si>
  <si>
    <t>ТС.ПТС.ТР оборудования РТС №2_03</t>
  </si>
  <si>
    <t>ТС.ПТС.ТР оборудования РТС №2_06</t>
  </si>
  <si>
    <t>ТС.ПТС.ТР оборудования РТС №2_08</t>
  </si>
  <si>
    <t>ТС.ПТС.ТР оборудования РТС №2_10</t>
  </si>
  <si>
    <t>ТС.ПТС.ТР оборудования РК УК Чапаевск_07</t>
  </si>
  <si>
    <t>ТС.ПТС.ТР оборудования РТС №2_01</t>
  </si>
  <si>
    <t>ТС.ПТС.ТР оборудования РТС №2_02</t>
  </si>
  <si>
    <t>ТС.ПТС.ТР оборудования РТС №2_04</t>
  </si>
  <si>
    <t>ТС.ПТС.ТР оборудования РТС №3_04</t>
  </si>
  <si>
    <t>ТС.ПТС.ТР оборудования РТС №3_05</t>
  </si>
  <si>
    <t>ТС.ЗТС ТР(распр) теплосет.имущ-ва_04</t>
  </si>
  <si>
    <t>ТС.ЗТС ТР(распр) теплосет.имущ-ва_05</t>
  </si>
  <si>
    <t>ТС.ПТС.КР оборудования РТС №1_01</t>
  </si>
  <si>
    <t>ТС.ПТС.КР оборудования РТС №1_02</t>
  </si>
  <si>
    <t>ТС.ПТС.КР оборудования РТС №1_03</t>
  </si>
  <si>
    <t>ТС.ПТС.КР оборудования РТС №1_04</t>
  </si>
  <si>
    <t>ТС.ПТС.КР оборудования РТС №1_09</t>
  </si>
  <si>
    <t>ТС.ПТС.КР оборудования РТС №1_10</t>
  </si>
  <si>
    <t>ТС.ПТС.КР оборудования РТС №1_11</t>
  </si>
  <si>
    <t>ТС.ПТС.КР оборудования РТС №2_05</t>
  </si>
  <si>
    <t>ТС.ПТС.КР оборудования РТС №2_07</t>
  </si>
  <si>
    <t>ТС.ПТС.КР оборудования РТС №2_09</t>
  </si>
  <si>
    <t>ТС.ПТС.КР оборудования РТС №3_06</t>
  </si>
  <si>
    <t>ТС.ПТС.КР оборудования РТС №3_08</t>
  </si>
  <si>
    <t>ТС.ПТС.КР оборудования РТС №3_09</t>
  </si>
  <si>
    <t>ТС.ПТС.КР оборудования РТС №3_11</t>
  </si>
  <si>
    <t>Ремонт х/способ оборудования ЦТП 08</t>
  </si>
  <si>
    <t>Ремонт х/способ магистрал 08</t>
  </si>
  <si>
    <t>ТС.ЗТС ТР(распр) теплосет.имущ-ва_08</t>
  </si>
  <si>
    <t>ТС.КрТС (распр) ТР оборудования РТС№5_03</t>
  </si>
  <si>
    <t>ТС.КрТС (распр) ТР оборудования РТС№5_10</t>
  </si>
  <si>
    <t>ПТЭЦ-13.ТР Na-кат. фильтра: №3 II ст 10</t>
  </si>
  <si>
    <t>ТС.ПТС.КР оборудования РТС №1_05</t>
  </si>
  <si>
    <t>ТС.ПТС.КР оборудования РТС №2_06</t>
  </si>
  <si>
    <t>Наименование работы</t>
  </si>
  <si>
    <t xml:space="preserve">Обособленное подразделение ПАО "Т Плюс" (Пермская ТЭЦ-9 для Пермских ТС Майский), Адрес: 614065, РФ, Пермский край, г. Пермь, ул. Промышленая, д.103, ИНН 6315376946, КПП 590445003 </t>
  </si>
  <si>
    <t>ЛВК-3.КР ОБОРУДОВАНИЯ ЛВК 01</t>
  </si>
  <si>
    <t>ТС.ПТС.ТР оборудования 1кв_02</t>
  </si>
  <si>
    <t>ТС.ПТС.ТР оборудования 1кв_03</t>
  </si>
  <si>
    <t>ТС.ПТС.ТР оборудования 1кв_01</t>
  </si>
  <si>
    <t>ТС.КрТС оборудования РТС№5 1кв_03</t>
  </si>
  <si>
    <t>ТС.ПТС ТР оборудования 1 РТС 1кв._01</t>
  </si>
  <si>
    <t>ТС.ПТС ТР оборудования 1 РТС 1кв._02</t>
  </si>
  <si>
    <t>ТС.ПТС ТР оборудования 1 РТС 1кв._03</t>
  </si>
  <si>
    <t>ТС.ПТС ТР маг. оборудования 1кв._03</t>
  </si>
  <si>
    <t>ТС.ПТС ТР оборудования 1кв._03</t>
  </si>
  <si>
    <t>ТС.ПТС ТР оборудования РК 1кв._03</t>
  </si>
  <si>
    <t>ТС.ЗТС.ТР оборудования 1кв._02</t>
  </si>
  <si>
    <t>ТС.ЗТС.ТР оборудования 1кв._03</t>
  </si>
  <si>
    <t>ПТЭЦ-14. КР Оборудования ХЦ (ЭР+)_27(03)</t>
  </si>
  <si>
    <t>ЛВК-3.ТР ОБОРУДОВАНИЯ ЛВК 03</t>
  </si>
  <si>
    <t xml:space="preserve">Обособленное подразделение ПАО "Т Плюс" (Пермская ТЭЦ-6), Адрес: 614025, РФ, Пермский край, г. Пермь, ул. Героев Хасана, д.38, ИНН 6315376946, КПП 590445005                                                                                                                                                                                                                                    Обособленное подразделение ПАО "Т Плюс" (ТЭЦ-14-для Закамских ТС). Адрес:  614113, РФ, г.Пермь, ул. Ласьвинская, 106, ИНН 6315376946, КПП 590445002            Обособленное подразделение ПАО "Т Плюс" (Пермская ТЭЦ-9 для Пермских ТС), Адрес: 614065, РФ, Пермский край, г. Пермь, ул. Промышленая, д.103, ИНН 6315376946, КПП 590445003                                                                                                                                                                                                Обособленное подразделение ПАО "Т Плюс" (Пермская ТЭЦ-6-для ПТС Майский), Адрес: 614025, РФ, Пермский край, г. Пермь, ул. Героев Хасана, д.38, ИНН 6315376946, КПП 590445005                                                                                                                                                                                           </t>
  </si>
  <si>
    <t xml:space="preserve">5.1. Условия оплаты: 
Оплата Партии Продукции, производится Покупателем в следующем порядке:
СМСП: Оплата Партии Продукции производится Покупателем в течение 7 (Семи) рабочих дней с даты поставки Продукции (даты подписания Покупателем накладной по форме ТОРГ-12/Акта приема-передачи Продукции/УПД (Универсальный передаточный документ)) на основании выставленного Поставщиком счета. Счет-фактура выставляется Поставщиком в сроки и в соответствии с требованиями НК РФ.
Не относящиеся к СМСП: Оплата Партии Продукции производится Покупателем с отсрочкой платежа не менее 30 и не более 60 календарных дней с даты поставки Продукции (даты подписания Сторонами ТОРГ-12)/УПД при условии предоставления Покупателю полного комплекта документов на оплату Партии Продукции:
Оригинала товарной накладной (форма ТОРГ-12)/УПД на Продукцию, подписанной Сторонами – 2 экз.; 
Оригинала счета-фактуры/УПД– 1 экз. Счет-фактура выставляется Поставщиком в сроки и в соответствии с требованиями НК РФ.    
Расчеты по Договору производятся путем перечисления денежных средств на расчетный счет Поставщика, указанный в статье 10 настоящего Договора, а также могут иметь иную форму расчетов, не противоречащую законодательству РФ
</t>
  </si>
  <si>
    <t xml:space="preserve">2.1. Допускается применение аналогов: продукция должна соответствовать  ГОСТ10704; ГОСТ10705; СТ20, 17Г1С, ГОСТ20295 Не допускается применение трубы с поперечным швом и спиралешовной. Торцы труб с  толщиной  стенки  5мм и более должны иметь фаску под углом 25-30гр. Внутренний грат шва должен быть снят. 
2.2. Продукция должна быть новой, не бывшей в употреблении (эксплуатации, консервации). Должна быть изготовлена не ранее IV квартала 2025 года.
2.3. Продукция должна быть изготовлена в заводских условиях.
2.4. Гарантийный срок на Продукцию (далее – Гарантийный срок) составляет 24 (двадцать четыре) месяца с момента поставки Продукции Покупателю. Для Продукции, устанавливаемой на тепловых сетях - 10 (десять) лет с даты получения Покупателем Продукции.          
2.5. Возможность передачи работы по входному контролю качества Продукции  сервисным службам Филиала, независимым экспертным организациям или аттестованным лабораториям на основании Договора                                                                                                               </t>
  </si>
  <si>
    <t>Приложение №1 к Документации ОЗП</t>
  </si>
  <si>
    <t xml:space="preserve">для нужд Филиала "Пермский" ПАО "Т Плюс" </t>
  </si>
  <si>
    <t>Цена, руб. с НДС 22%</t>
  </si>
  <si>
    <t>Цена, руб. без НДС 22%</t>
  </si>
  <si>
    <t>Стоимость, руб. без НДС</t>
  </si>
  <si>
    <t>Стоимость, руб. c НДС 22%</t>
  </si>
  <si>
    <t xml:space="preserve">                                                                                       Таблица 2</t>
  </si>
  <si>
    <t>Начальная (максимальная) цена с НДС 22%</t>
  </si>
  <si>
    <t>3 786 420,00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</si>
</sst>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
    <numFmt numFmtId="165" formatCode="#,##0.00\ _₽"/>
  </numFmts>
  <fonts count="19" x14ac:knownFonts="1">
    <font>
      <sz val="11"/>
      <color theme="1"/>
      <name val="Calibri"/>
      <family val="2"/>
      <charset val="204"/>
      <scheme val="minor"/>
    </font>
    <font>
      <sz val="11"/>
      <color indexed="8"/>
      <name val="Calibri"/>
      <family val="2"/>
      <charset val="204"/>
    </font>
    <font>
      <b/>
      <sz val="10"/>
      <color theme="1"/>
      <name val="Tahoma"/>
      <family val="2"/>
      <charset val="204"/>
    </font>
    <font>
      <sz val="10"/>
      <color theme="1"/>
      <name val="Tahoma"/>
      <family val="2"/>
      <charset val="204"/>
    </font>
    <font>
      <sz val="10"/>
      <color rgb="FF000000"/>
      <name val="Tahoma"/>
      <family val="2"/>
      <charset val="204"/>
    </font>
    <font>
      <sz val="10"/>
      <name val="Arial"/>
      <family val="2"/>
      <charset val="204"/>
    </font>
    <font>
      <b/>
      <sz val="9"/>
      <color theme="1"/>
      <name val="Tahoma"/>
      <family val="2"/>
      <charset val="204"/>
    </font>
    <font>
      <sz val="9"/>
      <color theme="1"/>
      <name val="Tahoma"/>
      <family val="2"/>
      <charset val="204"/>
    </font>
    <font>
      <sz val="10"/>
      <color indexed="8"/>
      <name val="Arial"/>
      <family val="2"/>
      <charset val="204"/>
    </font>
    <font>
      <sz val="8"/>
      <color rgb="FF000000"/>
      <name val="Tahoma"/>
      <family val="2"/>
      <charset val="204"/>
    </font>
    <font>
      <sz val="8"/>
      <color theme="1"/>
      <name val="Tahoma"/>
      <family val="2"/>
      <charset val="204"/>
    </font>
    <font>
      <sz val="9"/>
      <color rgb="FF000000"/>
      <name val="Tahoma"/>
      <family val="2"/>
      <charset val="204"/>
    </font>
    <font>
      <sz val="9"/>
      <color indexed="8"/>
      <name val="Tahoma"/>
      <family val="2"/>
      <charset val="204"/>
    </font>
    <font>
      <b/>
      <sz val="9"/>
      <color indexed="8"/>
      <name val="Tahoma"/>
      <family val="2"/>
      <charset val="204"/>
    </font>
    <font>
      <sz val="10"/>
      <color indexed="8"/>
      <name val="Arial"/>
    </font>
    <font>
      <b/>
      <sz val="9"/>
      <color indexed="81"/>
      <name val="Tahoma"/>
      <charset val="1"/>
    </font>
    <font>
      <b/>
      <sz val="9"/>
      <color rgb="FF000000"/>
      <name val="Tahoma"/>
      <family val="2"/>
      <charset val="204"/>
    </font>
    <font>
      <sz val="10"/>
      <color theme="1"/>
      <name val="Arial"/>
      <family val="2"/>
      <charset val="204"/>
    </font>
    <font>
      <i/>
      <sz val="9"/>
      <color theme="1"/>
      <name val="Tahoma"/>
      <family val="2"/>
      <charset val="204"/>
    </font>
  </fonts>
  <fills count="5">
    <fill>
      <patternFill patternType="none"/>
    </fill>
    <fill>
      <patternFill patternType="gray125"/>
    </fill>
    <fill>
      <patternFill patternType="solid">
        <fgColor theme="0"/>
        <bgColor indexed="64"/>
      </patternFill>
    </fill>
    <fill>
      <patternFill patternType="solid">
        <fgColor indexed="27"/>
        <bgColor indexed="64"/>
      </patternFill>
    </fill>
    <fill>
      <patternFill patternType="solid">
        <fgColor indexed="23"/>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indexed="8"/>
      </left>
      <right style="thin">
        <color indexed="8"/>
      </right>
      <top style="thin">
        <color indexed="8"/>
      </top>
      <bottom/>
      <diagonal/>
    </border>
    <border>
      <left/>
      <right/>
      <top style="thin">
        <color indexed="8"/>
      </top>
      <bottom/>
      <diagonal/>
    </border>
    <border>
      <left/>
      <right/>
      <top style="thin">
        <color indexed="64"/>
      </top>
      <bottom style="thin">
        <color indexed="64"/>
      </bottom>
      <diagonal/>
    </border>
  </borders>
  <cellStyleXfs count="4">
    <xf numFmtId="0" fontId="0" fillId="0" borderId="0"/>
    <xf numFmtId="0" fontId="1" fillId="0" borderId="0"/>
    <xf numFmtId="0" fontId="5" fillId="0" borderId="0"/>
    <xf numFmtId="0" fontId="7" fillId="0" borderId="1" applyFill="0">
      <alignment vertical="top" wrapText="1"/>
    </xf>
  </cellStyleXfs>
  <cellXfs count="104">
    <xf numFmtId="0" fontId="0" fillId="0" borderId="0" xfId="0"/>
    <xf numFmtId="0" fontId="3" fillId="0" borderId="0" xfId="0" applyFont="1" applyFill="1"/>
    <xf numFmtId="0" fontId="3" fillId="0" borderId="0" xfId="0" applyFont="1" applyFill="1" applyAlignment="1">
      <alignment horizontal="center"/>
    </xf>
    <xf numFmtId="0" fontId="2" fillId="2" borderId="0" xfId="0" applyFont="1" applyFill="1" applyAlignment="1"/>
    <xf numFmtId="0" fontId="2" fillId="2" borderId="0" xfId="0" applyFont="1" applyFill="1" applyAlignment="1">
      <alignment vertical="center"/>
    </xf>
    <xf numFmtId="0" fontId="3" fillId="2" borderId="0" xfId="0" applyFont="1" applyFill="1" applyAlignment="1">
      <alignment vertical="center"/>
    </xf>
    <xf numFmtId="0" fontId="3" fillId="2" borderId="1" xfId="0" applyFont="1" applyFill="1" applyBorder="1" applyAlignment="1">
      <alignment horizontal="center" vertical="center"/>
    </xf>
    <xf numFmtId="0" fontId="2" fillId="2" borderId="1" xfId="0" applyFont="1" applyFill="1" applyBorder="1"/>
    <xf numFmtId="0" fontId="3" fillId="2" borderId="1" xfId="0" applyFont="1" applyFill="1" applyBorder="1" applyAlignment="1">
      <alignment horizontal="center" vertical="top"/>
    </xf>
    <xf numFmtId="0" fontId="3" fillId="2" borderId="0" xfId="0" applyFont="1" applyFill="1" applyBorder="1" applyAlignment="1">
      <alignment horizontal="center" vertical="center" wrapText="1"/>
    </xf>
    <xf numFmtId="0" fontId="0" fillId="2" borderId="0" xfId="0" applyFill="1" applyAlignment="1">
      <alignment vertical="center"/>
    </xf>
    <xf numFmtId="0" fontId="9" fillId="2" borderId="1"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6" fillId="2" borderId="0" xfId="0" applyFont="1" applyFill="1" applyAlignment="1">
      <alignment horizontal="center" vertical="top" wrapText="1"/>
    </xf>
    <xf numFmtId="0" fontId="7" fillId="2" borderId="0" xfId="0" applyFont="1" applyFill="1" applyAlignment="1">
      <alignment horizontal="center" vertical="top" wrapText="1"/>
    </xf>
    <xf numFmtId="0" fontId="7" fillId="2" borderId="0" xfId="0" applyFont="1" applyFill="1" applyBorder="1" applyAlignment="1">
      <alignment vertical="top" wrapText="1"/>
    </xf>
    <xf numFmtId="0" fontId="2" fillId="2" borderId="0" xfId="0" applyFont="1" applyFill="1" applyAlignment="1">
      <alignment horizontal="center" vertical="center" wrapText="1"/>
    </xf>
    <xf numFmtId="0" fontId="3" fillId="2" borderId="0" xfId="0" applyFont="1" applyFill="1" applyAlignment="1">
      <alignment horizontal="center" vertical="center" wrapText="1"/>
    </xf>
    <xf numFmtId="49" fontId="8" fillId="3" borderId="6" xfId="0" applyNumberFormat="1" applyFont="1" applyFill="1" applyBorder="1"/>
    <xf numFmtId="49" fontId="8" fillId="3" borderId="7" xfId="0" applyNumberFormat="1" applyFont="1" applyFill="1" applyBorder="1"/>
    <xf numFmtId="0" fontId="3" fillId="2" borderId="4" xfId="0" applyFont="1" applyFill="1" applyBorder="1" applyAlignment="1">
      <alignment horizontal="center" vertical="center" wrapText="1"/>
    </xf>
    <xf numFmtId="0" fontId="3" fillId="2" borderId="5" xfId="0" applyFont="1" applyFill="1" applyBorder="1" applyAlignment="1">
      <alignment horizontal="center" vertical="center"/>
    </xf>
    <xf numFmtId="0" fontId="3" fillId="2" borderId="5" xfId="0" applyFont="1" applyFill="1" applyBorder="1" applyAlignment="1">
      <alignment horizontal="center"/>
    </xf>
    <xf numFmtId="2" fontId="4" fillId="2" borderId="5" xfId="0" applyNumberFormat="1" applyFont="1" applyFill="1" applyBorder="1" applyAlignment="1">
      <alignment horizontal="center" vertical="center" wrapText="1"/>
    </xf>
    <xf numFmtId="0" fontId="9" fillId="2" borderId="4" xfId="0" applyFont="1" applyFill="1" applyBorder="1" applyAlignment="1">
      <alignment horizontal="center" vertical="center" wrapText="1"/>
    </xf>
    <xf numFmtId="49" fontId="8" fillId="2" borderId="1" xfId="0" applyNumberFormat="1" applyFont="1" applyFill="1" applyBorder="1" applyAlignment="1">
      <alignment horizontal="left"/>
    </xf>
    <xf numFmtId="0" fontId="11" fillId="2" borderId="4" xfId="0" applyFont="1" applyFill="1" applyBorder="1" applyAlignment="1">
      <alignment horizontal="center" vertical="center" wrapText="1"/>
    </xf>
    <xf numFmtId="165" fontId="11" fillId="2" borderId="4" xfId="0" applyNumberFormat="1" applyFont="1" applyFill="1" applyBorder="1" applyAlignment="1">
      <alignment horizontal="center" vertical="center" wrapText="1"/>
    </xf>
    <xf numFmtId="4" fontId="6" fillId="2" borderId="1" xfId="0" applyNumberFormat="1" applyFont="1" applyFill="1" applyBorder="1" applyAlignment="1">
      <alignment horizontal="center" vertical="center" wrapText="1"/>
    </xf>
    <xf numFmtId="0" fontId="7" fillId="2" borderId="4" xfId="0" applyFont="1" applyFill="1" applyBorder="1" applyAlignment="1">
      <alignment horizontal="center" vertical="center" wrapText="1"/>
    </xf>
    <xf numFmtId="4" fontId="6" fillId="2" borderId="3" xfId="0" applyNumberFormat="1" applyFont="1" applyFill="1" applyBorder="1" applyAlignment="1">
      <alignment horizontal="center" vertical="center" wrapText="1"/>
    </xf>
    <xf numFmtId="4" fontId="12" fillId="2" borderId="1" xfId="0" applyNumberFormat="1" applyFont="1" applyFill="1" applyBorder="1" applyAlignment="1">
      <alignment horizontal="center" vertical="center" wrapText="1"/>
    </xf>
    <xf numFmtId="2" fontId="11" fillId="2" borderId="1" xfId="0" applyNumberFormat="1" applyFont="1" applyFill="1" applyBorder="1" applyAlignment="1">
      <alignment horizontal="center" vertical="center" wrapText="1"/>
    </xf>
    <xf numFmtId="0" fontId="7" fillId="2" borderId="0" xfId="0" applyFont="1" applyFill="1" applyBorder="1" applyAlignment="1">
      <alignment horizontal="center" vertical="center"/>
    </xf>
    <xf numFmtId="0" fontId="6" fillId="2" borderId="0" xfId="0" applyFont="1" applyFill="1" applyAlignment="1">
      <alignment horizontal="center"/>
    </xf>
    <xf numFmtId="164" fontId="13" fillId="2" borderId="2" xfId="0" applyNumberFormat="1" applyFont="1" applyFill="1" applyBorder="1" applyAlignment="1">
      <alignment horizontal="center" vertical="center" wrapText="1"/>
    </xf>
    <xf numFmtId="0" fontId="7" fillId="2" borderId="0" xfId="0" applyFont="1" applyFill="1" applyBorder="1" applyAlignment="1">
      <alignment horizontal="center" wrapText="1"/>
    </xf>
    <xf numFmtId="49" fontId="8" fillId="3" borderId="9" xfId="0" applyNumberFormat="1" applyFont="1" applyFill="1" applyBorder="1"/>
    <xf numFmtId="0" fontId="10" fillId="2" borderId="1" xfId="0" applyFont="1" applyFill="1" applyBorder="1" applyAlignment="1">
      <alignment vertical="top" wrapText="1"/>
    </xf>
    <xf numFmtId="0" fontId="3" fillId="2" borderId="0" xfId="0" applyFont="1" applyFill="1" applyAlignment="1">
      <alignment horizontal="center"/>
    </xf>
    <xf numFmtId="0" fontId="3" fillId="2" borderId="0" xfId="0" applyFont="1" applyFill="1" applyAlignment="1">
      <alignment horizontal="center" vertical="center"/>
    </xf>
    <xf numFmtId="0" fontId="7" fillId="2" borderId="0" xfId="0" applyFont="1" applyFill="1" applyAlignment="1">
      <alignment horizontal="center" vertical="center"/>
    </xf>
    <xf numFmtId="0" fontId="3" fillId="0" borderId="1" xfId="0" applyFont="1" applyFill="1" applyBorder="1"/>
    <xf numFmtId="49" fontId="8" fillId="3" borderId="1" xfId="0" applyNumberFormat="1" applyFont="1" applyFill="1" applyBorder="1"/>
    <xf numFmtId="0" fontId="9" fillId="2" borderId="4" xfId="0" applyFont="1" applyFill="1" applyBorder="1" applyAlignment="1">
      <alignment vertical="center" wrapText="1"/>
    </xf>
    <xf numFmtId="0" fontId="10" fillId="2" borderId="1" xfId="0" applyFont="1" applyFill="1" applyBorder="1" applyAlignment="1">
      <alignment vertical="center" wrapText="1"/>
    </xf>
    <xf numFmtId="0" fontId="2" fillId="2" borderId="0" xfId="0" applyFont="1" applyFill="1" applyAlignment="1">
      <alignment horizontal="center" vertical="center"/>
    </xf>
    <xf numFmtId="0" fontId="3" fillId="2" borderId="0" xfId="0" applyFont="1" applyFill="1" applyAlignment="1">
      <alignment horizontal="center" vertical="center"/>
    </xf>
    <xf numFmtId="0" fontId="9" fillId="2" borderId="4" xfId="0" applyFont="1" applyFill="1" applyBorder="1" applyAlignment="1">
      <alignment horizontal="center" vertical="center" wrapText="1"/>
    </xf>
    <xf numFmtId="0" fontId="9" fillId="2" borderId="8" xfId="0" applyFont="1" applyFill="1" applyBorder="1" applyAlignment="1">
      <alignment horizontal="center" vertical="center" wrapText="1"/>
    </xf>
    <xf numFmtId="0" fontId="7" fillId="2" borderId="0" xfId="0" applyFont="1" applyFill="1" applyAlignment="1">
      <alignment horizontal="center" vertical="center"/>
    </xf>
    <xf numFmtId="0" fontId="7" fillId="2" borderId="0" xfId="0" applyFont="1" applyFill="1" applyAlignment="1">
      <alignment horizontal="center"/>
    </xf>
    <xf numFmtId="49" fontId="14" fillId="3" borderId="6" xfId="0" applyNumberFormat="1" applyFont="1" applyFill="1" applyBorder="1"/>
    <xf numFmtId="49" fontId="14" fillId="3" borderId="7" xfId="0" applyNumberFormat="1" applyFont="1" applyFill="1" applyBorder="1"/>
    <xf numFmtId="49" fontId="14" fillId="3" borderId="9" xfId="0" applyNumberFormat="1" applyFont="1" applyFill="1" applyBorder="1"/>
    <xf numFmtId="0" fontId="10" fillId="2" borderId="5" xfId="0" applyFont="1" applyFill="1" applyBorder="1" applyAlignment="1">
      <alignment vertical="top" wrapText="1"/>
    </xf>
    <xf numFmtId="0" fontId="14" fillId="4" borderId="7" xfId="0" applyFont="1" applyFill="1" applyBorder="1"/>
    <xf numFmtId="49" fontId="8" fillId="2" borderId="2" xfId="0" applyNumberFormat="1" applyFont="1" applyFill="1" applyBorder="1" applyAlignment="1">
      <alignment horizontal="center"/>
    </xf>
    <xf numFmtId="165" fontId="16" fillId="2" borderId="1" xfId="0" applyNumberFormat="1" applyFont="1" applyFill="1" applyBorder="1" applyAlignment="1">
      <alignment horizontal="center" vertical="center" wrapText="1"/>
    </xf>
    <xf numFmtId="49" fontId="14" fillId="2" borderId="1" xfId="0" applyNumberFormat="1" applyFont="1" applyFill="1" applyBorder="1" applyAlignment="1">
      <alignment horizontal="center" vertical="center"/>
    </xf>
    <xf numFmtId="0" fontId="14" fillId="2" borderId="1" xfId="0" applyFont="1" applyFill="1" applyBorder="1" applyAlignment="1">
      <alignment horizontal="center" vertical="center"/>
    </xf>
    <xf numFmtId="14" fontId="14" fillId="2" borderId="1" xfId="0" applyNumberFormat="1" applyFont="1" applyFill="1" applyBorder="1" applyAlignment="1">
      <alignment horizontal="center" vertical="center"/>
    </xf>
    <xf numFmtId="49" fontId="14" fillId="2" borderId="6" xfId="0" applyNumberFormat="1" applyFont="1" applyFill="1" applyBorder="1" applyAlignment="1">
      <alignment horizontal="center" vertical="center"/>
    </xf>
    <xf numFmtId="0" fontId="14" fillId="2" borderId="6" xfId="0" applyFont="1" applyFill="1" applyBorder="1" applyAlignment="1">
      <alignment horizontal="center" vertical="center"/>
    </xf>
    <xf numFmtId="14" fontId="14" fillId="2" borderId="6" xfId="0" applyNumberFormat="1" applyFont="1" applyFill="1" applyBorder="1" applyAlignment="1">
      <alignment horizontal="center" vertical="center"/>
    </xf>
    <xf numFmtId="49" fontId="14" fillId="2" borderId="7" xfId="0" applyNumberFormat="1" applyFont="1" applyFill="1" applyBorder="1" applyAlignment="1">
      <alignment horizontal="center" vertical="center"/>
    </xf>
    <xf numFmtId="0" fontId="14" fillId="2" borderId="7" xfId="0" applyFont="1" applyFill="1" applyBorder="1" applyAlignment="1">
      <alignment horizontal="center" vertical="center"/>
    </xf>
    <xf numFmtId="14" fontId="14" fillId="2" borderId="7" xfId="0" applyNumberFormat="1" applyFont="1" applyFill="1" applyBorder="1" applyAlignment="1">
      <alignment horizontal="center" vertical="center"/>
    </xf>
    <xf numFmtId="0" fontId="14" fillId="2" borderId="9" xfId="0" applyFont="1" applyFill="1" applyBorder="1" applyAlignment="1">
      <alignment horizontal="center" vertical="center"/>
    </xf>
    <xf numFmtId="14" fontId="14" fillId="2" borderId="9" xfId="0" applyNumberFormat="1" applyFont="1" applyFill="1" applyBorder="1" applyAlignment="1">
      <alignment horizontal="center" vertical="center"/>
    </xf>
    <xf numFmtId="49" fontId="14" fillId="2" borderId="9" xfId="0" applyNumberFormat="1" applyFont="1" applyFill="1" applyBorder="1" applyAlignment="1">
      <alignment horizontal="center" vertical="center"/>
    </xf>
    <xf numFmtId="4" fontId="17" fillId="0" borderId="1" xfId="0" applyNumberFormat="1" applyFont="1" applyFill="1" applyBorder="1" applyAlignment="1">
      <alignment horizontal="center" vertical="center" wrapText="1"/>
    </xf>
    <xf numFmtId="4" fontId="5" fillId="0" borderId="1" xfId="0" applyNumberFormat="1" applyFont="1" applyFill="1" applyBorder="1" applyAlignment="1">
      <alignment horizontal="center" vertical="center" wrapText="1"/>
    </xf>
    <xf numFmtId="49" fontId="14" fillId="2" borderId="10" xfId="0" applyNumberFormat="1" applyFont="1" applyFill="1" applyBorder="1" applyAlignment="1">
      <alignment horizontal="center" vertical="center"/>
    </xf>
    <xf numFmtId="0" fontId="7" fillId="2" borderId="0" xfId="0" applyFont="1" applyFill="1" applyAlignment="1">
      <alignment horizontal="center" vertical="center"/>
    </xf>
    <xf numFmtId="0" fontId="7" fillId="2" borderId="0" xfId="0" applyFont="1" applyFill="1" applyAlignment="1">
      <alignment horizontal="center"/>
    </xf>
    <xf numFmtId="0" fontId="3" fillId="2" borderId="0" xfId="0" applyFont="1" applyFill="1" applyAlignment="1">
      <alignment horizontal="center"/>
    </xf>
    <xf numFmtId="0" fontId="3" fillId="2" borderId="0" xfId="0" applyFont="1" applyFill="1" applyAlignment="1">
      <alignment horizontal="center" vertical="center"/>
    </xf>
    <xf numFmtId="4" fontId="17" fillId="0" borderId="4" xfId="0" applyNumberFormat="1" applyFont="1" applyFill="1" applyBorder="1" applyAlignment="1">
      <alignment horizontal="center" vertical="center" wrapText="1"/>
    </xf>
    <xf numFmtId="0" fontId="18" fillId="2" borderId="0" xfId="0" applyFont="1" applyFill="1" applyAlignment="1">
      <alignment horizontal="center" vertical="center"/>
    </xf>
    <xf numFmtId="0" fontId="7" fillId="2" borderId="11" xfId="0" applyFont="1" applyFill="1" applyBorder="1" applyAlignment="1">
      <alignment horizontal="center"/>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1" xfId="0" applyFont="1" applyFill="1" applyBorder="1" applyAlignment="1">
      <alignment horizontal="left" vertical="center" wrapText="1"/>
    </xf>
    <xf numFmtId="0" fontId="3" fillId="2" borderId="1" xfId="0" applyFont="1" applyFill="1" applyBorder="1" applyAlignment="1">
      <alignment vertical="center"/>
    </xf>
    <xf numFmtId="0" fontId="0" fillId="2" borderId="1" xfId="0" applyFill="1" applyBorder="1" applyAlignment="1">
      <alignment vertical="center"/>
    </xf>
    <xf numFmtId="0" fontId="3" fillId="2" borderId="1" xfId="0" applyFont="1" applyFill="1" applyBorder="1" applyAlignment="1"/>
    <xf numFmtId="0" fontId="0" fillId="2" borderId="1" xfId="0" applyFill="1" applyBorder="1" applyAlignment="1"/>
    <xf numFmtId="4" fontId="3" fillId="2" borderId="1" xfId="0" applyNumberFormat="1" applyFont="1" applyFill="1" applyBorder="1" applyAlignment="1">
      <alignment horizontal="left" vertical="center" wrapText="1"/>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1" xfId="0" applyFont="1" applyFill="1" applyBorder="1" applyAlignment="1">
      <alignment horizontal="left" vertical="center"/>
    </xf>
    <xf numFmtId="0" fontId="2" fillId="2" borderId="1" xfId="0" applyFont="1" applyFill="1" applyBorder="1" applyAlignment="1">
      <alignment horizontal="left" vertical="center" wrapText="1"/>
    </xf>
    <xf numFmtId="0" fontId="2" fillId="2" borderId="0" xfId="0" applyFont="1" applyFill="1" applyAlignment="1">
      <alignment horizontal="center"/>
    </xf>
    <xf numFmtId="0" fontId="2" fillId="2" borderId="0" xfId="0" applyFont="1" applyFill="1" applyAlignment="1">
      <alignment horizontal="center" vertical="center"/>
    </xf>
    <xf numFmtId="0" fontId="2" fillId="2" borderId="0" xfId="0" applyFont="1" applyFill="1" applyAlignment="1">
      <alignment horizontal="center" wrapText="1"/>
    </xf>
    <xf numFmtId="0" fontId="3" fillId="2" borderId="0" xfId="0" applyFont="1" applyFill="1" applyAlignment="1">
      <alignment horizontal="center"/>
    </xf>
    <xf numFmtId="0" fontId="3" fillId="2" borderId="0" xfId="0" applyFont="1" applyFill="1" applyAlignment="1">
      <alignment horizontal="center" vertical="center"/>
    </xf>
    <xf numFmtId="0" fontId="3" fillId="2" borderId="0" xfId="0" applyFont="1" applyFill="1" applyAlignment="1">
      <alignment horizontal="center" wrapText="1"/>
    </xf>
    <xf numFmtId="0" fontId="3" fillId="2" borderId="0" xfId="0" applyFont="1" applyFill="1" applyAlignment="1"/>
    <xf numFmtId="0" fontId="3" fillId="2" borderId="0" xfId="0" applyFont="1" applyFill="1" applyAlignment="1">
      <alignment wrapText="1"/>
    </xf>
    <xf numFmtId="0" fontId="3" fillId="2" borderId="0" xfId="0" applyFont="1" applyFill="1" applyBorder="1" applyAlignment="1">
      <alignment horizontal="right"/>
    </xf>
    <xf numFmtId="0" fontId="9" fillId="2" borderId="4" xfId="0" applyFont="1" applyFill="1" applyBorder="1" applyAlignment="1">
      <alignment horizontal="center" vertical="center" wrapText="1"/>
    </xf>
    <xf numFmtId="0" fontId="9" fillId="2" borderId="8" xfId="0" applyFont="1" applyFill="1" applyBorder="1" applyAlignment="1">
      <alignment horizontal="center" vertical="center" wrapText="1"/>
    </xf>
  </cellXfs>
  <cellStyles count="4">
    <cellStyle name="=C:\WINNT35\SYSTEM32\COMMAND.COM" xfId="1"/>
    <cellStyle name="Обычный" xfId="0" builtinId="0"/>
    <cellStyle name="Обычный 4" xfId="2"/>
    <cellStyle name="Стиль 1"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4002</xdr:colOff>
      <xdr:row>82</xdr:row>
      <xdr:rowOff>0</xdr:rowOff>
    </xdr:from>
    <xdr:ext cx="85725" cy="906273"/>
    <xdr:pic>
      <xdr:nvPicPr>
        <xdr:cNvPr id="2"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377"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4002</xdr:colOff>
      <xdr:row>82</xdr:row>
      <xdr:rowOff>0</xdr:rowOff>
    </xdr:from>
    <xdr:ext cx="85725" cy="906273"/>
    <xdr:pic>
      <xdr:nvPicPr>
        <xdr:cNvPr id="3"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377"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4002</xdr:colOff>
      <xdr:row>82</xdr:row>
      <xdr:rowOff>0</xdr:rowOff>
    </xdr:from>
    <xdr:ext cx="85725" cy="906273"/>
    <xdr:pic>
      <xdr:nvPicPr>
        <xdr:cNvPr id="4"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377"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0</xdr:colOff>
      <xdr:row>82</xdr:row>
      <xdr:rowOff>0</xdr:rowOff>
    </xdr:from>
    <xdr:ext cx="85725" cy="906273"/>
    <xdr:pic>
      <xdr:nvPicPr>
        <xdr:cNvPr id="5"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011293"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7</xdr:col>
      <xdr:colOff>0</xdr:colOff>
      <xdr:row>82</xdr:row>
      <xdr:rowOff>0</xdr:rowOff>
    </xdr:from>
    <xdr:to>
      <xdr:col>7</xdr:col>
      <xdr:colOff>64407</xdr:colOff>
      <xdr:row>84</xdr:row>
      <xdr:rowOff>64517</xdr:rowOff>
    </xdr:to>
    <xdr:sp macro="" textlink="">
      <xdr:nvSpPr>
        <xdr:cNvPr id="6" name="AutoShape 1" descr="image001"/>
        <xdr:cNvSpPr>
          <a:spLocks noChangeAspect="1" noChangeArrowheads="1"/>
        </xdr:cNvSpPr>
      </xdr:nvSpPr>
      <xdr:spPr bwMode="auto">
        <a:xfrm>
          <a:off x="7886700" y="132464175"/>
          <a:ext cx="64407" cy="668824"/>
        </a:xfrm>
        <a:prstGeom prst="rect">
          <a:avLst/>
        </a:prstGeom>
        <a:noFill/>
      </xdr:spPr>
    </xdr:sp>
    <xdr:clientData/>
  </xdr:twoCellAnchor>
  <xdr:twoCellAnchor editAs="oneCell">
    <xdr:from>
      <xdr:col>7</xdr:col>
      <xdr:colOff>0</xdr:colOff>
      <xdr:row>82</xdr:row>
      <xdr:rowOff>0</xdr:rowOff>
    </xdr:from>
    <xdr:to>
      <xdr:col>7</xdr:col>
      <xdr:colOff>64407</xdr:colOff>
      <xdr:row>84</xdr:row>
      <xdr:rowOff>52917</xdr:rowOff>
    </xdr:to>
    <xdr:sp macro="" textlink="">
      <xdr:nvSpPr>
        <xdr:cNvPr id="7" name="AutoShape 1" descr="image001"/>
        <xdr:cNvSpPr>
          <a:spLocks noChangeAspect="1" noChangeArrowheads="1"/>
        </xdr:cNvSpPr>
      </xdr:nvSpPr>
      <xdr:spPr bwMode="auto">
        <a:xfrm>
          <a:off x="7886700" y="132464175"/>
          <a:ext cx="64407" cy="654049"/>
        </a:xfrm>
        <a:prstGeom prst="rect">
          <a:avLst/>
        </a:prstGeom>
        <a:noFill/>
      </xdr:spPr>
    </xdr:sp>
    <xdr:clientData/>
  </xdr:twoCellAnchor>
  <xdr:twoCellAnchor editAs="oneCell">
    <xdr:from>
      <xdr:col>7</xdr:col>
      <xdr:colOff>0</xdr:colOff>
      <xdr:row>82</xdr:row>
      <xdr:rowOff>0</xdr:rowOff>
    </xdr:from>
    <xdr:to>
      <xdr:col>7</xdr:col>
      <xdr:colOff>64407</xdr:colOff>
      <xdr:row>84</xdr:row>
      <xdr:rowOff>52917</xdr:rowOff>
    </xdr:to>
    <xdr:sp macro="" textlink="">
      <xdr:nvSpPr>
        <xdr:cNvPr id="8" name="AutoShape 1" descr="image001"/>
        <xdr:cNvSpPr>
          <a:spLocks noChangeAspect="1" noChangeArrowheads="1"/>
        </xdr:cNvSpPr>
      </xdr:nvSpPr>
      <xdr:spPr bwMode="auto">
        <a:xfrm>
          <a:off x="7886700" y="132464175"/>
          <a:ext cx="64407" cy="654049"/>
        </a:xfrm>
        <a:prstGeom prst="rect">
          <a:avLst/>
        </a:prstGeom>
        <a:noFill/>
      </xdr:spPr>
    </xdr:sp>
    <xdr:clientData/>
  </xdr:twoCellAnchor>
  <xdr:twoCellAnchor editAs="oneCell">
    <xdr:from>
      <xdr:col>7</xdr:col>
      <xdr:colOff>0</xdr:colOff>
      <xdr:row>82</xdr:row>
      <xdr:rowOff>0</xdr:rowOff>
    </xdr:from>
    <xdr:to>
      <xdr:col>7</xdr:col>
      <xdr:colOff>64407</xdr:colOff>
      <xdr:row>84</xdr:row>
      <xdr:rowOff>52917</xdr:rowOff>
    </xdr:to>
    <xdr:sp macro="" textlink="">
      <xdr:nvSpPr>
        <xdr:cNvPr id="9" name="AutoShape 1" descr="image001"/>
        <xdr:cNvSpPr>
          <a:spLocks noChangeAspect="1" noChangeArrowheads="1"/>
        </xdr:cNvSpPr>
      </xdr:nvSpPr>
      <xdr:spPr bwMode="auto">
        <a:xfrm>
          <a:off x="7886700" y="132464175"/>
          <a:ext cx="64407" cy="654049"/>
        </a:xfrm>
        <a:prstGeom prst="rect">
          <a:avLst/>
        </a:prstGeom>
        <a:noFill/>
      </xdr:spPr>
    </xdr:sp>
    <xdr:clientData/>
  </xdr:twoCellAnchor>
  <xdr:twoCellAnchor editAs="oneCell">
    <xdr:from>
      <xdr:col>7</xdr:col>
      <xdr:colOff>0</xdr:colOff>
      <xdr:row>82</xdr:row>
      <xdr:rowOff>0</xdr:rowOff>
    </xdr:from>
    <xdr:to>
      <xdr:col>7</xdr:col>
      <xdr:colOff>85725</xdr:colOff>
      <xdr:row>84</xdr:row>
      <xdr:rowOff>80391</xdr:rowOff>
    </xdr:to>
    <xdr:pic>
      <xdr:nvPicPr>
        <xdr:cNvPr id="10" name="AutoShape 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46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82</xdr:row>
      <xdr:rowOff>0</xdr:rowOff>
    </xdr:from>
    <xdr:to>
      <xdr:col>7</xdr:col>
      <xdr:colOff>85725</xdr:colOff>
      <xdr:row>84</xdr:row>
      <xdr:rowOff>87195</xdr:rowOff>
    </xdr:to>
    <xdr:pic>
      <xdr:nvPicPr>
        <xdr:cNvPr id="11" name="Picture 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15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82</xdr:row>
      <xdr:rowOff>0</xdr:rowOff>
    </xdr:from>
    <xdr:to>
      <xdr:col>7</xdr:col>
      <xdr:colOff>85725</xdr:colOff>
      <xdr:row>84</xdr:row>
      <xdr:rowOff>68145</xdr:rowOff>
    </xdr:to>
    <xdr:pic>
      <xdr:nvPicPr>
        <xdr:cNvPr id="12" name="Picture 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24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82</xdr:row>
      <xdr:rowOff>0</xdr:rowOff>
    </xdr:from>
    <xdr:to>
      <xdr:col>7</xdr:col>
      <xdr:colOff>85725</xdr:colOff>
      <xdr:row>84</xdr:row>
      <xdr:rowOff>115770</xdr:rowOff>
    </xdr:to>
    <xdr:pic>
      <xdr:nvPicPr>
        <xdr:cNvPr id="13" name="Picture 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200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82</xdr:row>
      <xdr:rowOff>0</xdr:rowOff>
    </xdr:from>
    <xdr:to>
      <xdr:col>7</xdr:col>
      <xdr:colOff>85725</xdr:colOff>
      <xdr:row>84</xdr:row>
      <xdr:rowOff>89917</xdr:rowOff>
    </xdr:to>
    <xdr:pic>
      <xdr:nvPicPr>
        <xdr:cNvPr id="14" name="Picture 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42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82</xdr:row>
      <xdr:rowOff>0</xdr:rowOff>
    </xdr:from>
    <xdr:to>
      <xdr:col>7</xdr:col>
      <xdr:colOff>85725</xdr:colOff>
      <xdr:row>84</xdr:row>
      <xdr:rowOff>80392</xdr:rowOff>
    </xdr:to>
    <xdr:pic>
      <xdr:nvPicPr>
        <xdr:cNvPr id="15" name="Picture 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46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82</xdr:row>
      <xdr:rowOff>0</xdr:rowOff>
    </xdr:from>
    <xdr:to>
      <xdr:col>7</xdr:col>
      <xdr:colOff>85725</xdr:colOff>
      <xdr:row>84</xdr:row>
      <xdr:rowOff>80391</xdr:rowOff>
    </xdr:to>
    <xdr:pic>
      <xdr:nvPicPr>
        <xdr:cNvPr id="16" name="Picture 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46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82</xdr:row>
      <xdr:rowOff>0</xdr:rowOff>
    </xdr:from>
    <xdr:to>
      <xdr:col>7</xdr:col>
      <xdr:colOff>85725</xdr:colOff>
      <xdr:row>84</xdr:row>
      <xdr:rowOff>80391</xdr:rowOff>
    </xdr:to>
    <xdr:pic>
      <xdr:nvPicPr>
        <xdr:cNvPr id="17" name="Picture 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46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82</xdr:row>
      <xdr:rowOff>0</xdr:rowOff>
    </xdr:from>
    <xdr:to>
      <xdr:col>7</xdr:col>
      <xdr:colOff>85725</xdr:colOff>
      <xdr:row>84</xdr:row>
      <xdr:rowOff>115769</xdr:rowOff>
    </xdr:to>
    <xdr:pic>
      <xdr:nvPicPr>
        <xdr:cNvPr id="18" name="Picture 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200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82</xdr:row>
      <xdr:rowOff>0</xdr:rowOff>
    </xdr:from>
    <xdr:to>
      <xdr:col>7</xdr:col>
      <xdr:colOff>85725</xdr:colOff>
      <xdr:row>84</xdr:row>
      <xdr:rowOff>89916</xdr:rowOff>
    </xdr:to>
    <xdr:pic>
      <xdr:nvPicPr>
        <xdr:cNvPr id="19" name="Picture 1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42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82</xdr:row>
      <xdr:rowOff>0</xdr:rowOff>
    </xdr:from>
    <xdr:to>
      <xdr:col>7</xdr:col>
      <xdr:colOff>85725</xdr:colOff>
      <xdr:row>84</xdr:row>
      <xdr:rowOff>80391</xdr:rowOff>
    </xdr:to>
    <xdr:pic>
      <xdr:nvPicPr>
        <xdr:cNvPr id="20" name="Picture 1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46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82</xdr:row>
      <xdr:rowOff>0</xdr:rowOff>
    </xdr:from>
    <xdr:to>
      <xdr:col>7</xdr:col>
      <xdr:colOff>85725</xdr:colOff>
      <xdr:row>84</xdr:row>
      <xdr:rowOff>103524</xdr:rowOff>
    </xdr:to>
    <xdr:pic>
      <xdr:nvPicPr>
        <xdr:cNvPr id="21" name="Picture 1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7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82</xdr:row>
      <xdr:rowOff>0</xdr:rowOff>
    </xdr:from>
    <xdr:to>
      <xdr:col>7</xdr:col>
      <xdr:colOff>85725</xdr:colOff>
      <xdr:row>84</xdr:row>
      <xdr:rowOff>307631</xdr:rowOff>
    </xdr:to>
    <xdr:pic>
      <xdr:nvPicPr>
        <xdr:cNvPr id="22"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151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82</xdr:row>
      <xdr:rowOff>0</xdr:rowOff>
    </xdr:from>
    <xdr:to>
      <xdr:col>7</xdr:col>
      <xdr:colOff>85725</xdr:colOff>
      <xdr:row>84</xdr:row>
      <xdr:rowOff>103524</xdr:rowOff>
    </xdr:to>
    <xdr:pic>
      <xdr:nvPicPr>
        <xdr:cNvPr id="23" name="Picture 1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7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82</xdr:row>
      <xdr:rowOff>0</xdr:rowOff>
    </xdr:from>
    <xdr:to>
      <xdr:col>7</xdr:col>
      <xdr:colOff>85725</xdr:colOff>
      <xdr:row>84</xdr:row>
      <xdr:rowOff>103523</xdr:rowOff>
    </xdr:to>
    <xdr:pic>
      <xdr:nvPicPr>
        <xdr:cNvPr id="24" name="Picture 1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78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82</xdr:row>
      <xdr:rowOff>0</xdr:rowOff>
    </xdr:from>
    <xdr:to>
      <xdr:col>7</xdr:col>
      <xdr:colOff>85725</xdr:colOff>
      <xdr:row>84</xdr:row>
      <xdr:rowOff>307631</xdr:rowOff>
    </xdr:to>
    <xdr:pic>
      <xdr:nvPicPr>
        <xdr:cNvPr id="25" name="Picture 1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151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82</xdr:row>
      <xdr:rowOff>0</xdr:rowOff>
    </xdr:from>
    <xdr:to>
      <xdr:col>7</xdr:col>
      <xdr:colOff>85725</xdr:colOff>
      <xdr:row>84</xdr:row>
      <xdr:rowOff>103523</xdr:rowOff>
    </xdr:to>
    <xdr:pic>
      <xdr:nvPicPr>
        <xdr:cNvPr id="26" name="Picture 1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78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82</xdr:row>
      <xdr:rowOff>0</xdr:rowOff>
    </xdr:from>
    <xdr:to>
      <xdr:col>7</xdr:col>
      <xdr:colOff>85725</xdr:colOff>
      <xdr:row>84</xdr:row>
      <xdr:rowOff>107605</xdr:rowOff>
    </xdr:to>
    <xdr:pic>
      <xdr:nvPicPr>
        <xdr:cNvPr id="27" name="Picture 1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19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82</xdr:row>
      <xdr:rowOff>0</xdr:rowOff>
    </xdr:from>
    <xdr:to>
      <xdr:col>7</xdr:col>
      <xdr:colOff>85725</xdr:colOff>
      <xdr:row>84</xdr:row>
      <xdr:rowOff>96719</xdr:rowOff>
    </xdr:to>
    <xdr:pic>
      <xdr:nvPicPr>
        <xdr:cNvPr id="28" name="Picture 1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10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82</xdr:row>
      <xdr:rowOff>0</xdr:rowOff>
    </xdr:from>
    <xdr:to>
      <xdr:col>7</xdr:col>
      <xdr:colOff>85725</xdr:colOff>
      <xdr:row>84</xdr:row>
      <xdr:rowOff>42745</xdr:rowOff>
    </xdr:to>
    <xdr:pic>
      <xdr:nvPicPr>
        <xdr:cNvPr id="29" name="Picture 2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438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82</xdr:row>
      <xdr:rowOff>0</xdr:rowOff>
    </xdr:from>
    <xdr:to>
      <xdr:col>7</xdr:col>
      <xdr:colOff>85725</xdr:colOff>
      <xdr:row>84</xdr:row>
      <xdr:rowOff>87195</xdr:rowOff>
    </xdr:to>
    <xdr:pic>
      <xdr:nvPicPr>
        <xdr:cNvPr id="30" name="Picture 2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15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82</xdr:row>
      <xdr:rowOff>0</xdr:rowOff>
    </xdr:from>
    <xdr:to>
      <xdr:col>7</xdr:col>
      <xdr:colOff>85725</xdr:colOff>
      <xdr:row>84</xdr:row>
      <xdr:rowOff>89916</xdr:rowOff>
    </xdr:to>
    <xdr:pic>
      <xdr:nvPicPr>
        <xdr:cNvPr id="31" name="Picture 2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42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82</xdr:row>
      <xdr:rowOff>0</xdr:rowOff>
    </xdr:from>
    <xdr:to>
      <xdr:col>7</xdr:col>
      <xdr:colOff>64407</xdr:colOff>
      <xdr:row>84</xdr:row>
      <xdr:rowOff>64517</xdr:rowOff>
    </xdr:to>
    <xdr:sp macro="" textlink="">
      <xdr:nvSpPr>
        <xdr:cNvPr id="32" name="AutoShape 1" descr="image001"/>
        <xdr:cNvSpPr>
          <a:spLocks noChangeAspect="1" noChangeArrowheads="1"/>
        </xdr:cNvSpPr>
      </xdr:nvSpPr>
      <xdr:spPr bwMode="auto">
        <a:xfrm>
          <a:off x="7886700" y="132464175"/>
          <a:ext cx="64407" cy="668824"/>
        </a:xfrm>
        <a:prstGeom prst="rect">
          <a:avLst/>
        </a:prstGeom>
        <a:noFill/>
      </xdr:spPr>
    </xdr:sp>
    <xdr:clientData/>
  </xdr:twoCellAnchor>
  <xdr:twoCellAnchor editAs="oneCell">
    <xdr:from>
      <xdr:col>7</xdr:col>
      <xdr:colOff>0</xdr:colOff>
      <xdr:row>82</xdr:row>
      <xdr:rowOff>0</xdr:rowOff>
    </xdr:from>
    <xdr:to>
      <xdr:col>7</xdr:col>
      <xdr:colOff>64407</xdr:colOff>
      <xdr:row>84</xdr:row>
      <xdr:rowOff>52917</xdr:rowOff>
    </xdr:to>
    <xdr:sp macro="" textlink="">
      <xdr:nvSpPr>
        <xdr:cNvPr id="33" name="AutoShape 1" descr="image001"/>
        <xdr:cNvSpPr>
          <a:spLocks noChangeAspect="1" noChangeArrowheads="1"/>
        </xdr:cNvSpPr>
      </xdr:nvSpPr>
      <xdr:spPr bwMode="auto">
        <a:xfrm>
          <a:off x="7886700" y="132464175"/>
          <a:ext cx="64407" cy="654049"/>
        </a:xfrm>
        <a:prstGeom prst="rect">
          <a:avLst/>
        </a:prstGeom>
        <a:noFill/>
      </xdr:spPr>
    </xdr:sp>
    <xdr:clientData/>
  </xdr:twoCellAnchor>
  <xdr:twoCellAnchor editAs="oneCell">
    <xdr:from>
      <xdr:col>7</xdr:col>
      <xdr:colOff>0</xdr:colOff>
      <xdr:row>82</xdr:row>
      <xdr:rowOff>0</xdr:rowOff>
    </xdr:from>
    <xdr:to>
      <xdr:col>7</xdr:col>
      <xdr:colOff>64407</xdr:colOff>
      <xdr:row>84</xdr:row>
      <xdr:rowOff>52917</xdr:rowOff>
    </xdr:to>
    <xdr:sp macro="" textlink="">
      <xdr:nvSpPr>
        <xdr:cNvPr id="34" name="AutoShape 1" descr="image001"/>
        <xdr:cNvSpPr>
          <a:spLocks noChangeAspect="1" noChangeArrowheads="1"/>
        </xdr:cNvSpPr>
      </xdr:nvSpPr>
      <xdr:spPr bwMode="auto">
        <a:xfrm>
          <a:off x="7886700" y="132464175"/>
          <a:ext cx="64407" cy="654049"/>
        </a:xfrm>
        <a:prstGeom prst="rect">
          <a:avLst/>
        </a:prstGeom>
        <a:noFill/>
      </xdr:spPr>
    </xdr:sp>
    <xdr:clientData/>
  </xdr:twoCellAnchor>
  <xdr:twoCellAnchor editAs="oneCell">
    <xdr:from>
      <xdr:col>7</xdr:col>
      <xdr:colOff>0</xdr:colOff>
      <xdr:row>82</xdr:row>
      <xdr:rowOff>0</xdr:rowOff>
    </xdr:from>
    <xdr:to>
      <xdr:col>7</xdr:col>
      <xdr:colOff>64407</xdr:colOff>
      <xdr:row>84</xdr:row>
      <xdr:rowOff>52917</xdr:rowOff>
    </xdr:to>
    <xdr:sp macro="" textlink="">
      <xdr:nvSpPr>
        <xdr:cNvPr id="35" name="AutoShape 1" descr="image001"/>
        <xdr:cNvSpPr>
          <a:spLocks noChangeAspect="1" noChangeArrowheads="1"/>
        </xdr:cNvSpPr>
      </xdr:nvSpPr>
      <xdr:spPr bwMode="auto">
        <a:xfrm>
          <a:off x="7886700" y="132464175"/>
          <a:ext cx="64407" cy="654049"/>
        </a:xfrm>
        <a:prstGeom prst="rect">
          <a:avLst/>
        </a:prstGeom>
        <a:noFill/>
      </xdr:spPr>
    </xdr:sp>
    <xdr:clientData/>
  </xdr:twoCellAnchor>
  <xdr:twoCellAnchor editAs="oneCell">
    <xdr:from>
      <xdr:col>7</xdr:col>
      <xdr:colOff>0</xdr:colOff>
      <xdr:row>82</xdr:row>
      <xdr:rowOff>0</xdr:rowOff>
    </xdr:from>
    <xdr:to>
      <xdr:col>7</xdr:col>
      <xdr:colOff>85725</xdr:colOff>
      <xdr:row>84</xdr:row>
      <xdr:rowOff>80391</xdr:rowOff>
    </xdr:to>
    <xdr:pic>
      <xdr:nvPicPr>
        <xdr:cNvPr id="36" name="AutoShape 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46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82</xdr:row>
      <xdr:rowOff>0</xdr:rowOff>
    </xdr:from>
    <xdr:to>
      <xdr:col>7</xdr:col>
      <xdr:colOff>85725</xdr:colOff>
      <xdr:row>84</xdr:row>
      <xdr:rowOff>87195</xdr:rowOff>
    </xdr:to>
    <xdr:pic>
      <xdr:nvPicPr>
        <xdr:cNvPr id="37" name="Picture 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15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82</xdr:row>
      <xdr:rowOff>0</xdr:rowOff>
    </xdr:from>
    <xdr:to>
      <xdr:col>7</xdr:col>
      <xdr:colOff>85725</xdr:colOff>
      <xdr:row>84</xdr:row>
      <xdr:rowOff>68145</xdr:rowOff>
    </xdr:to>
    <xdr:pic>
      <xdr:nvPicPr>
        <xdr:cNvPr id="38" name="Picture 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24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82</xdr:row>
      <xdr:rowOff>0</xdr:rowOff>
    </xdr:from>
    <xdr:to>
      <xdr:col>7</xdr:col>
      <xdr:colOff>85725</xdr:colOff>
      <xdr:row>84</xdr:row>
      <xdr:rowOff>115770</xdr:rowOff>
    </xdr:to>
    <xdr:pic>
      <xdr:nvPicPr>
        <xdr:cNvPr id="39" name="Picture 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200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82</xdr:row>
      <xdr:rowOff>0</xdr:rowOff>
    </xdr:from>
    <xdr:to>
      <xdr:col>7</xdr:col>
      <xdr:colOff>85725</xdr:colOff>
      <xdr:row>84</xdr:row>
      <xdr:rowOff>89917</xdr:rowOff>
    </xdr:to>
    <xdr:pic>
      <xdr:nvPicPr>
        <xdr:cNvPr id="40" name="Picture 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42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82</xdr:row>
      <xdr:rowOff>0</xdr:rowOff>
    </xdr:from>
    <xdr:to>
      <xdr:col>7</xdr:col>
      <xdr:colOff>85725</xdr:colOff>
      <xdr:row>84</xdr:row>
      <xdr:rowOff>80392</xdr:rowOff>
    </xdr:to>
    <xdr:pic>
      <xdr:nvPicPr>
        <xdr:cNvPr id="41" name="Picture 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46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82</xdr:row>
      <xdr:rowOff>0</xdr:rowOff>
    </xdr:from>
    <xdr:to>
      <xdr:col>7</xdr:col>
      <xdr:colOff>85725</xdr:colOff>
      <xdr:row>84</xdr:row>
      <xdr:rowOff>80391</xdr:rowOff>
    </xdr:to>
    <xdr:pic>
      <xdr:nvPicPr>
        <xdr:cNvPr id="42" name="Picture 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46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82</xdr:row>
      <xdr:rowOff>0</xdr:rowOff>
    </xdr:from>
    <xdr:to>
      <xdr:col>7</xdr:col>
      <xdr:colOff>85725</xdr:colOff>
      <xdr:row>84</xdr:row>
      <xdr:rowOff>80391</xdr:rowOff>
    </xdr:to>
    <xdr:pic>
      <xdr:nvPicPr>
        <xdr:cNvPr id="43" name="Picture 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46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82</xdr:row>
      <xdr:rowOff>0</xdr:rowOff>
    </xdr:from>
    <xdr:to>
      <xdr:col>7</xdr:col>
      <xdr:colOff>85725</xdr:colOff>
      <xdr:row>84</xdr:row>
      <xdr:rowOff>115769</xdr:rowOff>
    </xdr:to>
    <xdr:pic>
      <xdr:nvPicPr>
        <xdr:cNvPr id="44" name="Picture 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200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82</xdr:row>
      <xdr:rowOff>0</xdr:rowOff>
    </xdr:from>
    <xdr:to>
      <xdr:col>7</xdr:col>
      <xdr:colOff>85725</xdr:colOff>
      <xdr:row>84</xdr:row>
      <xdr:rowOff>89916</xdr:rowOff>
    </xdr:to>
    <xdr:pic>
      <xdr:nvPicPr>
        <xdr:cNvPr id="45" name="Picture 1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42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82</xdr:row>
      <xdr:rowOff>0</xdr:rowOff>
    </xdr:from>
    <xdr:to>
      <xdr:col>7</xdr:col>
      <xdr:colOff>85725</xdr:colOff>
      <xdr:row>84</xdr:row>
      <xdr:rowOff>80391</xdr:rowOff>
    </xdr:to>
    <xdr:pic>
      <xdr:nvPicPr>
        <xdr:cNvPr id="46" name="Picture 1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46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82</xdr:row>
      <xdr:rowOff>0</xdr:rowOff>
    </xdr:from>
    <xdr:to>
      <xdr:col>7</xdr:col>
      <xdr:colOff>85725</xdr:colOff>
      <xdr:row>84</xdr:row>
      <xdr:rowOff>103524</xdr:rowOff>
    </xdr:to>
    <xdr:pic>
      <xdr:nvPicPr>
        <xdr:cNvPr id="47" name="Picture 1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7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82</xdr:row>
      <xdr:rowOff>0</xdr:rowOff>
    </xdr:from>
    <xdr:to>
      <xdr:col>7</xdr:col>
      <xdr:colOff>85725</xdr:colOff>
      <xdr:row>84</xdr:row>
      <xdr:rowOff>307631</xdr:rowOff>
    </xdr:to>
    <xdr:pic>
      <xdr:nvPicPr>
        <xdr:cNvPr id="48"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151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82</xdr:row>
      <xdr:rowOff>0</xdr:rowOff>
    </xdr:from>
    <xdr:to>
      <xdr:col>7</xdr:col>
      <xdr:colOff>85725</xdr:colOff>
      <xdr:row>84</xdr:row>
      <xdr:rowOff>103524</xdr:rowOff>
    </xdr:to>
    <xdr:pic>
      <xdr:nvPicPr>
        <xdr:cNvPr id="49" name="Picture 1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7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82</xdr:row>
      <xdr:rowOff>0</xdr:rowOff>
    </xdr:from>
    <xdr:to>
      <xdr:col>7</xdr:col>
      <xdr:colOff>85725</xdr:colOff>
      <xdr:row>84</xdr:row>
      <xdr:rowOff>103523</xdr:rowOff>
    </xdr:to>
    <xdr:pic>
      <xdr:nvPicPr>
        <xdr:cNvPr id="50" name="Picture 1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78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82</xdr:row>
      <xdr:rowOff>0</xdr:rowOff>
    </xdr:from>
    <xdr:to>
      <xdr:col>7</xdr:col>
      <xdr:colOff>85725</xdr:colOff>
      <xdr:row>84</xdr:row>
      <xdr:rowOff>307631</xdr:rowOff>
    </xdr:to>
    <xdr:pic>
      <xdr:nvPicPr>
        <xdr:cNvPr id="51" name="Picture 1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151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82</xdr:row>
      <xdr:rowOff>0</xdr:rowOff>
    </xdr:from>
    <xdr:to>
      <xdr:col>7</xdr:col>
      <xdr:colOff>85725</xdr:colOff>
      <xdr:row>84</xdr:row>
      <xdr:rowOff>103523</xdr:rowOff>
    </xdr:to>
    <xdr:pic>
      <xdr:nvPicPr>
        <xdr:cNvPr id="52" name="Picture 1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78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82</xdr:row>
      <xdr:rowOff>0</xdr:rowOff>
    </xdr:from>
    <xdr:to>
      <xdr:col>7</xdr:col>
      <xdr:colOff>85725</xdr:colOff>
      <xdr:row>84</xdr:row>
      <xdr:rowOff>107605</xdr:rowOff>
    </xdr:to>
    <xdr:pic>
      <xdr:nvPicPr>
        <xdr:cNvPr id="53" name="Picture 1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19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82</xdr:row>
      <xdr:rowOff>0</xdr:rowOff>
    </xdr:from>
    <xdr:to>
      <xdr:col>7</xdr:col>
      <xdr:colOff>85725</xdr:colOff>
      <xdr:row>84</xdr:row>
      <xdr:rowOff>96719</xdr:rowOff>
    </xdr:to>
    <xdr:pic>
      <xdr:nvPicPr>
        <xdr:cNvPr id="54" name="Picture 1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10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82</xdr:row>
      <xdr:rowOff>0</xdr:rowOff>
    </xdr:from>
    <xdr:to>
      <xdr:col>7</xdr:col>
      <xdr:colOff>85725</xdr:colOff>
      <xdr:row>84</xdr:row>
      <xdr:rowOff>42745</xdr:rowOff>
    </xdr:to>
    <xdr:pic>
      <xdr:nvPicPr>
        <xdr:cNvPr id="55" name="Picture 2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438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82</xdr:row>
      <xdr:rowOff>0</xdr:rowOff>
    </xdr:from>
    <xdr:to>
      <xdr:col>7</xdr:col>
      <xdr:colOff>85725</xdr:colOff>
      <xdr:row>84</xdr:row>
      <xdr:rowOff>87195</xdr:rowOff>
    </xdr:to>
    <xdr:pic>
      <xdr:nvPicPr>
        <xdr:cNvPr id="56" name="Picture 2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15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82</xdr:row>
      <xdr:rowOff>0</xdr:rowOff>
    </xdr:from>
    <xdr:to>
      <xdr:col>7</xdr:col>
      <xdr:colOff>85725</xdr:colOff>
      <xdr:row>84</xdr:row>
      <xdr:rowOff>89916</xdr:rowOff>
    </xdr:to>
    <xdr:pic>
      <xdr:nvPicPr>
        <xdr:cNvPr id="57" name="Picture 2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42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82</xdr:row>
      <xdr:rowOff>0</xdr:rowOff>
    </xdr:from>
    <xdr:to>
      <xdr:col>7</xdr:col>
      <xdr:colOff>64407</xdr:colOff>
      <xdr:row>84</xdr:row>
      <xdr:rowOff>64516</xdr:rowOff>
    </xdr:to>
    <xdr:sp macro="" textlink="">
      <xdr:nvSpPr>
        <xdr:cNvPr id="58" name="AutoShape 1" descr="image001"/>
        <xdr:cNvSpPr>
          <a:spLocks noChangeAspect="1" noChangeArrowheads="1"/>
        </xdr:cNvSpPr>
      </xdr:nvSpPr>
      <xdr:spPr bwMode="auto">
        <a:xfrm>
          <a:off x="7886700" y="132464175"/>
          <a:ext cx="64407" cy="668823"/>
        </a:xfrm>
        <a:prstGeom prst="rect">
          <a:avLst/>
        </a:prstGeom>
        <a:noFill/>
      </xdr:spPr>
    </xdr:sp>
    <xdr:clientData/>
  </xdr:twoCellAnchor>
  <xdr:twoCellAnchor editAs="oneCell">
    <xdr:from>
      <xdr:col>7</xdr:col>
      <xdr:colOff>0</xdr:colOff>
      <xdr:row>82</xdr:row>
      <xdr:rowOff>0</xdr:rowOff>
    </xdr:from>
    <xdr:to>
      <xdr:col>7</xdr:col>
      <xdr:colOff>64407</xdr:colOff>
      <xdr:row>84</xdr:row>
      <xdr:rowOff>52917</xdr:rowOff>
    </xdr:to>
    <xdr:sp macro="" textlink="">
      <xdr:nvSpPr>
        <xdr:cNvPr id="59" name="AutoShape 1" descr="image001"/>
        <xdr:cNvSpPr>
          <a:spLocks noChangeAspect="1" noChangeArrowheads="1"/>
        </xdr:cNvSpPr>
      </xdr:nvSpPr>
      <xdr:spPr bwMode="auto">
        <a:xfrm>
          <a:off x="7886700" y="132464175"/>
          <a:ext cx="64407" cy="654049"/>
        </a:xfrm>
        <a:prstGeom prst="rect">
          <a:avLst/>
        </a:prstGeom>
        <a:noFill/>
      </xdr:spPr>
    </xdr:sp>
    <xdr:clientData/>
  </xdr:twoCellAnchor>
  <xdr:twoCellAnchor editAs="oneCell">
    <xdr:from>
      <xdr:col>7</xdr:col>
      <xdr:colOff>0</xdr:colOff>
      <xdr:row>82</xdr:row>
      <xdr:rowOff>0</xdr:rowOff>
    </xdr:from>
    <xdr:to>
      <xdr:col>7</xdr:col>
      <xdr:colOff>64407</xdr:colOff>
      <xdr:row>84</xdr:row>
      <xdr:rowOff>52917</xdr:rowOff>
    </xdr:to>
    <xdr:sp macro="" textlink="">
      <xdr:nvSpPr>
        <xdr:cNvPr id="60" name="AutoShape 1" descr="image001"/>
        <xdr:cNvSpPr>
          <a:spLocks noChangeAspect="1" noChangeArrowheads="1"/>
        </xdr:cNvSpPr>
      </xdr:nvSpPr>
      <xdr:spPr bwMode="auto">
        <a:xfrm>
          <a:off x="7886700" y="132464175"/>
          <a:ext cx="64407" cy="654049"/>
        </a:xfrm>
        <a:prstGeom prst="rect">
          <a:avLst/>
        </a:prstGeom>
        <a:noFill/>
      </xdr:spPr>
    </xdr:sp>
    <xdr:clientData/>
  </xdr:twoCellAnchor>
  <xdr:twoCellAnchor editAs="oneCell">
    <xdr:from>
      <xdr:col>7</xdr:col>
      <xdr:colOff>0</xdr:colOff>
      <xdr:row>82</xdr:row>
      <xdr:rowOff>0</xdr:rowOff>
    </xdr:from>
    <xdr:to>
      <xdr:col>7</xdr:col>
      <xdr:colOff>64407</xdr:colOff>
      <xdr:row>84</xdr:row>
      <xdr:rowOff>52917</xdr:rowOff>
    </xdr:to>
    <xdr:sp macro="" textlink="">
      <xdr:nvSpPr>
        <xdr:cNvPr id="61" name="AutoShape 1" descr="image001"/>
        <xdr:cNvSpPr>
          <a:spLocks noChangeAspect="1" noChangeArrowheads="1"/>
        </xdr:cNvSpPr>
      </xdr:nvSpPr>
      <xdr:spPr bwMode="auto">
        <a:xfrm>
          <a:off x="7886700" y="132464175"/>
          <a:ext cx="64407" cy="654049"/>
        </a:xfrm>
        <a:prstGeom prst="rect">
          <a:avLst/>
        </a:prstGeom>
        <a:noFill/>
      </xdr:spPr>
    </xdr:sp>
    <xdr:clientData/>
  </xdr:twoCellAnchor>
  <xdr:twoCellAnchor editAs="oneCell">
    <xdr:from>
      <xdr:col>7</xdr:col>
      <xdr:colOff>0</xdr:colOff>
      <xdr:row>82</xdr:row>
      <xdr:rowOff>0</xdr:rowOff>
    </xdr:from>
    <xdr:to>
      <xdr:col>7</xdr:col>
      <xdr:colOff>85725</xdr:colOff>
      <xdr:row>84</xdr:row>
      <xdr:rowOff>80390</xdr:rowOff>
    </xdr:to>
    <xdr:pic>
      <xdr:nvPicPr>
        <xdr:cNvPr id="62" name="AutoShape 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46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82</xdr:row>
      <xdr:rowOff>0</xdr:rowOff>
    </xdr:from>
    <xdr:to>
      <xdr:col>7</xdr:col>
      <xdr:colOff>85725</xdr:colOff>
      <xdr:row>84</xdr:row>
      <xdr:rowOff>87194</xdr:rowOff>
    </xdr:to>
    <xdr:pic>
      <xdr:nvPicPr>
        <xdr:cNvPr id="63" name="Picture 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15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82</xdr:row>
      <xdr:rowOff>0</xdr:rowOff>
    </xdr:from>
    <xdr:to>
      <xdr:col>7</xdr:col>
      <xdr:colOff>85725</xdr:colOff>
      <xdr:row>84</xdr:row>
      <xdr:rowOff>68144</xdr:rowOff>
    </xdr:to>
    <xdr:pic>
      <xdr:nvPicPr>
        <xdr:cNvPr id="64" name="Picture 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24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82</xdr:row>
      <xdr:rowOff>0</xdr:rowOff>
    </xdr:from>
    <xdr:to>
      <xdr:col>7</xdr:col>
      <xdr:colOff>85725</xdr:colOff>
      <xdr:row>84</xdr:row>
      <xdr:rowOff>115769</xdr:rowOff>
    </xdr:to>
    <xdr:pic>
      <xdr:nvPicPr>
        <xdr:cNvPr id="65" name="Picture 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200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82</xdr:row>
      <xdr:rowOff>0</xdr:rowOff>
    </xdr:from>
    <xdr:to>
      <xdr:col>7</xdr:col>
      <xdr:colOff>85725</xdr:colOff>
      <xdr:row>84</xdr:row>
      <xdr:rowOff>89916</xdr:rowOff>
    </xdr:to>
    <xdr:pic>
      <xdr:nvPicPr>
        <xdr:cNvPr id="66" name="Picture 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42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82</xdr:row>
      <xdr:rowOff>0</xdr:rowOff>
    </xdr:from>
    <xdr:to>
      <xdr:col>7</xdr:col>
      <xdr:colOff>85725</xdr:colOff>
      <xdr:row>84</xdr:row>
      <xdr:rowOff>80391</xdr:rowOff>
    </xdr:to>
    <xdr:pic>
      <xdr:nvPicPr>
        <xdr:cNvPr id="67" name="Picture 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46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82</xdr:row>
      <xdr:rowOff>0</xdr:rowOff>
    </xdr:from>
    <xdr:to>
      <xdr:col>7</xdr:col>
      <xdr:colOff>85725</xdr:colOff>
      <xdr:row>84</xdr:row>
      <xdr:rowOff>80390</xdr:rowOff>
    </xdr:to>
    <xdr:pic>
      <xdr:nvPicPr>
        <xdr:cNvPr id="68" name="Picture 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46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82</xdr:row>
      <xdr:rowOff>0</xdr:rowOff>
    </xdr:from>
    <xdr:to>
      <xdr:col>7</xdr:col>
      <xdr:colOff>85725</xdr:colOff>
      <xdr:row>84</xdr:row>
      <xdr:rowOff>80390</xdr:rowOff>
    </xdr:to>
    <xdr:pic>
      <xdr:nvPicPr>
        <xdr:cNvPr id="69" name="Picture 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46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82</xdr:row>
      <xdr:rowOff>0</xdr:rowOff>
    </xdr:from>
    <xdr:to>
      <xdr:col>7</xdr:col>
      <xdr:colOff>85725</xdr:colOff>
      <xdr:row>84</xdr:row>
      <xdr:rowOff>115768</xdr:rowOff>
    </xdr:to>
    <xdr:pic>
      <xdr:nvPicPr>
        <xdr:cNvPr id="70" name="Picture 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20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82</xdr:row>
      <xdr:rowOff>0</xdr:rowOff>
    </xdr:from>
    <xdr:to>
      <xdr:col>7</xdr:col>
      <xdr:colOff>85725</xdr:colOff>
      <xdr:row>84</xdr:row>
      <xdr:rowOff>89915</xdr:rowOff>
    </xdr:to>
    <xdr:pic>
      <xdr:nvPicPr>
        <xdr:cNvPr id="71" name="Picture 1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42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82</xdr:row>
      <xdr:rowOff>0</xdr:rowOff>
    </xdr:from>
    <xdr:to>
      <xdr:col>7</xdr:col>
      <xdr:colOff>85725</xdr:colOff>
      <xdr:row>84</xdr:row>
      <xdr:rowOff>80390</xdr:rowOff>
    </xdr:to>
    <xdr:pic>
      <xdr:nvPicPr>
        <xdr:cNvPr id="72" name="Picture 1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46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82</xdr:row>
      <xdr:rowOff>0</xdr:rowOff>
    </xdr:from>
    <xdr:to>
      <xdr:col>7</xdr:col>
      <xdr:colOff>85725</xdr:colOff>
      <xdr:row>84</xdr:row>
      <xdr:rowOff>103523</xdr:rowOff>
    </xdr:to>
    <xdr:pic>
      <xdr:nvPicPr>
        <xdr:cNvPr id="73" name="Picture 1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78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82</xdr:row>
      <xdr:rowOff>0</xdr:rowOff>
    </xdr:from>
    <xdr:to>
      <xdr:col>7</xdr:col>
      <xdr:colOff>85725</xdr:colOff>
      <xdr:row>84</xdr:row>
      <xdr:rowOff>307630</xdr:rowOff>
    </xdr:to>
    <xdr:pic>
      <xdr:nvPicPr>
        <xdr:cNvPr id="74"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151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82</xdr:row>
      <xdr:rowOff>0</xdr:rowOff>
    </xdr:from>
    <xdr:to>
      <xdr:col>7</xdr:col>
      <xdr:colOff>85725</xdr:colOff>
      <xdr:row>84</xdr:row>
      <xdr:rowOff>103523</xdr:rowOff>
    </xdr:to>
    <xdr:pic>
      <xdr:nvPicPr>
        <xdr:cNvPr id="75" name="Picture 1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78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82</xdr:row>
      <xdr:rowOff>0</xdr:rowOff>
    </xdr:from>
    <xdr:to>
      <xdr:col>7</xdr:col>
      <xdr:colOff>85725</xdr:colOff>
      <xdr:row>84</xdr:row>
      <xdr:rowOff>103522</xdr:rowOff>
    </xdr:to>
    <xdr:pic>
      <xdr:nvPicPr>
        <xdr:cNvPr id="76" name="Picture 1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78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82</xdr:row>
      <xdr:rowOff>0</xdr:rowOff>
    </xdr:from>
    <xdr:to>
      <xdr:col>7</xdr:col>
      <xdr:colOff>85725</xdr:colOff>
      <xdr:row>84</xdr:row>
      <xdr:rowOff>307630</xdr:rowOff>
    </xdr:to>
    <xdr:pic>
      <xdr:nvPicPr>
        <xdr:cNvPr id="77" name="Picture 1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151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82</xdr:row>
      <xdr:rowOff>0</xdr:rowOff>
    </xdr:from>
    <xdr:to>
      <xdr:col>7</xdr:col>
      <xdr:colOff>85725</xdr:colOff>
      <xdr:row>84</xdr:row>
      <xdr:rowOff>103522</xdr:rowOff>
    </xdr:to>
    <xdr:pic>
      <xdr:nvPicPr>
        <xdr:cNvPr id="78" name="Picture 1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78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82</xdr:row>
      <xdr:rowOff>0</xdr:rowOff>
    </xdr:from>
    <xdr:to>
      <xdr:col>7</xdr:col>
      <xdr:colOff>85725</xdr:colOff>
      <xdr:row>84</xdr:row>
      <xdr:rowOff>107604</xdr:rowOff>
    </xdr:to>
    <xdr:pic>
      <xdr:nvPicPr>
        <xdr:cNvPr id="79" name="Picture 1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19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82</xdr:row>
      <xdr:rowOff>0</xdr:rowOff>
    </xdr:from>
    <xdr:to>
      <xdr:col>7</xdr:col>
      <xdr:colOff>85725</xdr:colOff>
      <xdr:row>84</xdr:row>
      <xdr:rowOff>96718</xdr:rowOff>
    </xdr:to>
    <xdr:pic>
      <xdr:nvPicPr>
        <xdr:cNvPr id="80" name="Picture 1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1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82</xdr:row>
      <xdr:rowOff>0</xdr:rowOff>
    </xdr:from>
    <xdr:to>
      <xdr:col>7</xdr:col>
      <xdr:colOff>85725</xdr:colOff>
      <xdr:row>84</xdr:row>
      <xdr:rowOff>42744</xdr:rowOff>
    </xdr:to>
    <xdr:pic>
      <xdr:nvPicPr>
        <xdr:cNvPr id="81" name="Picture 2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438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82</xdr:row>
      <xdr:rowOff>0</xdr:rowOff>
    </xdr:from>
    <xdr:to>
      <xdr:col>7</xdr:col>
      <xdr:colOff>85725</xdr:colOff>
      <xdr:row>84</xdr:row>
      <xdr:rowOff>87194</xdr:rowOff>
    </xdr:to>
    <xdr:pic>
      <xdr:nvPicPr>
        <xdr:cNvPr id="82" name="Picture 2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15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82</xdr:row>
      <xdr:rowOff>0</xdr:rowOff>
    </xdr:from>
    <xdr:to>
      <xdr:col>7</xdr:col>
      <xdr:colOff>85725</xdr:colOff>
      <xdr:row>84</xdr:row>
      <xdr:rowOff>89915</xdr:rowOff>
    </xdr:to>
    <xdr:pic>
      <xdr:nvPicPr>
        <xdr:cNvPr id="83" name="Picture 2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42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82</xdr:row>
      <xdr:rowOff>0</xdr:rowOff>
    </xdr:from>
    <xdr:to>
      <xdr:col>7</xdr:col>
      <xdr:colOff>64407</xdr:colOff>
      <xdr:row>84</xdr:row>
      <xdr:rowOff>64516</xdr:rowOff>
    </xdr:to>
    <xdr:sp macro="" textlink="">
      <xdr:nvSpPr>
        <xdr:cNvPr id="84" name="AutoShape 1" descr="image001"/>
        <xdr:cNvSpPr>
          <a:spLocks noChangeAspect="1" noChangeArrowheads="1"/>
        </xdr:cNvSpPr>
      </xdr:nvSpPr>
      <xdr:spPr bwMode="auto">
        <a:xfrm>
          <a:off x="7886700" y="132464175"/>
          <a:ext cx="64407" cy="668823"/>
        </a:xfrm>
        <a:prstGeom prst="rect">
          <a:avLst/>
        </a:prstGeom>
        <a:noFill/>
      </xdr:spPr>
    </xdr:sp>
    <xdr:clientData/>
  </xdr:twoCellAnchor>
  <xdr:twoCellAnchor editAs="oneCell">
    <xdr:from>
      <xdr:col>7</xdr:col>
      <xdr:colOff>0</xdr:colOff>
      <xdr:row>82</xdr:row>
      <xdr:rowOff>0</xdr:rowOff>
    </xdr:from>
    <xdr:to>
      <xdr:col>7</xdr:col>
      <xdr:colOff>64407</xdr:colOff>
      <xdr:row>84</xdr:row>
      <xdr:rowOff>52917</xdr:rowOff>
    </xdr:to>
    <xdr:sp macro="" textlink="">
      <xdr:nvSpPr>
        <xdr:cNvPr id="85" name="AutoShape 1" descr="image001"/>
        <xdr:cNvSpPr>
          <a:spLocks noChangeAspect="1" noChangeArrowheads="1"/>
        </xdr:cNvSpPr>
      </xdr:nvSpPr>
      <xdr:spPr bwMode="auto">
        <a:xfrm>
          <a:off x="7886700" y="132464175"/>
          <a:ext cx="64407" cy="654049"/>
        </a:xfrm>
        <a:prstGeom prst="rect">
          <a:avLst/>
        </a:prstGeom>
        <a:noFill/>
      </xdr:spPr>
    </xdr:sp>
    <xdr:clientData/>
  </xdr:twoCellAnchor>
  <xdr:twoCellAnchor editAs="oneCell">
    <xdr:from>
      <xdr:col>7</xdr:col>
      <xdr:colOff>0</xdr:colOff>
      <xdr:row>82</xdr:row>
      <xdr:rowOff>0</xdr:rowOff>
    </xdr:from>
    <xdr:to>
      <xdr:col>7</xdr:col>
      <xdr:colOff>64407</xdr:colOff>
      <xdr:row>84</xdr:row>
      <xdr:rowOff>52917</xdr:rowOff>
    </xdr:to>
    <xdr:sp macro="" textlink="">
      <xdr:nvSpPr>
        <xdr:cNvPr id="86" name="AutoShape 1" descr="image001"/>
        <xdr:cNvSpPr>
          <a:spLocks noChangeAspect="1" noChangeArrowheads="1"/>
        </xdr:cNvSpPr>
      </xdr:nvSpPr>
      <xdr:spPr bwMode="auto">
        <a:xfrm>
          <a:off x="7886700" y="132464175"/>
          <a:ext cx="64407" cy="654049"/>
        </a:xfrm>
        <a:prstGeom prst="rect">
          <a:avLst/>
        </a:prstGeom>
        <a:noFill/>
      </xdr:spPr>
    </xdr:sp>
    <xdr:clientData/>
  </xdr:twoCellAnchor>
  <xdr:twoCellAnchor editAs="oneCell">
    <xdr:from>
      <xdr:col>7</xdr:col>
      <xdr:colOff>0</xdr:colOff>
      <xdr:row>82</xdr:row>
      <xdr:rowOff>0</xdr:rowOff>
    </xdr:from>
    <xdr:to>
      <xdr:col>7</xdr:col>
      <xdr:colOff>64407</xdr:colOff>
      <xdr:row>84</xdr:row>
      <xdr:rowOff>52917</xdr:rowOff>
    </xdr:to>
    <xdr:sp macro="" textlink="">
      <xdr:nvSpPr>
        <xdr:cNvPr id="87" name="AutoShape 1" descr="image001"/>
        <xdr:cNvSpPr>
          <a:spLocks noChangeAspect="1" noChangeArrowheads="1"/>
        </xdr:cNvSpPr>
      </xdr:nvSpPr>
      <xdr:spPr bwMode="auto">
        <a:xfrm>
          <a:off x="7886700" y="132464175"/>
          <a:ext cx="64407" cy="654049"/>
        </a:xfrm>
        <a:prstGeom prst="rect">
          <a:avLst/>
        </a:prstGeom>
        <a:noFill/>
      </xdr:spPr>
    </xdr:sp>
    <xdr:clientData/>
  </xdr:twoCellAnchor>
  <xdr:twoCellAnchor editAs="oneCell">
    <xdr:from>
      <xdr:col>7</xdr:col>
      <xdr:colOff>0</xdr:colOff>
      <xdr:row>82</xdr:row>
      <xdr:rowOff>0</xdr:rowOff>
    </xdr:from>
    <xdr:to>
      <xdr:col>7</xdr:col>
      <xdr:colOff>85725</xdr:colOff>
      <xdr:row>84</xdr:row>
      <xdr:rowOff>80390</xdr:rowOff>
    </xdr:to>
    <xdr:pic>
      <xdr:nvPicPr>
        <xdr:cNvPr id="88" name="AutoShape 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46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82</xdr:row>
      <xdr:rowOff>0</xdr:rowOff>
    </xdr:from>
    <xdr:to>
      <xdr:col>7</xdr:col>
      <xdr:colOff>85725</xdr:colOff>
      <xdr:row>84</xdr:row>
      <xdr:rowOff>87194</xdr:rowOff>
    </xdr:to>
    <xdr:pic>
      <xdr:nvPicPr>
        <xdr:cNvPr id="89" name="Picture 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15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82</xdr:row>
      <xdr:rowOff>0</xdr:rowOff>
    </xdr:from>
    <xdr:to>
      <xdr:col>7</xdr:col>
      <xdr:colOff>85725</xdr:colOff>
      <xdr:row>84</xdr:row>
      <xdr:rowOff>68144</xdr:rowOff>
    </xdr:to>
    <xdr:pic>
      <xdr:nvPicPr>
        <xdr:cNvPr id="90" name="Picture 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24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82</xdr:row>
      <xdr:rowOff>0</xdr:rowOff>
    </xdr:from>
    <xdr:to>
      <xdr:col>7</xdr:col>
      <xdr:colOff>85725</xdr:colOff>
      <xdr:row>84</xdr:row>
      <xdr:rowOff>115769</xdr:rowOff>
    </xdr:to>
    <xdr:pic>
      <xdr:nvPicPr>
        <xdr:cNvPr id="91" name="Picture 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200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82</xdr:row>
      <xdr:rowOff>0</xdr:rowOff>
    </xdr:from>
    <xdr:to>
      <xdr:col>7</xdr:col>
      <xdr:colOff>85725</xdr:colOff>
      <xdr:row>84</xdr:row>
      <xdr:rowOff>89916</xdr:rowOff>
    </xdr:to>
    <xdr:pic>
      <xdr:nvPicPr>
        <xdr:cNvPr id="92" name="Picture 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42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82</xdr:row>
      <xdr:rowOff>0</xdr:rowOff>
    </xdr:from>
    <xdr:to>
      <xdr:col>7</xdr:col>
      <xdr:colOff>85725</xdr:colOff>
      <xdr:row>84</xdr:row>
      <xdr:rowOff>80391</xdr:rowOff>
    </xdr:to>
    <xdr:pic>
      <xdr:nvPicPr>
        <xdr:cNvPr id="93" name="Picture 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46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82</xdr:row>
      <xdr:rowOff>0</xdr:rowOff>
    </xdr:from>
    <xdr:to>
      <xdr:col>7</xdr:col>
      <xdr:colOff>85725</xdr:colOff>
      <xdr:row>84</xdr:row>
      <xdr:rowOff>80390</xdr:rowOff>
    </xdr:to>
    <xdr:pic>
      <xdr:nvPicPr>
        <xdr:cNvPr id="94" name="Picture 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46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82</xdr:row>
      <xdr:rowOff>0</xdr:rowOff>
    </xdr:from>
    <xdr:to>
      <xdr:col>7</xdr:col>
      <xdr:colOff>85725</xdr:colOff>
      <xdr:row>84</xdr:row>
      <xdr:rowOff>80390</xdr:rowOff>
    </xdr:to>
    <xdr:pic>
      <xdr:nvPicPr>
        <xdr:cNvPr id="95" name="Picture 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46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82</xdr:row>
      <xdr:rowOff>0</xdr:rowOff>
    </xdr:from>
    <xdr:to>
      <xdr:col>7</xdr:col>
      <xdr:colOff>85725</xdr:colOff>
      <xdr:row>84</xdr:row>
      <xdr:rowOff>115768</xdr:rowOff>
    </xdr:to>
    <xdr:pic>
      <xdr:nvPicPr>
        <xdr:cNvPr id="96" name="Picture 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20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82</xdr:row>
      <xdr:rowOff>0</xdr:rowOff>
    </xdr:from>
    <xdr:to>
      <xdr:col>7</xdr:col>
      <xdr:colOff>85725</xdr:colOff>
      <xdr:row>84</xdr:row>
      <xdr:rowOff>89915</xdr:rowOff>
    </xdr:to>
    <xdr:pic>
      <xdr:nvPicPr>
        <xdr:cNvPr id="97" name="Picture 1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42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82</xdr:row>
      <xdr:rowOff>0</xdr:rowOff>
    </xdr:from>
    <xdr:to>
      <xdr:col>7</xdr:col>
      <xdr:colOff>85725</xdr:colOff>
      <xdr:row>84</xdr:row>
      <xdr:rowOff>80390</xdr:rowOff>
    </xdr:to>
    <xdr:pic>
      <xdr:nvPicPr>
        <xdr:cNvPr id="98" name="Picture 1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46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82</xdr:row>
      <xdr:rowOff>0</xdr:rowOff>
    </xdr:from>
    <xdr:to>
      <xdr:col>7</xdr:col>
      <xdr:colOff>85725</xdr:colOff>
      <xdr:row>84</xdr:row>
      <xdr:rowOff>103523</xdr:rowOff>
    </xdr:to>
    <xdr:pic>
      <xdr:nvPicPr>
        <xdr:cNvPr id="99" name="Picture 1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78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82</xdr:row>
      <xdr:rowOff>0</xdr:rowOff>
    </xdr:from>
    <xdr:to>
      <xdr:col>7</xdr:col>
      <xdr:colOff>85725</xdr:colOff>
      <xdr:row>84</xdr:row>
      <xdr:rowOff>307630</xdr:rowOff>
    </xdr:to>
    <xdr:pic>
      <xdr:nvPicPr>
        <xdr:cNvPr id="100"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151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82</xdr:row>
      <xdr:rowOff>0</xdr:rowOff>
    </xdr:from>
    <xdr:to>
      <xdr:col>7</xdr:col>
      <xdr:colOff>85725</xdr:colOff>
      <xdr:row>84</xdr:row>
      <xdr:rowOff>103523</xdr:rowOff>
    </xdr:to>
    <xdr:pic>
      <xdr:nvPicPr>
        <xdr:cNvPr id="101" name="Picture 1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78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82</xdr:row>
      <xdr:rowOff>0</xdr:rowOff>
    </xdr:from>
    <xdr:to>
      <xdr:col>7</xdr:col>
      <xdr:colOff>85725</xdr:colOff>
      <xdr:row>84</xdr:row>
      <xdr:rowOff>103522</xdr:rowOff>
    </xdr:to>
    <xdr:pic>
      <xdr:nvPicPr>
        <xdr:cNvPr id="102" name="Picture 1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78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82</xdr:row>
      <xdr:rowOff>0</xdr:rowOff>
    </xdr:from>
    <xdr:to>
      <xdr:col>7</xdr:col>
      <xdr:colOff>85725</xdr:colOff>
      <xdr:row>84</xdr:row>
      <xdr:rowOff>307630</xdr:rowOff>
    </xdr:to>
    <xdr:pic>
      <xdr:nvPicPr>
        <xdr:cNvPr id="103" name="Picture 1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151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82</xdr:row>
      <xdr:rowOff>0</xdr:rowOff>
    </xdr:from>
    <xdr:to>
      <xdr:col>7</xdr:col>
      <xdr:colOff>85725</xdr:colOff>
      <xdr:row>84</xdr:row>
      <xdr:rowOff>103522</xdr:rowOff>
    </xdr:to>
    <xdr:pic>
      <xdr:nvPicPr>
        <xdr:cNvPr id="104" name="Picture 1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78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82</xdr:row>
      <xdr:rowOff>0</xdr:rowOff>
    </xdr:from>
    <xdr:to>
      <xdr:col>7</xdr:col>
      <xdr:colOff>85725</xdr:colOff>
      <xdr:row>84</xdr:row>
      <xdr:rowOff>107604</xdr:rowOff>
    </xdr:to>
    <xdr:pic>
      <xdr:nvPicPr>
        <xdr:cNvPr id="105" name="Picture 1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19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82</xdr:row>
      <xdr:rowOff>0</xdr:rowOff>
    </xdr:from>
    <xdr:to>
      <xdr:col>7</xdr:col>
      <xdr:colOff>85725</xdr:colOff>
      <xdr:row>84</xdr:row>
      <xdr:rowOff>96718</xdr:rowOff>
    </xdr:to>
    <xdr:pic>
      <xdr:nvPicPr>
        <xdr:cNvPr id="106" name="Picture 1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1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82</xdr:row>
      <xdr:rowOff>0</xdr:rowOff>
    </xdr:from>
    <xdr:to>
      <xdr:col>7</xdr:col>
      <xdr:colOff>85725</xdr:colOff>
      <xdr:row>84</xdr:row>
      <xdr:rowOff>42744</xdr:rowOff>
    </xdr:to>
    <xdr:pic>
      <xdr:nvPicPr>
        <xdr:cNvPr id="107" name="Picture 2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438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82</xdr:row>
      <xdr:rowOff>0</xdr:rowOff>
    </xdr:from>
    <xdr:to>
      <xdr:col>7</xdr:col>
      <xdr:colOff>85725</xdr:colOff>
      <xdr:row>84</xdr:row>
      <xdr:rowOff>87194</xdr:rowOff>
    </xdr:to>
    <xdr:pic>
      <xdr:nvPicPr>
        <xdr:cNvPr id="108" name="Picture 2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15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82</xdr:row>
      <xdr:rowOff>0</xdr:rowOff>
    </xdr:from>
    <xdr:to>
      <xdr:col>7</xdr:col>
      <xdr:colOff>85725</xdr:colOff>
      <xdr:row>84</xdr:row>
      <xdr:rowOff>89915</xdr:rowOff>
    </xdr:to>
    <xdr:pic>
      <xdr:nvPicPr>
        <xdr:cNvPr id="109" name="Picture 2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42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7</xdr:col>
      <xdr:colOff>0</xdr:colOff>
      <xdr:row>82</xdr:row>
      <xdr:rowOff>0</xdr:rowOff>
    </xdr:from>
    <xdr:ext cx="64407" cy="663160"/>
    <xdr:sp macro="" textlink="">
      <xdr:nvSpPr>
        <xdr:cNvPr id="110" name="AutoShape 1" descr="image001"/>
        <xdr:cNvSpPr>
          <a:spLocks noChangeAspect="1" noChangeArrowheads="1"/>
        </xdr:cNvSpPr>
      </xdr:nvSpPr>
      <xdr:spPr bwMode="auto">
        <a:xfrm>
          <a:off x="7886700" y="132464175"/>
          <a:ext cx="64407" cy="663160"/>
        </a:xfrm>
        <a:prstGeom prst="rect">
          <a:avLst/>
        </a:prstGeom>
        <a:noFill/>
      </xdr:spPr>
    </xdr:sp>
    <xdr:clientData/>
  </xdr:oneCellAnchor>
  <xdr:oneCellAnchor>
    <xdr:from>
      <xdr:col>7</xdr:col>
      <xdr:colOff>0</xdr:colOff>
      <xdr:row>82</xdr:row>
      <xdr:rowOff>0</xdr:rowOff>
    </xdr:from>
    <xdr:ext cx="64407" cy="660438"/>
    <xdr:sp macro="" textlink="">
      <xdr:nvSpPr>
        <xdr:cNvPr id="111" name="AutoShape 1" descr="image001"/>
        <xdr:cNvSpPr>
          <a:spLocks noChangeAspect="1" noChangeArrowheads="1"/>
        </xdr:cNvSpPr>
      </xdr:nvSpPr>
      <xdr:spPr bwMode="auto">
        <a:xfrm>
          <a:off x="7886700" y="132464175"/>
          <a:ext cx="64407" cy="660438"/>
        </a:xfrm>
        <a:prstGeom prst="rect">
          <a:avLst/>
        </a:prstGeom>
        <a:noFill/>
      </xdr:spPr>
    </xdr:sp>
    <xdr:clientData/>
  </xdr:oneCellAnchor>
  <xdr:oneCellAnchor>
    <xdr:from>
      <xdr:col>7</xdr:col>
      <xdr:colOff>0</xdr:colOff>
      <xdr:row>82</xdr:row>
      <xdr:rowOff>0</xdr:rowOff>
    </xdr:from>
    <xdr:ext cx="64407" cy="660438"/>
    <xdr:sp macro="" textlink="">
      <xdr:nvSpPr>
        <xdr:cNvPr id="112" name="AutoShape 1" descr="image001"/>
        <xdr:cNvSpPr>
          <a:spLocks noChangeAspect="1" noChangeArrowheads="1"/>
        </xdr:cNvSpPr>
      </xdr:nvSpPr>
      <xdr:spPr bwMode="auto">
        <a:xfrm>
          <a:off x="7886700" y="132464175"/>
          <a:ext cx="64407" cy="660438"/>
        </a:xfrm>
        <a:prstGeom prst="rect">
          <a:avLst/>
        </a:prstGeom>
        <a:noFill/>
      </xdr:spPr>
    </xdr:sp>
    <xdr:clientData/>
  </xdr:oneCellAnchor>
  <xdr:oneCellAnchor>
    <xdr:from>
      <xdr:col>7</xdr:col>
      <xdr:colOff>0</xdr:colOff>
      <xdr:row>82</xdr:row>
      <xdr:rowOff>0</xdr:rowOff>
    </xdr:from>
    <xdr:ext cx="64407" cy="660438"/>
    <xdr:sp macro="" textlink="">
      <xdr:nvSpPr>
        <xdr:cNvPr id="113" name="AutoShape 1" descr="image001"/>
        <xdr:cNvSpPr>
          <a:spLocks noChangeAspect="1" noChangeArrowheads="1"/>
        </xdr:cNvSpPr>
      </xdr:nvSpPr>
      <xdr:spPr bwMode="auto">
        <a:xfrm>
          <a:off x="7886700" y="132464175"/>
          <a:ext cx="64407" cy="660438"/>
        </a:xfrm>
        <a:prstGeom prst="rect">
          <a:avLst/>
        </a:prstGeom>
        <a:noFill/>
      </xdr:spPr>
    </xdr:sp>
    <xdr:clientData/>
  </xdr:oneCellAnchor>
  <xdr:oneCellAnchor>
    <xdr:from>
      <xdr:col>7</xdr:col>
      <xdr:colOff>0</xdr:colOff>
      <xdr:row>82</xdr:row>
      <xdr:rowOff>0</xdr:rowOff>
    </xdr:from>
    <xdr:ext cx="85725" cy="679034"/>
    <xdr:pic>
      <xdr:nvPicPr>
        <xdr:cNvPr id="114" name="AutoShape 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85838"/>
    <xdr:pic>
      <xdr:nvPicPr>
        <xdr:cNvPr id="115" name="Picture 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8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66788"/>
    <xdr:pic>
      <xdr:nvPicPr>
        <xdr:cNvPr id="116" name="Picture 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6678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714413"/>
    <xdr:pic>
      <xdr:nvPicPr>
        <xdr:cNvPr id="117" name="Picture 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441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88560"/>
    <xdr:pic>
      <xdr:nvPicPr>
        <xdr:cNvPr id="118" name="Picture 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6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79035"/>
    <xdr:pic>
      <xdr:nvPicPr>
        <xdr:cNvPr id="119" name="Picture 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79034"/>
    <xdr:pic>
      <xdr:nvPicPr>
        <xdr:cNvPr id="120" name="Picture 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79034"/>
    <xdr:pic>
      <xdr:nvPicPr>
        <xdr:cNvPr id="121" name="Picture 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714412"/>
    <xdr:pic>
      <xdr:nvPicPr>
        <xdr:cNvPr id="122" name="Picture 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441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88559"/>
    <xdr:pic>
      <xdr:nvPicPr>
        <xdr:cNvPr id="123" name="Picture 1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5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79034"/>
    <xdr:pic>
      <xdr:nvPicPr>
        <xdr:cNvPr id="124" name="Picture 1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702167"/>
    <xdr:pic>
      <xdr:nvPicPr>
        <xdr:cNvPr id="125" name="Picture 1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906274"/>
    <xdr:pic>
      <xdr:nvPicPr>
        <xdr:cNvPr id="126"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627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702167"/>
    <xdr:pic>
      <xdr:nvPicPr>
        <xdr:cNvPr id="127" name="Picture 1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702166"/>
    <xdr:pic>
      <xdr:nvPicPr>
        <xdr:cNvPr id="128" name="Picture 1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906274"/>
    <xdr:pic>
      <xdr:nvPicPr>
        <xdr:cNvPr id="129" name="Picture 1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627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702166"/>
    <xdr:pic>
      <xdr:nvPicPr>
        <xdr:cNvPr id="130" name="Picture 1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706248"/>
    <xdr:pic>
      <xdr:nvPicPr>
        <xdr:cNvPr id="131" name="Picture 1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624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95362"/>
    <xdr:pic>
      <xdr:nvPicPr>
        <xdr:cNvPr id="132" name="Picture 1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53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41388"/>
    <xdr:pic>
      <xdr:nvPicPr>
        <xdr:cNvPr id="133" name="Picture 2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4138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85838"/>
    <xdr:pic>
      <xdr:nvPicPr>
        <xdr:cNvPr id="134" name="Picture 2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8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88559"/>
    <xdr:pic>
      <xdr:nvPicPr>
        <xdr:cNvPr id="135" name="Picture 2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5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64407" cy="663160"/>
    <xdr:sp macro="" textlink="">
      <xdr:nvSpPr>
        <xdr:cNvPr id="136" name="AutoShape 1" descr="image001"/>
        <xdr:cNvSpPr>
          <a:spLocks noChangeAspect="1" noChangeArrowheads="1"/>
        </xdr:cNvSpPr>
      </xdr:nvSpPr>
      <xdr:spPr bwMode="auto">
        <a:xfrm>
          <a:off x="7886700" y="132464175"/>
          <a:ext cx="64407" cy="663160"/>
        </a:xfrm>
        <a:prstGeom prst="rect">
          <a:avLst/>
        </a:prstGeom>
        <a:noFill/>
      </xdr:spPr>
    </xdr:sp>
    <xdr:clientData/>
  </xdr:oneCellAnchor>
  <xdr:oneCellAnchor>
    <xdr:from>
      <xdr:col>7</xdr:col>
      <xdr:colOff>0</xdr:colOff>
      <xdr:row>82</xdr:row>
      <xdr:rowOff>0</xdr:rowOff>
    </xdr:from>
    <xdr:ext cx="64407" cy="660438"/>
    <xdr:sp macro="" textlink="">
      <xdr:nvSpPr>
        <xdr:cNvPr id="137" name="AutoShape 1" descr="image001"/>
        <xdr:cNvSpPr>
          <a:spLocks noChangeAspect="1" noChangeArrowheads="1"/>
        </xdr:cNvSpPr>
      </xdr:nvSpPr>
      <xdr:spPr bwMode="auto">
        <a:xfrm>
          <a:off x="7886700" y="132464175"/>
          <a:ext cx="64407" cy="660438"/>
        </a:xfrm>
        <a:prstGeom prst="rect">
          <a:avLst/>
        </a:prstGeom>
        <a:noFill/>
      </xdr:spPr>
    </xdr:sp>
    <xdr:clientData/>
  </xdr:oneCellAnchor>
  <xdr:oneCellAnchor>
    <xdr:from>
      <xdr:col>7</xdr:col>
      <xdr:colOff>0</xdr:colOff>
      <xdr:row>82</xdr:row>
      <xdr:rowOff>0</xdr:rowOff>
    </xdr:from>
    <xdr:ext cx="64407" cy="660438"/>
    <xdr:sp macro="" textlink="">
      <xdr:nvSpPr>
        <xdr:cNvPr id="138" name="AutoShape 1" descr="image001"/>
        <xdr:cNvSpPr>
          <a:spLocks noChangeAspect="1" noChangeArrowheads="1"/>
        </xdr:cNvSpPr>
      </xdr:nvSpPr>
      <xdr:spPr bwMode="auto">
        <a:xfrm>
          <a:off x="7886700" y="132464175"/>
          <a:ext cx="64407" cy="660438"/>
        </a:xfrm>
        <a:prstGeom prst="rect">
          <a:avLst/>
        </a:prstGeom>
        <a:noFill/>
      </xdr:spPr>
    </xdr:sp>
    <xdr:clientData/>
  </xdr:oneCellAnchor>
  <xdr:oneCellAnchor>
    <xdr:from>
      <xdr:col>7</xdr:col>
      <xdr:colOff>0</xdr:colOff>
      <xdr:row>82</xdr:row>
      <xdr:rowOff>0</xdr:rowOff>
    </xdr:from>
    <xdr:ext cx="64407" cy="660438"/>
    <xdr:sp macro="" textlink="">
      <xdr:nvSpPr>
        <xdr:cNvPr id="139" name="AutoShape 1" descr="image001"/>
        <xdr:cNvSpPr>
          <a:spLocks noChangeAspect="1" noChangeArrowheads="1"/>
        </xdr:cNvSpPr>
      </xdr:nvSpPr>
      <xdr:spPr bwMode="auto">
        <a:xfrm>
          <a:off x="7886700" y="132464175"/>
          <a:ext cx="64407" cy="660438"/>
        </a:xfrm>
        <a:prstGeom prst="rect">
          <a:avLst/>
        </a:prstGeom>
        <a:noFill/>
      </xdr:spPr>
    </xdr:sp>
    <xdr:clientData/>
  </xdr:oneCellAnchor>
  <xdr:oneCellAnchor>
    <xdr:from>
      <xdr:col>7</xdr:col>
      <xdr:colOff>0</xdr:colOff>
      <xdr:row>82</xdr:row>
      <xdr:rowOff>0</xdr:rowOff>
    </xdr:from>
    <xdr:ext cx="85725" cy="679034"/>
    <xdr:pic>
      <xdr:nvPicPr>
        <xdr:cNvPr id="140" name="AutoShape 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85838"/>
    <xdr:pic>
      <xdr:nvPicPr>
        <xdr:cNvPr id="141" name="Picture 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8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66788"/>
    <xdr:pic>
      <xdr:nvPicPr>
        <xdr:cNvPr id="142" name="Picture 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6678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714413"/>
    <xdr:pic>
      <xdr:nvPicPr>
        <xdr:cNvPr id="143" name="Picture 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441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88560"/>
    <xdr:pic>
      <xdr:nvPicPr>
        <xdr:cNvPr id="144" name="Picture 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6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79035"/>
    <xdr:pic>
      <xdr:nvPicPr>
        <xdr:cNvPr id="145" name="Picture 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79034"/>
    <xdr:pic>
      <xdr:nvPicPr>
        <xdr:cNvPr id="146" name="Picture 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79034"/>
    <xdr:pic>
      <xdr:nvPicPr>
        <xdr:cNvPr id="147" name="Picture 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714412"/>
    <xdr:pic>
      <xdr:nvPicPr>
        <xdr:cNvPr id="148" name="Picture 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441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88559"/>
    <xdr:pic>
      <xdr:nvPicPr>
        <xdr:cNvPr id="149" name="Picture 1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5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79034"/>
    <xdr:pic>
      <xdr:nvPicPr>
        <xdr:cNvPr id="150" name="Picture 1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702167"/>
    <xdr:pic>
      <xdr:nvPicPr>
        <xdr:cNvPr id="151" name="Picture 1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906274"/>
    <xdr:pic>
      <xdr:nvPicPr>
        <xdr:cNvPr id="152"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627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702167"/>
    <xdr:pic>
      <xdr:nvPicPr>
        <xdr:cNvPr id="153" name="Picture 1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702166"/>
    <xdr:pic>
      <xdr:nvPicPr>
        <xdr:cNvPr id="154" name="Picture 1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906274"/>
    <xdr:pic>
      <xdr:nvPicPr>
        <xdr:cNvPr id="155" name="Picture 1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627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702166"/>
    <xdr:pic>
      <xdr:nvPicPr>
        <xdr:cNvPr id="156" name="Picture 1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706248"/>
    <xdr:pic>
      <xdr:nvPicPr>
        <xdr:cNvPr id="157" name="Picture 1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624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95362"/>
    <xdr:pic>
      <xdr:nvPicPr>
        <xdr:cNvPr id="158" name="Picture 1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53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41388"/>
    <xdr:pic>
      <xdr:nvPicPr>
        <xdr:cNvPr id="159" name="Picture 2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4138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85838"/>
    <xdr:pic>
      <xdr:nvPicPr>
        <xdr:cNvPr id="160" name="Picture 2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8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88559"/>
    <xdr:pic>
      <xdr:nvPicPr>
        <xdr:cNvPr id="161" name="Picture 2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5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64407" cy="663159"/>
    <xdr:sp macro="" textlink="">
      <xdr:nvSpPr>
        <xdr:cNvPr id="162" name="AutoShape 1" descr="image001"/>
        <xdr:cNvSpPr>
          <a:spLocks noChangeAspect="1" noChangeArrowheads="1"/>
        </xdr:cNvSpPr>
      </xdr:nvSpPr>
      <xdr:spPr bwMode="auto">
        <a:xfrm>
          <a:off x="7886700" y="132464175"/>
          <a:ext cx="64407" cy="663159"/>
        </a:xfrm>
        <a:prstGeom prst="rect">
          <a:avLst/>
        </a:prstGeom>
        <a:noFill/>
      </xdr:spPr>
    </xdr:sp>
    <xdr:clientData/>
  </xdr:oneCellAnchor>
  <xdr:oneCellAnchor>
    <xdr:from>
      <xdr:col>7</xdr:col>
      <xdr:colOff>0</xdr:colOff>
      <xdr:row>82</xdr:row>
      <xdr:rowOff>0</xdr:rowOff>
    </xdr:from>
    <xdr:ext cx="64407" cy="660437"/>
    <xdr:sp macro="" textlink="">
      <xdr:nvSpPr>
        <xdr:cNvPr id="163" name="AutoShape 1" descr="image001"/>
        <xdr:cNvSpPr>
          <a:spLocks noChangeAspect="1" noChangeArrowheads="1"/>
        </xdr:cNvSpPr>
      </xdr:nvSpPr>
      <xdr:spPr bwMode="auto">
        <a:xfrm>
          <a:off x="7886700" y="132464175"/>
          <a:ext cx="64407" cy="660437"/>
        </a:xfrm>
        <a:prstGeom prst="rect">
          <a:avLst/>
        </a:prstGeom>
        <a:noFill/>
      </xdr:spPr>
    </xdr:sp>
    <xdr:clientData/>
  </xdr:oneCellAnchor>
  <xdr:oneCellAnchor>
    <xdr:from>
      <xdr:col>7</xdr:col>
      <xdr:colOff>0</xdr:colOff>
      <xdr:row>82</xdr:row>
      <xdr:rowOff>0</xdr:rowOff>
    </xdr:from>
    <xdr:ext cx="64407" cy="660437"/>
    <xdr:sp macro="" textlink="">
      <xdr:nvSpPr>
        <xdr:cNvPr id="164" name="AutoShape 1" descr="image001"/>
        <xdr:cNvSpPr>
          <a:spLocks noChangeAspect="1" noChangeArrowheads="1"/>
        </xdr:cNvSpPr>
      </xdr:nvSpPr>
      <xdr:spPr bwMode="auto">
        <a:xfrm>
          <a:off x="7886700" y="132464175"/>
          <a:ext cx="64407" cy="660437"/>
        </a:xfrm>
        <a:prstGeom prst="rect">
          <a:avLst/>
        </a:prstGeom>
        <a:noFill/>
      </xdr:spPr>
    </xdr:sp>
    <xdr:clientData/>
  </xdr:oneCellAnchor>
  <xdr:oneCellAnchor>
    <xdr:from>
      <xdr:col>7</xdr:col>
      <xdr:colOff>0</xdr:colOff>
      <xdr:row>82</xdr:row>
      <xdr:rowOff>0</xdr:rowOff>
    </xdr:from>
    <xdr:ext cx="64407" cy="660437"/>
    <xdr:sp macro="" textlink="">
      <xdr:nvSpPr>
        <xdr:cNvPr id="165" name="AutoShape 1" descr="image001"/>
        <xdr:cNvSpPr>
          <a:spLocks noChangeAspect="1" noChangeArrowheads="1"/>
        </xdr:cNvSpPr>
      </xdr:nvSpPr>
      <xdr:spPr bwMode="auto">
        <a:xfrm>
          <a:off x="7886700" y="132464175"/>
          <a:ext cx="64407" cy="660437"/>
        </a:xfrm>
        <a:prstGeom prst="rect">
          <a:avLst/>
        </a:prstGeom>
        <a:noFill/>
      </xdr:spPr>
    </xdr:sp>
    <xdr:clientData/>
  </xdr:oneCellAnchor>
  <xdr:oneCellAnchor>
    <xdr:from>
      <xdr:col>7</xdr:col>
      <xdr:colOff>0</xdr:colOff>
      <xdr:row>82</xdr:row>
      <xdr:rowOff>0</xdr:rowOff>
    </xdr:from>
    <xdr:ext cx="85725" cy="679033"/>
    <xdr:pic>
      <xdr:nvPicPr>
        <xdr:cNvPr id="166" name="AutoShape 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85837"/>
    <xdr:pic>
      <xdr:nvPicPr>
        <xdr:cNvPr id="167" name="Picture 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83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66787"/>
    <xdr:pic>
      <xdr:nvPicPr>
        <xdr:cNvPr id="168" name="Picture 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667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714412"/>
    <xdr:pic>
      <xdr:nvPicPr>
        <xdr:cNvPr id="169" name="Picture 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441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88559"/>
    <xdr:pic>
      <xdr:nvPicPr>
        <xdr:cNvPr id="170" name="Picture 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5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79034"/>
    <xdr:pic>
      <xdr:nvPicPr>
        <xdr:cNvPr id="171" name="Picture 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79033"/>
    <xdr:pic>
      <xdr:nvPicPr>
        <xdr:cNvPr id="172" name="Picture 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79033"/>
    <xdr:pic>
      <xdr:nvPicPr>
        <xdr:cNvPr id="173" name="Picture 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714411"/>
    <xdr:pic>
      <xdr:nvPicPr>
        <xdr:cNvPr id="174" name="Picture 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441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88558"/>
    <xdr:pic>
      <xdr:nvPicPr>
        <xdr:cNvPr id="175" name="Picture 1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5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79033"/>
    <xdr:pic>
      <xdr:nvPicPr>
        <xdr:cNvPr id="176" name="Picture 1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702166"/>
    <xdr:pic>
      <xdr:nvPicPr>
        <xdr:cNvPr id="177" name="Picture 1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906273"/>
    <xdr:pic>
      <xdr:nvPicPr>
        <xdr:cNvPr id="178"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702166"/>
    <xdr:pic>
      <xdr:nvPicPr>
        <xdr:cNvPr id="179" name="Picture 1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702165"/>
    <xdr:pic>
      <xdr:nvPicPr>
        <xdr:cNvPr id="180" name="Picture 1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906273"/>
    <xdr:pic>
      <xdr:nvPicPr>
        <xdr:cNvPr id="181" name="Picture 1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702165"/>
    <xdr:pic>
      <xdr:nvPicPr>
        <xdr:cNvPr id="182" name="Picture 1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706247"/>
    <xdr:pic>
      <xdr:nvPicPr>
        <xdr:cNvPr id="183" name="Picture 1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624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95361"/>
    <xdr:pic>
      <xdr:nvPicPr>
        <xdr:cNvPr id="184" name="Picture 1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536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41387"/>
    <xdr:pic>
      <xdr:nvPicPr>
        <xdr:cNvPr id="185" name="Picture 2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413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85837"/>
    <xdr:pic>
      <xdr:nvPicPr>
        <xdr:cNvPr id="186" name="Picture 2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83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88558"/>
    <xdr:pic>
      <xdr:nvPicPr>
        <xdr:cNvPr id="187" name="Picture 2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5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64407" cy="663159"/>
    <xdr:sp macro="" textlink="">
      <xdr:nvSpPr>
        <xdr:cNvPr id="188" name="AutoShape 1" descr="image001"/>
        <xdr:cNvSpPr>
          <a:spLocks noChangeAspect="1" noChangeArrowheads="1"/>
        </xdr:cNvSpPr>
      </xdr:nvSpPr>
      <xdr:spPr bwMode="auto">
        <a:xfrm>
          <a:off x="7886700" y="132464175"/>
          <a:ext cx="64407" cy="663159"/>
        </a:xfrm>
        <a:prstGeom prst="rect">
          <a:avLst/>
        </a:prstGeom>
        <a:noFill/>
      </xdr:spPr>
    </xdr:sp>
    <xdr:clientData/>
  </xdr:oneCellAnchor>
  <xdr:oneCellAnchor>
    <xdr:from>
      <xdr:col>7</xdr:col>
      <xdr:colOff>0</xdr:colOff>
      <xdr:row>82</xdr:row>
      <xdr:rowOff>0</xdr:rowOff>
    </xdr:from>
    <xdr:ext cx="64407" cy="660437"/>
    <xdr:sp macro="" textlink="">
      <xdr:nvSpPr>
        <xdr:cNvPr id="189" name="AutoShape 1" descr="image001"/>
        <xdr:cNvSpPr>
          <a:spLocks noChangeAspect="1" noChangeArrowheads="1"/>
        </xdr:cNvSpPr>
      </xdr:nvSpPr>
      <xdr:spPr bwMode="auto">
        <a:xfrm>
          <a:off x="7886700" y="132464175"/>
          <a:ext cx="64407" cy="660437"/>
        </a:xfrm>
        <a:prstGeom prst="rect">
          <a:avLst/>
        </a:prstGeom>
        <a:noFill/>
      </xdr:spPr>
    </xdr:sp>
    <xdr:clientData/>
  </xdr:oneCellAnchor>
  <xdr:oneCellAnchor>
    <xdr:from>
      <xdr:col>7</xdr:col>
      <xdr:colOff>0</xdr:colOff>
      <xdr:row>82</xdr:row>
      <xdr:rowOff>0</xdr:rowOff>
    </xdr:from>
    <xdr:ext cx="64407" cy="660437"/>
    <xdr:sp macro="" textlink="">
      <xdr:nvSpPr>
        <xdr:cNvPr id="190" name="AutoShape 1" descr="image001"/>
        <xdr:cNvSpPr>
          <a:spLocks noChangeAspect="1" noChangeArrowheads="1"/>
        </xdr:cNvSpPr>
      </xdr:nvSpPr>
      <xdr:spPr bwMode="auto">
        <a:xfrm>
          <a:off x="7886700" y="132464175"/>
          <a:ext cx="64407" cy="660437"/>
        </a:xfrm>
        <a:prstGeom prst="rect">
          <a:avLst/>
        </a:prstGeom>
        <a:noFill/>
      </xdr:spPr>
    </xdr:sp>
    <xdr:clientData/>
  </xdr:oneCellAnchor>
  <xdr:oneCellAnchor>
    <xdr:from>
      <xdr:col>7</xdr:col>
      <xdr:colOff>0</xdr:colOff>
      <xdr:row>82</xdr:row>
      <xdr:rowOff>0</xdr:rowOff>
    </xdr:from>
    <xdr:ext cx="64407" cy="660437"/>
    <xdr:sp macro="" textlink="">
      <xdr:nvSpPr>
        <xdr:cNvPr id="191" name="AutoShape 1" descr="image001"/>
        <xdr:cNvSpPr>
          <a:spLocks noChangeAspect="1" noChangeArrowheads="1"/>
        </xdr:cNvSpPr>
      </xdr:nvSpPr>
      <xdr:spPr bwMode="auto">
        <a:xfrm>
          <a:off x="7886700" y="132464175"/>
          <a:ext cx="64407" cy="660437"/>
        </a:xfrm>
        <a:prstGeom prst="rect">
          <a:avLst/>
        </a:prstGeom>
        <a:noFill/>
      </xdr:spPr>
    </xdr:sp>
    <xdr:clientData/>
  </xdr:oneCellAnchor>
  <xdr:oneCellAnchor>
    <xdr:from>
      <xdr:col>7</xdr:col>
      <xdr:colOff>0</xdr:colOff>
      <xdr:row>82</xdr:row>
      <xdr:rowOff>0</xdr:rowOff>
    </xdr:from>
    <xdr:ext cx="85725" cy="679033"/>
    <xdr:pic>
      <xdr:nvPicPr>
        <xdr:cNvPr id="192" name="AutoShape 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85837"/>
    <xdr:pic>
      <xdr:nvPicPr>
        <xdr:cNvPr id="193" name="Picture 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83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66787"/>
    <xdr:pic>
      <xdr:nvPicPr>
        <xdr:cNvPr id="194" name="Picture 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667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714412"/>
    <xdr:pic>
      <xdr:nvPicPr>
        <xdr:cNvPr id="195" name="Picture 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441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88559"/>
    <xdr:pic>
      <xdr:nvPicPr>
        <xdr:cNvPr id="196" name="Picture 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5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79034"/>
    <xdr:pic>
      <xdr:nvPicPr>
        <xdr:cNvPr id="197" name="Picture 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79033"/>
    <xdr:pic>
      <xdr:nvPicPr>
        <xdr:cNvPr id="198" name="Picture 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79033"/>
    <xdr:pic>
      <xdr:nvPicPr>
        <xdr:cNvPr id="199" name="Picture 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714411"/>
    <xdr:pic>
      <xdr:nvPicPr>
        <xdr:cNvPr id="200" name="Picture 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441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88558"/>
    <xdr:pic>
      <xdr:nvPicPr>
        <xdr:cNvPr id="201" name="Picture 1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5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79033"/>
    <xdr:pic>
      <xdr:nvPicPr>
        <xdr:cNvPr id="202" name="Picture 1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702166"/>
    <xdr:pic>
      <xdr:nvPicPr>
        <xdr:cNvPr id="203" name="Picture 1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906273"/>
    <xdr:pic>
      <xdr:nvPicPr>
        <xdr:cNvPr id="204"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702166"/>
    <xdr:pic>
      <xdr:nvPicPr>
        <xdr:cNvPr id="205" name="Picture 1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702165"/>
    <xdr:pic>
      <xdr:nvPicPr>
        <xdr:cNvPr id="206" name="Picture 1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906273"/>
    <xdr:pic>
      <xdr:nvPicPr>
        <xdr:cNvPr id="207" name="Picture 1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702165"/>
    <xdr:pic>
      <xdr:nvPicPr>
        <xdr:cNvPr id="208" name="Picture 1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706247"/>
    <xdr:pic>
      <xdr:nvPicPr>
        <xdr:cNvPr id="209" name="Picture 1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624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95361"/>
    <xdr:pic>
      <xdr:nvPicPr>
        <xdr:cNvPr id="210" name="Picture 1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536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41387"/>
    <xdr:pic>
      <xdr:nvPicPr>
        <xdr:cNvPr id="211" name="Picture 2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413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85837"/>
    <xdr:pic>
      <xdr:nvPicPr>
        <xdr:cNvPr id="212" name="Picture 2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83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64407" cy="660358"/>
    <xdr:sp macro="" textlink="">
      <xdr:nvSpPr>
        <xdr:cNvPr id="213" name="AutoShape 1" descr="image001"/>
        <xdr:cNvSpPr>
          <a:spLocks noChangeAspect="1" noChangeArrowheads="1"/>
        </xdr:cNvSpPr>
      </xdr:nvSpPr>
      <xdr:spPr bwMode="auto">
        <a:xfrm>
          <a:off x="7886700" y="132464175"/>
          <a:ext cx="64407" cy="660358"/>
        </a:xfrm>
        <a:prstGeom prst="rect">
          <a:avLst/>
        </a:prstGeom>
        <a:noFill/>
      </xdr:spPr>
    </xdr:sp>
    <xdr:clientData/>
  </xdr:oneCellAnchor>
  <xdr:oneCellAnchor>
    <xdr:from>
      <xdr:col>7</xdr:col>
      <xdr:colOff>0</xdr:colOff>
      <xdr:row>82</xdr:row>
      <xdr:rowOff>0</xdr:rowOff>
    </xdr:from>
    <xdr:ext cx="64407" cy="657636"/>
    <xdr:sp macro="" textlink="">
      <xdr:nvSpPr>
        <xdr:cNvPr id="214" name="AutoShape 1" descr="image001"/>
        <xdr:cNvSpPr>
          <a:spLocks noChangeAspect="1" noChangeArrowheads="1"/>
        </xdr:cNvSpPr>
      </xdr:nvSpPr>
      <xdr:spPr bwMode="auto">
        <a:xfrm>
          <a:off x="7886700" y="132464175"/>
          <a:ext cx="64407" cy="657636"/>
        </a:xfrm>
        <a:prstGeom prst="rect">
          <a:avLst/>
        </a:prstGeom>
        <a:noFill/>
      </xdr:spPr>
    </xdr:sp>
    <xdr:clientData/>
  </xdr:oneCellAnchor>
  <xdr:oneCellAnchor>
    <xdr:from>
      <xdr:col>7</xdr:col>
      <xdr:colOff>0</xdr:colOff>
      <xdr:row>82</xdr:row>
      <xdr:rowOff>0</xdr:rowOff>
    </xdr:from>
    <xdr:ext cx="64407" cy="657636"/>
    <xdr:sp macro="" textlink="">
      <xdr:nvSpPr>
        <xdr:cNvPr id="215" name="AutoShape 1" descr="image001"/>
        <xdr:cNvSpPr>
          <a:spLocks noChangeAspect="1" noChangeArrowheads="1"/>
        </xdr:cNvSpPr>
      </xdr:nvSpPr>
      <xdr:spPr bwMode="auto">
        <a:xfrm>
          <a:off x="7886700" y="132464175"/>
          <a:ext cx="64407" cy="657636"/>
        </a:xfrm>
        <a:prstGeom prst="rect">
          <a:avLst/>
        </a:prstGeom>
        <a:noFill/>
      </xdr:spPr>
    </xdr:sp>
    <xdr:clientData/>
  </xdr:oneCellAnchor>
  <xdr:oneCellAnchor>
    <xdr:from>
      <xdr:col>7</xdr:col>
      <xdr:colOff>0</xdr:colOff>
      <xdr:row>82</xdr:row>
      <xdr:rowOff>0</xdr:rowOff>
    </xdr:from>
    <xdr:ext cx="64407" cy="657636"/>
    <xdr:sp macro="" textlink="">
      <xdr:nvSpPr>
        <xdr:cNvPr id="216" name="AutoShape 1" descr="image001"/>
        <xdr:cNvSpPr>
          <a:spLocks noChangeAspect="1" noChangeArrowheads="1"/>
        </xdr:cNvSpPr>
      </xdr:nvSpPr>
      <xdr:spPr bwMode="auto">
        <a:xfrm>
          <a:off x="7886700" y="132464175"/>
          <a:ext cx="64407" cy="657636"/>
        </a:xfrm>
        <a:prstGeom prst="rect">
          <a:avLst/>
        </a:prstGeom>
        <a:noFill/>
      </xdr:spPr>
    </xdr:sp>
    <xdr:clientData/>
  </xdr:oneCellAnchor>
  <xdr:oneCellAnchor>
    <xdr:from>
      <xdr:col>7</xdr:col>
      <xdr:colOff>0</xdr:colOff>
      <xdr:row>82</xdr:row>
      <xdr:rowOff>0</xdr:rowOff>
    </xdr:from>
    <xdr:ext cx="85725" cy="676232"/>
    <xdr:pic>
      <xdr:nvPicPr>
        <xdr:cNvPr id="217" name="AutoShape 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623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83036"/>
    <xdr:pic>
      <xdr:nvPicPr>
        <xdr:cNvPr id="218" name="Picture 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30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63986"/>
    <xdr:pic>
      <xdr:nvPicPr>
        <xdr:cNvPr id="219" name="Picture 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6398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711611"/>
    <xdr:pic>
      <xdr:nvPicPr>
        <xdr:cNvPr id="220" name="Picture 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161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85758"/>
    <xdr:pic>
      <xdr:nvPicPr>
        <xdr:cNvPr id="221" name="Picture 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75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76233"/>
    <xdr:pic>
      <xdr:nvPicPr>
        <xdr:cNvPr id="222" name="Picture 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623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76232"/>
    <xdr:pic>
      <xdr:nvPicPr>
        <xdr:cNvPr id="223" name="Picture 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623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76232"/>
    <xdr:pic>
      <xdr:nvPicPr>
        <xdr:cNvPr id="224" name="Picture 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623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711610"/>
    <xdr:pic>
      <xdr:nvPicPr>
        <xdr:cNvPr id="225" name="Picture 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16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85757"/>
    <xdr:pic>
      <xdr:nvPicPr>
        <xdr:cNvPr id="226" name="Picture 1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75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76232"/>
    <xdr:pic>
      <xdr:nvPicPr>
        <xdr:cNvPr id="227" name="Picture 1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623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99365"/>
    <xdr:pic>
      <xdr:nvPicPr>
        <xdr:cNvPr id="228" name="Picture 1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93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903472"/>
    <xdr:pic>
      <xdr:nvPicPr>
        <xdr:cNvPr id="229"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347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99365"/>
    <xdr:pic>
      <xdr:nvPicPr>
        <xdr:cNvPr id="230" name="Picture 1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93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99364"/>
    <xdr:pic>
      <xdr:nvPicPr>
        <xdr:cNvPr id="231" name="Picture 1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936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903472"/>
    <xdr:pic>
      <xdr:nvPicPr>
        <xdr:cNvPr id="232" name="Picture 1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347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99364"/>
    <xdr:pic>
      <xdr:nvPicPr>
        <xdr:cNvPr id="233" name="Picture 1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936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703446"/>
    <xdr:pic>
      <xdr:nvPicPr>
        <xdr:cNvPr id="234" name="Picture 1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344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92560"/>
    <xdr:pic>
      <xdr:nvPicPr>
        <xdr:cNvPr id="235" name="Picture 1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256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38586"/>
    <xdr:pic>
      <xdr:nvPicPr>
        <xdr:cNvPr id="236" name="Picture 2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3858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83036"/>
    <xdr:pic>
      <xdr:nvPicPr>
        <xdr:cNvPr id="237" name="Picture 2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30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85757"/>
    <xdr:pic>
      <xdr:nvPicPr>
        <xdr:cNvPr id="238" name="Picture 2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75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64407" cy="660358"/>
    <xdr:sp macro="" textlink="">
      <xdr:nvSpPr>
        <xdr:cNvPr id="239" name="AutoShape 1" descr="image001"/>
        <xdr:cNvSpPr>
          <a:spLocks noChangeAspect="1" noChangeArrowheads="1"/>
        </xdr:cNvSpPr>
      </xdr:nvSpPr>
      <xdr:spPr bwMode="auto">
        <a:xfrm>
          <a:off x="7886700" y="132464175"/>
          <a:ext cx="64407" cy="660358"/>
        </a:xfrm>
        <a:prstGeom prst="rect">
          <a:avLst/>
        </a:prstGeom>
        <a:noFill/>
      </xdr:spPr>
    </xdr:sp>
    <xdr:clientData/>
  </xdr:oneCellAnchor>
  <xdr:oneCellAnchor>
    <xdr:from>
      <xdr:col>7</xdr:col>
      <xdr:colOff>0</xdr:colOff>
      <xdr:row>82</xdr:row>
      <xdr:rowOff>0</xdr:rowOff>
    </xdr:from>
    <xdr:ext cx="64407" cy="657636"/>
    <xdr:sp macro="" textlink="">
      <xdr:nvSpPr>
        <xdr:cNvPr id="240" name="AutoShape 1" descr="image001"/>
        <xdr:cNvSpPr>
          <a:spLocks noChangeAspect="1" noChangeArrowheads="1"/>
        </xdr:cNvSpPr>
      </xdr:nvSpPr>
      <xdr:spPr bwMode="auto">
        <a:xfrm>
          <a:off x="7886700" y="132464175"/>
          <a:ext cx="64407" cy="657636"/>
        </a:xfrm>
        <a:prstGeom prst="rect">
          <a:avLst/>
        </a:prstGeom>
        <a:noFill/>
      </xdr:spPr>
    </xdr:sp>
    <xdr:clientData/>
  </xdr:oneCellAnchor>
  <xdr:oneCellAnchor>
    <xdr:from>
      <xdr:col>7</xdr:col>
      <xdr:colOff>0</xdr:colOff>
      <xdr:row>82</xdr:row>
      <xdr:rowOff>0</xdr:rowOff>
    </xdr:from>
    <xdr:ext cx="64407" cy="657636"/>
    <xdr:sp macro="" textlink="">
      <xdr:nvSpPr>
        <xdr:cNvPr id="241" name="AutoShape 1" descr="image001"/>
        <xdr:cNvSpPr>
          <a:spLocks noChangeAspect="1" noChangeArrowheads="1"/>
        </xdr:cNvSpPr>
      </xdr:nvSpPr>
      <xdr:spPr bwMode="auto">
        <a:xfrm>
          <a:off x="7886700" y="132464175"/>
          <a:ext cx="64407" cy="657636"/>
        </a:xfrm>
        <a:prstGeom prst="rect">
          <a:avLst/>
        </a:prstGeom>
        <a:noFill/>
      </xdr:spPr>
    </xdr:sp>
    <xdr:clientData/>
  </xdr:oneCellAnchor>
  <xdr:oneCellAnchor>
    <xdr:from>
      <xdr:col>7</xdr:col>
      <xdr:colOff>0</xdr:colOff>
      <xdr:row>82</xdr:row>
      <xdr:rowOff>0</xdr:rowOff>
    </xdr:from>
    <xdr:ext cx="64407" cy="657636"/>
    <xdr:sp macro="" textlink="">
      <xdr:nvSpPr>
        <xdr:cNvPr id="242" name="AutoShape 1" descr="image001"/>
        <xdr:cNvSpPr>
          <a:spLocks noChangeAspect="1" noChangeArrowheads="1"/>
        </xdr:cNvSpPr>
      </xdr:nvSpPr>
      <xdr:spPr bwMode="auto">
        <a:xfrm>
          <a:off x="7886700" y="132464175"/>
          <a:ext cx="64407" cy="657636"/>
        </a:xfrm>
        <a:prstGeom prst="rect">
          <a:avLst/>
        </a:prstGeom>
        <a:noFill/>
      </xdr:spPr>
    </xdr:sp>
    <xdr:clientData/>
  </xdr:oneCellAnchor>
  <xdr:oneCellAnchor>
    <xdr:from>
      <xdr:col>7</xdr:col>
      <xdr:colOff>0</xdr:colOff>
      <xdr:row>82</xdr:row>
      <xdr:rowOff>0</xdr:rowOff>
    </xdr:from>
    <xdr:ext cx="85725" cy="676232"/>
    <xdr:pic>
      <xdr:nvPicPr>
        <xdr:cNvPr id="243" name="AutoShape 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623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83036"/>
    <xdr:pic>
      <xdr:nvPicPr>
        <xdr:cNvPr id="244" name="Picture 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30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63986"/>
    <xdr:pic>
      <xdr:nvPicPr>
        <xdr:cNvPr id="245" name="Picture 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6398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711611"/>
    <xdr:pic>
      <xdr:nvPicPr>
        <xdr:cNvPr id="246" name="Picture 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161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85758"/>
    <xdr:pic>
      <xdr:nvPicPr>
        <xdr:cNvPr id="247" name="Picture 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75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76233"/>
    <xdr:pic>
      <xdr:nvPicPr>
        <xdr:cNvPr id="248" name="Picture 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623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76232"/>
    <xdr:pic>
      <xdr:nvPicPr>
        <xdr:cNvPr id="249" name="Picture 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623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76232"/>
    <xdr:pic>
      <xdr:nvPicPr>
        <xdr:cNvPr id="250" name="Picture 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623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711610"/>
    <xdr:pic>
      <xdr:nvPicPr>
        <xdr:cNvPr id="251" name="Picture 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16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85757"/>
    <xdr:pic>
      <xdr:nvPicPr>
        <xdr:cNvPr id="252" name="Picture 1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75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76232"/>
    <xdr:pic>
      <xdr:nvPicPr>
        <xdr:cNvPr id="253" name="Picture 1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623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99365"/>
    <xdr:pic>
      <xdr:nvPicPr>
        <xdr:cNvPr id="254" name="Picture 1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93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903472"/>
    <xdr:pic>
      <xdr:nvPicPr>
        <xdr:cNvPr id="255"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347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99365"/>
    <xdr:pic>
      <xdr:nvPicPr>
        <xdr:cNvPr id="256" name="Picture 1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93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99364"/>
    <xdr:pic>
      <xdr:nvPicPr>
        <xdr:cNvPr id="257" name="Picture 1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936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903472"/>
    <xdr:pic>
      <xdr:nvPicPr>
        <xdr:cNvPr id="258" name="Picture 1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347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99364"/>
    <xdr:pic>
      <xdr:nvPicPr>
        <xdr:cNvPr id="259" name="Picture 1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936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703446"/>
    <xdr:pic>
      <xdr:nvPicPr>
        <xdr:cNvPr id="260" name="Picture 1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344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92560"/>
    <xdr:pic>
      <xdr:nvPicPr>
        <xdr:cNvPr id="261" name="Picture 1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256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38586"/>
    <xdr:pic>
      <xdr:nvPicPr>
        <xdr:cNvPr id="262" name="Picture 2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3858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83036"/>
    <xdr:pic>
      <xdr:nvPicPr>
        <xdr:cNvPr id="263" name="Picture 2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30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85757"/>
    <xdr:pic>
      <xdr:nvPicPr>
        <xdr:cNvPr id="264" name="Picture 2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75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64407" cy="660357"/>
    <xdr:sp macro="" textlink="">
      <xdr:nvSpPr>
        <xdr:cNvPr id="265" name="AutoShape 1" descr="image001"/>
        <xdr:cNvSpPr>
          <a:spLocks noChangeAspect="1" noChangeArrowheads="1"/>
        </xdr:cNvSpPr>
      </xdr:nvSpPr>
      <xdr:spPr bwMode="auto">
        <a:xfrm>
          <a:off x="7886700" y="132464175"/>
          <a:ext cx="64407" cy="660357"/>
        </a:xfrm>
        <a:prstGeom prst="rect">
          <a:avLst/>
        </a:prstGeom>
        <a:noFill/>
      </xdr:spPr>
    </xdr:sp>
    <xdr:clientData/>
  </xdr:oneCellAnchor>
  <xdr:oneCellAnchor>
    <xdr:from>
      <xdr:col>7</xdr:col>
      <xdr:colOff>0</xdr:colOff>
      <xdr:row>82</xdr:row>
      <xdr:rowOff>0</xdr:rowOff>
    </xdr:from>
    <xdr:ext cx="64407" cy="657635"/>
    <xdr:sp macro="" textlink="">
      <xdr:nvSpPr>
        <xdr:cNvPr id="266" name="AutoShape 1" descr="image001"/>
        <xdr:cNvSpPr>
          <a:spLocks noChangeAspect="1" noChangeArrowheads="1"/>
        </xdr:cNvSpPr>
      </xdr:nvSpPr>
      <xdr:spPr bwMode="auto">
        <a:xfrm>
          <a:off x="7886700" y="132464175"/>
          <a:ext cx="64407" cy="657635"/>
        </a:xfrm>
        <a:prstGeom prst="rect">
          <a:avLst/>
        </a:prstGeom>
        <a:noFill/>
      </xdr:spPr>
    </xdr:sp>
    <xdr:clientData/>
  </xdr:oneCellAnchor>
  <xdr:oneCellAnchor>
    <xdr:from>
      <xdr:col>7</xdr:col>
      <xdr:colOff>0</xdr:colOff>
      <xdr:row>82</xdr:row>
      <xdr:rowOff>0</xdr:rowOff>
    </xdr:from>
    <xdr:ext cx="64407" cy="657635"/>
    <xdr:sp macro="" textlink="">
      <xdr:nvSpPr>
        <xdr:cNvPr id="267" name="AutoShape 1" descr="image001"/>
        <xdr:cNvSpPr>
          <a:spLocks noChangeAspect="1" noChangeArrowheads="1"/>
        </xdr:cNvSpPr>
      </xdr:nvSpPr>
      <xdr:spPr bwMode="auto">
        <a:xfrm>
          <a:off x="7886700" y="132464175"/>
          <a:ext cx="64407" cy="657635"/>
        </a:xfrm>
        <a:prstGeom prst="rect">
          <a:avLst/>
        </a:prstGeom>
        <a:noFill/>
      </xdr:spPr>
    </xdr:sp>
    <xdr:clientData/>
  </xdr:oneCellAnchor>
  <xdr:oneCellAnchor>
    <xdr:from>
      <xdr:col>7</xdr:col>
      <xdr:colOff>0</xdr:colOff>
      <xdr:row>82</xdr:row>
      <xdr:rowOff>0</xdr:rowOff>
    </xdr:from>
    <xdr:ext cx="64407" cy="657635"/>
    <xdr:sp macro="" textlink="">
      <xdr:nvSpPr>
        <xdr:cNvPr id="268" name="AutoShape 1" descr="image001"/>
        <xdr:cNvSpPr>
          <a:spLocks noChangeAspect="1" noChangeArrowheads="1"/>
        </xdr:cNvSpPr>
      </xdr:nvSpPr>
      <xdr:spPr bwMode="auto">
        <a:xfrm>
          <a:off x="7886700" y="132464175"/>
          <a:ext cx="64407" cy="657635"/>
        </a:xfrm>
        <a:prstGeom prst="rect">
          <a:avLst/>
        </a:prstGeom>
        <a:noFill/>
      </xdr:spPr>
    </xdr:sp>
    <xdr:clientData/>
  </xdr:oneCellAnchor>
  <xdr:oneCellAnchor>
    <xdr:from>
      <xdr:col>7</xdr:col>
      <xdr:colOff>0</xdr:colOff>
      <xdr:row>82</xdr:row>
      <xdr:rowOff>0</xdr:rowOff>
    </xdr:from>
    <xdr:ext cx="85725" cy="676231"/>
    <xdr:pic>
      <xdr:nvPicPr>
        <xdr:cNvPr id="269" name="AutoShape 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623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83035"/>
    <xdr:pic>
      <xdr:nvPicPr>
        <xdr:cNvPr id="270" name="Picture 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303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63985"/>
    <xdr:pic>
      <xdr:nvPicPr>
        <xdr:cNvPr id="271" name="Picture 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639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711610"/>
    <xdr:pic>
      <xdr:nvPicPr>
        <xdr:cNvPr id="272" name="Picture 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16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85757"/>
    <xdr:pic>
      <xdr:nvPicPr>
        <xdr:cNvPr id="273" name="Picture 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75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76232"/>
    <xdr:pic>
      <xdr:nvPicPr>
        <xdr:cNvPr id="274" name="Picture 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623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76231"/>
    <xdr:pic>
      <xdr:nvPicPr>
        <xdr:cNvPr id="275" name="Picture 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623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76231"/>
    <xdr:pic>
      <xdr:nvPicPr>
        <xdr:cNvPr id="276" name="Picture 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623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711609"/>
    <xdr:pic>
      <xdr:nvPicPr>
        <xdr:cNvPr id="277" name="Picture 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160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85756"/>
    <xdr:pic>
      <xdr:nvPicPr>
        <xdr:cNvPr id="278" name="Picture 1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75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76231"/>
    <xdr:pic>
      <xdr:nvPicPr>
        <xdr:cNvPr id="279" name="Picture 1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623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99364"/>
    <xdr:pic>
      <xdr:nvPicPr>
        <xdr:cNvPr id="280" name="Picture 1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936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903471"/>
    <xdr:pic>
      <xdr:nvPicPr>
        <xdr:cNvPr id="281"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347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99364"/>
    <xdr:pic>
      <xdr:nvPicPr>
        <xdr:cNvPr id="282" name="Picture 1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936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99363"/>
    <xdr:pic>
      <xdr:nvPicPr>
        <xdr:cNvPr id="283" name="Picture 1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936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903471"/>
    <xdr:pic>
      <xdr:nvPicPr>
        <xdr:cNvPr id="284" name="Picture 1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347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99363"/>
    <xdr:pic>
      <xdr:nvPicPr>
        <xdr:cNvPr id="285" name="Picture 1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936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703445"/>
    <xdr:pic>
      <xdr:nvPicPr>
        <xdr:cNvPr id="286" name="Picture 1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34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92559"/>
    <xdr:pic>
      <xdr:nvPicPr>
        <xdr:cNvPr id="287" name="Picture 1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255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38585"/>
    <xdr:pic>
      <xdr:nvPicPr>
        <xdr:cNvPr id="288" name="Picture 2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385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83035"/>
    <xdr:pic>
      <xdr:nvPicPr>
        <xdr:cNvPr id="289" name="Picture 2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303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85756"/>
    <xdr:pic>
      <xdr:nvPicPr>
        <xdr:cNvPr id="290" name="Picture 2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75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64407" cy="660357"/>
    <xdr:sp macro="" textlink="">
      <xdr:nvSpPr>
        <xdr:cNvPr id="291" name="AutoShape 1" descr="image001"/>
        <xdr:cNvSpPr>
          <a:spLocks noChangeAspect="1" noChangeArrowheads="1"/>
        </xdr:cNvSpPr>
      </xdr:nvSpPr>
      <xdr:spPr bwMode="auto">
        <a:xfrm>
          <a:off x="7886700" y="132464175"/>
          <a:ext cx="64407" cy="660357"/>
        </a:xfrm>
        <a:prstGeom prst="rect">
          <a:avLst/>
        </a:prstGeom>
        <a:noFill/>
      </xdr:spPr>
    </xdr:sp>
    <xdr:clientData/>
  </xdr:oneCellAnchor>
  <xdr:oneCellAnchor>
    <xdr:from>
      <xdr:col>7</xdr:col>
      <xdr:colOff>0</xdr:colOff>
      <xdr:row>82</xdr:row>
      <xdr:rowOff>0</xdr:rowOff>
    </xdr:from>
    <xdr:ext cx="64407" cy="657635"/>
    <xdr:sp macro="" textlink="">
      <xdr:nvSpPr>
        <xdr:cNvPr id="292" name="AutoShape 1" descr="image001"/>
        <xdr:cNvSpPr>
          <a:spLocks noChangeAspect="1" noChangeArrowheads="1"/>
        </xdr:cNvSpPr>
      </xdr:nvSpPr>
      <xdr:spPr bwMode="auto">
        <a:xfrm>
          <a:off x="7886700" y="132464175"/>
          <a:ext cx="64407" cy="657635"/>
        </a:xfrm>
        <a:prstGeom prst="rect">
          <a:avLst/>
        </a:prstGeom>
        <a:noFill/>
      </xdr:spPr>
    </xdr:sp>
    <xdr:clientData/>
  </xdr:oneCellAnchor>
  <xdr:oneCellAnchor>
    <xdr:from>
      <xdr:col>7</xdr:col>
      <xdr:colOff>0</xdr:colOff>
      <xdr:row>82</xdr:row>
      <xdr:rowOff>0</xdr:rowOff>
    </xdr:from>
    <xdr:ext cx="64407" cy="657635"/>
    <xdr:sp macro="" textlink="">
      <xdr:nvSpPr>
        <xdr:cNvPr id="293" name="AutoShape 1" descr="image001"/>
        <xdr:cNvSpPr>
          <a:spLocks noChangeAspect="1" noChangeArrowheads="1"/>
        </xdr:cNvSpPr>
      </xdr:nvSpPr>
      <xdr:spPr bwMode="auto">
        <a:xfrm>
          <a:off x="7886700" y="132464175"/>
          <a:ext cx="64407" cy="657635"/>
        </a:xfrm>
        <a:prstGeom prst="rect">
          <a:avLst/>
        </a:prstGeom>
        <a:noFill/>
      </xdr:spPr>
    </xdr:sp>
    <xdr:clientData/>
  </xdr:oneCellAnchor>
  <xdr:oneCellAnchor>
    <xdr:from>
      <xdr:col>7</xdr:col>
      <xdr:colOff>0</xdr:colOff>
      <xdr:row>82</xdr:row>
      <xdr:rowOff>0</xdr:rowOff>
    </xdr:from>
    <xdr:ext cx="64407" cy="657635"/>
    <xdr:sp macro="" textlink="">
      <xdr:nvSpPr>
        <xdr:cNvPr id="294" name="AutoShape 1" descr="image001"/>
        <xdr:cNvSpPr>
          <a:spLocks noChangeAspect="1" noChangeArrowheads="1"/>
        </xdr:cNvSpPr>
      </xdr:nvSpPr>
      <xdr:spPr bwMode="auto">
        <a:xfrm>
          <a:off x="7886700" y="132464175"/>
          <a:ext cx="64407" cy="657635"/>
        </a:xfrm>
        <a:prstGeom prst="rect">
          <a:avLst/>
        </a:prstGeom>
        <a:noFill/>
      </xdr:spPr>
    </xdr:sp>
    <xdr:clientData/>
  </xdr:oneCellAnchor>
  <xdr:oneCellAnchor>
    <xdr:from>
      <xdr:col>7</xdr:col>
      <xdr:colOff>0</xdr:colOff>
      <xdr:row>82</xdr:row>
      <xdr:rowOff>0</xdr:rowOff>
    </xdr:from>
    <xdr:ext cx="85725" cy="676231"/>
    <xdr:pic>
      <xdr:nvPicPr>
        <xdr:cNvPr id="295" name="AutoShape 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623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83035"/>
    <xdr:pic>
      <xdr:nvPicPr>
        <xdr:cNvPr id="296" name="Picture 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303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63985"/>
    <xdr:pic>
      <xdr:nvPicPr>
        <xdr:cNvPr id="297" name="Picture 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639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711610"/>
    <xdr:pic>
      <xdr:nvPicPr>
        <xdr:cNvPr id="298" name="Picture 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16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85757"/>
    <xdr:pic>
      <xdr:nvPicPr>
        <xdr:cNvPr id="299" name="Picture 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75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76232"/>
    <xdr:pic>
      <xdr:nvPicPr>
        <xdr:cNvPr id="300" name="Picture 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623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76231"/>
    <xdr:pic>
      <xdr:nvPicPr>
        <xdr:cNvPr id="301" name="Picture 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623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76231"/>
    <xdr:pic>
      <xdr:nvPicPr>
        <xdr:cNvPr id="302" name="Picture 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623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711609"/>
    <xdr:pic>
      <xdr:nvPicPr>
        <xdr:cNvPr id="303" name="Picture 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160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85756"/>
    <xdr:pic>
      <xdr:nvPicPr>
        <xdr:cNvPr id="304" name="Picture 1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75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76231"/>
    <xdr:pic>
      <xdr:nvPicPr>
        <xdr:cNvPr id="305" name="Picture 1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623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99364"/>
    <xdr:pic>
      <xdr:nvPicPr>
        <xdr:cNvPr id="306" name="Picture 1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936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903471"/>
    <xdr:pic>
      <xdr:nvPicPr>
        <xdr:cNvPr id="307"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347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99364"/>
    <xdr:pic>
      <xdr:nvPicPr>
        <xdr:cNvPr id="308" name="Picture 1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936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99363"/>
    <xdr:pic>
      <xdr:nvPicPr>
        <xdr:cNvPr id="309" name="Picture 1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936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903471"/>
    <xdr:pic>
      <xdr:nvPicPr>
        <xdr:cNvPr id="310" name="Picture 1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347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99363"/>
    <xdr:pic>
      <xdr:nvPicPr>
        <xdr:cNvPr id="311" name="Picture 1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936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703445"/>
    <xdr:pic>
      <xdr:nvPicPr>
        <xdr:cNvPr id="312" name="Picture 1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34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92559"/>
    <xdr:pic>
      <xdr:nvPicPr>
        <xdr:cNvPr id="313" name="Picture 1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255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38585"/>
    <xdr:pic>
      <xdr:nvPicPr>
        <xdr:cNvPr id="314" name="Picture 2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385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83035"/>
    <xdr:pic>
      <xdr:nvPicPr>
        <xdr:cNvPr id="315" name="Picture 2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303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85756"/>
    <xdr:pic>
      <xdr:nvPicPr>
        <xdr:cNvPr id="316" name="Picture 2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75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64407" cy="663160"/>
    <xdr:sp macro="" textlink="">
      <xdr:nvSpPr>
        <xdr:cNvPr id="317" name="AutoShape 1" descr="image001"/>
        <xdr:cNvSpPr>
          <a:spLocks noChangeAspect="1" noChangeArrowheads="1"/>
        </xdr:cNvSpPr>
      </xdr:nvSpPr>
      <xdr:spPr bwMode="auto">
        <a:xfrm>
          <a:off x="7886700" y="132464175"/>
          <a:ext cx="64407" cy="663160"/>
        </a:xfrm>
        <a:prstGeom prst="rect">
          <a:avLst/>
        </a:prstGeom>
        <a:noFill/>
      </xdr:spPr>
    </xdr:sp>
    <xdr:clientData/>
  </xdr:oneCellAnchor>
  <xdr:oneCellAnchor>
    <xdr:from>
      <xdr:col>7</xdr:col>
      <xdr:colOff>0</xdr:colOff>
      <xdr:row>82</xdr:row>
      <xdr:rowOff>0</xdr:rowOff>
    </xdr:from>
    <xdr:ext cx="64407" cy="660438"/>
    <xdr:sp macro="" textlink="">
      <xdr:nvSpPr>
        <xdr:cNvPr id="318" name="AutoShape 1" descr="image001"/>
        <xdr:cNvSpPr>
          <a:spLocks noChangeAspect="1" noChangeArrowheads="1"/>
        </xdr:cNvSpPr>
      </xdr:nvSpPr>
      <xdr:spPr bwMode="auto">
        <a:xfrm>
          <a:off x="7886700" y="132464175"/>
          <a:ext cx="64407" cy="660438"/>
        </a:xfrm>
        <a:prstGeom prst="rect">
          <a:avLst/>
        </a:prstGeom>
        <a:noFill/>
      </xdr:spPr>
    </xdr:sp>
    <xdr:clientData/>
  </xdr:oneCellAnchor>
  <xdr:oneCellAnchor>
    <xdr:from>
      <xdr:col>7</xdr:col>
      <xdr:colOff>0</xdr:colOff>
      <xdr:row>82</xdr:row>
      <xdr:rowOff>0</xdr:rowOff>
    </xdr:from>
    <xdr:ext cx="64407" cy="660438"/>
    <xdr:sp macro="" textlink="">
      <xdr:nvSpPr>
        <xdr:cNvPr id="319" name="AutoShape 1" descr="image001"/>
        <xdr:cNvSpPr>
          <a:spLocks noChangeAspect="1" noChangeArrowheads="1"/>
        </xdr:cNvSpPr>
      </xdr:nvSpPr>
      <xdr:spPr bwMode="auto">
        <a:xfrm>
          <a:off x="7886700" y="132464175"/>
          <a:ext cx="64407" cy="660438"/>
        </a:xfrm>
        <a:prstGeom prst="rect">
          <a:avLst/>
        </a:prstGeom>
        <a:noFill/>
      </xdr:spPr>
    </xdr:sp>
    <xdr:clientData/>
  </xdr:oneCellAnchor>
  <xdr:oneCellAnchor>
    <xdr:from>
      <xdr:col>7</xdr:col>
      <xdr:colOff>0</xdr:colOff>
      <xdr:row>82</xdr:row>
      <xdr:rowOff>0</xdr:rowOff>
    </xdr:from>
    <xdr:ext cx="64407" cy="660438"/>
    <xdr:sp macro="" textlink="">
      <xdr:nvSpPr>
        <xdr:cNvPr id="320" name="AutoShape 1" descr="image001"/>
        <xdr:cNvSpPr>
          <a:spLocks noChangeAspect="1" noChangeArrowheads="1"/>
        </xdr:cNvSpPr>
      </xdr:nvSpPr>
      <xdr:spPr bwMode="auto">
        <a:xfrm>
          <a:off x="7886700" y="132464175"/>
          <a:ext cx="64407" cy="660438"/>
        </a:xfrm>
        <a:prstGeom prst="rect">
          <a:avLst/>
        </a:prstGeom>
        <a:noFill/>
      </xdr:spPr>
    </xdr:sp>
    <xdr:clientData/>
  </xdr:oneCellAnchor>
  <xdr:oneCellAnchor>
    <xdr:from>
      <xdr:col>7</xdr:col>
      <xdr:colOff>0</xdr:colOff>
      <xdr:row>82</xdr:row>
      <xdr:rowOff>0</xdr:rowOff>
    </xdr:from>
    <xdr:ext cx="85725" cy="679034"/>
    <xdr:pic>
      <xdr:nvPicPr>
        <xdr:cNvPr id="321" name="AutoShape 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85838"/>
    <xdr:pic>
      <xdr:nvPicPr>
        <xdr:cNvPr id="322" name="Picture 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8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66788"/>
    <xdr:pic>
      <xdr:nvPicPr>
        <xdr:cNvPr id="323" name="Picture 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6678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714413"/>
    <xdr:pic>
      <xdr:nvPicPr>
        <xdr:cNvPr id="324" name="Picture 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441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88560"/>
    <xdr:pic>
      <xdr:nvPicPr>
        <xdr:cNvPr id="325" name="Picture 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6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79035"/>
    <xdr:pic>
      <xdr:nvPicPr>
        <xdr:cNvPr id="326" name="Picture 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79034"/>
    <xdr:pic>
      <xdr:nvPicPr>
        <xdr:cNvPr id="327" name="Picture 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79034"/>
    <xdr:pic>
      <xdr:nvPicPr>
        <xdr:cNvPr id="328" name="Picture 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714412"/>
    <xdr:pic>
      <xdr:nvPicPr>
        <xdr:cNvPr id="329" name="Picture 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441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88559"/>
    <xdr:pic>
      <xdr:nvPicPr>
        <xdr:cNvPr id="330" name="Picture 1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5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79034"/>
    <xdr:pic>
      <xdr:nvPicPr>
        <xdr:cNvPr id="331" name="Picture 1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702167"/>
    <xdr:pic>
      <xdr:nvPicPr>
        <xdr:cNvPr id="332" name="Picture 1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906274"/>
    <xdr:pic>
      <xdr:nvPicPr>
        <xdr:cNvPr id="333"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627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702167"/>
    <xdr:pic>
      <xdr:nvPicPr>
        <xdr:cNvPr id="334" name="Picture 1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702166"/>
    <xdr:pic>
      <xdr:nvPicPr>
        <xdr:cNvPr id="335" name="Picture 1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906274"/>
    <xdr:pic>
      <xdr:nvPicPr>
        <xdr:cNvPr id="336" name="Picture 1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627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702166"/>
    <xdr:pic>
      <xdr:nvPicPr>
        <xdr:cNvPr id="337" name="Picture 1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706248"/>
    <xdr:pic>
      <xdr:nvPicPr>
        <xdr:cNvPr id="338" name="Picture 1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624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95362"/>
    <xdr:pic>
      <xdr:nvPicPr>
        <xdr:cNvPr id="339" name="Picture 1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53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41388"/>
    <xdr:pic>
      <xdr:nvPicPr>
        <xdr:cNvPr id="340" name="Picture 2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4138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85838"/>
    <xdr:pic>
      <xdr:nvPicPr>
        <xdr:cNvPr id="341" name="Picture 2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8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88559"/>
    <xdr:pic>
      <xdr:nvPicPr>
        <xdr:cNvPr id="342" name="Picture 2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5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64407" cy="663160"/>
    <xdr:sp macro="" textlink="">
      <xdr:nvSpPr>
        <xdr:cNvPr id="343" name="AutoShape 1" descr="image001"/>
        <xdr:cNvSpPr>
          <a:spLocks noChangeAspect="1" noChangeArrowheads="1"/>
        </xdr:cNvSpPr>
      </xdr:nvSpPr>
      <xdr:spPr bwMode="auto">
        <a:xfrm>
          <a:off x="7886700" y="132464175"/>
          <a:ext cx="64407" cy="663160"/>
        </a:xfrm>
        <a:prstGeom prst="rect">
          <a:avLst/>
        </a:prstGeom>
        <a:noFill/>
      </xdr:spPr>
    </xdr:sp>
    <xdr:clientData/>
  </xdr:oneCellAnchor>
  <xdr:oneCellAnchor>
    <xdr:from>
      <xdr:col>7</xdr:col>
      <xdr:colOff>0</xdr:colOff>
      <xdr:row>82</xdr:row>
      <xdr:rowOff>0</xdr:rowOff>
    </xdr:from>
    <xdr:ext cx="64407" cy="660438"/>
    <xdr:sp macro="" textlink="">
      <xdr:nvSpPr>
        <xdr:cNvPr id="344" name="AutoShape 1" descr="image001"/>
        <xdr:cNvSpPr>
          <a:spLocks noChangeAspect="1" noChangeArrowheads="1"/>
        </xdr:cNvSpPr>
      </xdr:nvSpPr>
      <xdr:spPr bwMode="auto">
        <a:xfrm>
          <a:off x="7886700" y="132464175"/>
          <a:ext cx="64407" cy="660438"/>
        </a:xfrm>
        <a:prstGeom prst="rect">
          <a:avLst/>
        </a:prstGeom>
        <a:noFill/>
      </xdr:spPr>
    </xdr:sp>
    <xdr:clientData/>
  </xdr:oneCellAnchor>
  <xdr:oneCellAnchor>
    <xdr:from>
      <xdr:col>7</xdr:col>
      <xdr:colOff>0</xdr:colOff>
      <xdr:row>82</xdr:row>
      <xdr:rowOff>0</xdr:rowOff>
    </xdr:from>
    <xdr:ext cx="64407" cy="660438"/>
    <xdr:sp macro="" textlink="">
      <xdr:nvSpPr>
        <xdr:cNvPr id="345" name="AutoShape 1" descr="image001"/>
        <xdr:cNvSpPr>
          <a:spLocks noChangeAspect="1" noChangeArrowheads="1"/>
        </xdr:cNvSpPr>
      </xdr:nvSpPr>
      <xdr:spPr bwMode="auto">
        <a:xfrm>
          <a:off x="7886700" y="132464175"/>
          <a:ext cx="64407" cy="660438"/>
        </a:xfrm>
        <a:prstGeom prst="rect">
          <a:avLst/>
        </a:prstGeom>
        <a:noFill/>
      </xdr:spPr>
    </xdr:sp>
    <xdr:clientData/>
  </xdr:oneCellAnchor>
  <xdr:oneCellAnchor>
    <xdr:from>
      <xdr:col>7</xdr:col>
      <xdr:colOff>0</xdr:colOff>
      <xdr:row>82</xdr:row>
      <xdr:rowOff>0</xdr:rowOff>
    </xdr:from>
    <xdr:ext cx="64407" cy="660438"/>
    <xdr:sp macro="" textlink="">
      <xdr:nvSpPr>
        <xdr:cNvPr id="346" name="AutoShape 1" descr="image001"/>
        <xdr:cNvSpPr>
          <a:spLocks noChangeAspect="1" noChangeArrowheads="1"/>
        </xdr:cNvSpPr>
      </xdr:nvSpPr>
      <xdr:spPr bwMode="auto">
        <a:xfrm>
          <a:off x="7886700" y="132464175"/>
          <a:ext cx="64407" cy="660438"/>
        </a:xfrm>
        <a:prstGeom prst="rect">
          <a:avLst/>
        </a:prstGeom>
        <a:noFill/>
      </xdr:spPr>
    </xdr:sp>
    <xdr:clientData/>
  </xdr:oneCellAnchor>
  <xdr:oneCellAnchor>
    <xdr:from>
      <xdr:col>7</xdr:col>
      <xdr:colOff>0</xdr:colOff>
      <xdr:row>82</xdr:row>
      <xdr:rowOff>0</xdr:rowOff>
    </xdr:from>
    <xdr:ext cx="85725" cy="679034"/>
    <xdr:pic>
      <xdr:nvPicPr>
        <xdr:cNvPr id="347" name="AutoShape 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85838"/>
    <xdr:pic>
      <xdr:nvPicPr>
        <xdr:cNvPr id="348" name="Picture 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8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66788"/>
    <xdr:pic>
      <xdr:nvPicPr>
        <xdr:cNvPr id="349" name="Picture 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6678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714413"/>
    <xdr:pic>
      <xdr:nvPicPr>
        <xdr:cNvPr id="350" name="Picture 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441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88560"/>
    <xdr:pic>
      <xdr:nvPicPr>
        <xdr:cNvPr id="351" name="Picture 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6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79035"/>
    <xdr:pic>
      <xdr:nvPicPr>
        <xdr:cNvPr id="352" name="Picture 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79034"/>
    <xdr:pic>
      <xdr:nvPicPr>
        <xdr:cNvPr id="353" name="Picture 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79034"/>
    <xdr:pic>
      <xdr:nvPicPr>
        <xdr:cNvPr id="354" name="Picture 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714412"/>
    <xdr:pic>
      <xdr:nvPicPr>
        <xdr:cNvPr id="355" name="Picture 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441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88559"/>
    <xdr:pic>
      <xdr:nvPicPr>
        <xdr:cNvPr id="356" name="Picture 1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5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79034"/>
    <xdr:pic>
      <xdr:nvPicPr>
        <xdr:cNvPr id="357" name="Picture 1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702167"/>
    <xdr:pic>
      <xdr:nvPicPr>
        <xdr:cNvPr id="358" name="Picture 1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906274"/>
    <xdr:pic>
      <xdr:nvPicPr>
        <xdr:cNvPr id="359"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627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702167"/>
    <xdr:pic>
      <xdr:nvPicPr>
        <xdr:cNvPr id="360" name="Picture 1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702166"/>
    <xdr:pic>
      <xdr:nvPicPr>
        <xdr:cNvPr id="361" name="Picture 1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906274"/>
    <xdr:pic>
      <xdr:nvPicPr>
        <xdr:cNvPr id="362" name="Picture 1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627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702166"/>
    <xdr:pic>
      <xdr:nvPicPr>
        <xdr:cNvPr id="363" name="Picture 1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706248"/>
    <xdr:pic>
      <xdr:nvPicPr>
        <xdr:cNvPr id="364" name="Picture 1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624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95362"/>
    <xdr:pic>
      <xdr:nvPicPr>
        <xdr:cNvPr id="365" name="Picture 1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53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41388"/>
    <xdr:pic>
      <xdr:nvPicPr>
        <xdr:cNvPr id="366" name="Picture 2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4138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85838"/>
    <xdr:pic>
      <xdr:nvPicPr>
        <xdr:cNvPr id="367" name="Picture 2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8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88559"/>
    <xdr:pic>
      <xdr:nvPicPr>
        <xdr:cNvPr id="368" name="Picture 2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5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64407" cy="663159"/>
    <xdr:sp macro="" textlink="">
      <xdr:nvSpPr>
        <xdr:cNvPr id="369" name="AutoShape 1" descr="image001"/>
        <xdr:cNvSpPr>
          <a:spLocks noChangeAspect="1" noChangeArrowheads="1"/>
        </xdr:cNvSpPr>
      </xdr:nvSpPr>
      <xdr:spPr bwMode="auto">
        <a:xfrm>
          <a:off x="7886700" y="132464175"/>
          <a:ext cx="64407" cy="663159"/>
        </a:xfrm>
        <a:prstGeom prst="rect">
          <a:avLst/>
        </a:prstGeom>
        <a:noFill/>
      </xdr:spPr>
    </xdr:sp>
    <xdr:clientData/>
  </xdr:oneCellAnchor>
  <xdr:oneCellAnchor>
    <xdr:from>
      <xdr:col>7</xdr:col>
      <xdr:colOff>0</xdr:colOff>
      <xdr:row>82</xdr:row>
      <xdr:rowOff>0</xdr:rowOff>
    </xdr:from>
    <xdr:ext cx="64407" cy="660437"/>
    <xdr:sp macro="" textlink="">
      <xdr:nvSpPr>
        <xdr:cNvPr id="370" name="AutoShape 1" descr="image001"/>
        <xdr:cNvSpPr>
          <a:spLocks noChangeAspect="1" noChangeArrowheads="1"/>
        </xdr:cNvSpPr>
      </xdr:nvSpPr>
      <xdr:spPr bwMode="auto">
        <a:xfrm>
          <a:off x="7886700" y="132464175"/>
          <a:ext cx="64407" cy="660437"/>
        </a:xfrm>
        <a:prstGeom prst="rect">
          <a:avLst/>
        </a:prstGeom>
        <a:noFill/>
      </xdr:spPr>
    </xdr:sp>
    <xdr:clientData/>
  </xdr:oneCellAnchor>
  <xdr:oneCellAnchor>
    <xdr:from>
      <xdr:col>7</xdr:col>
      <xdr:colOff>0</xdr:colOff>
      <xdr:row>82</xdr:row>
      <xdr:rowOff>0</xdr:rowOff>
    </xdr:from>
    <xdr:ext cx="64407" cy="660437"/>
    <xdr:sp macro="" textlink="">
      <xdr:nvSpPr>
        <xdr:cNvPr id="371" name="AutoShape 1" descr="image001"/>
        <xdr:cNvSpPr>
          <a:spLocks noChangeAspect="1" noChangeArrowheads="1"/>
        </xdr:cNvSpPr>
      </xdr:nvSpPr>
      <xdr:spPr bwMode="auto">
        <a:xfrm>
          <a:off x="7886700" y="132464175"/>
          <a:ext cx="64407" cy="660437"/>
        </a:xfrm>
        <a:prstGeom prst="rect">
          <a:avLst/>
        </a:prstGeom>
        <a:noFill/>
      </xdr:spPr>
    </xdr:sp>
    <xdr:clientData/>
  </xdr:oneCellAnchor>
  <xdr:oneCellAnchor>
    <xdr:from>
      <xdr:col>7</xdr:col>
      <xdr:colOff>0</xdr:colOff>
      <xdr:row>82</xdr:row>
      <xdr:rowOff>0</xdr:rowOff>
    </xdr:from>
    <xdr:ext cx="64407" cy="660437"/>
    <xdr:sp macro="" textlink="">
      <xdr:nvSpPr>
        <xdr:cNvPr id="372" name="AutoShape 1" descr="image001"/>
        <xdr:cNvSpPr>
          <a:spLocks noChangeAspect="1" noChangeArrowheads="1"/>
        </xdr:cNvSpPr>
      </xdr:nvSpPr>
      <xdr:spPr bwMode="auto">
        <a:xfrm>
          <a:off x="7886700" y="132464175"/>
          <a:ext cx="64407" cy="660437"/>
        </a:xfrm>
        <a:prstGeom prst="rect">
          <a:avLst/>
        </a:prstGeom>
        <a:noFill/>
      </xdr:spPr>
    </xdr:sp>
    <xdr:clientData/>
  </xdr:oneCellAnchor>
  <xdr:oneCellAnchor>
    <xdr:from>
      <xdr:col>7</xdr:col>
      <xdr:colOff>0</xdr:colOff>
      <xdr:row>82</xdr:row>
      <xdr:rowOff>0</xdr:rowOff>
    </xdr:from>
    <xdr:ext cx="85725" cy="679033"/>
    <xdr:pic>
      <xdr:nvPicPr>
        <xdr:cNvPr id="373" name="AutoShape 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85837"/>
    <xdr:pic>
      <xdr:nvPicPr>
        <xdr:cNvPr id="374" name="Picture 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83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66787"/>
    <xdr:pic>
      <xdr:nvPicPr>
        <xdr:cNvPr id="375" name="Picture 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667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714412"/>
    <xdr:pic>
      <xdr:nvPicPr>
        <xdr:cNvPr id="376" name="Picture 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441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88559"/>
    <xdr:pic>
      <xdr:nvPicPr>
        <xdr:cNvPr id="377" name="Picture 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5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79034"/>
    <xdr:pic>
      <xdr:nvPicPr>
        <xdr:cNvPr id="378" name="Picture 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79033"/>
    <xdr:pic>
      <xdr:nvPicPr>
        <xdr:cNvPr id="379" name="Picture 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79033"/>
    <xdr:pic>
      <xdr:nvPicPr>
        <xdr:cNvPr id="380" name="Picture 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714411"/>
    <xdr:pic>
      <xdr:nvPicPr>
        <xdr:cNvPr id="381" name="Picture 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441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88558"/>
    <xdr:pic>
      <xdr:nvPicPr>
        <xdr:cNvPr id="382" name="Picture 1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5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79033"/>
    <xdr:pic>
      <xdr:nvPicPr>
        <xdr:cNvPr id="383" name="Picture 1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702166"/>
    <xdr:pic>
      <xdr:nvPicPr>
        <xdr:cNvPr id="384" name="Picture 1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906273"/>
    <xdr:pic>
      <xdr:nvPicPr>
        <xdr:cNvPr id="385"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702166"/>
    <xdr:pic>
      <xdr:nvPicPr>
        <xdr:cNvPr id="386" name="Picture 1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702165"/>
    <xdr:pic>
      <xdr:nvPicPr>
        <xdr:cNvPr id="387" name="Picture 1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906273"/>
    <xdr:pic>
      <xdr:nvPicPr>
        <xdr:cNvPr id="388" name="Picture 1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702165"/>
    <xdr:pic>
      <xdr:nvPicPr>
        <xdr:cNvPr id="389" name="Picture 1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706247"/>
    <xdr:pic>
      <xdr:nvPicPr>
        <xdr:cNvPr id="390" name="Picture 1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624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95361"/>
    <xdr:pic>
      <xdr:nvPicPr>
        <xdr:cNvPr id="391" name="Picture 1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536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41387"/>
    <xdr:pic>
      <xdr:nvPicPr>
        <xdr:cNvPr id="392" name="Picture 2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413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85837"/>
    <xdr:pic>
      <xdr:nvPicPr>
        <xdr:cNvPr id="393" name="Picture 2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83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88558"/>
    <xdr:pic>
      <xdr:nvPicPr>
        <xdr:cNvPr id="394" name="Picture 2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5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64407" cy="663159"/>
    <xdr:sp macro="" textlink="">
      <xdr:nvSpPr>
        <xdr:cNvPr id="395" name="AutoShape 1" descr="image001"/>
        <xdr:cNvSpPr>
          <a:spLocks noChangeAspect="1" noChangeArrowheads="1"/>
        </xdr:cNvSpPr>
      </xdr:nvSpPr>
      <xdr:spPr bwMode="auto">
        <a:xfrm>
          <a:off x="7886700" y="132464175"/>
          <a:ext cx="64407" cy="663159"/>
        </a:xfrm>
        <a:prstGeom prst="rect">
          <a:avLst/>
        </a:prstGeom>
        <a:noFill/>
      </xdr:spPr>
    </xdr:sp>
    <xdr:clientData/>
  </xdr:oneCellAnchor>
  <xdr:oneCellAnchor>
    <xdr:from>
      <xdr:col>7</xdr:col>
      <xdr:colOff>0</xdr:colOff>
      <xdr:row>82</xdr:row>
      <xdr:rowOff>0</xdr:rowOff>
    </xdr:from>
    <xdr:ext cx="64407" cy="660437"/>
    <xdr:sp macro="" textlink="">
      <xdr:nvSpPr>
        <xdr:cNvPr id="396" name="AutoShape 1" descr="image001"/>
        <xdr:cNvSpPr>
          <a:spLocks noChangeAspect="1" noChangeArrowheads="1"/>
        </xdr:cNvSpPr>
      </xdr:nvSpPr>
      <xdr:spPr bwMode="auto">
        <a:xfrm>
          <a:off x="7886700" y="132464175"/>
          <a:ext cx="64407" cy="660437"/>
        </a:xfrm>
        <a:prstGeom prst="rect">
          <a:avLst/>
        </a:prstGeom>
        <a:noFill/>
      </xdr:spPr>
    </xdr:sp>
    <xdr:clientData/>
  </xdr:oneCellAnchor>
  <xdr:oneCellAnchor>
    <xdr:from>
      <xdr:col>7</xdr:col>
      <xdr:colOff>0</xdr:colOff>
      <xdr:row>82</xdr:row>
      <xdr:rowOff>0</xdr:rowOff>
    </xdr:from>
    <xdr:ext cx="64407" cy="660437"/>
    <xdr:sp macro="" textlink="">
      <xdr:nvSpPr>
        <xdr:cNvPr id="397" name="AutoShape 1" descr="image001"/>
        <xdr:cNvSpPr>
          <a:spLocks noChangeAspect="1" noChangeArrowheads="1"/>
        </xdr:cNvSpPr>
      </xdr:nvSpPr>
      <xdr:spPr bwMode="auto">
        <a:xfrm>
          <a:off x="7886700" y="132464175"/>
          <a:ext cx="64407" cy="660437"/>
        </a:xfrm>
        <a:prstGeom prst="rect">
          <a:avLst/>
        </a:prstGeom>
        <a:noFill/>
      </xdr:spPr>
    </xdr:sp>
    <xdr:clientData/>
  </xdr:oneCellAnchor>
  <xdr:oneCellAnchor>
    <xdr:from>
      <xdr:col>7</xdr:col>
      <xdr:colOff>0</xdr:colOff>
      <xdr:row>82</xdr:row>
      <xdr:rowOff>0</xdr:rowOff>
    </xdr:from>
    <xdr:ext cx="64407" cy="660437"/>
    <xdr:sp macro="" textlink="">
      <xdr:nvSpPr>
        <xdr:cNvPr id="398" name="AutoShape 1" descr="image001"/>
        <xdr:cNvSpPr>
          <a:spLocks noChangeAspect="1" noChangeArrowheads="1"/>
        </xdr:cNvSpPr>
      </xdr:nvSpPr>
      <xdr:spPr bwMode="auto">
        <a:xfrm>
          <a:off x="7886700" y="132464175"/>
          <a:ext cx="64407" cy="660437"/>
        </a:xfrm>
        <a:prstGeom prst="rect">
          <a:avLst/>
        </a:prstGeom>
        <a:noFill/>
      </xdr:spPr>
    </xdr:sp>
    <xdr:clientData/>
  </xdr:oneCellAnchor>
  <xdr:oneCellAnchor>
    <xdr:from>
      <xdr:col>7</xdr:col>
      <xdr:colOff>0</xdr:colOff>
      <xdr:row>82</xdr:row>
      <xdr:rowOff>0</xdr:rowOff>
    </xdr:from>
    <xdr:ext cx="85725" cy="679033"/>
    <xdr:pic>
      <xdr:nvPicPr>
        <xdr:cNvPr id="399" name="AutoShape 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85837"/>
    <xdr:pic>
      <xdr:nvPicPr>
        <xdr:cNvPr id="400" name="Picture 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83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66787"/>
    <xdr:pic>
      <xdr:nvPicPr>
        <xdr:cNvPr id="401" name="Picture 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667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714412"/>
    <xdr:pic>
      <xdr:nvPicPr>
        <xdr:cNvPr id="402" name="Picture 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441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88559"/>
    <xdr:pic>
      <xdr:nvPicPr>
        <xdr:cNvPr id="403" name="Picture 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5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79034"/>
    <xdr:pic>
      <xdr:nvPicPr>
        <xdr:cNvPr id="404" name="Picture 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79033"/>
    <xdr:pic>
      <xdr:nvPicPr>
        <xdr:cNvPr id="405" name="Picture 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79033"/>
    <xdr:pic>
      <xdr:nvPicPr>
        <xdr:cNvPr id="406" name="Picture 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714411"/>
    <xdr:pic>
      <xdr:nvPicPr>
        <xdr:cNvPr id="407" name="Picture 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441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88558"/>
    <xdr:pic>
      <xdr:nvPicPr>
        <xdr:cNvPr id="408" name="Picture 1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5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79033"/>
    <xdr:pic>
      <xdr:nvPicPr>
        <xdr:cNvPr id="409" name="Picture 1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702166"/>
    <xdr:pic>
      <xdr:nvPicPr>
        <xdr:cNvPr id="410" name="Picture 1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906273"/>
    <xdr:pic>
      <xdr:nvPicPr>
        <xdr:cNvPr id="411"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702166"/>
    <xdr:pic>
      <xdr:nvPicPr>
        <xdr:cNvPr id="412" name="Picture 1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702165"/>
    <xdr:pic>
      <xdr:nvPicPr>
        <xdr:cNvPr id="413" name="Picture 1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906273"/>
    <xdr:pic>
      <xdr:nvPicPr>
        <xdr:cNvPr id="414" name="Picture 1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702165"/>
    <xdr:pic>
      <xdr:nvPicPr>
        <xdr:cNvPr id="415" name="Picture 1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706247"/>
    <xdr:pic>
      <xdr:nvPicPr>
        <xdr:cNvPr id="416" name="Picture 1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624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95361"/>
    <xdr:pic>
      <xdr:nvPicPr>
        <xdr:cNvPr id="417" name="Picture 1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536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41387"/>
    <xdr:pic>
      <xdr:nvPicPr>
        <xdr:cNvPr id="418" name="Picture 2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413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85837"/>
    <xdr:pic>
      <xdr:nvPicPr>
        <xdr:cNvPr id="419" name="Picture 2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83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82</xdr:row>
      <xdr:rowOff>0</xdr:rowOff>
    </xdr:from>
    <xdr:ext cx="85725" cy="688558"/>
    <xdr:pic>
      <xdr:nvPicPr>
        <xdr:cNvPr id="420" name="Picture 2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5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300336</xdr:colOff>
      <xdr:row>82</xdr:row>
      <xdr:rowOff>0</xdr:rowOff>
    </xdr:from>
    <xdr:ext cx="85725" cy="906273"/>
    <xdr:pic>
      <xdr:nvPicPr>
        <xdr:cNvPr id="421"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00336"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289752</xdr:colOff>
      <xdr:row>82</xdr:row>
      <xdr:rowOff>0</xdr:rowOff>
    </xdr:from>
    <xdr:ext cx="85725" cy="906273"/>
    <xdr:pic>
      <xdr:nvPicPr>
        <xdr:cNvPr id="422"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9752"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289752</xdr:colOff>
      <xdr:row>82</xdr:row>
      <xdr:rowOff>0</xdr:rowOff>
    </xdr:from>
    <xdr:ext cx="85725" cy="906273"/>
    <xdr:pic>
      <xdr:nvPicPr>
        <xdr:cNvPr id="423"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9752"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289752</xdr:colOff>
      <xdr:row>82</xdr:row>
      <xdr:rowOff>0</xdr:rowOff>
    </xdr:from>
    <xdr:ext cx="85725" cy="906273"/>
    <xdr:pic>
      <xdr:nvPicPr>
        <xdr:cNvPr id="424"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9752"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279168</xdr:colOff>
      <xdr:row>82</xdr:row>
      <xdr:rowOff>0</xdr:rowOff>
    </xdr:from>
    <xdr:ext cx="85725" cy="906273"/>
    <xdr:pic>
      <xdr:nvPicPr>
        <xdr:cNvPr id="425"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9168"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321502</xdr:colOff>
      <xdr:row>82</xdr:row>
      <xdr:rowOff>0</xdr:rowOff>
    </xdr:from>
    <xdr:ext cx="85725" cy="906273"/>
    <xdr:pic>
      <xdr:nvPicPr>
        <xdr:cNvPr id="426"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502"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289752</xdr:colOff>
      <xdr:row>82</xdr:row>
      <xdr:rowOff>0</xdr:rowOff>
    </xdr:from>
    <xdr:ext cx="85725" cy="906273"/>
    <xdr:pic>
      <xdr:nvPicPr>
        <xdr:cNvPr id="427"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9752"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289752</xdr:colOff>
      <xdr:row>82</xdr:row>
      <xdr:rowOff>0</xdr:rowOff>
    </xdr:from>
    <xdr:ext cx="85725" cy="906273"/>
    <xdr:pic>
      <xdr:nvPicPr>
        <xdr:cNvPr id="428"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9752"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289752</xdr:colOff>
      <xdr:row>82</xdr:row>
      <xdr:rowOff>0</xdr:rowOff>
    </xdr:from>
    <xdr:ext cx="85725" cy="906273"/>
    <xdr:pic>
      <xdr:nvPicPr>
        <xdr:cNvPr id="429"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9752"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289752</xdr:colOff>
      <xdr:row>82</xdr:row>
      <xdr:rowOff>0</xdr:rowOff>
    </xdr:from>
    <xdr:ext cx="85725" cy="906273"/>
    <xdr:pic>
      <xdr:nvPicPr>
        <xdr:cNvPr id="430"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9752"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289752</xdr:colOff>
      <xdr:row>82</xdr:row>
      <xdr:rowOff>0</xdr:rowOff>
    </xdr:from>
    <xdr:ext cx="85725" cy="906273"/>
    <xdr:pic>
      <xdr:nvPicPr>
        <xdr:cNvPr id="431"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9752"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289752</xdr:colOff>
      <xdr:row>82</xdr:row>
      <xdr:rowOff>0</xdr:rowOff>
    </xdr:from>
    <xdr:ext cx="85725" cy="906273"/>
    <xdr:pic>
      <xdr:nvPicPr>
        <xdr:cNvPr id="432"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9752"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289752</xdr:colOff>
      <xdr:row>82</xdr:row>
      <xdr:rowOff>0</xdr:rowOff>
    </xdr:from>
    <xdr:ext cx="85725" cy="906273"/>
    <xdr:pic>
      <xdr:nvPicPr>
        <xdr:cNvPr id="433"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9752"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289752</xdr:colOff>
      <xdr:row>82</xdr:row>
      <xdr:rowOff>0</xdr:rowOff>
    </xdr:from>
    <xdr:ext cx="85725" cy="906273"/>
    <xdr:pic>
      <xdr:nvPicPr>
        <xdr:cNvPr id="434"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9752"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289752</xdr:colOff>
      <xdr:row>82</xdr:row>
      <xdr:rowOff>0</xdr:rowOff>
    </xdr:from>
    <xdr:ext cx="85725" cy="906273"/>
    <xdr:pic>
      <xdr:nvPicPr>
        <xdr:cNvPr id="435"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9752"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289752</xdr:colOff>
      <xdr:row>82</xdr:row>
      <xdr:rowOff>0</xdr:rowOff>
    </xdr:from>
    <xdr:ext cx="85725" cy="906273"/>
    <xdr:pic>
      <xdr:nvPicPr>
        <xdr:cNvPr id="436"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9752"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173335</xdr:colOff>
      <xdr:row>82</xdr:row>
      <xdr:rowOff>0</xdr:rowOff>
    </xdr:from>
    <xdr:ext cx="85725" cy="906273"/>
    <xdr:pic>
      <xdr:nvPicPr>
        <xdr:cNvPr id="437"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8794710"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queryTables/queryTable1.xml><?xml version="1.0" encoding="utf-8"?>
<queryTable xmlns="http://schemas.openxmlformats.org/spreadsheetml/2006/main" name="ExternalData_1" backgroundRefresh="0" growShrinkType="overwriteClear" connectionId="1" autoFormatId="16" applyNumberFormats="0" applyBorderFormats="0" applyFontFormats="1" applyPatternFormats="1" applyAlignmentFormats="0" applyWidthHeightFormats="0"/>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Q128"/>
  <sheetViews>
    <sheetView tabSelected="1" view="pageBreakPreview" topLeftCell="A82" zoomScale="90" zoomScaleNormal="70" zoomScaleSheetLayoutView="90" workbookViewId="0">
      <selection activeCell="D87" sqref="D87:N87"/>
    </sheetView>
  </sheetViews>
  <sheetFormatPr defaultRowHeight="12.75" x14ac:dyDescent="0.2"/>
  <cols>
    <col min="1" max="1" width="5" style="39" customWidth="1"/>
    <col min="2" max="2" width="43.85546875" style="17" customWidth="1"/>
    <col min="3" max="3" width="14.85546875" style="47" bestFit="1" customWidth="1"/>
    <col min="4" max="4" width="3.5703125" style="47" bestFit="1" customWidth="1"/>
    <col min="5" max="5" width="9.7109375" style="51" customWidth="1"/>
    <col min="6" max="6" width="44.28515625" style="14" customWidth="1"/>
    <col min="7" max="7" width="14.85546875" style="51" customWidth="1"/>
    <col min="8" max="8" width="8.28515625" style="50" customWidth="1"/>
    <col min="9" max="9" width="13.7109375" style="51" customWidth="1"/>
    <col min="10" max="10" width="13.7109375" style="75" customWidth="1"/>
    <col min="11" max="11" width="15.42578125" style="50" customWidth="1"/>
    <col min="12" max="12" width="16.28515625" style="41" customWidth="1"/>
    <col min="13" max="13" width="13.28515625" style="41" customWidth="1"/>
    <col min="14" max="14" width="18.140625" style="40" customWidth="1"/>
    <col min="15" max="15" width="0" style="1" hidden="1" customWidth="1"/>
    <col min="16" max="16" width="42.28515625" style="1" hidden="1" customWidth="1"/>
    <col min="17" max="17" width="39.7109375" style="1" hidden="1" customWidth="1"/>
    <col min="18" max="16384" width="9.140625" style="1"/>
  </cols>
  <sheetData>
    <row r="1" spans="1:17" x14ac:dyDescent="0.2">
      <c r="A1" s="76"/>
      <c r="C1" s="77"/>
      <c r="D1" s="77"/>
      <c r="E1" s="75"/>
      <c r="G1" s="75"/>
      <c r="H1" s="74"/>
      <c r="I1" s="75"/>
      <c r="K1" s="74"/>
      <c r="L1" s="79" t="s">
        <v>154</v>
      </c>
      <c r="M1" s="79"/>
      <c r="N1" s="79"/>
    </row>
    <row r="2" spans="1:17" ht="20.25" customHeight="1" x14ac:dyDescent="0.2">
      <c r="A2" s="93" t="s">
        <v>4</v>
      </c>
      <c r="B2" s="94"/>
      <c r="C2" s="93"/>
      <c r="D2" s="93"/>
      <c r="E2" s="93"/>
      <c r="F2" s="95"/>
      <c r="G2" s="93"/>
      <c r="H2" s="94"/>
      <c r="I2" s="93"/>
      <c r="J2" s="93"/>
      <c r="K2" s="93"/>
      <c r="L2" s="93"/>
      <c r="M2" s="93"/>
      <c r="N2" s="93"/>
    </row>
    <row r="3" spans="1:17" ht="21" customHeight="1" x14ac:dyDescent="0.2">
      <c r="A3" s="96" t="s">
        <v>23</v>
      </c>
      <c r="B3" s="97"/>
      <c r="C3" s="96"/>
      <c r="D3" s="96"/>
      <c r="E3" s="96"/>
      <c r="F3" s="98"/>
      <c r="G3" s="96"/>
      <c r="H3" s="97"/>
      <c r="I3" s="96"/>
      <c r="J3" s="96"/>
      <c r="K3" s="96"/>
      <c r="L3" s="96"/>
      <c r="M3" s="96"/>
      <c r="N3" s="96"/>
    </row>
    <row r="4" spans="1:17" ht="19.5" customHeight="1" x14ac:dyDescent="0.2">
      <c r="A4" s="96" t="s">
        <v>155</v>
      </c>
      <c r="B4" s="97"/>
      <c r="C4" s="96"/>
      <c r="D4" s="96"/>
      <c r="E4" s="96"/>
      <c r="F4" s="98"/>
      <c r="G4" s="96"/>
      <c r="H4" s="97"/>
      <c r="I4" s="96"/>
      <c r="J4" s="96"/>
      <c r="K4" s="96"/>
      <c r="L4" s="96"/>
      <c r="M4" s="96"/>
      <c r="N4" s="96"/>
    </row>
    <row r="5" spans="1:17" x14ac:dyDescent="0.2">
      <c r="A5" s="3"/>
      <c r="B5" s="16"/>
      <c r="C5" s="46"/>
      <c r="D5" s="4"/>
      <c r="E5" s="34"/>
      <c r="F5" s="13"/>
    </row>
    <row r="6" spans="1:17" x14ac:dyDescent="0.2">
      <c r="A6" s="99" t="s">
        <v>5</v>
      </c>
      <c r="B6" s="97"/>
      <c r="C6" s="99"/>
      <c r="D6" s="99"/>
      <c r="E6" s="99"/>
      <c r="F6" s="100"/>
    </row>
    <row r="7" spans="1:17" ht="13.5" customHeight="1" x14ac:dyDescent="0.2">
      <c r="D7" s="5"/>
      <c r="K7" s="101" t="s">
        <v>12</v>
      </c>
      <c r="L7" s="101"/>
      <c r="M7" s="101"/>
      <c r="N7" s="101"/>
    </row>
    <row r="8" spans="1:17" ht="63" x14ac:dyDescent="0.2">
      <c r="A8" s="24" t="s">
        <v>1</v>
      </c>
      <c r="B8" s="48" t="s">
        <v>13</v>
      </c>
      <c r="C8" s="48" t="s">
        <v>14</v>
      </c>
      <c r="D8" s="48" t="s">
        <v>31</v>
      </c>
      <c r="E8" s="26" t="s">
        <v>2</v>
      </c>
      <c r="F8" s="48" t="s">
        <v>15</v>
      </c>
      <c r="G8" s="26" t="s">
        <v>3</v>
      </c>
      <c r="H8" s="29" t="s">
        <v>16</v>
      </c>
      <c r="I8" s="26" t="s">
        <v>157</v>
      </c>
      <c r="J8" s="26" t="s">
        <v>156</v>
      </c>
      <c r="K8" s="26" t="s">
        <v>158</v>
      </c>
      <c r="L8" s="26" t="s">
        <v>159</v>
      </c>
      <c r="M8" s="26" t="s">
        <v>24</v>
      </c>
      <c r="N8" s="44" t="s">
        <v>25</v>
      </c>
      <c r="O8" s="42" t="s">
        <v>22</v>
      </c>
      <c r="P8" s="42" t="s">
        <v>134</v>
      </c>
      <c r="Q8" s="56" t="s">
        <v>134</v>
      </c>
    </row>
    <row r="9" spans="1:17" ht="36.75" customHeight="1" x14ac:dyDescent="0.2">
      <c r="A9" s="24">
        <v>1</v>
      </c>
      <c r="B9" s="59" t="s">
        <v>32</v>
      </c>
      <c r="C9" s="11" t="s">
        <v>18</v>
      </c>
      <c r="D9" s="11" t="s">
        <v>20</v>
      </c>
      <c r="E9" s="60">
        <v>0.4</v>
      </c>
      <c r="F9" s="38" t="s">
        <v>72</v>
      </c>
      <c r="G9" s="61">
        <v>46358</v>
      </c>
      <c r="H9" s="59" t="s">
        <v>47</v>
      </c>
      <c r="I9" s="71">
        <v>67868.852459016402</v>
      </c>
      <c r="J9" s="78">
        <f>I9*1.22</f>
        <v>82800.000000000015</v>
      </c>
      <c r="K9" s="27">
        <f t="shared" ref="K9:K40" si="0">I9*E9</f>
        <v>27147.540983606563</v>
      </c>
      <c r="L9" s="27">
        <f>K9*1.22</f>
        <v>33120.000000000007</v>
      </c>
      <c r="M9" s="26" t="s">
        <v>27</v>
      </c>
      <c r="N9" s="102" t="s">
        <v>62</v>
      </c>
      <c r="O9" s="18" t="s">
        <v>63</v>
      </c>
      <c r="P9" s="18" t="s">
        <v>75</v>
      </c>
      <c r="Q9" s="52" t="s">
        <v>136</v>
      </c>
    </row>
    <row r="10" spans="1:17" ht="34.5" customHeight="1" x14ac:dyDescent="0.2">
      <c r="A10" s="24">
        <v>2</v>
      </c>
      <c r="B10" s="62" t="s">
        <v>33</v>
      </c>
      <c r="C10" s="49" t="s">
        <v>18</v>
      </c>
      <c r="D10" s="49" t="s">
        <v>20</v>
      </c>
      <c r="E10" s="63">
        <v>0.3</v>
      </c>
      <c r="F10" s="55" t="s">
        <v>71</v>
      </c>
      <c r="G10" s="64">
        <v>46389</v>
      </c>
      <c r="H10" s="62" t="s">
        <v>48</v>
      </c>
      <c r="I10" s="71">
        <v>67868.852459016402</v>
      </c>
      <c r="J10" s="78">
        <f t="shared" ref="J10:J73" si="1">I10*1.22</f>
        <v>82800.000000000015</v>
      </c>
      <c r="K10" s="27">
        <f t="shared" si="0"/>
        <v>20360.655737704921</v>
      </c>
      <c r="L10" s="27">
        <f t="shared" ref="L10:L73" si="2">K10*1.22</f>
        <v>24840.000000000004</v>
      </c>
      <c r="M10" s="26" t="s">
        <v>27</v>
      </c>
      <c r="N10" s="103"/>
      <c r="O10" s="19" t="s">
        <v>63</v>
      </c>
      <c r="P10" s="19" t="s">
        <v>76</v>
      </c>
      <c r="Q10" s="53" t="s">
        <v>137</v>
      </c>
    </row>
    <row r="11" spans="1:17" ht="33" customHeight="1" x14ac:dyDescent="0.2">
      <c r="A11" s="24">
        <v>3</v>
      </c>
      <c r="B11" s="65" t="s">
        <v>45</v>
      </c>
      <c r="C11" s="48" t="s">
        <v>18</v>
      </c>
      <c r="D11" s="48" t="s">
        <v>20</v>
      </c>
      <c r="E11" s="66">
        <v>0.3</v>
      </c>
      <c r="F11" s="38" t="s">
        <v>71</v>
      </c>
      <c r="G11" s="67">
        <v>46389</v>
      </c>
      <c r="H11" s="65" t="s">
        <v>60</v>
      </c>
      <c r="I11" s="71">
        <v>67868.852459016402</v>
      </c>
      <c r="J11" s="78">
        <f t="shared" si="1"/>
        <v>82800.000000000015</v>
      </c>
      <c r="K11" s="27">
        <f t="shared" si="0"/>
        <v>20360.655737704921</v>
      </c>
      <c r="L11" s="27">
        <f t="shared" si="2"/>
        <v>24840.000000000004</v>
      </c>
      <c r="M11" s="26" t="s">
        <v>27</v>
      </c>
      <c r="N11" s="103"/>
      <c r="O11" s="19" t="s">
        <v>64</v>
      </c>
      <c r="P11" s="19" t="s">
        <v>77</v>
      </c>
      <c r="Q11" s="53" t="s">
        <v>137</v>
      </c>
    </row>
    <row r="12" spans="1:17" ht="34.5" customHeight="1" x14ac:dyDescent="0.2">
      <c r="A12" s="24">
        <v>4</v>
      </c>
      <c r="B12" s="65" t="s">
        <v>42</v>
      </c>
      <c r="C12" s="48" t="s">
        <v>18</v>
      </c>
      <c r="D12" s="48" t="s">
        <v>20</v>
      </c>
      <c r="E12" s="66">
        <v>0.3</v>
      </c>
      <c r="F12" s="38" t="s">
        <v>71</v>
      </c>
      <c r="G12" s="67">
        <v>46389</v>
      </c>
      <c r="H12" s="65" t="s">
        <v>57</v>
      </c>
      <c r="I12" s="71">
        <v>67868.852459016402</v>
      </c>
      <c r="J12" s="78">
        <f t="shared" si="1"/>
        <v>82800.000000000015</v>
      </c>
      <c r="K12" s="27">
        <f t="shared" si="0"/>
        <v>20360.655737704921</v>
      </c>
      <c r="L12" s="27">
        <f t="shared" si="2"/>
        <v>24840.000000000004</v>
      </c>
      <c r="M12" s="26" t="s">
        <v>27</v>
      </c>
      <c r="N12" s="103"/>
      <c r="O12" s="19" t="s">
        <v>64</v>
      </c>
      <c r="P12" s="19" t="s">
        <v>78</v>
      </c>
      <c r="Q12" s="53" t="s">
        <v>137</v>
      </c>
    </row>
    <row r="13" spans="1:17" ht="36.75" customHeight="1" x14ac:dyDescent="0.2">
      <c r="A13" s="24">
        <v>5</v>
      </c>
      <c r="B13" s="65" t="s">
        <v>46</v>
      </c>
      <c r="C13" s="48" t="s">
        <v>18</v>
      </c>
      <c r="D13" s="48" t="s">
        <v>20</v>
      </c>
      <c r="E13" s="66">
        <v>0.3</v>
      </c>
      <c r="F13" s="38" t="s">
        <v>71</v>
      </c>
      <c r="G13" s="67">
        <v>46389</v>
      </c>
      <c r="H13" s="65" t="s">
        <v>61</v>
      </c>
      <c r="I13" s="71">
        <v>67868.852459016402</v>
      </c>
      <c r="J13" s="78">
        <f t="shared" si="1"/>
        <v>82800.000000000015</v>
      </c>
      <c r="K13" s="27">
        <f t="shared" si="0"/>
        <v>20360.655737704921</v>
      </c>
      <c r="L13" s="27">
        <f t="shared" si="2"/>
        <v>24840.000000000004</v>
      </c>
      <c r="M13" s="26" t="s">
        <v>27</v>
      </c>
      <c r="N13" s="103"/>
      <c r="O13" s="19" t="s">
        <v>64</v>
      </c>
      <c r="P13" s="19" t="s">
        <v>79</v>
      </c>
      <c r="Q13" s="53" t="s">
        <v>137</v>
      </c>
    </row>
    <row r="14" spans="1:17" ht="34.5" customHeight="1" x14ac:dyDescent="0.2">
      <c r="A14" s="24">
        <v>6</v>
      </c>
      <c r="B14" s="65" t="s">
        <v>35</v>
      </c>
      <c r="C14" s="48" t="s">
        <v>18</v>
      </c>
      <c r="D14" s="48" t="s">
        <v>20</v>
      </c>
      <c r="E14" s="66">
        <v>0.3</v>
      </c>
      <c r="F14" s="38" t="s">
        <v>71</v>
      </c>
      <c r="G14" s="67">
        <v>46389</v>
      </c>
      <c r="H14" s="65" t="s">
        <v>50</v>
      </c>
      <c r="I14" s="71">
        <v>67868.852459016402</v>
      </c>
      <c r="J14" s="78">
        <f t="shared" si="1"/>
        <v>82800.000000000015</v>
      </c>
      <c r="K14" s="27">
        <f t="shared" si="0"/>
        <v>20360.655737704921</v>
      </c>
      <c r="L14" s="27">
        <f t="shared" si="2"/>
        <v>24840.000000000004</v>
      </c>
      <c r="M14" s="26" t="s">
        <v>27</v>
      </c>
      <c r="N14" s="103"/>
      <c r="O14" s="19" t="s">
        <v>64</v>
      </c>
      <c r="P14" s="19" t="s">
        <v>80</v>
      </c>
      <c r="Q14" s="53" t="s">
        <v>137</v>
      </c>
    </row>
    <row r="15" spans="1:17" ht="46.5" customHeight="1" x14ac:dyDescent="0.2">
      <c r="A15" s="24">
        <v>7</v>
      </c>
      <c r="B15" s="65" t="s">
        <v>33</v>
      </c>
      <c r="C15" s="48" t="s">
        <v>18</v>
      </c>
      <c r="D15" s="48" t="s">
        <v>20</v>
      </c>
      <c r="E15" s="66">
        <v>0.3</v>
      </c>
      <c r="F15" s="38" t="s">
        <v>71</v>
      </c>
      <c r="G15" s="67">
        <v>46417</v>
      </c>
      <c r="H15" s="65" t="s">
        <v>48</v>
      </c>
      <c r="I15" s="71">
        <v>67868.852459016402</v>
      </c>
      <c r="J15" s="78">
        <f t="shared" si="1"/>
        <v>82800.000000000015</v>
      </c>
      <c r="K15" s="27">
        <f t="shared" si="0"/>
        <v>20360.655737704921</v>
      </c>
      <c r="L15" s="27">
        <f t="shared" si="2"/>
        <v>24840.000000000004</v>
      </c>
      <c r="M15" s="26" t="s">
        <v>27</v>
      </c>
      <c r="N15" s="103"/>
      <c r="O15" s="19" t="s">
        <v>65</v>
      </c>
      <c r="P15" s="19" t="s">
        <v>81</v>
      </c>
      <c r="Q15" s="53" t="s">
        <v>138</v>
      </c>
    </row>
    <row r="16" spans="1:17" ht="46.5" customHeight="1" x14ac:dyDescent="0.2">
      <c r="A16" s="24">
        <v>8</v>
      </c>
      <c r="B16" s="65" t="s">
        <v>45</v>
      </c>
      <c r="C16" s="48" t="s">
        <v>18</v>
      </c>
      <c r="D16" s="48" t="s">
        <v>20</v>
      </c>
      <c r="E16" s="66">
        <v>0.3</v>
      </c>
      <c r="F16" s="38" t="s">
        <v>71</v>
      </c>
      <c r="G16" s="67">
        <v>46417</v>
      </c>
      <c r="H16" s="65" t="s">
        <v>60</v>
      </c>
      <c r="I16" s="71">
        <v>67868.852459016402</v>
      </c>
      <c r="J16" s="78">
        <f t="shared" si="1"/>
        <v>82800.000000000015</v>
      </c>
      <c r="K16" s="27">
        <f t="shared" si="0"/>
        <v>20360.655737704921</v>
      </c>
      <c r="L16" s="27">
        <f t="shared" si="2"/>
        <v>24840.000000000004</v>
      </c>
      <c r="M16" s="26" t="s">
        <v>27</v>
      </c>
      <c r="N16" s="103"/>
      <c r="O16" s="19" t="s">
        <v>65</v>
      </c>
      <c r="P16" s="19" t="s">
        <v>82</v>
      </c>
      <c r="Q16" s="53" t="s">
        <v>138</v>
      </c>
    </row>
    <row r="17" spans="1:17" ht="47.25" customHeight="1" x14ac:dyDescent="0.2">
      <c r="A17" s="24">
        <v>9</v>
      </c>
      <c r="B17" s="65" t="s">
        <v>42</v>
      </c>
      <c r="C17" s="48" t="s">
        <v>18</v>
      </c>
      <c r="D17" s="48" t="s">
        <v>20</v>
      </c>
      <c r="E17" s="66">
        <v>0.3</v>
      </c>
      <c r="F17" s="38" t="s">
        <v>71</v>
      </c>
      <c r="G17" s="67">
        <v>46417</v>
      </c>
      <c r="H17" s="65" t="s">
        <v>57</v>
      </c>
      <c r="I17" s="71">
        <v>67868.852459016402</v>
      </c>
      <c r="J17" s="78">
        <f t="shared" si="1"/>
        <v>82800.000000000015</v>
      </c>
      <c r="K17" s="27">
        <f t="shared" si="0"/>
        <v>20360.655737704921</v>
      </c>
      <c r="L17" s="27">
        <f t="shared" si="2"/>
        <v>24840.000000000004</v>
      </c>
      <c r="M17" s="26" t="s">
        <v>27</v>
      </c>
      <c r="N17" s="103"/>
      <c r="O17" s="37" t="s">
        <v>65</v>
      </c>
      <c r="P17" s="37" t="s">
        <v>83</v>
      </c>
      <c r="Q17" s="53" t="s">
        <v>138</v>
      </c>
    </row>
    <row r="18" spans="1:17" ht="48" customHeight="1" x14ac:dyDescent="0.2">
      <c r="A18" s="24">
        <v>10</v>
      </c>
      <c r="B18" s="65" t="s">
        <v>46</v>
      </c>
      <c r="C18" s="48" t="s">
        <v>18</v>
      </c>
      <c r="D18" s="48" t="s">
        <v>20</v>
      </c>
      <c r="E18" s="66">
        <v>0.3</v>
      </c>
      <c r="F18" s="38" t="s">
        <v>71</v>
      </c>
      <c r="G18" s="67">
        <v>46417</v>
      </c>
      <c r="H18" s="65" t="s">
        <v>61</v>
      </c>
      <c r="I18" s="71">
        <v>67868.852459016402</v>
      </c>
      <c r="J18" s="78">
        <f t="shared" si="1"/>
        <v>82800.000000000015</v>
      </c>
      <c r="K18" s="27">
        <f t="shared" si="0"/>
        <v>20360.655737704921</v>
      </c>
      <c r="L18" s="27">
        <f t="shared" si="2"/>
        <v>24840.000000000004</v>
      </c>
      <c r="M18" s="26" t="s">
        <v>27</v>
      </c>
      <c r="N18" s="103"/>
      <c r="O18" s="43" t="s">
        <v>66</v>
      </c>
      <c r="P18" s="43" t="s">
        <v>84</v>
      </c>
      <c r="Q18" s="53" t="s">
        <v>138</v>
      </c>
    </row>
    <row r="19" spans="1:17" ht="47.25" customHeight="1" x14ac:dyDescent="0.2">
      <c r="A19" s="24">
        <v>11</v>
      </c>
      <c r="B19" s="65" t="s">
        <v>35</v>
      </c>
      <c r="C19" s="48" t="s">
        <v>18</v>
      </c>
      <c r="D19" s="48" t="s">
        <v>20</v>
      </c>
      <c r="E19" s="66">
        <v>0.3</v>
      </c>
      <c r="F19" s="38" t="s">
        <v>71</v>
      </c>
      <c r="G19" s="67">
        <v>46417</v>
      </c>
      <c r="H19" s="65" t="s">
        <v>50</v>
      </c>
      <c r="I19" s="71">
        <v>67868.852459016402</v>
      </c>
      <c r="J19" s="78">
        <f t="shared" si="1"/>
        <v>82800.000000000015</v>
      </c>
      <c r="K19" s="27">
        <f t="shared" si="0"/>
        <v>20360.655737704921</v>
      </c>
      <c r="L19" s="27">
        <f t="shared" si="2"/>
        <v>24840.000000000004</v>
      </c>
      <c r="M19" s="26" t="s">
        <v>27</v>
      </c>
      <c r="N19" s="103"/>
      <c r="O19" s="43" t="s">
        <v>67</v>
      </c>
      <c r="P19" s="43" t="s">
        <v>85</v>
      </c>
      <c r="Q19" s="53" t="s">
        <v>138</v>
      </c>
    </row>
    <row r="20" spans="1:17" ht="54" customHeight="1" x14ac:dyDescent="0.2">
      <c r="A20" s="24">
        <v>12</v>
      </c>
      <c r="B20" s="65" t="s">
        <v>33</v>
      </c>
      <c r="C20" s="48" t="s">
        <v>18</v>
      </c>
      <c r="D20" s="48" t="s">
        <v>20</v>
      </c>
      <c r="E20" s="66">
        <v>0.5</v>
      </c>
      <c r="F20" s="38" t="s">
        <v>71</v>
      </c>
      <c r="G20" s="67">
        <v>46358</v>
      </c>
      <c r="H20" s="65" t="s">
        <v>48</v>
      </c>
      <c r="I20" s="71">
        <v>67868.852459016402</v>
      </c>
      <c r="J20" s="78">
        <f t="shared" si="1"/>
        <v>82800.000000000015</v>
      </c>
      <c r="K20" s="27">
        <f t="shared" si="0"/>
        <v>33934.426229508201</v>
      </c>
      <c r="L20" s="27">
        <f t="shared" si="2"/>
        <v>41400.000000000007</v>
      </c>
      <c r="M20" s="26" t="s">
        <v>27</v>
      </c>
      <c r="N20" s="103"/>
      <c r="O20" s="43" t="s">
        <v>67</v>
      </c>
      <c r="P20" s="43" t="s">
        <v>86</v>
      </c>
      <c r="Q20" s="53" t="s">
        <v>139</v>
      </c>
    </row>
    <row r="21" spans="1:17" ht="48.75" customHeight="1" x14ac:dyDescent="0.2">
      <c r="A21" s="24">
        <v>13</v>
      </c>
      <c r="B21" s="65" t="s">
        <v>35</v>
      </c>
      <c r="C21" s="48" t="s">
        <v>18</v>
      </c>
      <c r="D21" s="48" t="s">
        <v>20</v>
      </c>
      <c r="E21" s="66">
        <v>1.5</v>
      </c>
      <c r="F21" s="38" t="s">
        <v>71</v>
      </c>
      <c r="G21" s="67">
        <v>46358</v>
      </c>
      <c r="H21" s="65" t="s">
        <v>50</v>
      </c>
      <c r="I21" s="71">
        <v>67868.852459016402</v>
      </c>
      <c r="J21" s="78">
        <f t="shared" si="1"/>
        <v>82800.000000000015</v>
      </c>
      <c r="K21" s="27">
        <f t="shared" si="0"/>
        <v>101803.2786885246</v>
      </c>
      <c r="L21" s="27">
        <f t="shared" si="2"/>
        <v>124200.00000000001</v>
      </c>
      <c r="M21" s="26" t="s">
        <v>27</v>
      </c>
      <c r="N21" s="103"/>
      <c r="O21" s="43" t="s">
        <v>67</v>
      </c>
      <c r="P21" s="43" t="s">
        <v>87</v>
      </c>
      <c r="Q21" s="53" t="s">
        <v>139</v>
      </c>
    </row>
    <row r="22" spans="1:17" ht="47.25" customHeight="1" x14ac:dyDescent="0.2">
      <c r="A22" s="24">
        <v>14</v>
      </c>
      <c r="B22" s="65" t="s">
        <v>42</v>
      </c>
      <c r="C22" s="48" t="s">
        <v>18</v>
      </c>
      <c r="D22" s="48" t="s">
        <v>20</v>
      </c>
      <c r="E22" s="66">
        <v>0.2</v>
      </c>
      <c r="F22" s="38" t="s">
        <v>71</v>
      </c>
      <c r="G22" s="67">
        <v>46358</v>
      </c>
      <c r="H22" s="65" t="s">
        <v>57</v>
      </c>
      <c r="I22" s="71">
        <v>67868.852459016402</v>
      </c>
      <c r="J22" s="78">
        <f t="shared" si="1"/>
        <v>82800.000000000015</v>
      </c>
      <c r="K22" s="27">
        <f t="shared" si="0"/>
        <v>13573.770491803281</v>
      </c>
      <c r="L22" s="27">
        <f t="shared" si="2"/>
        <v>16560.000000000004</v>
      </c>
      <c r="M22" s="26" t="s">
        <v>27</v>
      </c>
      <c r="N22" s="103"/>
      <c r="O22" s="43" t="s">
        <v>67</v>
      </c>
      <c r="P22" s="43" t="s">
        <v>88</v>
      </c>
      <c r="Q22" s="53" t="s">
        <v>139</v>
      </c>
    </row>
    <row r="23" spans="1:17" ht="51" customHeight="1" x14ac:dyDescent="0.2">
      <c r="A23" s="24">
        <v>15</v>
      </c>
      <c r="B23" s="65" t="s">
        <v>45</v>
      </c>
      <c r="C23" s="48" t="s">
        <v>18</v>
      </c>
      <c r="D23" s="48" t="s">
        <v>20</v>
      </c>
      <c r="E23" s="66">
        <v>0.1</v>
      </c>
      <c r="F23" s="38" t="s">
        <v>71</v>
      </c>
      <c r="G23" s="67">
        <v>46358</v>
      </c>
      <c r="H23" s="65" t="s">
        <v>60</v>
      </c>
      <c r="I23" s="71">
        <v>67868.852459016402</v>
      </c>
      <c r="J23" s="78">
        <f t="shared" si="1"/>
        <v>82800.000000000015</v>
      </c>
      <c r="K23" s="27">
        <f t="shared" si="0"/>
        <v>6786.8852459016407</v>
      </c>
      <c r="L23" s="27">
        <f t="shared" si="2"/>
        <v>8280.0000000000018</v>
      </c>
      <c r="M23" s="26" t="s">
        <v>27</v>
      </c>
      <c r="N23" s="103"/>
      <c r="O23" s="43" t="s">
        <v>67</v>
      </c>
      <c r="P23" s="43" t="s">
        <v>89</v>
      </c>
      <c r="Q23" s="53" t="s">
        <v>139</v>
      </c>
    </row>
    <row r="24" spans="1:17" ht="47.25" customHeight="1" x14ac:dyDescent="0.2">
      <c r="A24" s="24">
        <v>16</v>
      </c>
      <c r="B24" s="65" t="s">
        <v>46</v>
      </c>
      <c r="C24" s="48" t="s">
        <v>18</v>
      </c>
      <c r="D24" s="48" t="s">
        <v>20</v>
      </c>
      <c r="E24" s="66">
        <v>0.5</v>
      </c>
      <c r="F24" s="38" t="s">
        <v>71</v>
      </c>
      <c r="G24" s="67">
        <v>46358</v>
      </c>
      <c r="H24" s="65" t="s">
        <v>61</v>
      </c>
      <c r="I24" s="71">
        <v>67868.852459016402</v>
      </c>
      <c r="J24" s="78">
        <f t="shared" si="1"/>
        <v>82800.000000000015</v>
      </c>
      <c r="K24" s="27">
        <f t="shared" si="0"/>
        <v>33934.426229508201</v>
      </c>
      <c r="L24" s="27">
        <f t="shared" si="2"/>
        <v>41400.000000000007</v>
      </c>
      <c r="M24" s="26" t="s">
        <v>27</v>
      </c>
      <c r="N24" s="103"/>
      <c r="O24" s="43" t="s">
        <v>67</v>
      </c>
      <c r="P24" s="43" t="s">
        <v>90</v>
      </c>
      <c r="Q24" s="53" t="s">
        <v>139</v>
      </c>
    </row>
    <row r="25" spans="1:17" ht="47.25" customHeight="1" x14ac:dyDescent="0.2">
      <c r="A25" s="24">
        <v>17</v>
      </c>
      <c r="B25" s="65" t="s">
        <v>33</v>
      </c>
      <c r="C25" s="48" t="s">
        <v>18</v>
      </c>
      <c r="D25" s="48" t="s">
        <v>20</v>
      </c>
      <c r="E25" s="66">
        <v>1</v>
      </c>
      <c r="F25" s="38" t="s">
        <v>71</v>
      </c>
      <c r="G25" s="67">
        <v>46389</v>
      </c>
      <c r="H25" s="65" t="s">
        <v>48</v>
      </c>
      <c r="I25" s="71">
        <v>67868.852459016402</v>
      </c>
      <c r="J25" s="78">
        <f t="shared" si="1"/>
        <v>82800.000000000015</v>
      </c>
      <c r="K25" s="27">
        <f t="shared" si="0"/>
        <v>67868.852459016402</v>
      </c>
      <c r="L25" s="27">
        <f t="shared" si="2"/>
        <v>82800.000000000015</v>
      </c>
      <c r="M25" s="26" t="s">
        <v>27</v>
      </c>
      <c r="N25" s="103"/>
      <c r="O25" s="43" t="s">
        <v>67</v>
      </c>
      <c r="P25" s="43" t="s">
        <v>91</v>
      </c>
      <c r="Q25" s="53" t="s">
        <v>137</v>
      </c>
    </row>
    <row r="26" spans="1:17" ht="47.25" customHeight="1" x14ac:dyDescent="0.2">
      <c r="A26" s="24">
        <v>18</v>
      </c>
      <c r="B26" s="65" t="s">
        <v>35</v>
      </c>
      <c r="C26" s="48" t="s">
        <v>18</v>
      </c>
      <c r="D26" s="48" t="s">
        <v>20</v>
      </c>
      <c r="E26" s="66">
        <v>1</v>
      </c>
      <c r="F26" s="38" t="s">
        <v>71</v>
      </c>
      <c r="G26" s="67">
        <v>46389</v>
      </c>
      <c r="H26" s="65" t="s">
        <v>50</v>
      </c>
      <c r="I26" s="71">
        <v>67868.852459016402</v>
      </c>
      <c r="J26" s="78">
        <f t="shared" si="1"/>
        <v>82800.000000000015</v>
      </c>
      <c r="K26" s="27">
        <f t="shared" si="0"/>
        <v>67868.852459016402</v>
      </c>
      <c r="L26" s="27">
        <f t="shared" si="2"/>
        <v>82800.000000000015</v>
      </c>
      <c r="M26" s="26" t="s">
        <v>27</v>
      </c>
      <c r="N26" s="103"/>
      <c r="O26" s="43" t="s">
        <v>67</v>
      </c>
      <c r="P26" s="43" t="s">
        <v>92</v>
      </c>
      <c r="Q26" s="53" t="s">
        <v>137</v>
      </c>
    </row>
    <row r="27" spans="1:17" ht="48.75" customHeight="1" x14ac:dyDescent="0.2">
      <c r="A27" s="24">
        <v>19</v>
      </c>
      <c r="B27" s="65" t="s">
        <v>38</v>
      </c>
      <c r="C27" s="48" t="s">
        <v>18</v>
      </c>
      <c r="D27" s="48" t="s">
        <v>20</v>
      </c>
      <c r="E27" s="66">
        <v>1</v>
      </c>
      <c r="F27" s="12" t="s">
        <v>29</v>
      </c>
      <c r="G27" s="67">
        <v>46389</v>
      </c>
      <c r="H27" s="65" t="s">
        <v>53</v>
      </c>
      <c r="I27" s="71">
        <v>69836.065573770495</v>
      </c>
      <c r="J27" s="78">
        <f t="shared" si="1"/>
        <v>85200</v>
      </c>
      <c r="K27" s="27">
        <f t="shared" si="0"/>
        <v>69836.065573770495</v>
      </c>
      <c r="L27" s="27">
        <f t="shared" si="2"/>
        <v>85200</v>
      </c>
      <c r="M27" s="26" t="s">
        <v>27</v>
      </c>
      <c r="N27" s="103"/>
      <c r="O27" s="43" t="s">
        <v>68</v>
      </c>
      <c r="P27" s="43" t="s">
        <v>93</v>
      </c>
      <c r="Q27" s="53" t="s">
        <v>137</v>
      </c>
    </row>
    <row r="28" spans="1:17" ht="48" customHeight="1" x14ac:dyDescent="0.2">
      <c r="A28" s="24">
        <v>20</v>
      </c>
      <c r="B28" s="65" t="s">
        <v>42</v>
      </c>
      <c r="C28" s="48" t="s">
        <v>18</v>
      </c>
      <c r="D28" s="48" t="s">
        <v>20</v>
      </c>
      <c r="E28" s="66">
        <v>0.3</v>
      </c>
      <c r="F28" s="38" t="s">
        <v>71</v>
      </c>
      <c r="G28" s="67">
        <v>46389</v>
      </c>
      <c r="H28" s="65" t="s">
        <v>57</v>
      </c>
      <c r="I28" s="71">
        <v>67868.852459016402</v>
      </c>
      <c r="J28" s="78">
        <f t="shared" si="1"/>
        <v>82800.000000000015</v>
      </c>
      <c r="K28" s="27">
        <f t="shared" si="0"/>
        <v>20360.655737704921</v>
      </c>
      <c r="L28" s="27">
        <f t="shared" si="2"/>
        <v>24840.000000000004</v>
      </c>
      <c r="M28" s="26" t="s">
        <v>27</v>
      </c>
      <c r="N28" s="103"/>
      <c r="O28" s="43" t="s">
        <v>68</v>
      </c>
      <c r="P28" s="43" t="s">
        <v>94</v>
      </c>
      <c r="Q28" s="53" t="s">
        <v>137</v>
      </c>
    </row>
    <row r="29" spans="1:17" ht="45.75" customHeight="1" x14ac:dyDescent="0.2">
      <c r="A29" s="24">
        <v>21</v>
      </c>
      <c r="B29" s="65" t="s">
        <v>45</v>
      </c>
      <c r="C29" s="48" t="s">
        <v>18</v>
      </c>
      <c r="D29" s="48" t="s">
        <v>20</v>
      </c>
      <c r="E29" s="66">
        <v>0.3</v>
      </c>
      <c r="F29" s="38" t="s">
        <v>71</v>
      </c>
      <c r="G29" s="67">
        <v>46389</v>
      </c>
      <c r="H29" s="65" t="s">
        <v>60</v>
      </c>
      <c r="I29" s="71">
        <v>67868.852459016402</v>
      </c>
      <c r="J29" s="78">
        <f t="shared" si="1"/>
        <v>82800.000000000015</v>
      </c>
      <c r="K29" s="27">
        <f t="shared" si="0"/>
        <v>20360.655737704921</v>
      </c>
      <c r="L29" s="27">
        <f t="shared" si="2"/>
        <v>24840.000000000004</v>
      </c>
      <c r="M29" s="26" t="s">
        <v>27</v>
      </c>
      <c r="N29" s="103"/>
      <c r="O29" s="43" t="s">
        <v>68</v>
      </c>
      <c r="P29" s="43" t="s">
        <v>95</v>
      </c>
      <c r="Q29" s="53" t="s">
        <v>137</v>
      </c>
    </row>
    <row r="30" spans="1:17" ht="53.25" customHeight="1" x14ac:dyDescent="0.2">
      <c r="A30" s="24">
        <v>22</v>
      </c>
      <c r="B30" s="65" t="s">
        <v>46</v>
      </c>
      <c r="C30" s="48" t="s">
        <v>18</v>
      </c>
      <c r="D30" s="48" t="s">
        <v>20</v>
      </c>
      <c r="E30" s="66">
        <v>0.3</v>
      </c>
      <c r="F30" s="38" t="s">
        <v>71</v>
      </c>
      <c r="G30" s="67">
        <v>46389</v>
      </c>
      <c r="H30" s="65" t="s">
        <v>61</v>
      </c>
      <c r="I30" s="71">
        <v>67868.852459016402</v>
      </c>
      <c r="J30" s="78">
        <f t="shared" si="1"/>
        <v>82800.000000000015</v>
      </c>
      <c r="K30" s="27">
        <f t="shared" si="0"/>
        <v>20360.655737704921</v>
      </c>
      <c r="L30" s="27">
        <f t="shared" si="2"/>
        <v>24840.000000000004</v>
      </c>
      <c r="M30" s="26" t="s">
        <v>27</v>
      </c>
      <c r="N30" s="103"/>
      <c r="O30" s="43" t="s">
        <v>68</v>
      </c>
      <c r="P30" s="43" t="s">
        <v>96</v>
      </c>
      <c r="Q30" s="53" t="s">
        <v>137</v>
      </c>
    </row>
    <row r="31" spans="1:17" ht="42" x14ac:dyDescent="0.2">
      <c r="A31" s="24">
        <v>23</v>
      </c>
      <c r="B31" s="65" t="s">
        <v>33</v>
      </c>
      <c r="C31" s="48" t="s">
        <v>18</v>
      </c>
      <c r="D31" s="48" t="s">
        <v>20</v>
      </c>
      <c r="E31" s="66">
        <v>1</v>
      </c>
      <c r="F31" s="38" t="s">
        <v>71</v>
      </c>
      <c r="G31" s="67">
        <v>46417</v>
      </c>
      <c r="H31" s="65" t="s">
        <v>48</v>
      </c>
      <c r="I31" s="71">
        <v>67868.852459016402</v>
      </c>
      <c r="J31" s="78">
        <f t="shared" si="1"/>
        <v>82800.000000000015</v>
      </c>
      <c r="K31" s="27">
        <f t="shared" si="0"/>
        <v>67868.852459016402</v>
      </c>
      <c r="L31" s="27">
        <f t="shared" si="2"/>
        <v>82800.000000000015</v>
      </c>
      <c r="M31" s="26" t="s">
        <v>27</v>
      </c>
      <c r="N31" s="103"/>
      <c r="O31" s="43" t="s">
        <v>65</v>
      </c>
      <c r="P31" s="43" t="s">
        <v>97</v>
      </c>
      <c r="Q31" s="53" t="s">
        <v>138</v>
      </c>
    </row>
    <row r="32" spans="1:17" ht="42" x14ac:dyDescent="0.2">
      <c r="A32" s="24">
        <v>24</v>
      </c>
      <c r="B32" s="65" t="s">
        <v>34</v>
      </c>
      <c r="C32" s="48" t="s">
        <v>18</v>
      </c>
      <c r="D32" s="48" t="s">
        <v>20</v>
      </c>
      <c r="E32" s="66">
        <v>0.8</v>
      </c>
      <c r="F32" s="38" t="s">
        <v>71</v>
      </c>
      <c r="G32" s="67">
        <v>46417</v>
      </c>
      <c r="H32" s="65" t="s">
        <v>49</v>
      </c>
      <c r="I32" s="71">
        <v>67868.852459016402</v>
      </c>
      <c r="J32" s="78">
        <f t="shared" si="1"/>
        <v>82800.000000000015</v>
      </c>
      <c r="K32" s="27">
        <f t="shared" si="0"/>
        <v>54295.081967213126</v>
      </c>
      <c r="L32" s="27">
        <f t="shared" si="2"/>
        <v>66240.000000000015</v>
      </c>
      <c r="M32" s="26" t="s">
        <v>27</v>
      </c>
      <c r="N32" s="103"/>
      <c r="O32" s="43" t="s">
        <v>65</v>
      </c>
      <c r="P32" s="43" t="s">
        <v>98</v>
      </c>
      <c r="Q32" s="53" t="s">
        <v>138</v>
      </c>
    </row>
    <row r="33" spans="1:17" ht="48.75" customHeight="1" x14ac:dyDescent="0.2">
      <c r="A33" s="24">
        <v>25</v>
      </c>
      <c r="B33" s="65" t="s">
        <v>35</v>
      </c>
      <c r="C33" s="48" t="s">
        <v>18</v>
      </c>
      <c r="D33" s="48" t="s">
        <v>20</v>
      </c>
      <c r="E33" s="66">
        <v>1</v>
      </c>
      <c r="F33" s="38" t="s">
        <v>71</v>
      </c>
      <c r="G33" s="67">
        <v>46417</v>
      </c>
      <c r="H33" s="65" t="s">
        <v>50</v>
      </c>
      <c r="I33" s="71">
        <v>67868.852459016402</v>
      </c>
      <c r="J33" s="78">
        <f t="shared" si="1"/>
        <v>82800.000000000015</v>
      </c>
      <c r="K33" s="27">
        <f t="shared" si="0"/>
        <v>67868.852459016402</v>
      </c>
      <c r="L33" s="27">
        <f t="shared" si="2"/>
        <v>82800.000000000015</v>
      </c>
      <c r="M33" s="26" t="s">
        <v>27</v>
      </c>
      <c r="N33" s="103"/>
      <c r="O33" s="43" t="s">
        <v>65</v>
      </c>
      <c r="P33" s="43" t="s">
        <v>99</v>
      </c>
      <c r="Q33" s="53" t="s">
        <v>138</v>
      </c>
    </row>
    <row r="34" spans="1:17" ht="49.5" customHeight="1" x14ac:dyDescent="0.2">
      <c r="A34" s="24">
        <v>26</v>
      </c>
      <c r="B34" s="65" t="s">
        <v>38</v>
      </c>
      <c r="C34" s="48" t="s">
        <v>18</v>
      </c>
      <c r="D34" s="48" t="s">
        <v>20</v>
      </c>
      <c r="E34" s="66">
        <v>0.5</v>
      </c>
      <c r="F34" s="12" t="s">
        <v>29</v>
      </c>
      <c r="G34" s="67">
        <v>46417</v>
      </c>
      <c r="H34" s="65" t="s">
        <v>53</v>
      </c>
      <c r="I34" s="71">
        <v>69836.065573770495</v>
      </c>
      <c r="J34" s="78">
        <f t="shared" si="1"/>
        <v>85200</v>
      </c>
      <c r="K34" s="27">
        <f t="shared" si="0"/>
        <v>34918.032786885247</v>
      </c>
      <c r="L34" s="27">
        <f t="shared" si="2"/>
        <v>42600</v>
      </c>
      <c r="M34" s="26" t="s">
        <v>27</v>
      </c>
      <c r="N34" s="103"/>
      <c r="O34" s="43" t="s">
        <v>65</v>
      </c>
      <c r="P34" s="43" t="s">
        <v>100</v>
      </c>
      <c r="Q34" s="53" t="s">
        <v>138</v>
      </c>
    </row>
    <row r="35" spans="1:17" ht="47.25" customHeight="1" x14ac:dyDescent="0.2">
      <c r="A35" s="24">
        <v>27</v>
      </c>
      <c r="B35" s="65" t="s">
        <v>42</v>
      </c>
      <c r="C35" s="48" t="s">
        <v>18</v>
      </c>
      <c r="D35" s="48" t="s">
        <v>20</v>
      </c>
      <c r="E35" s="66">
        <v>0.3</v>
      </c>
      <c r="F35" s="38" t="s">
        <v>71</v>
      </c>
      <c r="G35" s="67">
        <v>46417</v>
      </c>
      <c r="H35" s="65" t="s">
        <v>57</v>
      </c>
      <c r="I35" s="71">
        <v>67868.852459016402</v>
      </c>
      <c r="J35" s="78">
        <f t="shared" si="1"/>
        <v>82800.000000000015</v>
      </c>
      <c r="K35" s="27">
        <f t="shared" si="0"/>
        <v>20360.655737704921</v>
      </c>
      <c r="L35" s="27">
        <f t="shared" si="2"/>
        <v>24840.000000000004</v>
      </c>
      <c r="M35" s="26" t="s">
        <v>27</v>
      </c>
      <c r="N35" s="103"/>
      <c r="O35" s="43" t="s">
        <v>65</v>
      </c>
      <c r="P35" s="43" t="s">
        <v>101</v>
      </c>
      <c r="Q35" s="53" t="s">
        <v>138</v>
      </c>
    </row>
    <row r="36" spans="1:17" ht="48" customHeight="1" x14ac:dyDescent="0.2">
      <c r="A36" s="24">
        <v>28</v>
      </c>
      <c r="B36" s="65" t="s">
        <v>45</v>
      </c>
      <c r="C36" s="48" t="s">
        <v>18</v>
      </c>
      <c r="D36" s="48" t="s">
        <v>20</v>
      </c>
      <c r="E36" s="66">
        <v>0.5</v>
      </c>
      <c r="F36" s="38" t="s">
        <v>71</v>
      </c>
      <c r="G36" s="67">
        <v>46417</v>
      </c>
      <c r="H36" s="65" t="s">
        <v>60</v>
      </c>
      <c r="I36" s="71">
        <v>67868.852459016402</v>
      </c>
      <c r="J36" s="78">
        <f t="shared" si="1"/>
        <v>82800.000000000015</v>
      </c>
      <c r="K36" s="27">
        <f t="shared" si="0"/>
        <v>33934.426229508201</v>
      </c>
      <c r="L36" s="27">
        <f t="shared" si="2"/>
        <v>41400.000000000007</v>
      </c>
      <c r="M36" s="26" t="s">
        <v>27</v>
      </c>
      <c r="N36" s="103"/>
      <c r="O36" s="43" t="s">
        <v>65</v>
      </c>
      <c r="P36" s="43" t="s">
        <v>102</v>
      </c>
      <c r="Q36" s="53" t="s">
        <v>138</v>
      </c>
    </row>
    <row r="37" spans="1:17" ht="46.5" customHeight="1" x14ac:dyDescent="0.2">
      <c r="A37" s="24">
        <v>29</v>
      </c>
      <c r="B37" s="65" t="s">
        <v>46</v>
      </c>
      <c r="C37" s="48" t="s">
        <v>18</v>
      </c>
      <c r="D37" s="48" t="s">
        <v>20</v>
      </c>
      <c r="E37" s="66">
        <v>0.3</v>
      </c>
      <c r="F37" s="38" t="s">
        <v>71</v>
      </c>
      <c r="G37" s="67">
        <v>46417</v>
      </c>
      <c r="H37" s="65" t="s">
        <v>61</v>
      </c>
      <c r="I37" s="71">
        <v>67868.852459016402</v>
      </c>
      <c r="J37" s="78">
        <f t="shared" si="1"/>
        <v>82800.000000000015</v>
      </c>
      <c r="K37" s="27">
        <f t="shared" si="0"/>
        <v>20360.655737704921</v>
      </c>
      <c r="L37" s="27">
        <f t="shared" si="2"/>
        <v>24840.000000000004</v>
      </c>
      <c r="M37" s="26" t="s">
        <v>27</v>
      </c>
      <c r="N37" s="103"/>
      <c r="O37" s="43" t="s">
        <v>65</v>
      </c>
      <c r="P37" s="43" t="s">
        <v>103</v>
      </c>
      <c r="Q37" s="53" t="s">
        <v>138</v>
      </c>
    </row>
    <row r="38" spans="1:17" ht="42" x14ac:dyDescent="0.2">
      <c r="A38" s="24">
        <v>30</v>
      </c>
      <c r="B38" s="65" t="s">
        <v>33</v>
      </c>
      <c r="C38" s="48" t="s">
        <v>18</v>
      </c>
      <c r="D38" s="48" t="s">
        <v>20</v>
      </c>
      <c r="E38" s="66">
        <v>0.15</v>
      </c>
      <c r="F38" s="38" t="s">
        <v>71</v>
      </c>
      <c r="G38" s="67">
        <v>46417</v>
      </c>
      <c r="H38" s="65" t="s">
        <v>48</v>
      </c>
      <c r="I38" s="71">
        <v>67868.852459016402</v>
      </c>
      <c r="J38" s="78">
        <f t="shared" si="1"/>
        <v>82800.000000000015</v>
      </c>
      <c r="K38" s="27">
        <f t="shared" si="0"/>
        <v>10180.327868852461</v>
      </c>
      <c r="L38" s="27">
        <f t="shared" si="2"/>
        <v>12420.000000000002</v>
      </c>
      <c r="M38" s="26" t="s">
        <v>27</v>
      </c>
      <c r="N38" s="103"/>
      <c r="O38" s="43" t="s">
        <v>65</v>
      </c>
      <c r="P38" s="43" t="s">
        <v>104</v>
      </c>
      <c r="Q38" s="53" t="s">
        <v>140</v>
      </c>
    </row>
    <row r="39" spans="1:17" ht="48" customHeight="1" x14ac:dyDescent="0.2">
      <c r="A39" s="24">
        <v>31</v>
      </c>
      <c r="B39" s="65" t="s">
        <v>34</v>
      </c>
      <c r="C39" s="48" t="s">
        <v>18</v>
      </c>
      <c r="D39" s="48" t="s">
        <v>20</v>
      </c>
      <c r="E39" s="66">
        <v>0.25</v>
      </c>
      <c r="F39" s="38" t="s">
        <v>71</v>
      </c>
      <c r="G39" s="67">
        <v>46417</v>
      </c>
      <c r="H39" s="65" t="s">
        <v>49</v>
      </c>
      <c r="I39" s="71">
        <v>67868.852459016402</v>
      </c>
      <c r="J39" s="78">
        <f t="shared" si="1"/>
        <v>82800.000000000015</v>
      </c>
      <c r="K39" s="27">
        <f t="shared" si="0"/>
        <v>16967.2131147541</v>
      </c>
      <c r="L39" s="27">
        <f t="shared" si="2"/>
        <v>20700.000000000004</v>
      </c>
      <c r="M39" s="26" t="s">
        <v>27</v>
      </c>
      <c r="N39" s="103"/>
      <c r="O39" s="43" t="s">
        <v>67</v>
      </c>
      <c r="P39" s="43" t="s">
        <v>105</v>
      </c>
      <c r="Q39" s="53" t="s">
        <v>140</v>
      </c>
    </row>
    <row r="40" spans="1:17" ht="46.5" customHeight="1" x14ac:dyDescent="0.2">
      <c r="A40" s="24">
        <v>32</v>
      </c>
      <c r="B40" s="65" t="s">
        <v>43</v>
      </c>
      <c r="C40" s="48" t="s">
        <v>18</v>
      </c>
      <c r="D40" s="48" t="s">
        <v>20</v>
      </c>
      <c r="E40" s="66">
        <v>0.2</v>
      </c>
      <c r="F40" s="38" t="s">
        <v>71</v>
      </c>
      <c r="G40" s="67">
        <v>46417</v>
      </c>
      <c r="H40" s="65" t="s">
        <v>58</v>
      </c>
      <c r="I40" s="71">
        <v>67868.852459016402</v>
      </c>
      <c r="J40" s="78">
        <f t="shared" si="1"/>
        <v>82800.000000000015</v>
      </c>
      <c r="K40" s="27">
        <f t="shared" si="0"/>
        <v>13573.770491803281</v>
      </c>
      <c r="L40" s="27">
        <f t="shared" si="2"/>
        <v>16560.000000000004</v>
      </c>
      <c r="M40" s="26" t="s">
        <v>27</v>
      </c>
      <c r="N40" s="103"/>
      <c r="O40" s="43" t="s">
        <v>67</v>
      </c>
      <c r="P40" s="43" t="s">
        <v>106</v>
      </c>
      <c r="Q40" s="53" t="s">
        <v>140</v>
      </c>
    </row>
    <row r="41" spans="1:17" ht="46.5" customHeight="1" x14ac:dyDescent="0.2">
      <c r="A41" s="24">
        <v>33</v>
      </c>
      <c r="B41" s="65" t="s">
        <v>45</v>
      </c>
      <c r="C41" s="48" t="s">
        <v>18</v>
      </c>
      <c r="D41" s="48" t="s">
        <v>20</v>
      </c>
      <c r="E41" s="66">
        <v>0.2</v>
      </c>
      <c r="F41" s="38" t="s">
        <v>71</v>
      </c>
      <c r="G41" s="67">
        <v>46417</v>
      </c>
      <c r="H41" s="65" t="s">
        <v>60</v>
      </c>
      <c r="I41" s="71">
        <v>67868.852459016402</v>
      </c>
      <c r="J41" s="78">
        <f t="shared" si="1"/>
        <v>82800.000000000015</v>
      </c>
      <c r="K41" s="27">
        <f t="shared" ref="K41:K72" si="3">I41*E41</f>
        <v>13573.770491803281</v>
      </c>
      <c r="L41" s="27">
        <f t="shared" si="2"/>
        <v>16560.000000000004</v>
      </c>
      <c r="M41" s="26" t="s">
        <v>27</v>
      </c>
      <c r="N41" s="103"/>
      <c r="O41" s="43" t="s">
        <v>67</v>
      </c>
      <c r="P41" s="43" t="s">
        <v>107</v>
      </c>
      <c r="Q41" s="53" t="s">
        <v>140</v>
      </c>
    </row>
    <row r="42" spans="1:17" ht="42" x14ac:dyDescent="0.2">
      <c r="A42" s="24">
        <v>34</v>
      </c>
      <c r="B42" s="65" t="s">
        <v>46</v>
      </c>
      <c r="C42" s="48" t="s">
        <v>18</v>
      </c>
      <c r="D42" s="48" t="s">
        <v>20</v>
      </c>
      <c r="E42" s="66">
        <v>0.2</v>
      </c>
      <c r="F42" s="38" t="s">
        <v>71</v>
      </c>
      <c r="G42" s="67">
        <v>46417</v>
      </c>
      <c r="H42" s="65" t="s">
        <v>61</v>
      </c>
      <c r="I42" s="71">
        <v>67868.852459016402</v>
      </c>
      <c r="J42" s="78">
        <f t="shared" si="1"/>
        <v>82800.000000000015</v>
      </c>
      <c r="K42" s="27">
        <f t="shared" si="3"/>
        <v>13573.770491803281</v>
      </c>
      <c r="L42" s="27">
        <f t="shared" si="2"/>
        <v>16560.000000000004</v>
      </c>
      <c r="M42" s="26" t="s">
        <v>27</v>
      </c>
      <c r="N42" s="103"/>
      <c r="O42" s="43" t="s">
        <v>67</v>
      </c>
      <c r="P42" s="43" t="s">
        <v>108</v>
      </c>
      <c r="Q42" s="53" t="s">
        <v>140</v>
      </c>
    </row>
    <row r="43" spans="1:17" ht="42" x14ac:dyDescent="0.2">
      <c r="A43" s="24">
        <v>35</v>
      </c>
      <c r="B43" s="65" t="s">
        <v>33</v>
      </c>
      <c r="C43" s="48" t="s">
        <v>18</v>
      </c>
      <c r="D43" s="48" t="s">
        <v>20</v>
      </c>
      <c r="E43" s="66">
        <v>1</v>
      </c>
      <c r="F43" s="38" t="s">
        <v>71</v>
      </c>
      <c r="G43" s="67">
        <v>46358</v>
      </c>
      <c r="H43" s="65" t="s">
        <v>48</v>
      </c>
      <c r="I43" s="71">
        <v>67868.852459016402</v>
      </c>
      <c r="J43" s="78">
        <f t="shared" si="1"/>
        <v>82800.000000000015</v>
      </c>
      <c r="K43" s="27">
        <f t="shared" si="3"/>
        <v>67868.852459016402</v>
      </c>
      <c r="L43" s="27">
        <f t="shared" si="2"/>
        <v>82800.000000000015</v>
      </c>
      <c r="M43" s="26" t="s">
        <v>27</v>
      </c>
      <c r="N43" s="103"/>
      <c r="O43" s="43" t="s">
        <v>67</v>
      </c>
      <c r="P43" s="43" t="s">
        <v>109</v>
      </c>
      <c r="Q43" s="53" t="s">
        <v>141</v>
      </c>
    </row>
    <row r="44" spans="1:17" ht="42" x14ac:dyDescent="0.2">
      <c r="A44" s="24">
        <v>36</v>
      </c>
      <c r="B44" s="65" t="s">
        <v>34</v>
      </c>
      <c r="C44" s="48" t="s">
        <v>18</v>
      </c>
      <c r="D44" s="48" t="s">
        <v>20</v>
      </c>
      <c r="E44" s="66">
        <v>0.5</v>
      </c>
      <c r="F44" s="38" t="s">
        <v>71</v>
      </c>
      <c r="G44" s="67">
        <v>46358</v>
      </c>
      <c r="H44" s="65" t="s">
        <v>49</v>
      </c>
      <c r="I44" s="71">
        <v>67868.852459016402</v>
      </c>
      <c r="J44" s="78">
        <f t="shared" si="1"/>
        <v>82800.000000000015</v>
      </c>
      <c r="K44" s="27">
        <f t="shared" si="3"/>
        <v>33934.426229508201</v>
      </c>
      <c r="L44" s="27">
        <f t="shared" si="2"/>
        <v>41400.000000000007</v>
      </c>
      <c r="M44" s="26" t="s">
        <v>27</v>
      </c>
      <c r="N44" s="103"/>
      <c r="O44" s="43" t="s">
        <v>64</v>
      </c>
      <c r="P44" s="43" t="s">
        <v>110</v>
      </c>
      <c r="Q44" s="53" t="s">
        <v>141</v>
      </c>
    </row>
    <row r="45" spans="1:17" ht="42" x14ac:dyDescent="0.2">
      <c r="A45" s="24">
        <v>37</v>
      </c>
      <c r="B45" s="65" t="s">
        <v>35</v>
      </c>
      <c r="C45" s="48" t="s">
        <v>18</v>
      </c>
      <c r="D45" s="48" t="s">
        <v>20</v>
      </c>
      <c r="E45" s="66">
        <v>1</v>
      </c>
      <c r="F45" s="38" t="s">
        <v>71</v>
      </c>
      <c r="G45" s="67">
        <v>46358</v>
      </c>
      <c r="H45" s="65" t="s">
        <v>50</v>
      </c>
      <c r="I45" s="71">
        <v>67868.852459016402</v>
      </c>
      <c r="J45" s="78">
        <f t="shared" si="1"/>
        <v>82800.000000000015</v>
      </c>
      <c r="K45" s="27">
        <f t="shared" si="3"/>
        <v>67868.852459016402</v>
      </c>
      <c r="L45" s="27">
        <f t="shared" si="2"/>
        <v>82800.000000000015</v>
      </c>
      <c r="M45" s="26" t="s">
        <v>27</v>
      </c>
      <c r="N45" s="103"/>
      <c r="O45" s="43" t="s">
        <v>64</v>
      </c>
      <c r="P45" s="43" t="s">
        <v>111</v>
      </c>
      <c r="Q45" s="53" t="s">
        <v>141</v>
      </c>
    </row>
    <row r="46" spans="1:17" ht="42" x14ac:dyDescent="0.2">
      <c r="A46" s="24">
        <v>38</v>
      </c>
      <c r="B46" s="65" t="s">
        <v>42</v>
      </c>
      <c r="C46" s="48" t="s">
        <v>18</v>
      </c>
      <c r="D46" s="48" t="s">
        <v>20</v>
      </c>
      <c r="E46" s="66">
        <v>0.3</v>
      </c>
      <c r="F46" s="38" t="s">
        <v>71</v>
      </c>
      <c r="G46" s="67">
        <v>46358</v>
      </c>
      <c r="H46" s="65" t="s">
        <v>57</v>
      </c>
      <c r="I46" s="71">
        <v>67868.852459016402</v>
      </c>
      <c r="J46" s="78">
        <f t="shared" si="1"/>
        <v>82800.000000000015</v>
      </c>
      <c r="K46" s="27">
        <f t="shared" si="3"/>
        <v>20360.655737704921</v>
      </c>
      <c r="L46" s="27">
        <f t="shared" si="2"/>
        <v>24840.000000000004</v>
      </c>
      <c r="M46" s="26" t="s">
        <v>27</v>
      </c>
      <c r="N46" s="103"/>
      <c r="O46" s="43" t="s">
        <v>67</v>
      </c>
      <c r="P46" s="43" t="s">
        <v>112</v>
      </c>
      <c r="Q46" s="53" t="s">
        <v>141</v>
      </c>
    </row>
    <row r="47" spans="1:17" ht="42" x14ac:dyDescent="0.2">
      <c r="A47" s="24">
        <v>39</v>
      </c>
      <c r="B47" s="65" t="s">
        <v>45</v>
      </c>
      <c r="C47" s="48" t="s">
        <v>18</v>
      </c>
      <c r="D47" s="48" t="s">
        <v>20</v>
      </c>
      <c r="E47" s="66">
        <v>0.5</v>
      </c>
      <c r="F47" s="38" t="s">
        <v>71</v>
      </c>
      <c r="G47" s="67">
        <v>46358</v>
      </c>
      <c r="H47" s="65" t="s">
        <v>60</v>
      </c>
      <c r="I47" s="71">
        <v>67868.852459016402</v>
      </c>
      <c r="J47" s="78">
        <f t="shared" si="1"/>
        <v>82800.000000000015</v>
      </c>
      <c r="K47" s="27">
        <f t="shared" si="3"/>
        <v>33934.426229508201</v>
      </c>
      <c r="L47" s="27">
        <f t="shared" si="2"/>
        <v>41400.000000000007</v>
      </c>
      <c r="M47" s="26" t="s">
        <v>27</v>
      </c>
      <c r="N47" s="103"/>
      <c r="O47" s="43" t="s">
        <v>67</v>
      </c>
      <c r="P47" s="43" t="s">
        <v>113</v>
      </c>
      <c r="Q47" s="53" t="s">
        <v>141</v>
      </c>
    </row>
    <row r="48" spans="1:17" ht="42" x14ac:dyDescent="0.2">
      <c r="A48" s="24">
        <v>40</v>
      </c>
      <c r="B48" s="65" t="s">
        <v>46</v>
      </c>
      <c r="C48" s="48" t="s">
        <v>18</v>
      </c>
      <c r="D48" s="48" t="s">
        <v>20</v>
      </c>
      <c r="E48" s="66">
        <v>1</v>
      </c>
      <c r="F48" s="38" t="s">
        <v>71</v>
      </c>
      <c r="G48" s="67">
        <v>46358</v>
      </c>
      <c r="H48" s="65" t="s">
        <v>61</v>
      </c>
      <c r="I48" s="71">
        <v>67868.852459016402</v>
      </c>
      <c r="J48" s="78">
        <f t="shared" si="1"/>
        <v>82800.000000000015</v>
      </c>
      <c r="K48" s="27">
        <f t="shared" si="3"/>
        <v>67868.852459016402</v>
      </c>
      <c r="L48" s="27">
        <f t="shared" si="2"/>
        <v>82800.000000000015</v>
      </c>
      <c r="M48" s="26" t="s">
        <v>27</v>
      </c>
      <c r="N48" s="103"/>
      <c r="O48" s="43" t="s">
        <v>67</v>
      </c>
      <c r="P48" s="43" t="s">
        <v>114</v>
      </c>
      <c r="Q48" s="53" t="s">
        <v>141</v>
      </c>
    </row>
    <row r="49" spans="1:17" ht="42" x14ac:dyDescent="0.2">
      <c r="A49" s="24">
        <v>41</v>
      </c>
      <c r="B49" s="65" t="s">
        <v>33</v>
      </c>
      <c r="C49" s="48" t="s">
        <v>18</v>
      </c>
      <c r="D49" s="48" t="s">
        <v>20</v>
      </c>
      <c r="E49" s="66">
        <v>1</v>
      </c>
      <c r="F49" s="38" t="s">
        <v>71</v>
      </c>
      <c r="G49" s="67">
        <v>46389</v>
      </c>
      <c r="H49" s="65" t="s">
        <v>48</v>
      </c>
      <c r="I49" s="71">
        <v>67868.852459016402</v>
      </c>
      <c r="J49" s="78">
        <f t="shared" si="1"/>
        <v>82800.000000000015</v>
      </c>
      <c r="K49" s="27">
        <f t="shared" si="3"/>
        <v>67868.852459016402</v>
      </c>
      <c r="L49" s="27">
        <f t="shared" si="2"/>
        <v>82800.000000000015</v>
      </c>
      <c r="M49" s="26" t="s">
        <v>27</v>
      </c>
      <c r="N49" s="103"/>
      <c r="O49" s="43" t="s">
        <v>67</v>
      </c>
      <c r="P49" s="43" t="s">
        <v>115</v>
      </c>
      <c r="Q49" s="53" t="s">
        <v>142</v>
      </c>
    </row>
    <row r="50" spans="1:17" ht="42" x14ac:dyDescent="0.2">
      <c r="A50" s="24">
        <v>42</v>
      </c>
      <c r="B50" s="65" t="s">
        <v>38</v>
      </c>
      <c r="C50" s="48" t="s">
        <v>18</v>
      </c>
      <c r="D50" s="48" t="s">
        <v>20</v>
      </c>
      <c r="E50" s="66">
        <v>1</v>
      </c>
      <c r="F50" s="12" t="s">
        <v>29</v>
      </c>
      <c r="G50" s="67">
        <v>46389</v>
      </c>
      <c r="H50" s="65" t="s">
        <v>53</v>
      </c>
      <c r="I50" s="71">
        <v>69836.065573770495</v>
      </c>
      <c r="J50" s="78">
        <f t="shared" si="1"/>
        <v>85200</v>
      </c>
      <c r="K50" s="27">
        <f t="shared" si="3"/>
        <v>69836.065573770495</v>
      </c>
      <c r="L50" s="27">
        <f t="shared" si="2"/>
        <v>85200</v>
      </c>
      <c r="M50" s="26" t="s">
        <v>27</v>
      </c>
      <c r="N50" s="103"/>
      <c r="O50" s="43" t="s">
        <v>67</v>
      </c>
      <c r="P50" s="43" t="s">
        <v>116</v>
      </c>
      <c r="Q50" s="53" t="s">
        <v>142</v>
      </c>
    </row>
    <row r="51" spans="1:17" ht="42" x14ac:dyDescent="0.2">
      <c r="A51" s="24">
        <v>43</v>
      </c>
      <c r="B51" s="65" t="s">
        <v>42</v>
      </c>
      <c r="C51" s="48" t="s">
        <v>18</v>
      </c>
      <c r="D51" s="48" t="s">
        <v>20</v>
      </c>
      <c r="E51" s="66">
        <v>0.3</v>
      </c>
      <c r="F51" s="38" t="s">
        <v>71</v>
      </c>
      <c r="G51" s="67">
        <v>46389</v>
      </c>
      <c r="H51" s="65" t="s">
        <v>57</v>
      </c>
      <c r="I51" s="71">
        <v>67868.852459016402</v>
      </c>
      <c r="J51" s="78">
        <f t="shared" si="1"/>
        <v>82800.000000000015</v>
      </c>
      <c r="K51" s="27">
        <f t="shared" si="3"/>
        <v>20360.655737704921</v>
      </c>
      <c r="L51" s="27">
        <f t="shared" si="2"/>
        <v>24840.000000000004</v>
      </c>
      <c r="M51" s="26" t="s">
        <v>27</v>
      </c>
      <c r="N51" s="103"/>
      <c r="O51" s="43" t="s">
        <v>67</v>
      </c>
      <c r="P51" s="43" t="s">
        <v>117</v>
      </c>
      <c r="Q51" s="53" t="s">
        <v>142</v>
      </c>
    </row>
    <row r="52" spans="1:17" ht="42" x14ac:dyDescent="0.2">
      <c r="A52" s="24">
        <v>44</v>
      </c>
      <c r="B52" s="65" t="s">
        <v>45</v>
      </c>
      <c r="C52" s="48" t="s">
        <v>18</v>
      </c>
      <c r="D52" s="48" t="s">
        <v>20</v>
      </c>
      <c r="E52" s="66">
        <v>0.5</v>
      </c>
      <c r="F52" s="38" t="s">
        <v>71</v>
      </c>
      <c r="G52" s="67">
        <v>46389</v>
      </c>
      <c r="H52" s="65" t="s">
        <v>60</v>
      </c>
      <c r="I52" s="71">
        <v>67868.852459016402</v>
      </c>
      <c r="J52" s="78">
        <f t="shared" si="1"/>
        <v>82800.000000000015</v>
      </c>
      <c r="K52" s="27">
        <f t="shared" si="3"/>
        <v>33934.426229508201</v>
      </c>
      <c r="L52" s="27">
        <f t="shared" si="2"/>
        <v>41400.000000000007</v>
      </c>
      <c r="M52" s="26" t="s">
        <v>27</v>
      </c>
      <c r="N52" s="103"/>
      <c r="O52" s="43" t="s">
        <v>67</v>
      </c>
      <c r="P52" s="43" t="s">
        <v>118</v>
      </c>
      <c r="Q52" s="53" t="s">
        <v>142</v>
      </c>
    </row>
    <row r="53" spans="1:17" ht="42" x14ac:dyDescent="0.2">
      <c r="A53" s="24">
        <v>45</v>
      </c>
      <c r="B53" s="65" t="s">
        <v>46</v>
      </c>
      <c r="C53" s="48" t="s">
        <v>18</v>
      </c>
      <c r="D53" s="48" t="s">
        <v>20</v>
      </c>
      <c r="E53" s="66">
        <v>1</v>
      </c>
      <c r="F53" s="38" t="s">
        <v>71</v>
      </c>
      <c r="G53" s="67">
        <v>46389</v>
      </c>
      <c r="H53" s="65" t="s">
        <v>61</v>
      </c>
      <c r="I53" s="71">
        <v>67868.852459016402</v>
      </c>
      <c r="J53" s="78">
        <f t="shared" si="1"/>
        <v>82800.000000000015</v>
      </c>
      <c r="K53" s="27">
        <f t="shared" si="3"/>
        <v>67868.852459016402</v>
      </c>
      <c r="L53" s="27">
        <f t="shared" si="2"/>
        <v>82800.000000000015</v>
      </c>
      <c r="M53" s="26" t="s">
        <v>27</v>
      </c>
      <c r="N53" s="103"/>
      <c r="O53" s="43" t="s">
        <v>67</v>
      </c>
      <c r="P53" s="43" t="s">
        <v>119</v>
      </c>
      <c r="Q53" s="53" t="s">
        <v>142</v>
      </c>
    </row>
    <row r="54" spans="1:17" ht="42" x14ac:dyDescent="0.2">
      <c r="A54" s="24">
        <v>46</v>
      </c>
      <c r="B54" s="65" t="s">
        <v>33</v>
      </c>
      <c r="C54" s="48" t="s">
        <v>18</v>
      </c>
      <c r="D54" s="48" t="s">
        <v>20</v>
      </c>
      <c r="E54" s="66">
        <v>1.5</v>
      </c>
      <c r="F54" s="38" t="s">
        <v>71</v>
      </c>
      <c r="G54" s="67">
        <v>46417</v>
      </c>
      <c r="H54" s="65" t="s">
        <v>48</v>
      </c>
      <c r="I54" s="71">
        <v>67868.852459016402</v>
      </c>
      <c r="J54" s="78">
        <f t="shared" si="1"/>
        <v>82800.000000000015</v>
      </c>
      <c r="K54" s="27">
        <f t="shared" si="3"/>
        <v>101803.2786885246</v>
      </c>
      <c r="L54" s="27">
        <f t="shared" si="2"/>
        <v>124200.00000000001</v>
      </c>
      <c r="M54" s="26" t="s">
        <v>27</v>
      </c>
      <c r="N54" s="103"/>
      <c r="O54" s="43" t="s">
        <v>67</v>
      </c>
      <c r="P54" s="43" t="s">
        <v>120</v>
      </c>
      <c r="Q54" s="53" t="s">
        <v>143</v>
      </c>
    </row>
    <row r="55" spans="1:17" ht="42" x14ac:dyDescent="0.2">
      <c r="A55" s="24">
        <v>47</v>
      </c>
      <c r="B55" s="65" t="s">
        <v>34</v>
      </c>
      <c r="C55" s="48" t="s">
        <v>18</v>
      </c>
      <c r="D55" s="48" t="s">
        <v>20</v>
      </c>
      <c r="E55" s="66">
        <v>1</v>
      </c>
      <c r="F55" s="38" t="s">
        <v>71</v>
      </c>
      <c r="G55" s="67">
        <v>46417</v>
      </c>
      <c r="H55" s="65" t="s">
        <v>49</v>
      </c>
      <c r="I55" s="71">
        <v>67868.852459016402</v>
      </c>
      <c r="J55" s="78">
        <f t="shared" si="1"/>
        <v>82800.000000000015</v>
      </c>
      <c r="K55" s="27">
        <f t="shared" si="3"/>
        <v>67868.852459016402</v>
      </c>
      <c r="L55" s="27">
        <f t="shared" si="2"/>
        <v>82800.000000000015</v>
      </c>
      <c r="M55" s="26" t="s">
        <v>27</v>
      </c>
      <c r="N55" s="103"/>
      <c r="O55" s="43" t="s">
        <v>67</v>
      </c>
      <c r="P55" s="43" t="s">
        <v>121</v>
      </c>
      <c r="Q55" s="53" t="s">
        <v>143</v>
      </c>
    </row>
    <row r="56" spans="1:17" ht="42" x14ac:dyDescent="0.2">
      <c r="A56" s="24">
        <v>48</v>
      </c>
      <c r="B56" s="65" t="s">
        <v>35</v>
      </c>
      <c r="C56" s="48" t="s">
        <v>18</v>
      </c>
      <c r="D56" s="48" t="s">
        <v>20</v>
      </c>
      <c r="E56" s="66">
        <v>1</v>
      </c>
      <c r="F56" s="38" t="s">
        <v>71</v>
      </c>
      <c r="G56" s="67">
        <v>46417</v>
      </c>
      <c r="H56" s="65" t="s">
        <v>50</v>
      </c>
      <c r="I56" s="71">
        <v>67868.852459016402</v>
      </c>
      <c r="J56" s="78">
        <f t="shared" si="1"/>
        <v>82800.000000000015</v>
      </c>
      <c r="K56" s="27">
        <f t="shared" si="3"/>
        <v>67868.852459016402</v>
      </c>
      <c r="L56" s="27">
        <f t="shared" si="2"/>
        <v>82800.000000000015</v>
      </c>
      <c r="M56" s="26" t="s">
        <v>27</v>
      </c>
      <c r="N56" s="103"/>
      <c r="O56" s="43" t="s">
        <v>67</v>
      </c>
      <c r="P56" s="43" t="s">
        <v>122</v>
      </c>
      <c r="Q56" s="53" t="s">
        <v>143</v>
      </c>
    </row>
    <row r="57" spans="1:17" ht="42" x14ac:dyDescent="0.2">
      <c r="A57" s="24">
        <v>49</v>
      </c>
      <c r="B57" s="65" t="s">
        <v>42</v>
      </c>
      <c r="C57" s="48" t="s">
        <v>18</v>
      </c>
      <c r="D57" s="48" t="s">
        <v>20</v>
      </c>
      <c r="E57" s="66">
        <v>0.5</v>
      </c>
      <c r="F57" s="38" t="s">
        <v>71</v>
      </c>
      <c r="G57" s="67">
        <v>46417</v>
      </c>
      <c r="H57" s="65" t="s">
        <v>57</v>
      </c>
      <c r="I57" s="71">
        <v>67868.852459016402</v>
      </c>
      <c r="J57" s="78">
        <f t="shared" si="1"/>
        <v>82800.000000000015</v>
      </c>
      <c r="K57" s="27">
        <f t="shared" si="3"/>
        <v>33934.426229508201</v>
      </c>
      <c r="L57" s="27">
        <f t="shared" si="2"/>
        <v>41400.000000000007</v>
      </c>
      <c r="M57" s="26" t="s">
        <v>27</v>
      </c>
      <c r="N57" s="103"/>
      <c r="O57" s="43" t="s">
        <v>67</v>
      </c>
      <c r="P57" s="43" t="s">
        <v>123</v>
      </c>
      <c r="Q57" s="53" t="s">
        <v>143</v>
      </c>
    </row>
    <row r="58" spans="1:17" ht="42" x14ac:dyDescent="0.2">
      <c r="A58" s="24">
        <v>50</v>
      </c>
      <c r="B58" s="65" t="s">
        <v>45</v>
      </c>
      <c r="C58" s="48" t="s">
        <v>18</v>
      </c>
      <c r="D58" s="48" t="s">
        <v>20</v>
      </c>
      <c r="E58" s="66">
        <v>0.5</v>
      </c>
      <c r="F58" s="38" t="s">
        <v>71</v>
      </c>
      <c r="G58" s="67">
        <v>46417</v>
      </c>
      <c r="H58" s="65" t="s">
        <v>60</v>
      </c>
      <c r="I58" s="71">
        <v>67868.852459016402</v>
      </c>
      <c r="J58" s="78">
        <f t="shared" si="1"/>
        <v>82800.000000000015</v>
      </c>
      <c r="K58" s="27">
        <f t="shared" si="3"/>
        <v>33934.426229508201</v>
      </c>
      <c r="L58" s="27">
        <f t="shared" si="2"/>
        <v>41400.000000000007</v>
      </c>
      <c r="M58" s="26" t="s">
        <v>27</v>
      </c>
      <c r="N58" s="103"/>
      <c r="O58" s="43" t="s">
        <v>67</v>
      </c>
      <c r="P58" s="43" t="s">
        <v>124</v>
      </c>
      <c r="Q58" s="53" t="s">
        <v>143</v>
      </c>
    </row>
    <row r="59" spans="1:17" ht="42" x14ac:dyDescent="0.2">
      <c r="A59" s="24">
        <v>51</v>
      </c>
      <c r="B59" s="65" t="s">
        <v>46</v>
      </c>
      <c r="C59" s="48" t="s">
        <v>18</v>
      </c>
      <c r="D59" s="48" t="s">
        <v>20</v>
      </c>
      <c r="E59" s="66">
        <v>1</v>
      </c>
      <c r="F59" s="38" t="s">
        <v>71</v>
      </c>
      <c r="G59" s="67">
        <v>46417</v>
      </c>
      <c r="H59" s="65" t="s">
        <v>61</v>
      </c>
      <c r="I59" s="72">
        <v>67868.852459016402</v>
      </c>
      <c r="J59" s="78">
        <f t="shared" si="1"/>
        <v>82800.000000000015</v>
      </c>
      <c r="K59" s="27">
        <f t="shared" si="3"/>
        <v>67868.852459016402</v>
      </c>
      <c r="L59" s="27">
        <f t="shared" si="2"/>
        <v>82800.000000000015</v>
      </c>
      <c r="M59" s="26" t="s">
        <v>27</v>
      </c>
      <c r="N59" s="103"/>
      <c r="O59" s="43" t="s">
        <v>67</v>
      </c>
      <c r="P59" s="43" t="s">
        <v>125</v>
      </c>
      <c r="Q59" s="53" t="s">
        <v>143</v>
      </c>
    </row>
    <row r="60" spans="1:17" ht="42" x14ac:dyDescent="0.2">
      <c r="A60" s="24">
        <v>52</v>
      </c>
      <c r="B60" s="65" t="s">
        <v>40</v>
      </c>
      <c r="C60" s="48" t="s">
        <v>18</v>
      </c>
      <c r="D60" s="48" t="s">
        <v>20</v>
      </c>
      <c r="E60" s="66">
        <v>1</v>
      </c>
      <c r="F60" s="12" t="s">
        <v>29</v>
      </c>
      <c r="G60" s="67">
        <v>46417</v>
      </c>
      <c r="H60" s="65" t="s">
        <v>55</v>
      </c>
      <c r="I60" s="72">
        <v>75737.704918032789</v>
      </c>
      <c r="J60" s="78">
        <f t="shared" si="1"/>
        <v>92400</v>
      </c>
      <c r="K60" s="27">
        <f t="shared" si="3"/>
        <v>75737.704918032789</v>
      </c>
      <c r="L60" s="27">
        <f t="shared" si="2"/>
        <v>92400</v>
      </c>
      <c r="M60" s="26" t="s">
        <v>27</v>
      </c>
      <c r="N60" s="103"/>
      <c r="O60" s="43" t="s">
        <v>69</v>
      </c>
      <c r="P60" s="43" t="s">
        <v>126</v>
      </c>
      <c r="Q60" s="53" t="s">
        <v>144</v>
      </c>
    </row>
    <row r="61" spans="1:17" ht="42" x14ac:dyDescent="0.2">
      <c r="A61" s="24">
        <v>53</v>
      </c>
      <c r="B61" s="65" t="s">
        <v>39</v>
      </c>
      <c r="C61" s="48" t="s">
        <v>18</v>
      </c>
      <c r="D61" s="48" t="s">
        <v>20</v>
      </c>
      <c r="E61" s="66">
        <v>1</v>
      </c>
      <c r="F61" s="12" t="s">
        <v>29</v>
      </c>
      <c r="G61" s="67">
        <v>46417</v>
      </c>
      <c r="H61" s="65" t="s">
        <v>54</v>
      </c>
      <c r="I61" s="72">
        <v>69836.065573770495</v>
      </c>
      <c r="J61" s="78">
        <f t="shared" si="1"/>
        <v>85200</v>
      </c>
      <c r="K61" s="27">
        <f t="shared" si="3"/>
        <v>69836.065573770495</v>
      </c>
      <c r="L61" s="27">
        <f t="shared" si="2"/>
        <v>85200</v>
      </c>
      <c r="M61" s="26" t="s">
        <v>27</v>
      </c>
      <c r="N61" s="103"/>
      <c r="O61" s="43" t="s">
        <v>69</v>
      </c>
      <c r="P61" s="43" t="s">
        <v>127</v>
      </c>
      <c r="Q61" s="53" t="s">
        <v>144</v>
      </c>
    </row>
    <row r="62" spans="1:17" ht="42" x14ac:dyDescent="0.2">
      <c r="A62" s="24">
        <v>54</v>
      </c>
      <c r="B62" s="65" t="s">
        <v>41</v>
      </c>
      <c r="C62" s="48" t="s">
        <v>18</v>
      </c>
      <c r="D62" s="48" t="s">
        <v>20</v>
      </c>
      <c r="E62" s="66">
        <v>0.5</v>
      </c>
      <c r="F62" s="12" t="s">
        <v>29</v>
      </c>
      <c r="G62" s="67">
        <v>46417</v>
      </c>
      <c r="H62" s="65" t="s">
        <v>56</v>
      </c>
      <c r="I62" s="72">
        <v>88524.590163934423</v>
      </c>
      <c r="J62" s="78">
        <f t="shared" si="1"/>
        <v>108000</v>
      </c>
      <c r="K62" s="27">
        <f t="shared" si="3"/>
        <v>44262.295081967211</v>
      </c>
      <c r="L62" s="27">
        <f t="shared" si="2"/>
        <v>54000</v>
      </c>
      <c r="M62" s="26" t="s">
        <v>27</v>
      </c>
      <c r="N62" s="103"/>
      <c r="O62" s="43" t="s">
        <v>64</v>
      </c>
      <c r="P62" s="43" t="s">
        <v>77</v>
      </c>
      <c r="Q62" s="53" t="s">
        <v>144</v>
      </c>
    </row>
    <row r="63" spans="1:17" ht="42" x14ac:dyDescent="0.2">
      <c r="A63" s="24">
        <v>55</v>
      </c>
      <c r="B63" s="65" t="s">
        <v>44</v>
      </c>
      <c r="C63" s="48" t="s">
        <v>18</v>
      </c>
      <c r="D63" s="48" t="s">
        <v>20</v>
      </c>
      <c r="E63" s="66">
        <v>0.6</v>
      </c>
      <c r="F63" s="12" t="s">
        <v>29</v>
      </c>
      <c r="G63" s="67">
        <v>46417</v>
      </c>
      <c r="H63" s="65" t="s">
        <v>59</v>
      </c>
      <c r="I63" s="72">
        <v>93442.62295081967</v>
      </c>
      <c r="J63" s="78">
        <f t="shared" si="1"/>
        <v>114000</v>
      </c>
      <c r="K63" s="27">
        <f t="shared" si="3"/>
        <v>56065.573770491799</v>
      </c>
      <c r="L63" s="27">
        <f t="shared" si="2"/>
        <v>68400</v>
      </c>
      <c r="M63" s="26" t="s">
        <v>27</v>
      </c>
      <c r="N63" s="103"/>
      <c r="O63" s="43" t="s">
        <v>64</v>
      </c>
      <c r="P63" s="43" t="s">
        <v>78</v>
      </c>
      <c r="Q63" s="53" t="s">
        <v>144</v>
      </c>
    </row>
    <row r="64" spans="1:17" ht="42" x14ac:dyDescent="0.2">
      <c r="A64" s="24">
        <v>56</v>
      </c>
      <c r="B64" s="65" t="s">
        <v>40</v>
      </c>
      <c r="C64" s="48" t="s">
        <v>18</v>
      </c>
      <c r="D64" s="48" t="s">
        <v>20</v>
      </c>
      <c r="E64" s="66">
        <v>1.5</v>
      </c>
      <c r="F64" s="12" t="s">
        <v>29</v>
      </c>
      <c r="G64" s="67">
        <v>46417</v>
      </c>
      <c r="H64" s="65" t="s">
        <v>55</v>
      </c>
      <c r="I64" s="72">
        <v>75737.704918032789</v>
      </c>
      <c r="J64" s="78">
        <f t="shared" si="1"/>
        <v>92400</v>
      </c>
      <c r="K64" s="27">
        <f t="shared" si="3"/>
        <v>113606.55737704918</v>
      </c>
      <c r="L64" s="27">
        <f t="shared" si="2"/>
        <v>138600</v>
      </c>
      <c r="M64" s="26" t="s">
        <v>27</v>
      </c>
      <c r="N64" s="103"/>
      <c r="O64" s="43" t="s">
        <v>64</v>
      </c>
      <c r="P64" s="43" t="s">
        <v>128</v>
      </c>
      <c r="Q64" s="53" t="s">
        <v>144</v>
      </c>
    </row>
    <row r="65" spans="1:17" ht="42" x14ac:dyDescent="0.2">
      <c r="A65" s="24">
        <v>57</v>
      </c>
      <c r="B65" s="65" t="s">
        <v>41</v>
      </c>
      <c r="C65" s="48" t="s">
        <v>18</v>
      </c>
      <c r="D65" s="48" t="s">
        <v>20</v>
      </c>
      <c r="E65" s="66">
        <v>2</v>
      </c>
      <c r="F65" s="12" t="s">
        <v>29</v>
      </c>
      <c r="G65" s="67">
        <v>46417</v>
      </c>
      <c r="H65" s="65" t="s">
        <v>56</v>
      </c>
      <c r="I65" s="71">
        <v>88524.590163934423</v>
      </c>
      <c r="J65" s="78">
        <f t="shared" si="1"/>
        <v>108000</v>
      </c>
      <c r="K65" s="27">
        <f t="shared" si="3"/>
        <v>177049.18032786885</v>
      </c>
      <c r="L65" s="27">
        <f t="shared" si="2"/>
        <v>216000</v>
      </c>
      <c r="M65" s="26" t="s">
        <v>27</v>
      </c>
      <c r="N65" s="103"/>
      <c r="O65" s="43" t="s">
        <v>64</v>
      </c>
      <c r="P65" s="43" t="s">
        <v>79</v>
      </c>
      <c r="Q65" s="53" t="s">
        <v>144</v>
      </c>
    </row>
    <row r="66" spans="1:17" ht="42" x14ac:dyDescent="0.2">
      <c r="A66" s="24">
        <v>58</v>
      </c>
      <c r="B66" s="65" t="s">
        <v>44</v>
      </c>
      <c r="C66" s="48" t="s">
        <v>18</v>
      </c>
      <c r="D66" s="48" t="s">
        <v>20</v>
      </c>
      <c r="E66" s="66">
        <v>1.92</v>
      </c>
      <c r="F66" s="12" t="s">
        <v>29</v>
      </c>
      <c r="G66" s="67">
        <v>46417</v>
      </c>
      <c r="H66" s="65" t="s">
        <v>59</v>
      </c>
      <c r="I66" s="71">
        <v>93442.62295081967</v>
      </c>
      <c r="J66" s="78">
        <f t="shared" si="1"/>
        <v>114000</v>
      </c>
      <c r="K66" s="27">
        <f t="shared" si="3"/>
        <v>179409.83606557376</v>
      </c>
      <c r="L66" s="27">
        <f t="shared" si="2"/>
        <v>218880</v>
      </c>
      <c r="M66" s="26" t="s">
        <v>27</v>
      </c>
      <c r="N66" s="103"/>
      <c r="O66" s="43" t="s">
        <v>65</v>
      </c>
      <c r="P66" s="43" t="s">
        <v>92</v>
      </c>
      <c r="Q66" s="53" t="s">
        <v>144</v>
      </c>
    </row>
    <row r="67" spans="1:17" ht="42" x14ac:dyDescent="0.2">
      <c r="A67" s="24">
        <v>59</v>
      </c>
      <c r="B67" s="65" t="s">
        <v>33</v>
      </c>
      <c r="C67" s="48" t="s">
        <v>18</v>
      </c>
      <c r="D67" s="48" t="s">
        <v>20</v>
      </c>
      <c r="E67" s="66">
        <v>0.2</v>
      </c>
      <c r="F67" s="38" t="s">
        <v>74</v>
      </c>
      <c r="G67" s="67">
        <v>46417</v>
      </c>
      <c r="H67" s="65" t="s">
        <v>48</v>
      </c>
      <c r="I67" s="71">
        <v>67868.852459016402</v>
      </c>
      <c r="J67" s="78">
        <f t="shared" si="1"/>
        <v>82800.000000000015</v>
      </c>
      <c r="K67" s="27">
        <f t="shared" si="3"/>
        <v>13573.770491803281</v>
      </c>
      <c r="L67" s="27">
        <f t="shared" si="2"/>
        <v>16560.000000000004</v>
      </c>
      <c r="M67" s="26" t="s">
        <v>27</v>
      </c>
      <c r="N67" s="103"/>
      <c r="O67" s="43" t="s">
        <v>67</v>
      </c>
      <c r="P67" s="43" t="s">
        <v>129</v>
      </c>
      <c r="Q67" s="53" t="s">
        <v>145</v>
      </c>
    </row>
    <row r="68" spans="1:17" ht="42" x14ac:dyDescent="0.2">
      <c r="A68" s="24">
        <v>60</v>
      </c>
      <c r="B68" s="65" t="s">
        <v>35</v>
      </c>
      <c r="C68" s="48" t="s">
        <v>18</v>
      </c>
      <c r="D68" s="48" t="s">
        <v>20</v>
      </c>
      <c r="E68" s="66">
        <v>0.15</v>
      </c>
      <c r="F68" s="38" t="s">
        <v>74</v>
      </c>
      <c r="G68" s="67">
        <v>46417</v>
      </c>
      <c r="H68" s="65" t="s">
        <v>50</v>
      </c>
      <c r="I68" s="71">
        <v>67868.852459016402</v>
      </c>
      <c r="J68" s="78">
        <f t="shared" si="1"/>
        <v>82800.000000000015</v>
      </c>
      <c r="K68" s="27">
        <f t="shared" si="3"/>
        <v>10180.327868852461</v>
      </c>
      <c r="L68" s="27">
        <f t="shared" si="2"/>
        <v>12420.000000000002</v>
      </c>
      <c r="M68" s="26" t="s">
        <v>27</v>
      </c>
      <c r="N68" s="103"/>
      <c r="O68" s="43" t="s">
        <v>67</v>
      </c>
      <c r="P68" s="43" t="s">
        <v>130</v>
      </c>
      <c r="Q68" s="53" t="s">
        <v>145</v>
      </c>
    </row>
    <row r="69" spans="1:17" ht="42" x14ac:dyDescent="0.2">
      <c r="A69" s="24">
        <v>61</v>
      </c>
      <c r="B69" s="65" t="s">
        <v>36</v>
      </c>
      <c r="C69" s="48" t="s">
        <v>18</v>
      </c>
      <c r="D69" s="48" t="s">
        <v>20</v>
      </c>
      <c r="E69" s="66">
        <v>0.1</v>
      </c>
      <c r="F69" s="12" t="s">
        <v>135</v>
      </c>
      <c r="G69" s="67">
        <v>46417</v>
      </c>
      <c r="H69" s="65" t="s">
        <v>51</v>
      </c>
      <c r="I69" s="71">
        <v>69836.065573770495</v>
      </c>
      <c r="J69" s="78">
        <f t="shared" si="1"/>
        <v>85200</v>
      </c>
      <c r="K69" s="27">
        <f t="shared" si="3"/>
        <v>6983.6065573770502</v>
      </c>
      <c r="L69" s="27">
        <f t="shared" si="2"/>
        <v>8520.0000000000018</v>
      </c>
      <c r="M69" s="26" t="s">
        <v>27</v>
      </c>
      <c r="N69" s="103"/>
      <c r="O69" s="43" t="s">
        <v>67</v>
      </c>
      <c r="P69" s="43" t="s">
        <v>91</v>
      </c>
      <c r="Q69" s="53" t="s">
        <v>145</v>
      </c>
    </row>
    <row r="70" spans="1:17" ht="42" x14ac:dyDescent="0.2">
      <c r="A70" s="24">
        <v>62</v>
      </c>
      <c r="B70" s="65" t="s">
        <v>42</v>
      </c>
      <c r="C70" s="48" t="s">
        <v>18</v>
      </c>
      <c r="D70" s="48" t="s">
        <v>20</v>
      </c>
      <c r="E70" s="66">
        <v>0.5</v>
      </c>
      <c r="F70" s="38" t="s">
        <v>74</v>
      </c>
      <c r="G70" s="67">
        <v>46417</v>
      </c>
      <c r="H70" s="65" t="s">
        <v>57</v>
      </c>
      <c r="I70" s="71">
        <v>67868.852459016402</v>
      </c>
      <c r="J70" s="78">
        <f t="shared" si="1"/>
        <v>82800.000000000015</v>
      </c>
      <c r="K70" s="27">
        <f t="shared" si="3"/>
        <v>33934.426229508201</v>
      </c>
      <c r="L70" s="27">
        <f t="shared" si="2"/>
        <v>41400.000000000007</v>
      </c>
      <c r="M70" s="26" t="s">
        <v>27</v>
      </c>
      <c r="N70" s="103"/>
      <c r="O70" s="43" t="s">
        <v>67</v>
      </c>
      <c r="P70" s="43" t="s">
        <v>83</v>
      </c>
      <c r="Q70" s="53" t="s">
        <v>145</v>
      </c>
    </row>
    <row r="71" spans="1:17" ht="42" x14ac:dyDescent="0.2">
      <c r="A71" s="24">
        <v>63</v>
      </c>
      <c r="B71" s="65" t="s">
        <v>45</v>
      </c>
      <c r="C71" s="48" t="s">
        <v>18</v>
      </c>
      <c r="D71" s="48" t="s">
        <v>20</v>
      </c>
      <c r="E71" s="66">
        <v>0.15</v>
      </c>
      <c r="F71" s="38" t="s">
        <v>74</v>
      </c>
      <c r="G71" s="67">
        <v>46417</v>
      </c>
      <c r="H71" s="65" t="s">
        <v>60</v>
      </c>
      <c r="I71" s="71">
        <v>67868.852459016402</v>
      </c>
      <c r="J71" s="78">
        <f t="shared" si="1"/>
        <v>82800.000000000015</v>
      </c>
      <c r="K71" s="27">
        <f t="shared" si="3"/>
        <v>10180.327868852461</v>
      </c>
      <c r="L71" s="27">
        <f t="shared" si="2"/>
        <v>12420.000000000002</v>
      </c>
      <c r="M71" s="26" t="s">
        <v>27</v>
      </c>
      <c r="N71" s="103"/>
      <c r="O71" s="43" t="s">
        <v>70</v>
      </c>
      <c r="P71" s="43" t="s">
        <v>131</v>
      </c>
      <c r="Q71" s="53" t="s">
        <v>145</v>
      </c>
    </row>
    <row r="72" spans="1:17" ht="42" x14ac:dyDescent="0.2">
      <c r="A72" s="24">
        <v>64</v>
      </c>
      <c r="B72" s="65" t="s">
        <v>46</v>
      </c>
      <c r="C72" s="48" t="s">
        <v>18</v>
      </c>
      <c r="D72" s="48" t="s">
        <v>20</v>
      </c>
      <c r="E72" s="66">
        <v>0.15</v>
      </c>
      <c r="F72" s="38" t="s">
        <v>74</v>
      </c>
      <c r="G72" s="67">
        <v>46417</v>
      </c>
      <c r="H72" s="65" t="s">
        <v>61</v>
      </c>
      <c r="I72" s="71">
        <v>67868.852459016402</v>
      </c>
      <c r="J72" s="78">
        <f t="shared" si="1"/>
        <v>82800.000000000015</v>
      </c>
      <c r="K72" s="27">
        <f t="shared" si="3"/>
        <v>10180.327868852461</v>
      </c>
      <c r="L72" s="27">
        <f t="shared" si="2"/>
        <v>12420.000000000002</v>
      </c>
      <c r="M72" s="26" t="s">
        <v>27</v>
      </c>
      <c r="N72" s="103"/>
      <c r="O72" s="43" t="s">
        <v>67</v>
      </c>
      <c r="P72" s="43" t="s">
        <v>106</v>
      </c>
      <c r="Q72" s="53" t="s">
        <v>145</v>
      </c>
    </row>
    <row r="73" spans="1:17" ht="42" x14ac:dyDescent="0.2">
      <c r="A73" s="24">
        <v>65</v>
      </c>
      <c r="B73" s="65" t="s">
        <v>42</v>
      </c>
      <c r="C73" s="48" t="s">
        <v>18</v>
      </c>
      <c r="D73" s="48" t="s">
        <v>20</v>
      </c>
      <c r="E73" s="66">
        <v>0.2</v>
      </c>
      <c r="F73" s="38" t="s">
        <v>74</v>
      </c>
      <c r="G73" s="67">
        <v>46417</v>
      </c>
      <c r="H73" s="65" t="s">
        <v>57</v>
      </c>
      <c r="I73" s="71">
        <v>67868.852459016402</v>
      </c>
      <c r="J73" s="78">
        <f t="shared" si="1"/>
        <v>82800.000000000015</v>
      </c>
      <c r="K73" s="27">
        <f t="shared" ref="K73:K82" si="4">I73*E73</f>
        <v>13573.770491803281</v>
      </c>
      <c r="L73" s="27">
        <f t="shared" si="2"/>
        <v>16560.000000000004</v>
      </c>
      <c r="M73" s="26" t="s">
        <v>27</v>
      </c>
      <c r="N73" s="103"/>
      <c r="O73" s="43" t="s">
        <v>67</v>
      </c>
      <c r="P73" s="43" t="s">
        <v>100</v>
      </c>
      <c r="Q73" s="53" t="s">
        <v>146</v>
      </c>
    </row>
    <row r="74" spans="1:17" ht="31.5" x14ac:dyDescent="0.2">
      <c r="A74" s="24">
        <v>66</v>
      </c>
      <c r="B74" s="65" t="s">
        <v>33</v>
      </c>
      <c r="C74" s="48" t="s">
        <v>18</v>
      </c>
      <c r="D74" s="48" t="s">
        <v>20</v>
      </c>
      <c r="E74" s="66">
        <v>0.5</v>
      </c>
      <c r="F74" s="45" t="s">
        <v>28</v>
      </c>
      <c r="G74" s="67">
        <v>46389</v>
      </c>
      <c r="H74" s="65" t="s">
        <v>48</v>
      </c>
      <c r="I74" s="71">
        <v>67868.852459016402</v>
      </c>
      <c r="J74" s="78">
        <f t="shared" ref="J74:J82" si="5">I74*1.22</f>
        <v>82800.000000000015</v>
      </c>
      <c r="K74" s="27">
        <f t="shared" si="4"/>
        <v>33934.426229508201</v>
      </c>
      <c r="L74" s="27">
        <f t="shared" ref="L74:L82" si="6">K74*1.22</f>
        <v>41400.000000000007</v>
      </c>
      <c r="M74" s="26" t="s">
        <v>27</v>
      </c>
      <c r="N74" s="103"/>
      <c r="O74" s="43" t="s">
        <v>64</v>
      </c>
      <c r="P74" s="43" t="s">
        <v>111</v>
      </c>
      <c r="Q74" s="53" t="s">
        <v>147</v>
      </c>
    </row>
    <row r="75" spans="1:17" ht="31.5" x14ac:dyDescent="0.2">
      <c r="A75" s="24">
        <v>67</v>
      </c>
      <c r="B75" s="65" t="s">
        <v>34</v>
      </c>
      <c r="C75" s="48" t="s">
        <v>18</v>
      </c>
      <c r="D75" s="48" t="s">
        <v>20</v>
      </c>
      <c r="E75" s="66">
        <v>0.5</v>
      </c>
      <c r="F75" s="45" t="s">
        <v>28</v>
      </c>
      <c r="G75" s="67">
        <v>46389</v>
      </c>
      <c r="H75" s="65" t="s">
        <v>49</v>
      </c>
      <c r="I75" s="71">
        <v>67868.852459016402</v>
      </c>
      <c r="J75" s="78">
        <f t="shared" si="5"/>
        <v>82800.000000000015</v>
      </c>
      <c r="K75" s="27">
        <f t="shared" si="4"/>
        <v>33934.426229508201</v>
      </c>
      <c r="L75" s="27">
        <f t="shared" si="6"/>
        <v>41400.000000000007</v>
      </c>
      <c r="M75" s="26" t="s">
        <v>27</v>
      </c>
      <c r="N75" s="103"/>
      <c r="O75" s="43" t="s">
        <v>67</v>
      </c>
      <c r="P75" s="43" t="s">
        <v>112</v>
      </c>
      <c r="Q75" s="53" t="s">
        <v>147</v>
      </c>
    </row>
    <row r="76" spans="1:17" ht="31.5" x14ac:dyDescent="0.2">
      <c r="A76" s="24">
        <v>68</v>
      </c>
      <c r="B76" s="65" t="s">
        <v>35</v>
      </c>
      <c r="C76" s="48" t="s">
        <v>18</v>
      </c>
      <c r="D76" s="48" t="s">
        <v>20</v>
      </c>
      <c r="E76" s="66">
        <v>0.7</v>
      </c>
      <c r="F76" s="45" t="s">
        <v>28</v>
      </c>
      <c r="G76" s="67">
        <v>46389</v>
      </c>
      <c r="H76" s="65" t="s">
        <v>50</v>
      </c>
      <c r="I76" s="71">
        <v>67868.852459016402</v>
      </c>
      <c r="J76" s="78">
        <f t="shared" si="5"/>
        <v>82800.000000000015</v>
      </c>
      <c r="K76" s="27">
        <f t="shared" si="4"/>
        <v>47508.196721311477</v>
      </c>
      <c r="L76" s="27">
        <f t="shared" si="6"/>
        <v>57960</v>
      </c>
      <c r="M76" s="26" t="s">
        <v>27</v>
      </c>
      <c r="N76" s="103"/>
      <c r="O76" s="43" t="s">
        <v>67</v>
      </c>
      <c r="P76" s="43" t="s">
        <v>114</v>
      </c>
      <c r="Q76" s="53" t="s">
        <v>147</v>
      </c>
    </row>
    <row r="77" spans="1:17" ht="31.5" x14ac:dyDescent="0.2">
      <c r="A77" s="24">
        <v>69</v>
      </c>
      <c r="B77" s="65" t="s">
        <v>42</v>
      </c>
      <c r="C77" s="48" t="s">
        <v>18</v>
      </c>
      <c r="D77" s="48" t="s">
        <v>20</v>
      </c>
      <c r="E77" s="66">
        <v>0.3</v>
      </c>
      <c r="F77" s="45" t="s">
        <v>28</v>
      </c>
      <c r="G77" s="67">
        <v>46389</v>
      </c>
      <c r="H77" s="65" t="s">
        <v>57</v>
      </c>
      <c r="I77" s="71">
        <v>67868.852459016402</v>
      </c>
      <c r="J77" s="78">
        <f t="shared" si="5"/>
        <v>82800.000000000015</v>
      </c>
      <c r="K77" s="27">
        <f t="shared" si="4"/>
        <v>20360.655737704921</v>
      </c>
      <c r="L77" s="27">
        <f t="shared" si="6"/>
        <v>24840.000000000004</v>
      </c>
      <c r="M77" s="26" t="s">
        <v>27</v>
      </c>
      <c r="N77" s="103"/>
      <c r="O77" s="43" t="s">
        <v>67</v>
      </c>
      <c r="P77" s="43" t="s">
        <v>115</v>
      </c>
      <c r="Q77" s="53" t="s">
        <v>147</v>
      </c>
    </row>
    <row r="78" spans="1:17" ht="31.5" x14ac:dyDescent="0.2">
      <c r="A78" s="24">
        <v>70</v>
      </c>
      <c r="B78" s="65" t="s">
        <v>45</v>
      </c>
      <c r="C78" s="48" t="s">
        <v>18</v>
      </c>
      <c r="D78" s="48" t="s">
        <v>20</v>
      </c>
      <c r="E78" s="66">
        <v>0.5</v>
      </c>
      <c r="F78" s="45" t="s">
        <v>28</v>
      </c>
      <c r="G78" s="67">
        <v>46389</v>
      </c>
      <c r="H78" s="65" t="s">
        <v>60</v>
      </c>
      <c r="I78" s="71">
        <v>67868.852459016402</v>
      </c>
      <c r="J78" s="78">
        <f t="shared" si="5"/>
        <v>82800.000000000015</v>
      </c>
      <c r="K78" s="27">
        <f t="shared" si="4"/>
        <v>33934.426229508201</v>
      </c>
      <c r="L78" s="27">
        <f t="shared" si="6"/>
        <v>41400.000000000007</v>
      </c>
      <c r="M78" s="26" t="s">
        <v>27</v>
      </c>
      <c r="N78" s="103"/>
      <c r="O78" s="43" t="s">
        <v>67</v>
      </c>
      <c r="P78" s="43" t="s">
        <v>132</v>
      </c>
      <c r="Q78" s="53" t="s">
        <v>147</v>
      </c>
    </row>
    <row r="79" spans="1:17" ht="31.5" x14ac:dyDescent="0.2">
      <c r="A79" s="24">
        <v>71</v>
      </c>
      <c r="B79" s="65" t="s">
        <v>38</v>
      </c>
      <c r="C79" s="48" t="s">
        <v>18</v>
      </c>
      <c r="D79" s="48" t="s">
        <v>20</v>
      </c>
      <c r="E79" s="66">
        <v>0.6</v>
      </c>
      <c r="F79" s="45" t="s">
        <v>28</v>
      </c>
      <c r="G79" s="67">
        <v>46417</v>
      </c>
      <c r="H79" s="65" t="s">
        <v>53</v>
      </c>
      <c r="I79" s="71">
        <v>69836.065573770495</v>
      </c>
      <c r="J79" s="78">
        <f t="shared" si="5"/>
        <v>85200</v>
      </c>
      <c r="K79" s="27">
        <f t="shared" si="4"/>
        <v>41901.639344262294</v>
      </c>
      <c r="L79" s="27">
        <f t="shared" si="6"/>
        <v>51120</v>
      </c>
      <c r="M79" s="26" t="s">
        <v>27</v>
      </c>
      <c r="N79" s="103"/>
      <c r="O79" s="43" t="s">
        <v>67</v>
      </c>
      <c r="P79" s="43" t="s">
        <v>116</v>
      </c>
      <c r="Q79" s="53" t="s">
        <v>148</v>
      </c>
    </row>
    <row r="80" spans="1:17" ht="31.5" x14ac:dyDescent="0.2">
      <c r="A80" s="24">
        <v>72</v>
      </c>
      <c r="B80" s="65" t="s">
        <v>46</v>
      </c>
      <c r="C80" s="48" t="s">
        <v>18</v>
      </c>
      <c r="D80" s="48" t="s">
        <v>20</v>
      </c>
      <c r="E80" s="66">
        <v>0.5</v>
      </c>
      <c r="F80" s="45" t="s">
        <v>28</v>
      </c>
      <c r="G80" s="67">
        <v>46417</v>
      </c>
      <c r="H80" s="65" t="s">
        <v>61</v>
      </c>
      <c r="I80" s="71">
        <v>67868.852459016402</v>
      </c>
      <c r="J80" s="78">
        <f t="shared" si="5"/>
        <v>82800.000000000015</v>
      </c>
      <c r="K80" s="27">
        <f t="shared" si="4"/>
        <v>33934.426229508201</v>
      </c>
      <c r="L80" s="27">
        <f t="shared" si="6"/>
        <v>41400.000000000007</v>
      </c>
      <c r="M80" s="26" t="s">
        <v>27</v>
      </c>
      <c r="N80" s="103"/>
      <c r="O80" s="43" t="s">
        <v>67</v>
      </c>
      <c r="P80" s="43" t="s">
        <v>119</v>
      </c>
      <c r="Q80" s="53" t="s">
        <v>148</v>
      </c>
    </row>
    <row r="81" spans="1:17" ht="31.5" x14ac:dyDescent="0.2">
      <c r="A81" s="24">
        <v>73</v>
      </c>
      <c r="B81" s="65" t="s">
        <v>39</v>
      </c>
      <c r="C81" s="48" t="s">
        <v>18</v>
      </c>
      <c r="D81" s="48" t="s">
        <v>20</v>
      </c>
      <c r="E81" s="66">
        <v>0.4</v>
      </c>
      <c r="F81" s="38" t="s">
        <v>73</v>
      </c>
      <c r="G81" s="67">
        <v>46417</v>
      </c>
      <c r="H81" s="65" t="s">
        <v>54</v>
      </c>
      <c r="I81" s="71">
        <v>69836.065573770495</v>
      </c>
      <c r="J81" s="78">
        <f t="shared" si="5"/>
        <v>85200</v>
      </c>
      <c r="K81" s="27">
        <f t="shared" si="4"/>
        <v>27934.426229508201</v>
      </c>
      <c r="L81" s="27">
        <f t="shared" si="6"/>
        <v>34080.000000000007</v>
      </c>
      <c r="M81" s="26" t="s">
        <v>27</v>
      </c>
      <c r="N81" s="103"/>
      <c r="O81" s="43" t="s">
        <v>67</v>
      </c>
      <c r="P81" s="43" t="s">
        <v>133</v>
      </c>
      <c r="Q81" s="53" t="s">
        <v>149</v>
      </c>
    </row>
    <row r="82" spans="1:17" ht="31.5" x14ac:dyDescent="0.2">
      <c r="A82" s="11">
        <v>74</v>
      </c>
      <c r="B82" s="73" t="s">
        <v>37</v>
      </c>
      <c r="C82" s="11" t="s">
        <v>18</v>
      </c>
      <c r="D82" s="48" t="s">
        <v>20</v>
      </c>
      <c r="E82" s="68">
        <v>0.3</v>
      </c>
      <c r="F82" s="38" t="s">
        <v>72</v>
      </c>
      <c r="G82" s="69">
        <v>46389</v>
      </c>
      <c r="H82" s="70" t="s">
        <v>52</v>
      </c>
      <c r="I82" s="71">
        <v>69836.065573770495</v>
      </c>
      <c r="J82" s="78">
        <f t="shared" si="5"/>
        <v>85200</v>
      </c>
      <c r="K82" s="27">
        <f t="shared" si="4"/>
        <v>20950.819672131147</v>
      </c>
      <c r="L82" s="27">
        <f t="shared" si="6"/>
        <v>25560</v>
      </c>
      <c r="M82" s="26" t="s">
        <v>27</v>
      </c>
      <c r="N82" s="103"/>
      <c r="O82" s="43" t="s">
        <v>67</v>
      </c>
      <c r="P82" s="43" t="s">
        <v>120</v>
      </c>
      <c r="Q82" s="54" t="s">
        <v>150</v>
      </c>
    </row>
    <row r="83" spans="1:17" ht="24" customHeight="1" x14ac:dyDescent="0.2">
      <c r="A83" s="22"/>
      <c r="B83" s="57"/>
      <c r="C83" s="6" t="s">
        <v>19</v>
      </c>
      <c r="D83" s="21"/>
      <c r="E83" s="35">
        <f>SUM(E9:E82)</f>
        <v>43.370000000000005</v>
      </c>
      <c r="F83" s="25"/>
      <c r="G83" s="30"/>
      <c r="H83" s="28" t="s">
        <v>21</v>
      </c>
      <c r="I83" s="31"/>
      <c r="J83" s="31"/>
      <c r="K83" s="58">
        <f>SUM(K9:K82)</f>
        <v>3088868.8524590158</v>
      </c>
      <c r="L83" s="58">
        <f>SUM(L9:L82)</f>
        <v>3768420.0000000005</v>
      </c>
      <c r="M83" s="32"/>
      <c r="N83" s="23"/>
      <c r="O83" s="42"/>
      <c r="P83" s="42"/>
    </row>
    <row r="84" spans="1:17" ht="22.5" customHeight="1" x14ac:dyDescent="0.2">
      <c r="H84" s="33"/>
      <c r="I84" s="80" t="s">
        <v>160</v>
      </c>
      <c r="J84" s="80"/>
      <c r="K84" s="80"/>
      <c r="L84" s="80"/>
      <c r="M84" s="80"/>
      <c r="N84" s="80"/>
    </row>
    <row r="85" spans="1:17" ht="25.5" customHeight="1" x14ac:dyDescent="0.2">
      <c r="A85" s="7" t="s">
        <v>0</v>
      </c>
      <c r="B85" s="89" t="s">
        <v>6</v>
      </c>
      <c r="C85" s="90"/>
      <c r="D85" s="91" t="s">
        <v>7</v>
      </c>
      <c r="E85" s="91"/>
      <c r="F85" s="92"/>
      <c r="G85" s="91"/>
      <c r="H85" s="91"/>
      <c r="I85" s="91"/>
      <c r="J85" s="91"/>
      <c r="K85" s="84"/>
      <c r="L85" s="84"/>
      <c r="M85" s="84"/>
      <c r="N85" s="85"/>
    </row>
    <row r="86" spans="1:17" ht="132" customHeight="1" x14ac:dyDescent="0.25">
      <c r="A86" s="6">
        <v>1</v>
      </c>
      <c r="B86" s="81" t="s">
        <v>8</v>
      </c>
      <c r="C86" s="82"/>
      <c r="D86" s="83" t="s">
        <v>26</v>
      </c>
      <c r="E86" s="83"/>
      <c r="F86" s="83"/>
      <c r="G86" s="83"/>
      <c r="H86" s="83"/>
      <c r="I86" s="83"/>
      <c r="J86" s="83"/>
      <c r="K86" s="86"/>
      <c r="L86" s="86"/>
      <c r="M86" s="86"/>
      <c r="N86" s="87"/>
    </row>
    <row r="87" spans="1:17" ht="122.25" customHeight="1" x14ac:dyDescent="0.25">
      <c r="A87" s="6">
        <v>2</v>
      </c>
      <c r="B87" s="81" t="s">
        <v>9</v>
      </c>
      <c r="C87" s="82"/>
      <c r="D87" s="83" t="s">
        <v>153</v>
      </c>
      <c r="E87" s="83"/>
      <c r="F87" s="83"/>
      <c r="G87" s="83"/>
      <c r="H87" s="83"/>
      <c r="I87" s="83"/>
      <c r="J87" s="83"/>
      <c r="K87" s="86"/>
      <c r="L87" s="86"/>
      <c r="M87" s="86"/>
      <c r="N87" s="87"/>
    </row>
    <row r="88" spans="1:17" ht="96" customHeight="1" x14ac:dyDescent="0.25">
      <c r="A88" s="6">
        <v>3</v>
      </c>
      <c r="B88" s="81" t="s">
        <v>10</v>
      </c>
      <c r="C88" s="82"/>
      <c r="D88" s="83" t="s">
        <v>30</v>
      </c>
      <c r="E88" s="83"/>
      <c r="F88" s="83"/>
      <c r="G88" s="83"/>
      <c r="H88" s="83"/>
      <c r="I88" s="83"/>
      <c r="J88" s="83"/>
      <c r="K88" s="86"/>
      <c r="L88" s="86"/>
      <c r="M88" s="86"/>
      <c r="N88" s="87"/>
    </row>
    <row r="89" spans="1:17" ht="31.5" customHeight="1" x14ac:dyDescent="0.25">
      <c r="A89" s="8">
        <v>4</v>
      </c>
      <c r="B89" s="81" t="s">
        <v>161</v>
      </c>
      <c r="C89" s="82"/>
      <c r="D89" s="88" t="s">
        <v>162</v>
      </c>
      <c r="E89" s="88"/>
      <c r="F89" s="88"/>
      <c r="G89" s="88"/>
      <c r="H89" s="88"/>
      <c r="I89" s="88"/>
      <c r="J89" s="88"/>
      <c r="K89" s="86"/>
      <c r="L89" s="86"/>
      <c r="M89" s="86"/>
      <c r="N89" s="87"/>
    </row>
    <row r="90" spans="1:17" ht="177.75" customHeight="1" x14ac:dyDescent="0.2">
      <c r="A90" s="6">
        <v>5</v>
      </c>
      <c r="B90" s="81" t="s">
        <v>11</v>
      </c>
      <c r="C90" s="82"/>
      <c r="D90" s="83" t="s">
        <v>152</v>
      </c>
      <c r="E90" s="83"/>
      <c r="F90" s="83"/>
      <c r="G90" s="83"/>
      <c r="H90" s="83"/>
      <c r="I90" s="83"/>
      <c r="J90" s="83"/>
      <c r="K90" s="84"/>
      <c r="L90" s="84"/>
      <c r="M90" s="84"/>
      <c r="N90" s="85"/>
    </row>
    <row r="91" spans="1:17" ht="112.5" customHeight="1" x14ac:dyDescent="0.2">
      <c r="A91" s="20">
        <v>6</v>
      </c>
      <c r="B91" s="81" t="s">
        <v>17</v>
      </c>
      <c r="C91" s="82"/>
      <c r="D91" s="83" t="s">
        <v>151</v>
      </c>
      <c r="E91" s="83"/>
      <c r="F91" s="83"/>
      <c r="G91" s="83"/>
      <c r="H91" s="83"/>
      <c r="I91" s="83"/>
      <c r="J91" s="83"/>
      <c r="K91" s="83"/>
      <c r="L91" s="83"/>
      <c r="M91" s="83"/>
      <c r="N91" s="85"/>
    </row>
    <row r="92" spans="1:17" x14ac:dyDescent="0.2">
      <c r="B92" s="9"/>
      <c r="C92" s="9"/>
      <c r="D92" s="9"/>
      <c r="E92" s="36"/>
      <c r="F92" s="15"/>
    </row>
    <row r="128" spans="1:14" s="2" customFormat="1" ht="15" x14ac:dyDescent="0.2">
      <c r="A128" s="39"/>
      <c r="B128" s="17"/>
      <c r="C128" s="10"/>
      <c r="D128" s="47"/>
      <c r="E128" s="51"/>
      <c r="F128" s="14"/>
      <c r="G128" s="51"/>
      <c r="H128" s="50"/>
      <c r="I128" s="51"/>
      <c r="J128" s="75"/>
      <c r="K128" s="50"/>
      <c r="L128" s="41"/>
      <c r="M128" s="41"/>
      <c r="N128" s="40"/>
    </row>
  </sheetData>
  <autoFilter ref="B8:M83"/>
  <mergeCells count="22">
    <mergeCell ref="N9:N82"/>
    <mergeCell ref="A2:N2"/>
    <mergeCell ref="A3:N3"/>
    <mergeCell ref="A4:N4"/>
    <mergeCell ref="A6:F6"/>
    <mergeCell ref="K7:N7"/>
    <mergeCell ref="L1:N1"/>
    <mergeCell ref="I84:N84"/>
    <mergeCell ref="B90:C90"/>
    <mergeCell ref="D90:N90"/>
    <mergeCell ref="B91:C91"/>
    <mergeCell ref="D91:N91"/>
    <mergeCell ref="B87:C87"/>
    <mergeCell ref="D87:N87"/>
    <mergeCell ref="B88:C88"/>
    <mergeCell ref="D88:N88"/>
    <mergeCell ref="B89:C89"/>
    <mergeCell ref="D89:N89"/>
    <mergeCell ref="B85:C85"/>
    <mergeCell ref="D85:N85"/>
    <mergeCell ref="B86:C86"/>
    <mergeCell ref="D86:N86"/>
  </mergeCells>
  <pageMargins left="0.25" right="0.25" top="0.75" bottom="0.75" header="0.3" footer="0.3"/>
  <pageSetup paperSize="9" scale="60" fitToHeight="0" orientation="landscape" r:id="rId1"/>
  <headerFooter>
    <oddFooter>&amp;CСтраница  &amp;P из &amp;N</oddFooter>
  </headerFooter>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2</vt:i4>
      </vt:variant>
    </vt:vector>
  </HeadingPairs>
  <TitlesOfParts>
    <vt:vector size="3" baseType="lpstr">
      <vt:lpstr>для проверки</vt:lpstr>
      <vt:lpstr>'для проверки'!ExternalData_1</vt:lpstr>
      <vt:lpstr>'для проверки'!Область_печати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plusnin_ip</dc:creator>
  <cp:lastModifiedBy>Администратор</cp:lastModifiedBy>
  <cp:lastPrinted>2025-09-25T06:23:32Z</cp:lastPrinted>
  <dcterms:created xsi:type="dcterms:W3CDTF">2011-03-24T09:14:27Z</dcterms:created>
  <dcterms:modified xsi:type="dcterms:W3CDTF">2026-08-14T04:46:16Z</dcterms:modified>
</cp:coreProperties>
</file>