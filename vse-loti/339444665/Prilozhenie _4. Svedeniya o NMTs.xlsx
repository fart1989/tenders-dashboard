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RM\AD01\Departments\UZIL\ОТдел ТНМО\2026 ЗАКУПКИ\09. Сентябрь\07.09 -36-27 ОЗП (В2В) ЭСВ трубы (Цветкова)\05. Документация ОЗП 36-27\"/>
    </mc:Choice>
  </mc:AlternateContent>
  <bookViews>
    <workbookView xWindow="120" yWindow="75" windowWidth="19020" windowHeight="4335"/>
  </bookViews>
  <sheets>
    <sheet name="для проверки" sheetId="2" r:id="rId1"/>
  </sheets>
  <definedNames>
    <definedName name="_xlnm._FilterDatabase" localSheetId="0" hidden="1">'для проверки'!$B$3:$I$78</definedName>
    <definedName name="ExternalData_1" localSheetId="0">'для проверки'!$A$3:$D$78</definedName>
    <definedName name="_xlnm.Print_Area" localSheetId="0">'для проверки'!$A$1:$I$78</definedName>
  </definedNames>
  <calcPr calcId="162913"/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4" i="2"/>
  <c r="G5" i="2" l="1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4" i="2"/>
  <c r="G78" i="2" l="1"/>
  <c r="H4" i="2"/>
  <c r="H78" i="2" s="1"/>
  <c r="D78" i="2"/>
</calcChain>
</file>

<file path=xl/comments1.xml><?xml version="1.0" encoding="utf-8"?>
<comments xmlns="http://schemas.openxmlformats.org/spreadsheetml/2006/main">
  <authors>
    <author>Казыханова Анна Николаевна</author>
  </authors>
  <commentList>
    <comment ref="L3" authorId="0" shapeId="0">
      <text>
        <r>
          <rPr>
            <b/>
            <sz val="9"/>
            <color indexed="81"/>
            <rFont val="Tahoma"/>
            <charset val="1"/>
          </rPr>
          <t>Наименование работы</t>
        </r>
      </text>
    </comment>
  </commentList>
</comments>
</file>

<file path=xl/connections.xml><?xml version="1.0" encoding="utf-8"?>
<connections xmlns="http://schemas.openxmlformats.org/spreadsheetml/2006/main">
  <connection id="1" name="Подключение1" type="4" refreshedVersion="3" saveData="1">
    <webPr sourceData="1" parsePre="1" consecutive="1" xl2000="1" url="mhtml:file://C:\Documents and Settings\plusnin_ip\Мои документы\Лоты 2011\2 полугодие\Подшипники 19178\подшипники 19178.MHTML!file3976.files/sheet001.htm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<sst xmlns="http://schemas.openxmlformats.org/spreadsheetml/2006/main" count="458" uniqueCount="112">
  <si>
    <t>№ п/п</t>
  </si>
  <si>
    <t>Кол-во</t>
  </si>
  <si>
    <t>Наименование продукции</t>
  </si>
  <si>
    <t>т</t>
  </si>
  <si>
    <t>Завод</t>
  </si>
  <si>
    <t>КОД ОКПД2</t>
  </si>
  <si>
    <t>24.20.13.130</t>
  </si>
  <si>
    <t>Ед. изм</t>
  </si>
  <si>
    <t>ТРУБА 108Х4 СТ20 ГОСТ10704</t>
  </si>
  <si>
    <t>ТРУБА 108Х5 СТ20 ГОСТ10704</t>
  </si>
  <si>
    <t>ТРУБА 133Х5 СТ20 ГОСТ10704</t>
  </si>
  <si>
    <t>ТРУБА 159Х6 СТ20 ГОСТ10705</t>
  </si>
  <si>
    <t>ТРУБА 219Х6 СТ20 ГОСТ10704</t>
  </si>
  <si>
    <t>ТРУБА 219Х6 СТ20 ТИП1 К52 ГОСТ20295</t>
  </si>
  <si>
    <t>ТРУБА 219Х8 СТ20 ГОСТ10704</t>
  </si>
  <si>
    <t>ТРУБА 273Х8 СТ20 ГОСТ10704</t>
  </si>
  <si>
    <t>ТРУБА 325Х8 17Г1СУ ГОСТ10705</t>
  </si>
  <si>
    <t>ТРУБА 530Х9 СТ17Г1С ТИП3 К52 ГОСТ20295</t>
  </si>
  <si>
    <t>ТРУБА 57Х4 СТ20 ГОСТ10704</t>
  </si>
  <si>
    <t>ТРУБА 57Х6 СТ20 ГОСТ10705</t>
  </si>
  <si>
    <t>ТРУБА 630Х9 СТ17Г1С ТИП3 К52 ГОСТ20295</t>
  </si>
  <si>
    <t>ТРУБА 76Х4 СТ20 ГОСТ10704</t>
  </si>
  <si>
    <t>ТРУБА 89Х5 СТ20 ГОСТ10704</t>
  </si>
  <si>
    <t>7UB1</t>
  </si>
  <si>
    <t>7UE1</t>
  </si>
  <si>
    <t>7UO1</t>
  </si>
  <si>
    <t>7UU1</t>
  </si>
  <si>
    <t>7U51</t>
  </si>
  <si>
    <t>7UN1</t>
  </si>
  <si>
    <t>7UJ1</t>
  </si>
  <si>
    <t>7U71</t>
  </si>
  <si>
    <t>Труб и арм отопления (обратка) 07</t>
  </si>
  <si>
    <t>Газопровод от ГРП до КЦ 08</t>
  </si>
  <si>
    <t>ТС.ЗТС ТР(распр) теплосет.имущ-ва_02</t>
  </si>
  <si>
    <t>ТС.ЗТС ТР(распр) теплосет.имущ-ва_07</t>
  </si>
  <si>
    <t>ТС.ЗТС ТР(распр) теплосет.имущ-ва_09</t>
  </si>
  <si>
    <t>ТС.ЗТС ТР(распр) теплосет.имущ-ва_10</t>
  </si>
  <si>
    <t>ТС.ПТС ТР оборудования РК №2 УК №3_06</t>
  </si>
  <si>
    <t>ТС.ПТС ТР оборудования РК №2 УК №3_08</t>
  </si>
  <si>
    <t>ТС.ПТС.ТР оборудования РТС №1_08</t>
  </si>
  <si>
    <t>ТС.ПТС.ТР оборудования 5РТС п.Майский_03</t>
  </si>
  <si>
    <t>ТС.КрТС (распр) ТР оборудования РТС№5_01</t>
  </si>
  <si>
    <t>ТС.КрТС (распр) ТР оборудования РТС№5_04</t>
  </si>
  <si>
    <t>ТС.КрТС (распр) ТР оборудования РТС№5_07</t>
  </si>
  <si>
    <t>ТС.КрТС (распр) ТР оборудования РТС№5_09</t>
  </si>
  <si>
    <t>ТС.КрТС (распр) ТР оборудования РТС№5_11</t>
  </si>
  <si>
    <t>ТС.ПТС.ТР оборудования РТС №1_05</t>
  </si>
  <si>
    <t>ТС.ПТС.ТР оборудования РТС №1_06</t>
  </si>
  <si>
    <t>ТС.ПТС.ТР оборудования РТС №1_07</t>
  </si>
  <si>
    <t>ТС.ПТС ТР оборудования РК №1 УК №1_07</t>
  </si>
  <si>
    <t>ТС.ПТС ТР оборудования РК №1 УК №2_07</t>
  </si>
  <si>
    <t>ТС.ПТС ТР оборудования РК №1 УК №3_06</t>
  </si>
  <si>
    <t>ТС.ПТС ТР оборудования РК №1 УК №4_05</t>
  </si>
  <si>
    <t>ТС.ТР.оборудования РТС №4_05</t>
  </si>
  <si>
    <t>ТС.ПТС.ТР оборудования РК №2 УК №2_08</t>
  </si>
  <si>
    <t>ТС.ПТС.ТР оборудования РК №2 УК №2_09</t>
  </si>
  <si>
    <t>ТС.ПТС.ТР оборудования РТС №2_03</t>
  </si>
  <si>
    <t>ТС.ПТС.ТР оборудования РТС №2_06</t>
  </si>
  <si>
    <t>ТС.ПТС.ТР оборудования РТС №2_08</t>
  </si>
  <si>
    <t>ТС.ПТС.ТР оборудования РТС №2_10</t>
  </si>
  <si>
    <t>ТС.ПТС.ТР оборудования РК УК Чапаевск_07</t>
  </si>
  <si>
    <t>ТС.ПТС.ТР оборудования РТС №2_01</t>
  </si>
  <si>
    <t>ТС.ПТС.ТР оборудования РТС №2_02</t>
  </si>
  <si>
    <t>ТС.ПТС.ТР оборудования РТС №2_04</t>
  </si>
  <si>
    <t>ТС.ПТС.ТР оборудования РТС №3_04</t>
  </si>
  <si>
    <t>ТС.ПТС.ТР оборудования РТС №3_05</t>
  </si>
  <si>
    <t>ТС.ЗТС ТР(распр) теплосет.имущ-ва_04</t>
  </si>
  <si>
    <t>ТС.ЗТС ТР(распр) теплосет.имущ-ва_05</t>
  </si>
  <si>
    <t>ТС.ПТС.КР оборудования РТС №1_01</t>
  </si>
  <si>
    <t>ТС.ПТС.КР оборудования РТС №1_02</t>
  </si>
  <si>
    <t>ТС.ПТС.КР оборудования РТС №1_03</t>
  </si>
  <si>
    <t>ТС.ПТС.КР оборудования РТС №1_04</t>
  </si>
  <si>
    <t>ТС.ПТС.КР оборудования РТС №1_09</t>
  </si>
  <si>
    <t>ТС.ПТС.КР оборудования РТС №1_10</t>
  </si>
  <si>
    <t>ТС.ПТС.КР оборудования РТС №1_11</t>
  </si>
  <si>
    <t>ТС.ПТС.КР оборудования РТС №2_05</t>
  </si>
  <si>
    <t>ТС.ПТС.КР оборудования РТС №2_07</t>
  </si>
  <si>
    <t>ТС.ПТС.КР оборудования РТС №2_09</t>
  </si>
  <si>
    <t>ТС.ПТС.КР оборудования РТС №3_06</t>
  </si>
  <si>
    <t>ТС.ПТС.КР оборудования РТС №3_08</t>
  </si>
  <si>
    <t>ТС.ПТС.КР оборудования РТС №3_09</t>
  </si>
  <si>
    <t>ТС.ПТС.КР оборудования РТС №3_11</t>
  </si>
  <si>
    <t>Ремонт х/способ оборудования ЦТП 08</t>
  </si>
  <si>
    <t>Ремонт х/способ магистрал 08</t>
  </si>
  <si>
    <t>ТС.ЗТС ТР(распр) теплосет.имущ-ва_08</t>
  </si>
  <si>
    <t>ТС.КрТС (распр) ТР оборудования РТС№5_03</t>
  </si>
  <si>
    <t>ТС.КрТС (распр) ТР оборудования РТС№5_10</t>
  </si>
  <si>
    <t>ПТЭЦ-13.ТР Na-кат. фильтра: №3 II ст 10</t>
  </si>
  <si>
    <t>ТС.ПТС.КР оборудования РТС №1_05</t>
  </si>
  <si>
    <t>ТС.ПТС.КР оборудования РТС №2_06</t>
  </si>
  <si>
    <t>Наименование работы</t>
  </si>
  <si>
    <t>ЛВК-3.КР ОБОРУДОВАНИЯ ЛВК 01</t>
  </si>
  <si>
    <t>ТС.ПТС.ТР оборудования 1кв_02</t>
  </si>
  <si>
    <t>ТС.ПТС.ТР оборудования 1кв_03</t>
  </si>
  <si>
    <t>ТС.ПТС.ТР оборудования 1кв_01</t>
  </si>
  <si>
    <t>ТС.КрТС оборудования РТС№5 1кв_03</t>
  </si>
  <si>
    <t>ТС.ПТС ТР оборудования 1 РТС 1кв._01</t>
  </si>
  <si>
    <t>ТС.ПТС ТР оборудования 1 РТС 1кв._02</t>
  </si>
  <si>
    <t>ТС.ПТС ТР оборудования 1 РТС 1кв._03</t>
  </si>
  <si>
    <t>ТС.ПТС ТР маг. оборудования 1кв._03</t>
  </si>
  <si>
    <t>ТС.ПТС ТР оборудования 1кв._03</t>
  </si>
  <si>
    <t>ТС.ПТС ТР оборудования РК 1кв._03</t>
  </si>
  <si>
    <t>ТС.ЗТС.ТР оборудования 1кв._02</t>
  </si>
  <si>
    <t>ТС.ЗТС.ТР оборудования 1кв._03</t>
  </si>
  <si>
    <t>ПТЭЦ-14. КР Оборудования ХЦ (ЭР+)_27(03)</t>
  </si>
  <si>
    <t>ЛВК-3.ТР ОБОРУДОВАНИЯ ЛВК 03</t>
  </si>
  <si>
    <t>Цена, руб. с НДС 22%</t>
  </si>
  <si>
    <t>Цена, руб. без НДС 22%</t>
  </si>
  <si>
    <t>Стоимость, руб. без НДС</t>
  </si>
  <si>
    <t>Стоимость, руб. c НДС 22%</t>
  </si>
  <si>
    <t>Приложение №4 к Документации ОЗП</t>
  </si>
  <si>
    <t>Сведения о начальной (максимальной) цене единицы каждого товара, являющихся предметом закупки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</si>
</sst>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\ _₽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name val="Arial"/>
      <family val="2"/>
      <charset val="204"/>
    </font>
    <font>
      <sz val="9"/>
      <color theme="1"/>
      <name val="Tahoma"/>
      <family val="2"/>
      <charset val="204"/>
    </font>
    <font>
      <sz val="10"/>
      <color indexed="8"/>
      <name val="Arial"/>
      <family val="2"/>
      <charset val="204"/>
    </font>
    <font>
      <sz val="8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sz val="9"/>
      <color indexed="8"/>
      <name val="Tahoma"/>
      <family val="2"/>
      <charset val="204"/>
    </font>
    <font>
      <b/>
      <sz val="9"/>
      <color indexed="8"/>
      <name val="Tahoma"/>
      <family val="2"/>
      <charset val="204"/>
    </font>
    <font>
      <sz val="10"/>
      <color indexed="8"/>
      <name val="Arial"/>
    </font>
    <font>
      <b/>
      <sz val="9"/>
      <color indexed="81"/>
      <name val="Tahoma"/>
      <charset val="1"/>
    </font>
    <font>
      <b/>
      <sz val="9"/>
      <color rgb="FF000000"/>
      <name val="Tahoma"/>
      <family val="2"/>
      <charset val="204"/>
    </font>
    <font>
      <sz val="10"/>
      <color theme="1"/>
      <name val="Arial"/>
      <family val="2"/>
      <charset val="204"/>
    </font>
    <font>
      <i/>
      <sz val="9"/>
      <color theme="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1" applyFill="0">
      <alignment vertical="top" wrapText="1"/>
    </xf>
  </cellStyleXfs>
  <cellXfs count="48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6" fillId="3" borderId="5" xfId="0" applyNumberFormat="1" applyFont="1" applyFill="1" applyBorder="1"/>
    <xf numFmtId="49" fontId="6" fillId="3" borderId="6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5" fontId="8" fillId="2" borderId="3" xfId="0" applyNumberFormat="1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Fill="1" applyBorder="1"/>
    <xf numFmtId="49" fontId="6" fillId="3" borderId="1" xfId="0" applyNumberFormat="1" applyFont="1" applyFill="1" applyBorder="1"/>
    <xf numFmtId="0" fontId="3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9" fontId="11" fillId="3" borderId="5" xfId="0" applyNumberFormat="1" applyFont="1" applyFill="1" applyBorder="1"/>
    <xf numFmtId="49" fontId="11" fillId="3" borderId="6" xfId="0" applyNumberFormat="1" applyFont="1" applyFill="1" applyBorder="1"/>
    <xf numFmtId="49" fontId="11" fillId="3" borderId="8" xfId="0" applyNumberFormat="1" applyFont="1" applyFill="1" applyBorder="1"/>
    <xf numFmtId="0" fontId="11" fillId="4" borderId="6" xfId="0" applyFont="1" applyFill="1" applyBorder="1"/>
    <xf numFmtId="49" fontId="6" fillId="2" borderId="2" xfId="0" applyNumberFormat="1" applyFont="1" applyFill="1" applyBorder="1" applyAlignment="1">
      <alignment horizontal="center"/>
    </xf>
    <xf numFmtId="165" fontId="13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" fontId="14" fillId="0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" fontId="14" fillId="0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4">
    <cellStyle name="=C:\WINNT35\SYSTEM32\COMMAND.COM" xfId="1"/>
    <cellStyle name="Обычный" xfId="0" builtinId="0"/>
    <cellStyle name="Обычный 4" xfId="2"/>
    <cellStyle name="Стиль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4002</xdr:colOff>
      <xdr:row>77</xdr:row>
      <xdr:rowOff>0</xdr:rowOff>
    </xdr:from>
    <xdr:ext cx="85725" cy="906273"/>
    <xdr:pic>
      <xdr:nvPicPr>
        <xdr:cNvPr id="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77</xdr:row>
      <xdr:rowOff>0</xdr:rowOff>
    </xdr:from>
    <xdr:ext cx="85725" cy="906273"/>
    <xdr:pic>
      <xdr:nvPicPr>
        <xdr:cNvPr id="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77</xdr:row>
      <xdr:rowOff>0</xdr:rowOff>
    </xdr:from>
    <xdr:ext cx="85725" cy="906273"/>
    <xdr:pic>
      <xdr:nvPicPr>
        <xdr:cNvPr id="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77</xdr:row>
      <xdr:rowOff>0</xdr:rowOff>
    </xdr:from>
    <xdr:ext cx="85725" cy="906273"/>
    <xdr:pic>
      <xdr:nvPicPr>
        <xdr:cNvPr id="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1293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32767</xdr:rowOff>
    </xdr:to>
    <xdr:sp macro="" textlink="">
      <xdr:nvSpPr>
        <xdr:cNvPr id="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882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10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55445</xdr:rowOff>
    </xdr:to>
    <xdr:pic>
      <xdr:nvPicPr>
        <xdr:cNvPr id="11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36395</xdr:rowOff>
    </xdr:to>
    <xdr:pic>
      <xdr:nvPicPr>
        <xdr:cNvPr id="12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2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84020</xdr:rowOff>
    </xdr:to>
    <xdr:pic>
      <xdr:nvPicPr>
        <xdr:cNvPr id="13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58167</xdr:rowOff>
    </xdr:to>
    <xdr:pic>
      <xdr:nvPicPr>
        <xdr:cNvPr id="14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48642</xdr:rowOff>
    </xdr:to>
    <xdr:pic>
      <xdr:nvPicPr>
        <xdr:cNvPr id="15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16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17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84019</xdr:rowOff>
    </xdr:to>
    <xdr:pic>
      <xdr:nvPicPr>
        <xdr:cNvPr id="18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58166</xdr:rowOff>
    </xdr:to>
    <xdr:pic>
      <xdr:nvPicPr>
        <xdr:cNvPr id="19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20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71774</xdr:rowOff>
    </xdr:to>
    <xdr:pic>
      <xdr:nvPicPr>
        <xdr:cNvPr id="21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81</xdr:row>
      <xdr:rowOff>117131</xdr:rowOff>
    </xdr:to>
    <xdr:pic>
      <xdr:nvPicPr>
        <xdr:cNvPr id="2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71774</xdr:rowOff>
    </xdr:to>
    <xdr:pic>
      <xdr:nvPicPr>
        <xdr:cNvPr id="23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71773</xdr:rowOff>
    </xdr:to>
    <xdr:pic>
      <xdr:nvPicPr>
        <xdr:cNvPr id="24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81</xdr:row>
      <xdr:rowOff>117131</xdr:rowOff>
    </xdr:to>
    <xdr:pic>
      <xdr:nvPicPr>
        <xdr:cNvPr id="25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71773</xdr:rowOff>
    </xdr:to>
    <xdr:pic>
      <xdr:nvPicPr>
        <xdr:cNvPr id="26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75855</xdr:rowOff>
    </xdr:to>
    <xdr:pic>
      <xdr:nvPicPr>
        <xdr:cNvPr id="27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64969</xdr:rowOff>
    </xdr:to>
    <xdr:pic>
      <xdr:nvPicPr>
        <xdr:cNvPr id="28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10995</xdr:rowOff>
    </xdr:to>
    <xdr:pic>
      <xdr:nvPicPr>
        <xdr:cNvPr id="29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3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55445</xdr:rowOff>
    </xdr:to>
    <xdr:pic>
      <xdr:nvPicPr>
        <xdr:cNvPr id="30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58166</xdr:rowOff>
    </xdr:to>
    <xdr:pic>
      <xdr:nvPicPr>
        <xdr:cNvPr id="31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32767</xdr:rowOff>
    </xdr:to>
    <xdr:sp macro="" textlink="">
      <xdr:nvSpPr>
        <xdr:cNvPr id="3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882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3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3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3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36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55445</xdr:rowOff>
    </xdr:to>
    <xdr:pic>
      <xdr:nvPicPr>
        <xdr:cNvPr id="37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36395</xdr:rowOff>
    </xdr:to>
    <xdr:pic>
      <xdr:nvPicPr>
        <xdr:cNvPr id="38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2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84020</xdr:rowOff>
    </xdr:to>
    <xdr:pic>
      <xdr:nvPicPr>
        <xdr:cNvPr id="39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58167</xdr:rowOff>
    </xdr:to>
    <xdr:pic>
      <xdr:nvPicPr>
        <xdr:cNvPr id="40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48642</xdr:rowOff>
    </xdr:to>
    <xdr:pic>
      <xdr:nvPicPr>
        <xdr:cNvPr id="41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42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43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84019</xdr:rowOff>
    </xdr:to>
    <xdr:pic>
      <xdr:nvPicPr>
        <xdr:cNvPr id="44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58166</xdr:rowOff>
    </xdr:to>
    <xdr:pic>
      <xdr:nvPicPr>
        <xdr:cNvPr id="45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46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71774</xdr:rowOff>
    </xdr:to>
    <xdr:pic>
      <xdr:nvPicPr>
        <xdr:cNvPr id="47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81</xdr:row>
      <xdr:rowOff>117131</xdr:rowOff>
    </xdr:to>
    <xdr:pic>
      <xdr:nvPicPr>
        <xdr:cNvPr id="4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71774</xdr:rowOff>
    </xdr:to>
    <xdr:pic>
      <xdr:nvPicPr>
        <xdr:cNvPr id="49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71773</xdr:rowOff>
    </xdr:to>
    <xdr:pic>
      <xdr:nvPicPr>
        <xdr:cNvPr id="50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81</xdr:row>
      <xdr:rowOff>117131</xdr:rowOff>
    </xdr:to>
    <xdr:pic>
      <xdr:nvPicPr>
        <xdr:cNvPr id="51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71773</xdr:rowOff>
    </xdr:to>
    <xdr:pic>
      <xdr:nvPicPr>
        <xdr:cNvPr id="52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75855</xdr:rowOff>
    </xdr:to>
    <xdr:pic>
      <xdr:nvPicPr>
        <xdr:cNvPr id="53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64969</xdr:rowOff>
    </xdr:to>
    <xdr:pic>
      <xdr:nvPicPr>
        <xdr:cNvPr id="54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10995</xdr:rowOff>
    </xdr:to>
    <xdr:pic>
      <xdr:nvPicPr>
        <xdr:cNvPr id="55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3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55445</xdr:rowOff>
    </xdr:to>
    <xdr:pic>
      <xdr:nvPicPr>
        <xdr:cNvPr id="56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58166</xdr:rowOff>
    </xdr:to>
    <xdr:pic>
      <xdr:nvPicPr>
        <xdr:cNvPr id="57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32766</xdr:rowOff>
    </xdr:to>
    <xdr:sp macro="" textlink="">
      <xdr:nvSpPr>
        <xdr:cNvPr id="5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882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5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6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6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48640</xdr:rowOff>
    </xdr:to>
    <xdr:pic>
      <xdr:nvPicPr>
        <xdr:cNvPr id="62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55444</xdr:rowOff>
    </xdr:to>
    <xdr:pic>
      <xdr:nvPicPr>
        <xdr:cNvPr id="63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36394</xdr:rowOff>
    </xdr:to>
    <xdr:pic>
      <xdr:nvPicPr>
        <xdr:cNvPr id="64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2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84019</xdr:rowOff>
    </xdr:to>
    <xdr:pic>
      <xdr:nvPicPr>
        <xdr:cNvPr id="65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58166</xdr:rowOff>
    </xdr:to>
    <xdr:pic>
      <xdr:nvPicPr>
        <xdr:cNvPr id="6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67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48640</xdr:rowOff>
    </xdr:to>
    <xdr:pic>
      <xdr:nvPicPr>
        <xdr:cNvPr id="68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48640</xdr:rowOff>
    </xdr:to>
    <xdr:pic>
      <xdr:nvPicPr>
        <xdr:cNvPr id="69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84018</xdr:rowOff>
    </xdr:to>
    <xdr:pic>
      <xdr:nvPicPr>
        <xdr:cNvPr id="70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58165</xdr:rowOff>
    </xdr:to>
    <xdr:pic>
      <xdr:nvPicPr>
        <xdr:cNvPr id="71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48640</xdr:rowOff>
    </xdr:to>
    <xdr:pic>
      <xdr:nvPicPr>
        <xdr:cNvPr id="72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71773</xdr:rowOff>
    </xdr:to>
    <xdr:pic>
      <xdr:nvPicPr>
        <xdr:cNvPr id="73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81</xdr:row>
      <xdr:rowOff>117130</xdr:rowOff>
    </xdr:to>
    <xdr:pic>
      <xdr:nvPicPr>
        <xdr:cNvPr id="7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71773</xdr:rowOff>
    </xdr:to>
    <xdr:pic>
      <xdr:nvPicPr>
        <xdr:cNvPr id="75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71772</xdr:rowOff>
    </xdr:to>
    <xdr:pic>
      <xdr:nvPicPr>
        <xdr:cNvPr id="76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81</xdr:row>
      <xdr:rowOff>117130</xdr:rowOff>
    </xdr:to>
    <xdr:pic>
      <xdr:nvPicPr>
        <xdr:cNvPr id="77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71772</xdr:rowOff>
    </xdr:to>
    <xdr:pic>
      <xdr:nvPicPr>
        <xdr:cNvPr id="78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75854</xdr:rowOff>
    </xdr:to>
    <xdr:pic>
      <xdr:nvPicPr>
        <xdr:cNvPr id="79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64968</xdr:rowOff>
    </xdr:to>
    <xdr:pic>
      <xdr:nvPicPr>
        <xdr:cNvPr id="80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10994</xdr:rowOff>
    </xdr:to>
    <xdr:pic>
      <xdr:nvPicPr>
        <xdr:cNvPr id="81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3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55444</xdr:rowOff>
    </xdr:to>
    <xdr:pic>
      <xdr:nvPicPr>
        <xdr:cNvPr id="82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58165</xdr:rowOff>
    </xdr:to>
    <xdr:pic>
      <xdr:nvPicPr>
        <xdr:cNvPr id="83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32766</xdr:rowOff>
    </xdr:to>
    <xdr:sp macro="" textlink="">
      <xdr:nvSpPr>
        <xdr:cNvPr id="8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882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8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8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64407</xdr:colOff>
      <xdr:row>80</xdr:row>
      <xdr:rowOff>21167</xdr:rowOff>
    </xdr:to>
    <xdr:sp macro="" textlink="">
      <xdr:nvSpPr>
        <xdr:cNvPr id="8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48640</xdr:rowOff>
    </xdr:to>
    <xdr:pic>
      <xdr:nvPicPr>
        <xdr:cNvPr id="88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55444</xdr:rowOff>
    </xdr:to>
    <xdr:pic>
      <xdr:nvPicPr>
        <xdr:cNvPr id="89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36394</xdr:rowOff>
    </xdr:to>
    <xdr:pic>
      <xdr:nvPicPr>
        <xdr:cNvPr id="90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2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84019</xdr:rowOff>
    </xdr:to>
    <xdr:pic>
      <xdr:nvPicPr>
        <xdr:cNvPr id="91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58166</xdr:rowOff>
    </xdr:to>
    <xdr:pic>
      <xdr:nvPicPr>
        <xdr:cNvPr id="92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48641</xdr:rowOff>
    </xdr:to>
    <xdr:pic>
      <xdr:nvPicPr>
        <xdr:cNvPr id="93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48640</xdr:rowOff>
    </xdr:to>
    <xdr:pic>
      <xdr:nvPicPr>
        <xdr:cNvPr id="94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48640</xdr:rowOff>
    </xdr:to>
    <xdr:pic>
      <xdr:nvPicPr>
        <xdr:cNvPr id="95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84018</xdr:rowOff>
    </xdr:to>
    <xdr:pic>
      <xdr:nvPicPr>
        <xdr:cNvPr id="96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58165</xdr:rowOff>
    </xdr:to>
    <xdr:pic>
      <xdr:nvPicPr>
        <xdr:cNvPr id="97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48640</xdr:rowOff>
    </xdr:to>
    <xdr:pic>
      <xdr:nvPicPr>
        <xdr:cNvPr id="98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71773</xdr:rowOff>
    </xdr:to>
    <xdr:pic>
      <xdr:nvPicPr>
        <xdr:cNvPr id="99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81</xdr:row>
      <xdr:rowOff>117130</xdr:rowOff>
    </xdr:to>
    <xdr:pic>
      <xdr:nvPicPr>
        <xdr:cNvPr id="100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71773</xdr:rowOff>
    </xdr:to>
    <xdr:pic>
      <xdr:nvPicPr>
        <xdr:cNvPr id="101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71772</xdr:rowOff>
    </xdr:to>
    <xdr:pic>
      <xdr:nvPicPr>
        <xdr:cNvPr id="102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81</xdr:row>
      <xdr:rowOff>117130</xdr:rowOff>
    </xdr:to>
    <xdr:pic>
      <xdr:nvPicPr>
        <xdr:cNvPr id="103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71772</xdr:rowOff>
    </xdr:to>
    <xdr:pic>
      <xdr:nvPicPr>
        <xdr:cNvPr id="104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75854</xdr:rowOff>
    </xdr:to>
    <xdr:pic>
      <xdr:nvPicPr>
        <xdr:cNvPr id="105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64968</xdr:rowOff>
    </xdr:to>
    <xdr:pic>
      <xdr:nvPicPr>
        <xdr:cNvPr id="106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10994</xdr:rowOff>
    </xdr:to>
    <xdr:pic>
      <xdr:nvPicPr>
        <xdr:cNvPr id="107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3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55444</xdr:rowOff>
    </xdr:to>
    <xdr:pic>
      <xdr:nvPicPr>
        <xdr:cNvPr id="108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80</xdr:row>
      <xdr:rowOff>58165</xdr:rowOff>
    </xdr:to>
    <xdr:pic>
      <xdr:nvPicPr>
        <xdr:cNvPr id="109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77</xdr:row>
      <xdr:rowOff>0</xdr:rowOff>
    </xdr:from>
    <xdr:ext cx="64407" cy="663160"/>
    <xdr:sp macro="" textlink="">
      <xdr:nvSpPr>
        <xdr:cNvPr id="11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11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11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11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14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8"/>
    <xdr:pic>
      <xdr:nvPicPr>
        <xdr:cNvPr id="115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6788"/>
    <xdr:pic>
      <xdr:nvPicPr>
        <xdr:cNvPr id="116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3"/>
    <xdr:pic>
      <xdr:nvPicPr>
        <xdr:cNvPr id="117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60"/>
    <xdr:pic>
      <xdr:nvPicPr>
        <xdr:cNvPr id="118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5"/>
    <xdr:pic>
      <xdr:nvPicPr>
        <xdr:cNvPr id="119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20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21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2"/>
    <xdr:pic>
      <xdr:nvPicPr>
        <xdr:cNvPr id="122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123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24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7"/>
    <xdr:pic>
      <xdr:nvPicPr>
        <xdr:cNvPr id="125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4"/>
    <xdr:pic>
      <xdr:nvPicPr>
        <xdr:cNvPr id="12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7"/>
    <xdr:pic>
      <xdr:nvPicPr>
        <xdr:cNvPr id="127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128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4"/>
    <xdr:pic>
      <xdr:nvPicPr>
        <xdr:cNvPr id="129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130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6248"/>
    <xdr:pic>
      <xdr:nvPicPr>
        <xdr:cNvPr id="131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5362"/>
    <xdr:pic>
      <xdr:nvPicPr>
        <xdr:cNvPr id="132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41388"/>
    <xdr:pic>
      <xdr:nvPicPr>
        <xdr:cNvPr id="133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8"/>
    <xdr:pic>
      <xdr:nvPicPr>
        <xdr:cNvPr id="134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135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3160"/>
    <xdr:sp macro="" textlink="">
      <xdr:nvSpPr>
        <xdr:cNvPr id="13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13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13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13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40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8"/>
    <xdr:pic>
      <xdr:nvPicPr>
        <xdr:cNvPr id="141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6788"/>
    <xdr:pic>
      <xdr:nvPicPr>
        <xdr:cNvPr id="142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3"/>
    <xdr:pic>
      <xdr:nvPicPr>
        <xdr:cNvPr id="143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60"/>
    <xdr:pic>
      <xdr:nvPicPr>
        <xdr:cNvPr id="144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5"/>
    <xdr:pic>
      <xdr:nvPicPr>
        <xdr:cNvPr id="145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46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47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2"/>
    <xdr:pic>
      <xdr:nvPicPr>
        <xdr:cNvPr id="148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149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50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7"/>
    <xdr:pic>
      <xdr:nvPicPr>
        <xdr:cNvPr id="151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4"/>
    <xdr:pic>
      <xdr:nvPicPr>
        <xdr:cNvPr id="15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7"/>
    <xdr:pic>
      <xdr:nvPicPr>
        <xdr:cNvPr id="153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154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4"/>
    <xdr:pic>
      <xdr:nvPicPr>
        <xdr:cNvPr id="155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156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6248"/>
    <xdr:pic>
      <xdr:nvPicPr>
        <xdr:cNvPr id="157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5362"/>
    <xdr:pic>
      <xdr:nvPicPr>
        <xdr:cNvPr id="158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41388"/>
    <xdr:pic>
      <xdr:nvPicPr>
        <xdr:cNvPr id="159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8"/>
    <xdr:pic>
      <xdr:nvPicPr>
        <xdr:cNvPr id="160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161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3159"/>
    <xdr:sp macro="" textlink="">
      <xdr:nvSpPr>
        <xdr:cNvPr id="16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16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16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16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166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7"/>
    <xdr:pic>
      <xdr:nvPicPr>
        <xdr:cNvPr id="167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6787"/>
    <xdr:pic>
      <xdr:nvPicPr>
        <xdr:cNvPr id="168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2"/>
    <xdr:pic>
      <xdr:nvPicPr>
        <xdr:cNvPr id="169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170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71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172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173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1"/>
    <xdr:pic>
      <xdr:nvPicPr>
        <xdr:cNvPr id="174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8"/>
    <xdr:pic>
      <xdr:nvPicPr>
        <xdr:cNvPr id="175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176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177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3"/>
    <xdr:pic>
      <xdr:nvPicPr>
        <xdr:cNvPr id="17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179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5"/>
    <xdr:pic>
      <xdr:nvPicPr>
        <xdr:cNvPr id="180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3"/>
    <xdr:pic>
      <xdr:nvPicPr>
        <xdr:cNvPr id="181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5"/>
    <xdr:pic>
      <xdr:nvPicPr>
        <xdr:cNvPr id="182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6247"/>
    <xdr:pic>
      <xdr:nvPicPr>
        <xdr:cNvPr id="183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5361"/>
    <xdr:pic>
      <xdr:nvPicPr>
        <xdr:cNvPr id="184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41387"/>
    <xdr:pic>
      <xdr:nvPicPr>
        <xdr:cNvPr id="185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7"/>
    <xdr:pic>
      <xdr:nvPicPr>
        <xdr:cNvPr id="186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8"/>
    <xdr:pic>
      <xdr:nvPicPr>
        <xdr:cNvPr id="187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3159"/>
    <xdr:sp macro="" textlink="">
      <xdr:nvSpPr>
        <xdr:cNvPr id="18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18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19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19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192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7"/>
    <xdr:pic>
      <xdr:nvPicPr>
        <xdr:cNvPr id="193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6787"/>
    <xdr:pic>
      <xdr:nvPicPr>
        <xdr:cNvPr id="194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2"/>
    <xdr:pic>
      <xdr:nvPicPr>
        <xdr:cNvPr id="195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19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197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198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199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1"/>
    <xdr:pic>
      <xdr:nvPicPr>
        <xdr:cNvPr id="200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8"/>
    <xdr:pic>
      <xdr:nvPicPr>
        <xdr:cNvPr id="201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202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203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3"/>
    <xdr:pic>
      <xdr:nvPicPr>
        <xdr:cNvPr id="20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205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5"/>
    <xdr:pic>
      <xdr:nvPicPr>
        <xdr:cNvPr id="206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3"/>
    <xdr:pic>
      <xdr:nvPicPr>
        <xdr:cNvPr id="207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5"/>
    <xdr:pic>
      <xdr:nvPicPr>
        <xdr:cNvPr id="208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6247"/>
    <xdr:pic>
      <xdr:nvPicPr>
        <xdr:cNvPr id="209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5361"/>
    <xdr:pic>
      <xdr:nvPicPr>
        <xdr:cNvPr id="210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41387"/>
    <xdr:pic>
      <xdr:nvPicPr>
        <xdr:cNvPr id="211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7"/>
    <xdr:pic>
      <xdr:nvPicPr>
        <xdr:cNvPr id="212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0358"/>
    <xdr:sp macro="" textlink="">
      <xdr:nvSpPr>
        <xdr:cNvPr id="21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35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6"/>
    <xdr:sp macro="" textlink="">
      <xdr:nvSpPr>
        <xdr:cNvPr id="21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6"/>
    <xdr:sp macro="" textlink="">
      <xdr:nvSpPr>
        <xdr:cNvPr id="21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6"/>
    <xdr:sp macro="" textlink="">
      <xdr:nvSpPr>
        <xdr:cNvPr id="21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17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3036"/>
    <xdr:pic>
      <xdr:nvPicPr>
        <xdr:cNvPr id="218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3986"/>
    <xdr:pic>
      <xdr:nvPicPr>
        <xdr:cNvPr id="219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3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1611"/>
    <xdr:pic>
      <xdr:nvPicPr>
        <xdr:cNvPr id="220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8"/>
    <xdr:pic>
      <xdr:nvPicPr>
        <xdr:cNvPr id="221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3"/>
    <xdr:pic>
      <xdr:nvPicPr>
        <xdr:cNvPr id="222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23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24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1610"/>
    <xdr:pic>
      <xdr:nvPicPr>
        <xdr:cNvPr id="225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7"/>
    <xdr:pic>
      <xdr:nvPicPr>
        <xdr:cNvPr id="226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27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5"/>
    <xdr:pic>
      <xdr:nvPicPr>
        <xdr:cNvPr id="228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3472"/>
    <xdr:pic>
      <xdr:nvPicPr>
        <xdr:cNvPr id="22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5"/>
    <xdr:pic>
      <xdr:nvPicPr>
        <xdr:cNvPr id="230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4"/>
    <xdr:pic>
      <xdr:nvPicPr>
        <xdr:cNvPr id="231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3472"/>
    <xdr:pic>
      <xdr:nvPicPr>
        <xdr:cNvPr id="232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4"/>
    <xdr:pic>
      <xdr:nvPicPr>
        <xdr:cNvPr id="233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3446"/>
    <xdr:pic>
      <xdr:nvPicPr>
        <xdr:cNvPr id="234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3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2560"/>
    <xdr:pic>
      <xdr:nvPicPr>
        <xdr:cNvPr id="235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38586"/>
    <xdr:pic>
      <xdr:nvPicPr>
        <xdr:cNvPr id="236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38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3036"/>
    <xdr:pic>
      <xdr:nvPicPr>
        <xdr:cNvPr id="237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7"/>
    <xdr:pic>
      <xdr:nvPicPr>
        <xdr:cNvPr id="238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0358"/>
    <xdr:sp macro="" textlink="">
      <xdr:nvSpPr>
        <xdr:cNvPr id="23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35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6"/>
    <xdr:sp macro="" textlink="">
      <xdr:nvSpPr>
        <xdr:cNvPr id="24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6"/>
    <xdr:sp macro="" textlink="">
      <xdr:nvSpPr>
        <xdr:cNvPr id="24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6"/>
    <xdr:sp macro="" textlink="">
      <xdr:nvSpPr>
        <xdr:cNvPr id="24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43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3036"/>
    <xdr:pic>
      <xdr:nvPicPr>
        <xdr:cNvPr id="244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3986"/>
    <xdr:pic>
      <xdr:nvPicPr>
        <xdr:cNvPr id="245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3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1611"/>
    <xdr:pic>
      <xdr:nvPicPr>
        <xdr:cNvPr id="246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8"/>
    <xdr:pic>
      <xdr:nvPicPr>
        <xdr:cNvPr id="247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3"/>
    <xdr:pic>
      <xdr:nvPicPr>
        <xdr:cNvPr id="248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49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50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1610"/>
    <xdr:pic>
      <xdr:nvPicPr>
        <xdr:cNvPr id="251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7"/>
    <xdr:pic>
      <xdr:nvPicPr>
        <xdr:cNvPr id="252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53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5"/>
    <xdr:pic>
      <xdr:nvPicPr>
        <xdr:cNvPr id="254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3472"/>
    <xdr:pic>
      <xdr:nvPicPr>
        <xdr:cNvPr id="25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5"/>
    <xdr:pic>
      <xdr:nvPicPr>
        <xdr:cNvPr id="256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4"/>
    <xdr:pic>
      <xdr:nvPicPr>
        <xdr:cNvPr id="257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3472"/>
    <xdr:pic>
      <xdr:nvPicPr>
        <xdr:cNvPr id="258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4"/>
    <xdr:pic>
      <xdr:nvPicPr>
        <xdr:cNvPr id="259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3446"/>
    <xdr:pic>
      <xdr:nvPicPr>
        <xdr:cNvPr id="260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3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2560"/>
    <xdr:pic>
      <xdr:nvPicPr>
        <xdr:cNvPr id="261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38586"/>
    <xdr:pic>
      <xdr:nvPicPr>
        <xdr:cNvPr id="262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38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3036"/>
    <xdr:pic>
      <xdr:nvPicPr>
        <xdr:cNvPr id="263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7"/>
    <xdr:pic>
      <xdr:nvPicPr>
        <xdr:cNvPr id="264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0357"/>
    <xdr:sp macro="" textlink="">
      <xdr:nvSpPr>
        <xdr:cNvPr id="26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35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5"/>
    <xdr:sp macro="" textlink="">
      <xdr:nvSpPr>
        <xdr:cNvPr id="26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5"/>
    <xdr:sp macro="" textlink="">
      <xdr:nvSpPr>
        <xdr:cNvPr id="26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5"/>
    <xdr:sp macro="" textlink="">
      <xdr:nvSpPr>
        <xdr:cNvPr id="26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6231"/>
    <xdr:pic>
      <xdr:nvPicPr>
        <xdr:cNvPr id="269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3035"/>
    <xdr:pic>
      <xdr:nvPicPr>
        <xdr:cNvPr id="270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3985"/>
    <xdr:pic>
      <xdr:nvPicPr>
        <xdr:cNvPr id="271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3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1610"/>
    <xdr:pic>
      <xdr:nvPicPr>
        <xdr:cNvPr id="272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7"/>
    <xdr:pic>
      <xdr:nvPicPr>
        <xdr:cNvPr id="273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274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1"/>
    <xdr:pic>
      <xdr:nvPicPr>
        <xdr:cNvPr id="275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1"/>
    <xdr:pic>
      <xdr:nvPicPr>
        <xdr:cNvPr id="276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1609"/>
    <xdr:pic>
      <xdr:nvPicPr>
        <xdr:cNvPr id="277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6"/>
    <xdr:pic>
      <xdr:nvPicPr>
        <xdr:cNvPr id="278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1"/>
    <xdr:pic>
      <xdr:nvPicPr>
        <xdr:cNvPr id="279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4"/>
    <xdr:pic>
      <xdr:nvPicPr>
        <xdr:cNvPr id="280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3471"/>
    <xdr:pic>
      <xdr:nvPicPr>
        <xdr:cNvPr id="28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4"/>
    <xdr:pic>
      <xdr:nvPicPr>
        <xdr:cNvPr id="282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3"/>
    <xdr:pic>
      <xdr:nvPicPr>
        <xdr:cNvPr id="283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3471"/>
    <xdr:pic>
      <xdr:nvPicPr>
        <xdr:cNvPr id="284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3"/>
    <xdr:pic>
      <xdr:nvPicPr>
        <xdr:cNvPr id="285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3445"/>
    <xdr:pic>
      <xdr:nvPicPr>
        <xdr:cNvPr id="286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3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2559"/>
    <xdr:pic>
      <xdr:nvPicPr>
        <xdr:cNvPr id="287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38585"/>
    <xdr:pic>
      <xdr:nvPicPr>
        <xdr:cNvPr id="288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38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3035"/>
    <xdr:pic>
      <xdr:nvPicPr>
        <xdr:cNvPr id="289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6"/>
    <xdr:pic>
      <xdr:nvPicPr>
        <xdr:cNvPr id="290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0357"/>
    <xdr:sp macro="" textlink="">
      <xdr:nvSpPr>
        <xdr:cNvPr id="29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35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5"/>
    <xdr:sp macro="" textlink="">
      <xdr:nvSpPr>
        <xdr:cNvPr id="29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5"/>
    <xdr:sp macro="" textlink="">
      <xdr:nvSpPr>
        <xdr:cNvPr id="29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57635"/>
    <xdr:sp macro="" textlink="">
      <xdr:nvSpPr>
        <xdr:cNvPr id="29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6231"/>
    <xdr:pic>
      <xdr:nvPicPr>
        <xdr:cNvPr id="295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3035"/>
    <xdr:pic>
      <xdr:nvPicPr>
        <xdr:cNvPr id="296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3985"/>
    <xdr:pic>
      <xdr:nvPicPr>
        <xdr:cNvPr id="297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3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1610"/>
    <xdr:pic>
      <xdr:nvPicPr>
        <xdr:cNvPr id="298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7"/>
    <xdr:pic>
      <xdr:nvPicPr>
        <xdr:cNvPr id="299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2"/>
    <xdr:pic>
      <xdr:nvPicPr>
        <xdr:cNvPr id="300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1"/>
    <xdr:pic>
      <xdr:nvPicPr>
        <xdr:cNvPr id="301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1"/>
    <xdr:pic>
      <xdr:nvPicPr>
        <xdr:cNvPr id="302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1609"/>
    <xdr:pic>
      <xdr:nvPicPr>
        <xdr:cNvPr id="303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6"/>
    <xdr:pic>
      <xdr:nvPicPr>
        <xdr:cNvPr id="304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6231"/>
    <xdr:pic>
      <xdr:nvPicPr>
        <xdr:cNvPr id="305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4"/>
    <xdr:pic>
      <xdr:nvPicPr>
        <xdr:cNvPr id="306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3471"/>
    <xdr:pic>
      <xdr:nvPicPr>
        <xdr:cNvPr id="30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4"/>
    <xdr:pic>
      <xdr:nvPicPr>
        <xdr:cNvPr id="308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3"/>
    <xdr:pic>
      <xdr:nvPicPr>
        <xdr:cNvPr id="309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3471"/>
    <xdr:pic>
      <xdr:nvPicPr>
        <xdr:cNvPr id="310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9363"/>
    <xdr:pic>
      <xdr:nvPicPr>
        <xdr:cNvPr id="311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3445"/>
    <xdr:pic>
      <xdr:nvPicPr>
        <xdr:cNvPr id="312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3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2559"/>
    <xdr:pic>
      <xdr:nvPicPr>
        <xdr:cNvPr id="313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38585"/>
    <xdr:pic>
      <xdr:nvPicPr>
        <xdr:cNvPr id="314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38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3035"/>
    <xdr:pic>
      <xdr:nvPicPr>
        <xdr:cNvPr id="315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756"/>
    <xdr:pic>
      <xdr:nvPicPr>
        <xdr:cNvPr id="316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3160"/>
    <xdr:sp macro="" textlink="">
      <xdr:nvSpPr>
        <xdr:cNvPr id="31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31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31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32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21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8"/>
    <xdr:pic>
      <xdr:nvPicPr>
        <xdr:cNvPr id="322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6788"/>
    <xdr:pic>
      <xdr:nvPicPr>
        <xdr:cNvPr id="323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3"/>
    <xdr:pic>
      <xdr:nvPicPr>
        <xdr:cNvPr id="324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60"/>
    <xdr:pic>
      <xdr:nvPicPr>
        <xdr:cNvPr id="325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5"/>
    <xdr:pic>
      <xdr:nvPicPr>
        <xdr:cNvPr id="326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27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28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2"/>
    <xdr:pic>
      <xdr:nvPicPr>
        <xdr:cNvPr id="329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330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31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7"/>
    <xdr:pic>
      <xdr:nvPicPr>
        <xdr:cNvPr id="332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4"/>
    <xdr:pic>
      <xdr:nvPicPr>
        <xdr:cNvPr id="33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7"/>
    <xdr:pic>
      <xdr:nvPicPr>
        <xdr:cNvPr id="334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335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4"/>
    <xdr:pic>
      <xdr:nvPicPr>
        <xdr:cNvPr id="336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337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6248"/>
    <xdr:pic>
      <xdr:nvPicPr>
        <xdr:cNvPr id="338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5362"/>
    <xdr:pic>
      <xdr:nvPicPr>
        <xdr:cNvPr id="339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41388"/>
    <xdr:pic>
      <xdr:nvPicPr>
        <xdr:cNvPr id="340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8"/>
    <xdr:pic>
      <xdr:nvPicPr>
        <xdr:cNvPr id="341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342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3160"/>
    <xdr:sp macro="" textlink="">
      <xdr:nvSpPr>
        <xdr:cNvPr id="34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34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34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8"/>
    <xdr:sp macro="" textlink="">
      <xdr:nvSpPr>
        <xdr:cNvPr id="34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47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8"/>
    <xdr:pic>
      <xdr:nvPicPr>
        <xdr:cNvPr id="348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6788"/>
    <xdr:pic>
      <xdr:nvPicPr>
        <xdr:cNvPr id="349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3"/>
    <xdr:pic>
      <xdr:nvPicPr>
        <xdr:cNvPr id="350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60"/>
    <xdr:pic>
      <xdr:nvPicPr>
        <xdr:cNvPr id="351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5"/>
    <xdr:pic>
      <xdr:nvPicPr>
        <xdr:cNvPr id="352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53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54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2"/>
    <xdr:pic>
      <xdr:nvPicPr>
        <xdr:cNvPr id="355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356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57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7"/>
    <xdr:pic>
      <xdr:nvPicPr>
        <xdr:cNvPr id="358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4"/>
    <xdr:pic>
      <xdr:nvPicPr>
        <xdr:cNvPr id="35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7"/>
    <xdr:pic>
      <xdr:nvPicPr>
        <xdr:cNvPr id="360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361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4"/>
    <xdr:pic>
      <xdr:nvPicPr>
        <xdr:cNvPr id="362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363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6248"/>
    <xdr:pic>
      <xdr:nvPicPr>
        <xdr:cNvPr id="364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5362"/>
    <xdr:pic>
      <xdr:nvPicPr>
        <xdr:cNvPr id="365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41388"/>
    <xdr:pic>
      <xdr:nvPicPr>
        <xdr:cNvPr id="366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8"/>
    <xdr:pic>
      <xdr:nvPicPr>
        <xdr:cNvPr id="367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368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3159"/>
    <xdr:sp macro="" textlink="">
      <xdr:nvSpPr>
        <xdr:cNvPr id="36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37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37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37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373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7"/>
    <xdr:pic>
      <xdr:nvPicPr>
        <xdr:cNvPr id="374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6787"/>
    <xdr:pic>
      <xdr:nvPicPr>
        <xdr:cNvPr id="375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2"/>
    <xdr:pic>
      <xdr:nvPicPr>
        <xdr:cNvPr id="376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377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378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379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380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1"/>
    <xdr:pic>
      <xdr:nvPicPr>
        <xdr:cNvPr id="381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8"/>
    <xdr:pic>
      <xdr:nvPicPr>
        <xdr:cNvPr id="382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383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384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3"/>
    <xdr:pic>
      <xdr:nvPicPr>
        <xdr:cNvPr id="38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386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5"/>
    <xdr:pic>
      <xdr:nvPicPr>
        <xdr:cNvPr id="387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3"/>
    <xdr:pic>
      <xdr:nvPicPr>
        <xdr:cNvPr id="388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5"/>
    <xdr:pic>
      <xdr:nvPicPr>
        <xdr:cNvPr id="389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6247"/>
    <xdr:pic>
      <xdr:nvPicPr>
        <xdr:cNvPr id="390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5361"/>
    <xdr:pic>
      <xdr:nvPicPr>
        <xdr:cNvPr id="391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41387"/>
    <xdr:pic>
      <xdr:nvPicPr>
        <xdr:cNvPr id="392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7"/>
    <xdr:pic>
      <xdr:nvPicPr>
        <xdr:cNvPr id="393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8"/>
    <xdr:pic>
      <xdr:nvPicPr>
        <xdr:cNvPr id="394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64407" cy="663159"/>
    <xdr:sp macro="" textlink="">
      <xdr:nvSpPr>
        <xdr:cNvPr id="39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39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39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64407" cy="660437"/>
    <xdr:sp macro="" textlink="">
      <xdr:nvSpPr>
        <xdr:cNvPr id="39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399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7"/>
    <xdr:pic>
      <xdr:nvPicPr>
        <xdr:cNvPr id="400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66787"/>
    <xdr:pic>
      <xdr:nvPicPr>
        <xdr:cNvPr id="401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2"/>
    <xdr:pic>
      <xdr:nvPicPr>
        <xdr:cNvPr id="402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9"/>
    <xdr:pic>
      <xdr:nvPicPr>
        <xdr:cNvPr id="403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4"/>
    <xdr:pic>
      <xdr:nvPicPr>
        <xdr:cNvPr id="404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405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406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14411"/>
    <xdr:pic>
      <xdr:nvPicPr>
        <xdr:cNvPr id="407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8"/>
    <xdr:pic>
      <xdr:nvPicPr>
        <xdr:cNvPr id="408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79033"/>
    <xdr:pic>
      <xdr:nvPicPr>
        <xdr:cNvPr id="409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410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3"/>
    <xdr:pic>
      <xdr:nvPicPr>
        <xdr:cNvPr id="41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6"/>
    <xdr:pic>
      <xdr:nvPicPr>
        <xdr:cNvPr id="412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5"/>
    <xdr:pic>
      <xdr:nvPicPr>
        <xdr:cNvPr id="413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906273"/>
    <xdr:pic>
      <xdr:nvPicPr>
        <xdr:cNvPr id="414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2165"/>
    <xdr:pic>
      <xdr:nvPicPr>
        <xdr:cNvPr id="415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706247"/>
    <xdr:pic>
      <xdr:nvPicPr>
        <xdr:cNvPr id="416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95361"/>
    <xdr:pic>
      <xdr:nvPicPr>
        <xdr:cNvPr id="417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41387"/>
    <xdr:pic>
      <xdr:nvPicPr>
        <xdr:cNvPr id="418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5837"/>
    <xdr:pic>
      <xdr:nvPicPr>
        <xdr:cNvPr id="419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77</xdr:row>
      <xdr:rowOff>0</xdr:rowOff>
    </xdr:from>
    <xdr:ext cx="85725" cy="688558"/>
    <xdr:pic>
      <xdr:nvPicPr>
        <xdr:cNvPr id="420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300336</xdr:colOff>
      <xdr:row>77</xdr:row>
      <xdr:rowOff>0</xdr:rowOff>
    </xdr:from>
    <xdr:ext cx="85725" cy="906273"/>
    <xdr:pic>
      <xdr:nvPicPr>
        <xdr:cNvPr id="42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36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2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2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2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279168</xdr:colOff>
      <xdr:row>77</xdr:row>
      <xdr:rowOff>0</xdr:rowOff>
    </xdr:from>
    <xdr:ext cx="85725" cy="906273"/>
    <xdr:pic>
      <xdr:nvPicPr>
        <xdr:cNvPr id="42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168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321502</xdr:colOff>
      <xdr:row>77</xdr:row>
      <xdr:rowOff>0</xdr:rowOff>
    </xdr:from>
    <xdr:ext cx="85725" cy="906273"/>
    <xdr:pic>
      <xdr:nvPicPr>
        <xdr:cNvPr id="42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50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2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2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2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30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3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3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3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3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3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77</xdr:row>
      <xdr:rowOff>0</xdr:rowOff>
    </xdr:from>
    <xdr:ext cx="85725" cy="906273"/>
    <xdr:pic>
      <xdr:nvPicPr>
        <xdr:cNvPr id="43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173335</xdr:colOff>
      <xdr:row>77</xdr:row>
      <xdr:rowOff>0</xdr:rowOff>
    </xdr:from>
    <xdr:ext cx="85725" cy="906273"/>
    <xdr:pic>
      <xdr:nvPicPr>
        <xdr:cNvPr id="43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471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queryTables/queryTable1.xml><?xml version="1.0" encoding="utf-8"?>
<queryTable xmlns="http://schemas.openxmlformats.org/spreadsheetml/2006/main" name="ExternalData_1" backgroundRefresh="0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113"/>
  <sheetViews>
    <sheetView tabSelected="1" view="pageBreakPreview" zoomScale="90" zoomScaleNormal="70" zoomScaleSheetLayoutView="90" workbookViewId="0">
      <selection activeCell="N8" sqref="N8"/>
    </sheetView>
  </sheetViews>
  <sheetFormatPr defaultRowHeight="12.75" x14ac:dyDescent="0.2"/>
  <cols>
    <col min="1" max="1" width="5" style="16" customWidth="1"/>
    <col min="2" max="2" width="43.85546875" style="4" customWidth="1"/>
    <col min="3" max="3" width="3.5703125" style="20" bestFit="1" customWidth="1"/>
    <col min="4" max="4" width="9.7109375" style="24" customWidth="1"/>
    <col min="5" max="5" width="13.7109375" style="24" customWidth="1"/>
    <col min="6" max="6" width="13.7109375" style="41" customWidth="1"/>
    <col min="7" max="7" width="15.42578125" style="23" customWidth="1"/>
    <col min="8" max="8" width="16.28515625" style="17" customWidth="1"/>
    <col min="9" max="9" width="13.28515625" style="17" customWidth="1"/>
    <col min="10" max="10" width="0" style="1" hidden="1" customWidth="1"/>
    <col min="11" max="11" width="42.28515625" style="1" hidden="1" customWidth="1"/>
    <col min="12" max="12" width="39.7109375" style="1" hidden="1" customWidth="1"/>
    <col min="13" max="16384" width="9.140625" style="1"/>
  </cols>
  <sheetData>
    <row r="1" spans="1:12" ht="15" customHeight="1" x14ac:dyDescent="0.2">
      <c r="A1" s="42"/>
      <c r="C1" s="43"/>
      <c r="D1" s="41"/>
      <c r="E1" s="41"/>
      <c r="G1" s="47" t="s">
        <v>110</v>
      </c>
      <c r="H1" s="47"/>
      <c r="I1" s="47"/>
    </row>
    <row r="2" spans="1:12" ht="20.25" customHeight="1" x14ac:dyDescent="0.2">
      <c r="A2" s="45" t="s">
        <v>111</v>
      </c>
      <c r="B2" s="46"/>
      <c r="C2" s="45"/>
      <c r="D2" s="45"/>
      <c r="E2" s="45"/>
      <c r="F2" s="45"/>
      <c r="G2" s="45"/>
      <c r="H2" s="45"/>
      <c r="I2" s="45"/>
    </row>
    <row r="3" spans="1:12" ht="22.5" x14ac:dyDescent="0.2">
      <c r="A3" s="9" t="s">
        <v>0</v>
      </c>
      <c r="B3" s="21" t="s">
        <v>2</v>
      </c>
      <c r="C3" s="21" t="s">
        <v>7</v>
      </c>
      <c r="D3" s="10" t="s">
        <v>1</v>
      </c>
      <c r="E3" s="10" t="s">
        <v>107</v>
      </c>
      <c r="F3" s="10" t="s">
        <v>106</v>
      </c>
      <c r="G3" s="10" t="s">
        <v>108</v>
      </c>
      <c r="H3" s="10" t="s">
        <v>109</v>
      </c>
      <c r="I3" s="10" t="s">
        <v>5</v>
      </c>
      <c r="J3" s="18" t="s">
        <v>4</v>
      </c>
      <c r="K3" s="18" t="s">
        <v>90</v>
      </c>
      <c r="L3" s="28" t="s">
        <v>90</v>
      </c>
    </row>
    <row r="4" spans="1:12" ht="36.75" customHeight="1" x14ac:dyDescent="0.2">
      <c r="A4" s="9">
        <v>1</v>
      </c>
      <c r="B4" s="31" t="s">
        <v>8</v>
      </c>
      <c r="C4" s="3" t="s">
        <v>3</v>
      </c>
      <c r="D4" s="32">
        <v>0.4</v>
      </c>
      <c r="E4" s="38">
        <v>67868.852459016402</v>
      </c>
      <c r="F4" s="44">
        <f>E4*1.22</f>
        <v>82800.000000000015</v>
      </c>
      <c r="G4" s="11">
        <f>E4*D4</f>
        <v>27147.540983606563</v>
      </c>
      <c r="H4" s="11">
        <f>G4*1.22</f>
        <v>33120.000000000007</v>
      </c>
      <c r="I4" s="10" t="s">
        <v>6</v>
      </c>
      <c r="J4" s="5" t="s">
        <v>23</v>
      </c>
      <c r="K4" s="5" t="s">
        <v>31</v>
      </c>
      <c r="L4" s="25" t="s">
        <v>91</v>
      </c>
    </row>
    <row r="5" spans="1:12" ht="34.5" customHeight="1" x14ac:dyDescent="0.2">
      <c r="A5" s="9">
        <v>2</v>
      </c>
      <c r="B5" s="33" t="s">
        <v>9</v>
      </c>
      <c r="C5" s="22" t="s">
        <v>3</v>
      </c>
      <c r="D5" s="34">
        <v>0.3</v>
      </c>
      <c r="E5" s="38">
        <v>67868.852459016402</v>
      </c>
      <c r="F5" s="44">
        <f t="shared" ref="F5:F68" si="0">E5*1.22</f>
        <v>82800.000000000015</v>
      </c>
      <c r="G5" s="11">
        <f>E5*D5</f>
        <v>20360.655737704921</v>
      </c>
      <c r="H5" s="11">
        <f t="shared" ref="H5:H68" si="1">G5*1.22</f>
        <v>24840.000000000004</v>
      </c>
      <c r="I5" s="10" t="s">
        <v>6</v>
      </c>
      <c r="J5" s="6" t="s">
        <v>23</v>
      </c>
      <c r="K5" s="6" t="s">
        <v>32</v>
      </c>
      <c r="L5" s="26" t="s">
        <v>92</v>
      </c>
    </row>
    <row r="6" spans="1:12" ht="33" customHeight="1" x14ac:dyDescent="0.2">
      <c r="A6" s="9">
        <v>3</v>
      </c>
      <c r="B6" s="35" t="s">
        <v>21</v>
      </c>
      <c r="C6" s="21" t="s">
        <v>3</v>
      </c>
      <c r="D6" s="36">
        <v>0.3</v>
      </c>
      <c r="E6" s="38">
        <v>67868.852459016402</v>
      </c>
      <c r="F6" s="44">
        <f t="shared" si="0"/>
        <v>82800.000000000015</v>
      </c>
      <c r="G6" s="11">
        <f>E6*D6</f>
        <v>20360.655737704921</v>
      </c>
      <c r="H6" s="11">
        <f t="shared" si="1"/>
        <v>24840.000000000004</v>
      </c>
      <c r="I6" s="10" t="s">
        <v>6</v>
      </c>
      <c r="J6" s="6" t="s">
        <v>24</v>
      </c>
      <c r="K6" s="6" t="s">
        <v>33</v>
      </c>
      <c r="L6" s="26" t="s">
        <v>92</v>
      </c>
    </row>
    <row r="7" spans="1:12" ht="34.5" customHeight="1" x14ac:dyDescent="0.2">
      <c r="A7" s="9">
        <v>4</v>
      </c>
      <c r="B7" s="35" t="s">
        <v>18</v>
      </c>
      <c r="C7" s="21" t="s">
        <v>3</v>
      </c>
      <c r="D7" s="36">
        <v>0.3</v>
      </c>
      <c r="E7" s="38">
        <v>67868.852459016402</v>
      </c>
      <c r="F7" s="44">
        <f t="shared" si="0"/>
        <v>82800.000000000015</v>
      </c>
      <c r="G7" s="11">
        <f>E7*D7</f>
        <v>20360.655737704921</v>
      </c>
      <c r="H7" s="11">
        <f t="shared" si="1"/>
        <v>24840.000000000004</v>
      </c>
      <c r="I7" s="10" t="s">
        <v>6</v>
      </c>
      <c r="J7" s="6" t="s">
        <v>24</v>
      </c>
      <c r="K7" s="6" t="s">
        <v>34</v>
      </c>
      <c r="L7" s="26" t="s">
        <v>92</v>
      </c>
    </row>
    <row r="8" spans="1:12" ht="36.75" customHeight="1" x14ac:dyDescent="0.2">
      <c r="A8" s="9">
        <v>5</v>
      </c>
      <c r="B8" s="35" t="s">
        <v>22</v>
      </c>
      <c r="C8" s="21" t="s">
        <v>3</v>
      </c>
      <c r="D8" s="36">
        <v>0.3</v>
      </c>
      <c r="E8" s="38">
        <v>67868.852459016402</v>
      </c>
      <c r="F8" s="44">
        <f t="shared" si="0"/>
        <v>82800.000000000015</v>
      </c>
      <c r="G8" s="11">
        <f>E8*D8</f>
        <v>20360.655737704921</v>
      </c>
      <c r="H8" s="11">
        <f t="shared" si="1"/>
        <v>24840.000000000004</v>
      </c>
      <c r="I8" s="10" t="s">
        <v>6</v>
      </c>
      <c r="J8" s="6" t="s">
        <v>24</v>
      </c>
      <c r="K8" s="6" t="s">
        <v>35</v>
      </c>
      <c r="L8" s="26" t="s">
        <v>92</v>
      </c>
    </row>
    <row r="9" spans="1:12" ht="34.5" customHeight="1" x14ac:dyDescent="0.2">
      <c r="A9" s="9">
        <v>6</v>
      </c>
      <c r="B9" s="35" t="s">
        <v>11</v>
      </c>
      <c r="C9" s="21" t="s">
        <v>3</v>
      </c>
      <c r="D9" s="36">
        <v>0.3</v>
      </c>
      <c r="E9" s="38">
        <v>67868.852459016402</v>
      </c>
      <c r="F9" s="44">
        <f t="shared" si="0"/>
        <v>82800.000000000015</v>
      </c>
      <c r="G9" s="11">
        <f>E9*D9</f>
        <v>20360.655737704921</v>
      </c>
      <c r="H9" s="11">
        <f t="shared" si="1"/>
        <v>24840.000000000004</v>
      </c>
      <c r="I9" s="10" t="s">
        <v>6</v>
      </c>
      <c r="J9" s="6" t="s">
        <v>24</v>
      </c>
      <c r="K9" s="6" t="s">
        <v>36</v>
      </c>
      <c r="L9" s="26" t="s">
        <v>92</v>
      </c>
    </row>
    <row r="10" spans="1:12" ht="46.5" customHeight="1" x14ac:dyDescent="0.2">
      <c r="A10" s="9">
        <v>7</v>
      </c>
      <c r="B10" s="35" t="s">
        <v>9</v>
      </c>
      <c r="C10" s="21" t="s">
        <v>3</v>
      </c>
      <c r="D10" s="36">
        <v>0.3</v>
      </c>
      <c r="E10" s="38">
        <v>67868.852459016402</v>
      </c>
      <c r="F10" s="44">
        <f t="shared" si="0"/>
        <v>82800.000000000015</v>
      </c>
      <c r="G10" s="11">
        <f>E10*D10</f>
        <v>20360.655737704921</v>
      </c>
      <c r="H10" s="11">
        <f t="shared" si="1"/>
        <v>24840.000000000004</v>
      </c>
      <c r="I10" s="10" t="s">
        <v>6</v>
      </c>
      <c r="J10" s="6" t="s">
        <v>25</v>
      </c>
      <c r="K10" s="6" t="s">
        <v>37</v>
      </c>
      <c r="L10" s="26" t="s">
        <v>93</v>
      </c>
    </row>
    <row r="11" spans="1:12" ht="46.5" customHeight="1" x14ac:dyDescent="0.2">
      <c r="A11" s="9">
        <v>8</v>
      </c>
      <c r="B11" s="35" t="s">
        <v>21</v>
      </c>
      <c r="C11" s="21" t="s">
        <v>3</v>
      </c>
      <c r="D11" s="36">
        <v>0.3</v>
      </c>
      <c r="E11" s="38">
        <v>67868.852459016402</v>
      </c>
      <c r="F11" s="44">
        <f t="shared" si="0"/>
        <v>82800.000000000015</v>
      </c>
      <c r="G11" s="11">
        <f>E11*D11</f>
        <v>20360.655737704921</v>
      </c>
      <c r="H11" s="11">
        <f t="shared" si="1"/>
        <v>24840.000000000004</v>
      </c>
      <c r="I11" s="10" t="s">
        <v>6</v>
      </c>
      <c r="J11" s="6" t="s">
        <v>25</v>
      </c>
      <c r="K11" s="6" t="s">
        <v>38</v>
      </c>
      <c r="L11" s="26" t="s">
        <v>93</v>
      </c>
    </row>
    <row r="12" spans="1:12" ht="47.25" customHeight="1" x14ac:dyDescent="0.2">
      <c r="A12" s="9">
        <v>9</v>
      </c>
      <c r="B12" s="35" t="s">
        <v>18</v>
      </c>
      <c r="C12" s="21" t="s">
        <v>3</v>
      </c>
      <c r="D12" s="36">
        <v>0.3</v>
      </c>
      <c r="E12" s="38">
        <v>67868.852459016402</v>
      </c>
      <c r="F12" s="44">
        <f t="shared" si="0"/>
        <v>82800.000000000015</v>
      </c>
      <c r="G12" s="11">
        <f>E12*D12</f>
        <v>20360.655737704921</v>
      </c>
      <c r="H12" s="11">
        <f t="shared" si="1"/>
        <v>24840.000000000004</v>
      </c>
      <c r="I12" s="10" t="s">
        <v>6</v>
      </c>
      <c r="J12" s="15" t="s">
        <v>25</v>
      </c>
      <c r="K12" s="15" t="s">
        <v>39</v>
      </c>
      <c r="L12" s="26" t="s">
        <v>93</v>
      </c>
    </row>
    <row r="13" spans="1:12" ht="48" customHeight="1" x14ac:dyDescent="0.2">
      <c r="A13" s="9">
        <v>10</v>
      </c>
      <c r="B13" s="35" t="s">
        <v>22</v>
      </c>
      <c r="C13" s="21" t="s">
        <v>3</v>
      </c>
      <c r="D13" s="36">
        <v>0.3</v>
      </c>
      <c r="E13" s="38">
        <v>67868.852459016402</v>
      </c>
      <c r="F13" s="44">
        <f t="shared" si="0"/>
        <v>82800.000000000015</v>
      </c>
      <c r="G13" s="11">
        <f>E13*D13</f>
        <v>20360.655737704921</v>
      </c>
      <c r="H13" s="11">
        <f t="shared" si="1"/>
        <v>24840.000000000004</v>
      </c>
      <c r="I13" s="10" t="s">
        <v>6</v>
      </c>
      <c r="J13" s="19" t="s">
        <v>26</v>
      </c>
      <c r="K13" s="19" t="s">
        <v>40</v>
      </c>
      <c r="L13" s="26" t="s">
        <v>93</v>
      </c>
    </row>
    <row r="14" spans="1:12" ht="47.25" customHeight="1" x14ac:dyDescent="0.2">
      <c r="A14" s="9">
        <v>11</v>
      </c>
      <c r="B14" s="35" t="s">
        <v>11</v>
      </c>
      <c r="C14" s="21" t="s">
        <v>3</v>
      </c>
      <c r="D14" s="36">
        <v>0.3</v>
      </c>
      <c r="E14" s="38">
        <v>67868.852459016402</v>
      </c>
      <c r="F14" s="44">
        <f t="shared" si="0"/>
        <v>82800.000000000015</v>
      </c>
      <c r="G14" s="11">
        <f>E14*D14</f>
        <v>20360.655737704921</v>
      </c>
      <c r="H14" s="11">
        <f t="shared" si="1"/>
        <v>24840.000000000004</v>
      </c>
      <c r="I14" s="10" t="s">
        <v>6</v>
      </c>
      <c r="J14" s="19" t="s">
        <v>27</v>
      </c>
      <c r="K14" s="19" t="s">
        <v>41</v>
      </c>
      <c r="L14" s="26" t="s">
        <v>93</v>
      </c>
    </row>
    <row r="15" spans="1:12" ht="54" customHeight="1" x14ac:dyDescent="0.2">
      <c r="A15" s="9">
        <v>12</v>
      </c>
      <c r="B15" s="35" t="s">
        <v>9</v>
      </c>
      <c r="C15" s="21" t="s">
        <v>3</v>
      </c>
      <c r="D15" s="36">
        <v>0.5</v>
      </c>
      <c r="E15" s="38">
        <v>67868.852459016402</v>
      </c>
      <c r="F15" s="44">
        <f t="shared" si="0"/>
        <v>82800.000000000015</v>
      </c>
      <c r="G15" s="11">
        <f>E15*D15</f>
        <v>33934.426229508201</v>
      </c>
      <c r="H15" s="11">
        <f t="shared" si="1"/>
        <v>41400.000000000007</v>
      </c>
      <c r="I15" s="10" t="s">
        <v>6</v>
      </c>
      <c r="J15" s="19" t="s">
        <v>27</v>
      </c>
      <c r="K15" s="19" t="s">
        <v>42</v>
      </c>
      <c r="L15" s="26" t="s">
        <v>94</v>
      </c>
    </row>
    <row r="16" spans="1:12" ht="48.75" customHeight="1" x14ac:dyDescent="0.2">
      <c r="A16" s="9">
        <v>13</v>
      </c>
      <c r="B16" s="35" t="s">
        <v>11</v>
      </c>
      <c r="C16" s="21" t="s">
        <v>3</v>
      </c>
      <c r="D16" s="36">
        <v>1.5</v>
      </c>
      <c r="E16" s="38">
        <v>67868.852459016402</v>
      </c>
      <c r="F16" s="44">
        <f t="shared" si="0"/>
        <v>82800.000000000015</v>
      </c>
      <c r="G16" s="11">
        <f>E16*D16</f>
        <v>101803.2786885246</v>
      </c>
      <c r="H16" s="11">
        <f t="shared" si="1"/>
        <v>124200.00000000001</v>
      </c>
      <c r="I16" s="10" t="s">
        <v>6</v>
      </c>
      <c r="J16" s="19" t="s">
        <v>27</v>
      </c>
      <c r="K16" s="19" t="s">
        <v>43</v>
      </c>
      <c r="L16" s="26" t="s">
        <v>94</v>
      </c>
    </row>
    <row r="17" spans="1:12" ht="47.25" customHeight="1" x14ac:dyDescent="0.2">
      <c r="A17" s="9">
        <v>14</v>
      </c>
      <c r="B17" s="35" t="s">
        <v>18</v>
      </c>
      <c r="C17" s="21" t="s">
        <v>3</v>
      </c>
      <c r="D17" s="36">
        <v>0.2</v>
      </c>
      <c r="E17" s="38">
        <v>67868.852459016402</v>
      </c>
      <c r="F17" s="44">
        <f t="shared" si="0"/>
        <v>82800.000000000015</v>
      </c>
      <c r="G17" s="11">
        <f>E17*D17</f>
        <v>13573.770491803281</v>
      </c>
      <c r="H17" s="11">
        <f t="shared" si="1"/>
        <v>16560.000000000004</v>
      </c>
      <c r="I17" s="10" t="s">
        <v>6</v>
      </c>
      <c r="J17" s="19" t="s">
        <v>27</v>
      </c>
      <c r="K17" s="19" t="s">
        <v>44</v>
      </c>
      <c r="L17" s="26" t="s">
        <v>94</v>
      </c>
    </row>
    <row r="18" spans="1:12" ht="51" customHeight="1" x14ac:dyDescent="0.2">
      <c r="A18" s="9">
        <v>15</v>
      </c>
      <c r="B18" s="35" t="s">
        <v>21</v>
      </c>
      <c r="C18" s="21" t="s">
        <v>3</v>
      </c>
      <c r="D18" s="36">
        <v>0.1</v>
      </c>
      <c r="E18" s="38">
        <v>67868.852459016402</v>
      </c>
      <c r="F18" s="44">
        <f t="shared" si="0"/>
        <v>82800.000000000015</v>
      </c>
      <c r="G18" s="11">
        <f>E18*D18</f>
        <v>6786.8852459016407</v>
      </c>
      <c r="H18" s="11">
        <f t="shared" si="1"/>
        <v>8280.0000000000018</v>
      </c>
      <c r="I18" s="10" t="s">
        <v>6</v>
      </c>
      <c r="J18" s="19" t="s">
        <v>27</v>
      </c>
      <c r="K18" s="19" t="s">
        <v>45</v>
      </c>
      <c r="L18" s="26" t="s">
        <v>94</v>
      </c>
    </row>
    <row r="19" spans="1:12" ht="47.25" customHeight="1" x14ac:dyDescent="0.2">
      <c r="A19" s="9">
        <v>16</v>
      </c>
      <c r="B19" s="35" t="s">
        <v>22</v>
      </c>
      <c r="C19" s="21" t="s">
        <v>3</v>
      </c>
      <c r="D19" s="36">
        <v>0.5</v>
      </c>
      <c r="E19" s="38">
        <v>67868.852459016402</v>
      </c>
      <c r="F19" s="44">
        <f t="shared" si="0"/>
        <v>82800.000000000015</v>
      </c>
      <c r="G19" s="11">
        <f>E19*D19</f>
        <v>33934.426229508201</v>
      </c>
      <c r="H19" s="11">
        <f t="shared" si="1"/>
        <v>41400.000000000007</v>
      </c>
      <c r="I19" s="10" t="s">
        <v>6</v>
      </c>
      <c r="J19" s="19" t="s">
        <v>27</v>
      </c>
      <c r="K19" s="19" t="s">
        <v>46</v>
      </c>
      <c r="L19" s="26" t="s">
        <v>94</v>
      </c>
    </row>
    <row r="20" spans="1:12" ht="47.25" customHeight="1" x14ac:dyDescent="0.2">
      <c r="A20" s="9">
        <v>17</v>
      </c>
      <c r="B20" s="35" t="s">
        <v>9</v>
      </c>
      <c r="C20" s="21" t="s">
        <v>3</v>
      </c>
      <c r="D20" s="36">
        <v>1</v>
      </c>
      <c r="E20" s="38">
        <v>67868.852459016402</v>
      </c>
      <c r="F20" s="44">
        <f t="shared" si="0"/>
        <v>82800.000000000015</v>
      </c>
      <c r="G20" s="11">
        <f>E20*D20</f>
        <v>67868.852459016402</v>
      </c>
      <c r="H20" s="11">
        <f t="shared" si="1"/>
        <v>82800.000000000015</v>
      </c>
      <c r="I20" s="10" t="s">
        <v>6</v>
      </c>
      <c r="J20" s="19" t="s">
        <v>27</v>
      </c>
      <c r="K20" s="19" t="s">
        <v>47</v>
      </c>
      <c r="L20" s="26" t="s">
        <v>92</v>
      </c>
    </row>
    <row r="21" spans="1:12" ht="47.25" customHeight="1" x14ac:dyDescent="0.2">
      <c r="A21" s="9">
        <v>18</v>
      </c>
      <c r="B21" s="35" t="s">
        <v>11</v>
      </c>
      <c r="C21" s="21" t="s">
        <v>3</v>
      </c>
      <c r="D21" s="36">
        <v>1</v>
      </c>
      <c r="E21" s="38">
        <v>67868.852459016402</v>
      </c>
      <c r="F21" s="44">
        <f t="shared" si="0"/>
        <v>82800.000000000015</v>
      </c>
      <c r="G21" s="11">
        <f>E21*D21</f>
        <v>67868.852459016402</v>
      </c>
      <c r="H21" s="11">
        <f t="shared" si="1"/>
        <v>82800.000000000015</v>
      </c>
      <c r="I21" s="10" t="s">
        <v>6</v>
      </c>
      <c r="J21" s="19" t="s">
        <v>27</v>
      </c>
      <c r="K21" s="19" t="s">
        <v>48</v>
      </c>
      <c r="L21" s="26" t="s">
        <v>92</v>
      </c>
    </row>
    <row r="22" spans="1:12" ht="48.75" customHeight="1" x14ac:dyDescent="0.2">
      <c r="A22" s="9">
        <v>19</v>
      </c>
      <c r="B22" s="35" t="s">
        <v>14</v>
      </c>
      <c r="C22" s="21" t="s">
        <v>3</v>
      </c>
      <c r="D22" s="36">
        <v>1</v>
      </c>
      <c r="E22" s="38">
        <v>69836.065573770495</v>
      </c>
      <c r="F22" s="44">
        <f t="shared" si="0"/>
        <v>85200</v>
      </c>
      <c r="G22" s="11">
        <f>E22*D22</f>
        <v>69836.065573770495</v>
      </c>
      <c r="H22" s="11">
        <f t="shared" si="1"/>
        <v>85200</v>
      </c>
      <c r="I22" s="10" t="s">
        <v>6</v>
      </c>
      <c r="J22" s="19" t="s">
        <v>28</v>
      </c>
      <c r="K22" s="19" t="s">
        <v>49</v>
      </c>
      <c r="L22" s="26" t="s">
        <v>92</v>
      </c>
    </row>
    <row r="23" spans="1:12" ht="48" customHeight="1" x14ac:dyDescent="0.2">
      <c r="A23" s="9">
        <v>20</v>
      </c>
      <c r="B23" s="35" t="s">
        <v>18</v>
      </c>
      <c r="C23" s="21" t="s">
        <v>3</v>
      </c>
      <c r="D23" s="36">
        <v>0.3</v>
      </c>
      <c r="E23" s="38">
        <v>67868.852459016402</v>
      </c>
      <c r="F23" s="44">
        <f t="shared" si="0"/>
        <v>82800.000000000015</v>
      </c>
      <c r="G23" s="11">
        <f>E23*D23</f>
        <v>20360.655737704921</v>
      </c>
      <c r="H23" s="11">
        <f t="shared" si="1"/>
        <v>24840.000000000004</v>
      </c>
      <c r="I23" s="10" t="s">
        <v>6</v>
      </c>
      <c r="J23" s="19" t="s">
        <v>28</v>
      </c>
      <c r="K23" s="19" t="s">
        <v>50</v>
      </c>
      <c r="L23" s="26" t="s">
        <v>92</v>
      </c>
    </row>
    <row r="24" spans="1:12" ht="45.75" customHeight="1" x14ac:dyDescent="0.2">
      <c r="A24" s="9">
        <v>21</v>
      </c>
      <c r="B24" s="35" t="s">
        <v>21</v>
      </c>
      <c r="C24" s="21" t="s">
        <v>3</v>
      </c>
      <c r="D24" s="36">
        <v>0.3</v>
      </c>
      <c r="E24" s="38">
        <v>67868.852459016402</v>
      </c>
      <c r="F24" s="44">
        <f t="shared" si="0"/>
        <v>82800.000000000015</v>
      </c>
      <c r="G24" s="11">
        <f>E24*D24</f>
        <v>20360.655737704921</v>
      </c>
      <c r="H24" s="11">
        <f t="shared" si="1"/>
        <v>24840.000000000004</v>
      </c>
      <c r="I24" s="10" t="s">
        <v>6</v>
      </c>
      <c r="J24" s="19" t="s">
        <v>28</v>
      </c>
      <c r="K24" s="19" t="s">
        <v>51</v>
      </c>
      <c r="L24" s="26" t="s">
        <v>92</v>
      </c>
    </row>
    <row r="25" spans="1:12" ht="53.25" customHeight="1" x14ac:dyDescent="0.2">
      <c r="A25" s="9">
        <v>22</v>
      </c>
      <c r="B25" s="35" t="s">
        <v>22</v>
      </c>
      <c r="C25" s="21" t="s">
        <v>3</v>
      </c>
      <c r="D25" s="36">
        <v>0.3</v>
      </c>
      <c r="E25" s="38">
        <v>67868.852459016402</v>
      </c>
      <c r="F25" s="44">
        <f t="shared" si="0"/>
        <v>82800.000000000015</v>
      </c>
      <c r="G25" s="11">
        <f>E25*D25</f>
        <v>20360.655737704921</v>
      </c>
      <c r="H25" s="11">
        <f t="shared" si="1"/>
        <v>24840.000000000004</v>
      </c>
      <c r="I25" s="10" t="s">
        <v>6</v>
      </c>
      <c r="J25" s="19" t="s">
        <v>28</v>
      </c>
      <c r="K25" s="19" t="s">
        <v>52</v>
      </c>
      <c r="L25" s="26" t="s">
        <v>92</v>
      </c>
    </row>
    <row r="26" spans="1:12" x14ac:dyDescent="0.2">
      <c r="A26" s="9">
        <v>23</v>
      </c>
      <c r="B26" s="35" t="s">
        <v>9</v>
      </c>
      <c r="C26" s="21" t="s">
        <v>3</v>
      </c>
      <c r="D26" s="36">
        <v>1</v>
      </c>
      <c r="E26" s="38">
        <v>67868.852459016402</v>
      </c>
      <c r="F26" s="44">
        <f t="shared" si="0"/>
        <v>82800.000000000015</v>
      </c>
      <c r="G26" s="11">
        <f>E26*D26</f>
        <v>67868.852459016402</v>
      </c>
      <c r="H26" s="11">
        <f t="shared" si="1"/>
        <v>82800.000000000015</v>
      </c>
      <c r="I26" s="10" t="s">
        <v>6</v>
      </c>
      <c r="J26" s="19" t="s">
        <v>25</v>
      </c>
      <c r="K26" s="19" t="s">
        <v>53</v>
      </c>
      <c r="L26" s="26" t="s">
        <v>93</v>
      </c>
    </row>
    <row r="27" spans="1:12" x14ac:dyDescent="0.2">
      <c r="A27" s="9">
        <v>24</v>
      </c>
      <c r="B27" s="35" t="s">
        <v>10</v>
      </c>
      <c r="C27" s="21" t="s">
        <v>3</v>
      </c>
      <c r="D27" s="36">
        <v>0.8</v>
      </c>
      <c r="E27" s="38">
        <v>67868.852459016402</v>
      </c>
      <c r="F27" s="44">
        <f t="shared" si="0"/>
        <v>82800.000000000015</v>
      </c>
      <c r="G27" s="11">
        <f>E27*D27</f>
        <v>54295.081967213126</v>
      </c>
      <c r="H27" s="11">
        <f t="shared" si="1"/>
        <v>66240.000000000015</v>
      </c>
      <c r="I27" s="10" t="s">
        <v>6</v>
      </c>
      <c r="J27" s="19" t="s">
        <v>25</v>
      </c>
      <c r="K27" s="19" t="s">
        <v>54</v>
      </c>
      <c r="L27" s="26" t="s">
        <v>93</v>
      </c>
    </row>
    <row r="28" spans="1:12" ht="48.75" customHeight="1" x14ac:dyDescent="0.2">
      <c r="A28" s="9">
        <v>25</v>
      </c>
      <c r="B28" s="35" t="s">
        <v>11</v>
      </c>
      <c r="C28" s="21" t="s">
        <v>3</v>
      </c>
      <c r="D28" s="36">
        <v>1</v>
      </c>
      <c r="E28" s="38">
        <v>67868.852459016402</v>
      </c>
      <c r="F28" s="44">
        <f t="shared" si="0"/>
        <v>82800.000000000015</v>
      </c>
      <c r="G28" s="11">
        <f>E28*D28</f>
        <v>67868.852459016402</v>
      </c>
      <c r="H28" s="11">
        <f t="shared" si="1"/>
        <v>82800.000000000015</v>
      </c>
      <c r="I28" s="10" t="s">
        <v>6</v>
      </c>
      <c r="J28" s="19" t="s">
        <v>25</v>
      </c>
      <c r="K28" s="19" t="s">
        <v>55</v>
      </c>
      <c r="L28" s="26" t="s">
        <v>93</v>
      </c>
    </row>
    <row r="29" spans="1:12" ht="49.5" customHeight="1" x14ac:dyDescent="0.2">
      <c r="A29" s="9">
        <v>26</v>
      </c>
      <c r="B29" s="35" t="s">
        <v>14</v>
      </c>
      <c r="C29" s="21" t="s">
        <v>3</v>
      </c>
      <c r="D29" s="36">
        <v>0.5</v>
      </c>
      <c r="E29" s="38">
        <v>69836.065573770495</v>
      </c>
      <c r="F29" s="44">
        <f t="shared" si="0"/>
        <v>85200</v>
      </c>
      <c r="G29" s="11">
        <f>E29*D29</f>
        <v>34918.032786885247</v>
      </c>
      <c r="H29" s="11">
        <f t="shared" si="1"/>
        <v>42600</v>
      </c>
      <c r="I29" s="10" t="s">
        <v>6</v>
      </c>
      <c r="J29" s="19" t="s">
        <v>25</v>
      </c>
      <c r="K29" s="19" t="s">
        <v>56</v>
      </c>
      <c r="L29" s="26" t="s">
        <v>93</v>
      </c>
    </row>
    <row r="30" spans="1:12" ht="47.25" customHeight="1" x14ac:dyDescent="0.2">
      <c r="A30" s="9">
        <v>27</v>
      </c>
      <c r="B30" s="35" t="s">
        <v>18</v>
      </c>
      <c r="C30" s="21" t="s">
        <v>3</v>
      </c>
      <c r="D30" s="36">
        <v>0.3</v>
      </c>
      <c r="E30" s="38">
        <v>67868.852459016402</v>
      </c>
      <c r="F30" s="44">
        <f t="shared" si="0"/>
        <v>82800.000000000015</v>
      </c>
      <c r="G30" s="11">
        <f>E30*D30</f>
        <v>20360.655737704921</v>
      </c>
      <c r="H30" s="11">
        <f t="shared" si="1"/>
        <v>24840.000000000004</v>
      </c>
      <c r="I30" s="10" t="s">
        <v>6</v>
      </c>
      <c r="J30" s="19" t="s">
        <v>25</v>
      </c>
      <c r="K30" s="19" t="s">
        <v>57</v>
      </c>
      <c r="L30" s="26" t="s">
        <v>93</v>
      </c>
    </row>
    <row r="31" spans="1:12" ht="48" customHeight="1" x14ac:dyDescent="0.2">
      <c r="A31" s="9">
        <v>28</v>
      </c>
      <c r="B31" s="35" t="s">
        <v>21</v>
      </c>
      <c r="C31" s="21" t="s">
        <v>3</v>
      </c>
      <c r="D31" s="36">
        <v>0.5</v>
      </c>
      <c r="E31" s="38">
        <v>67868.852459016402</v>
      </c>
      <c r="F31" s="44">
        <f t="shared" si="0"/>
        <v>82800.000000000015</v>
      </c>
      <c r="G31" s="11">
        <f>E31*D31</f>
        <v>33934.426229508201</v>
      </c>
      <c r="H31" s="11">
        <f t="shared" si="1"/>
        <v>41400.000000000007</v>
      </c>
      <c r="I31" s="10" t="s">
        <v>6</v>
      </c>
      <c r="J31" s="19" t="s">
        <v>25</v>
      </c>
      <c r="K31" s="19" t="s">
        <v>58</v>
      </c>
      <c r="L31" s="26" t="s">
        <v>93</v>
      </c>
    </row>
    <row r="32" spans="1:12" ht="46.5" customHeight="1" x14ac:dyDescent="0.2">
      <c r="A32" s="9">
        <v>29</v>
      </c>
      <c r="B32" s="35" t="s">
        <v>22</v>
      </c>
      <c r="C32" s="21" t="s">
        <v>3</v>
      </c>
      <c r="D32" s="36">
        <v>0.3</v>
      </c>
      <c r="E32" s="38">
        <v>67868.852459016402</v>
      </c>
      <c r="F32" s="44">
        <f t="shared" si="0"/>
        <v>82800.000000000015</v>
      </c>
      <c r="G32" s="11">
        <f>E32*D32</f>
        <v>20360.655737704921</v>
      </c>
      <c r="H32" s="11">
        <f t="shared" si="1"/>
        <v>24840.000000000004</v>
      </c>
      <c r="I32" s="10" t="s">
        <v>6</v>
      </c>
      <c r="J32" s="19" t="s">
        <v>25</v>
      </c>
      <c r="K32" s="19" t="s">
        <v>59</v>
      </c>
      <c r="L32" s="26" t="s">
        <v>93</v>
      </c>
    </row>
    <row r="33" spans="1:12" x14ac:dyDescent="0.2">
      <c r="A33" s="9">
        <v>30</v>
      </c>
      <c r="B33" s="35" t="s">
        <v>9</v>
      </c>
      <c r="C33" s="21" t="s">
        <v>3</v>
      </c>
      <c r="D33" s="36">
        <v>0.15</v>
      </c>
      <c r="E33" s="38">
        <v>67868.852459016402</v>
      </c>
      <c r="F33" s="44">
        <f t="shared" si="0"/>
        <v>82800.000000000015</v>
      </c>
      <c r="G33" s="11">
        <f>E33*D33</f>
        <v>10180.327868852461</v>
      </c>
      <c r="H33" s="11">
        <f t="shared" si="1"/>
        <v>12420.000000000002</v>
      </c>
      <c r="I33" s="10" t="s">
        <v>6</v>
      </c>
      <c r="J33" s="19" t="s">
        <v>25</v>
      </c>
      <c r="K33" s="19" t="s">
        <v>60</v>
      </c>
      <c r="L33" s="26" t="s">
        <v>95</v>
      </c>
    </row>
    <row r="34" spans="1:12" ht="48" customHeight="1" x14ac:dyDescent="0.2">
      <c r="A34" s="9">
        <v>31</v>
      </c>
      <c r="B34" s="35" t="s">
        <v>10</v>
      </c>
      <c r="C34" s="21" t="s">
        <v>3</v>
      </c>
      <c r="D34" s="36">
        <v>0.25</v>
      </c>
      <c r="E34" s="38">
        <v>67868.852459016402</v>
      </c>
      <c r="F34" s="44">
        <f t="shared" si="0"/>
        <v>82800.000000000015</v>
      </c>
      <c r="G34" s="11">
        <f>E34*D34</f>
        <v>16967.2131147541</v>
      </c>
      <c r="H34" s="11">
        <f t="shared" si="1"/>
        <v>20700.000000000004</v>
      </c>
      <c r="I34" s="10" t="s">
        <v>6</v>
      </c>
      <c r="J34" s="19" t="s">
        <v>27</v>
      </c>
      <c r="K34" s="19" t="s">
        <v>61</v>
      </c>
      <c r="L34" s="26" t="s">
        <v>95</v>
      </c>
    </row>
    <row r="35" spans="1:12" ht="46.5" customHeight="1" x14ac:dyDescent="0.2">
      <c r="A35" s="9">
        <v>32</v>
      </c>
      <c r="B35" s="35" t="s">
        <v>19</v>
      </c>
      <c r="C35" s="21" t="s">
        <v>3</v>
      </c>
      <c r="D35" s="36">
        <v>0.2</v>
      </c>
      <c r="E35" s="38">
        <v>67868.852459016402</v>
      </c>
      <c r="F35" s="44">
        <f t="shared" si="0"/>
        <v>82800.000000000015</v>
      </c>
      <c r="G35" s="11">
        <f>E35*D35</f>
        <v>13573.770491803281</v>
      </c>
      <c r="H35" s="11">
        <f t="shared" si="1"/>
        <v>16560.000000000004</v>
      </c>
      <c r="I35" s="10" t="s">
        <v>6</v>
      </c>
      <c r="J35" s="19" t="s">
        <v>27</v>
      </c>
      <c r="K35" s="19" t="s">
        <v>62</v>
      </c>
      <c r="L35" s="26" t="s">
        <v>95</v>
      </c>
    </row>
    <row r="36" spans="1:12" ht="46.5" customHeight="1" x14ac:dyDescent="0.2">
      <c r="A36" s="9">
        <v>33</v>
      </c>
      <c r="B36" s="35" t="s">
        <v>21</v>
      </c>
      <c r="C36" s="21" t="s">
        <v>3</v>
      </c>
      <c r="D36" s="36">
        <v>0.2</v>
      </c>
      <c r="E36" s="38">
        <v>67868.852459016402</v>
      </c>
      <c r="F36" s="44">
        <f t="shared" si="0"/>
        <v>82800.000000000015</v>
      </c>
      <c r="G36" s="11">
        <f>E36*D36</f>
        <v>13573.770491803281</v>
      </c>
      <c r="H36" s="11">
        <f t="shared" si="1"/>
        <v>16560.000000000004</v>
      </c>
      <c r="I36" s="10" t="s">
        <v>6</v>
      </c>
      <c r="J36" s="19" t="s">
        <v>27</v>
      </c>
      <c r="K36" s="19" t="s">
        <v>63</v>
      </c>
      <c r="L36" s="26" t="s">
        <v>95</v>
      </c>
    </row>
    <row r="37" spans="1:12" x14ac:dyDescent="0.2">
      <c r="A37" s="9">
        <v>34</v>
      </c>
      <c r="B37" s="35" t="s">
        <v>22</v>
      </c>
      <c r="C37" s="21" t="s">
        <v>3</v>
      </c>
      <c r="D37" s="36">
        <v>0.2</v>
      </c>
      <c r="E37" s="38">
        <v>67868.852459016402</v>
      </c>
      <c r="F37" s="44">
        <f t="shared" si="0"/>
        <v>82800.000000000015</v>
      </c>
      <c r="G37" s="11">
        <f>E37*D37</f>
        <v>13573.770491803281</v>
      </c>
      <c r="H37" s="11">
        <f t="shared" si="1"/>
        <v>16560.000000000004</v>
      </c>
      <c r="I37" s="10" t="s">
        <v>6</v>
      </c>
      <c r="J37" s="19" t="s">
        <v>27</v>
      </c>
      <c r="K37" s="19" t="s">
        <v>64</v>
      </c>
      <c r="L37" s="26" t="s">
        <v>95</v>
      </c>
    </row>
    <row r="38" spans="1:12" x14ac:dyDescent="0.2">
      <c r="A38" s="9">
        <v>35</v>
      </c>
      <c r="B38" s="35" t="s">
        <v>9</v>
      </c>
      <c r="C38" s="21" t="s">
        <v>3</v>
      </c>
      <c r="D38" s="36">
        <v>1</v>
      </c>
      <c r="E38" s="38">
        <v>67868.852459016402</v>
      </c>
      <c r="F38" s="44">
        <f t="shared" si="0"/>
        <v>82800.000000000015</v>
      </c>
      <c r="G38" s="11">
        <f>E38*D38</f>
        <v>67868.852459016402</v>
      </c>
      <c r="H38" s="11">
        <f t="shared" si="1"/>
        <v>82800.000000000015</v>
      </c>
      <c r="I38" s="10" t="s">
        <v>6</v>
      </c>
      <c r="J38" s="19" t="s">
        <v>27</v>
      </c>
      <c r="K38" s="19" t="s">
        <v>65</v>
      </c>
      <c r="L38" s="26" t="s">
        <v>96</v>
      </c>
    </row>
    <row r="39" spans="1:12" x14ac:dyDescent="0.2">
      <c r="A39" s="9">
        <v>36</v>
      </c>
      <c r="B39" s="35" t="s">
        <v>10</v>
      </c>
      <c r="C39" s="21" t="s">
        <v>3</v>
      </c>
      <c r="D39" s="36">
        <v>0.5</v>
      </c>
      <c r="E39" s="38">
        <v>67868.852459016402</v>
      </c>
      <c r="F39" s="44">
        <f t="shared" si="0"/>
        <v>82800.000000000015</v>
      </c>
      <c r="G39" s="11">
        <f>E39*D39</f>
        <v>33934.426229508201</v>
      </c>
      <c r="H39" s="11">
        <f t="shared" si="1"/>
        <v>41400.000000000007</v>
      </c>
      <c r="I39" s="10" t="s">
        <v>6</v>
      </c>
      <c r="J39" s="19" t="s">
        <v>24</v>
      </c>
      <c r="K39" s="19" t="s">
        <v>66</v>
      </c>
      <c r="L39" s="26" t="s">
        <v>96</v>
      </c>
    </row>
    <row r="40" spans="1:12" x14ac:dyDescent="0.2">
      <c r="A40" s="9">
        <v>37</v>
      </c>
      <c r="B40" s="35" t="s">
        <v>11</v>
      </c>
      <c r="C40" s="21" t="s">
        <v>3</v>
      </c>
      <c r="D40" s="36">
        <v>1</v>
      </c>
      <c r="E40" s="38">
        <v>67868.852459016402</v>
      </c>
      <c r="F40" s="44">
        <f t="shared" si="0"/>
        <v>82800.000000000015</v>
      </c>
      <c r="G40" s="11">
        <f>E40*D40</f>
        <v>67868.852459016402</v>
      </c>
      <c r="H40" s="11">
        <f t="shared" si="1"/>
        <v>82800.000000000015</v>
      </c>
      <c r="I40" s="10" t="s">
        <v>6</v>
      </c>
      <c r="J40" s="19" t="s">
        <v>24</v>
      </c>
      <c r="K40" s="19" t="s">
        <v>67</v>
      </c>
      <c r="L40" s="26" t="s">
        <v>96</v>
      </c>
    </row>
    <row r="41" spans="1:12" x14ac:dyDescent="0.2">
      <c r="A41" s="9">
        <v>38</v>
      </c>
      <c r="B41" s="35" t="s">
        <v>18</v>
      </c>
      <c r="C41" s="21" t="s">
        <v>3</v>
      </c>
      <c r="D41" s="36">
        <v>0.3</v>
      </c>
      <c r="E41" s="38">
        <v>67868.852459016402</v>
      </c>
      <c r="F41" s="44">
        <f t="shared" si="0"/>
        <v>82800.000000000015</v>
      </c>
      <c r="G41" s="11">
        <f>E41*D41</f>
        <v>20360.655737704921</v>
      </c>
      <c r="H41" s="11">
        <f t="shared" si="1"/>
        <v>24840.000000000004</v>
      </c>
      <c r="I41" s="10" t="s">
        <v>6</v>
      </c>
      <c r="J41" s="19" t="s">
        <v>27</v>
      </c>
      <c r="K41" s="19" t="s">
        <v>68</v>
      </c>
      <c r="L41" s="26" t="s">
        <v>96</v>
      </c>
    </row>
    <row r="42" spans="1:12" x14ac:dyDescent="0.2">
      <c r="A42" s="9">
        <v>39</v>
      </c>
      <c r="B42" s="35" t="s">
        <v>21</v>
      </c>
      <c r="C42" s="21" t="s">
        <v>3</v>
      </c>
      <c r="D42" s="36">
        <v>0.5</v>
      </c>
      <c r="E42" s="38">
        <v>67868.852459016402</v>
      </c>
      <c r="F42" s="44">
        <f t="shared" si="0"/>
        <v>82800.000000000015</v>
      </c>
      <c r="G42" s="11">
        <f>E42*D42</f>
        <v>33934.426229508201</v>
      </c>
      <c r="H42" s="11">
        <f t="shared" si="1"/>
        <v>41400.000000000007</v>
      </c>
      <c r="I42" s="10" t="s">
        <v>6</v>
      </c>
      <c r="J42" s="19" t="s">
        <v>27</v>
      </c>
      <c r="K42" s="19" t="s">
        <v>69</v>
      </c>
      <c r="L42" s="26" t="s">
        <v>96</v>
      </c>
    </row>
    <row r="43" spans="1:12" x14ac:dyDescent="0.2">
      <c r="A43" s="9">
        <v>40</v>
      </c>
      <c r="B43" s="35" t="s">
        <v>22</v>
      </c>
      <c r="C43" s="21" t="s">
        <v>3</v>
      </c>
      <c r="D43" s="36">
        <v>1</v>
      </c>
      <c r="E43" s="38">
        <v>67868.852459016402</v>
      </c>
      <c r="F43" s="44">
        <f t="shared" si="0"/>
        <v>82800.000000000015</v>
      </c>
      <c r="G43" s="11">
        <f>E43*D43</f>
        <v>67868.852459016402</v>
      </c>
      <c r="H43" s="11">
        <f t="shared" si="1"/>
        <v>82800.000000000015</v>
      </c>
      <c r="I43" s="10" t="s">
        <v>6</v>
      </c>
      <c r="J43" s="19" t="s">
        <v>27</v>
      </c>
      <c r="K43" s="19" t="s">
        <v>70</v>
      </c>
      <c r="L43" s="26" t="s">
        <v>96</v>
      </c>
    </row>
    <row r="44" spans="1:12" x14ac:dyDescent="0.2">
      <c r="A44" s="9">
        <v>41</v>
      </c>
      <c r="B44" s="35" t="s">
        <v>9</v>
      </c>
      <c r="C44" s="21" t="s">
        <v>3</v>
      </c>
      <c r="D44" s="36">
        <v>1</v>
      </c>
      <c r="E44" s="38">
        <v>67868.852459016402</v>
      </c>
      <c r="F44" s="44">
        <f t="shared" si="0"/>
        <v>82800.000000000015</v>
      </c>
      <c r="G44" s="11">
        <f>E44*D44</f>
        <v>67868.852459016402</v>
      </c>
      <c r="H44" s="11">
        <f t="shared" si="1"/>
        <v>82800.000000000015</v>
      </c>
      <c r="I44" s="10" t="s">
        <v>6</v>
      </c>
      <c r="J44" s="19" t="s">
        <v>27</v>
      </c>
      <c r="K44" s="19" t="s">
        <v>71</v>
      </c>
      <c r="L44" s="26" t="s">
        <v>97</v>
      </c>
    </row>
    <row r="45" spans="1:12" x14ac:dyDescent="0.2">
      <c r="A45" s="9">
        <v>42</v>
      </c>
      <c r="B45" s="35" t="s">
        <v>14</v>
      </c>
      <c r="C45" s="21" t="s">
        <v>3</v>
      </c>
      <c r="D45" s="36">
        <v>1</v>
      </c>
      <c r="E45" s="38">
        <v>69836.065573770495</v>
      </c>
      <c r="F45" s="44">
        <f t="shared" si="0"/>
        <v>85200</v>
      </c>
      <c r="G45" s="11">
        <f>E45*D45</f>
        <v>69836.065573770495</v>
      </c>
      <c r="H45" s="11">
        <f t="shared" si="1"/>
        <v>85200</v>
      </c>
      <c r="I45" s="10" t="s">
        <v>6</v>
      </c>
      <c r="J45" s="19" t="s">
        <v>27</v>
      </c>
      <c r="K45" s="19" t="s">
        <v>72</v>
      </c>
      <c r="L45" s="26" t="s">
        <v>97</v>
      </c>
    </row>
    <row r="46" spans="1:12" x14ac:dyDescent="0.2">
      <c r="A46" s="9">
        <v>43</v>
      </c>
      <c r="B46" s="35" t="s">
        <v>18</v>
      </c>
      <c r="C46" s="21" t="s">
        <v>3</v>
      </c>
      <c r="D46" s="36">
        <v>0.3</v>
      </c>
      <c r="E46" s="38">
        <v>67868.852459016402</v>
      </c>
      <c r="F46" s="44">
        <f t="shared" si="0"/>
        <v>82800.000000000015</v>
      </c>
      <c r="G46" s="11">
        <f>E46*D46</f>
        <v>20360.655737704921</v>
      </c>
      <c r="H46" s="11">
        <f t="shared" si="1"/>
        <v>24840.000000000004</v>
      </c>
      <c r="I46" s="10" t="s">
        <v>6</v>
      </c>
      <c r="J46" s="19" t="s">
        <v>27</v>
      </c>
      <c r="K46" s="19" t="s">
        <v>73</v>
      </c>
      <c r="L46" s="26" t="s">
        <v>97</v>
      </c>
    </row>
    <row r="47" spans="1:12" x14ac:dyDescent="0.2">
      <c r="A47" s="9">
        <v>44</v>
      </c>
      <c r="B47" s="35" t="s">
        <v>21</v>
      </c>
      <c r="C47" s="21" t="s">
        <v>3</v>
      </c>
      <c r="D47" s="36">
        <v>0.5</v>
      </c>
      <c r="E47" s="38">
        <v>67868.852459016402</v>
      </c>
      <c r="F47" s="44">
        <f t="shared" si="0"/>
        <v>82800.000000000015</v>
      </c>
      <c r="G47" s="11">
        <f>E47*D47</f>
        <v>33934.426229508201</v>
      </c>
      <c r="H47" s="11">
        <f t="shared" si="1"/>
        <v>41400.000000000007</v>
      </c>
      <c r="I47" s="10" t="s">
        <v>6</v>
      </c>
      <c r="J47" s="19" t="s">
        <v>27</v>
      </c>
      <c r="K47" s="19" t="s">
        <v>74</v>
      </c>
      <c r="L47" s="26" t="s">
        <v>97</v>
      </c>
    </row>
    <row r="48" spans="1:12" x14ac:dyDescent="0.2">
      <c r="A48" s="9">
        <v>45</v>
      </c>
      <c r="B48" s="35" t="s">
        <v>22</v>
      </c>
      <c r="C48" s="21" t="s">
        <v>3</v>
      </c>
      <c r="D48" s="36">
        <v>1</v>
      </c>
      <c r="E48" s="38">
        <v>67868.852459016402</v>
      </c>
      <c r="F48" s="44">
        <f t="shared" si="0"/>
        <v>82800.000000000015</v>
      </c>
      <c r="G48" s="11">
        <f>E48*D48</f>
        <v>67868.852459016402</v>
      </c>
      <c r="H48" s="11">
        <f t="shared" si="1"/>
        <v>82800.000000000015</v>
      </c>
      <c r="I48" s="10" t="s">
        <v>6</v>
      </c>
      <c r="J48" s="19" t="s">
        <v>27</v>
      </c>
      <c r="K48" s="19" t="s">
        <v>75</v>
      </c>
      <c r="L48" s="26" t="s">
        <v>97</v>
      </c>
    </row>
    <row r="49" spans="1:12" x14ac:dyDescent="0.2">
      <c r="A49" s="9">
        <v>46</v>
      </c>
      <c r="B49" s="35" t="s">
        <v>9</v>
      </c>
      <c r="C49" s="21" t="s">
        <v>3</v>
      </c>
      <c r="D49" s="36">
        <v>1.5</v>
      </c>
      <c r="E49" s="38">
        <v>67868.852459016402</v>
      </c>
      <c r="F49" s="44">
        <f t="shared" si="0"/>
        <v>82800.000000000015</v>
      </c>
      <c r="G49" s="11">
        <f>E49*D49</f>
        <v>101803.2786885246</v>
      </c>
      <c r="H49" s="11">
        <f t="shared" si="1"/>
        <v>124200.00000000001</v>
      </c>
      <c r="I49" s="10" t="s">
        <v>6</v>
      </c>
      <c r="J49" s="19" t="s">
        <v>27</v>
      </c>
      <c r="K49" s="19" t="s">
        <v>76</v>
      </c>
      <c r="L49" s="26" t="s">
        <v>98</v>
      </c>
    </row>
    <row r="50" spans="1:12" x14ac:dyDescent="0.2">
      <c r="A50" s="9">
        <v>47</v>
      </c>
      <c r="B50" s="35" t="s">
        <v>10</v>
      </c>
      <c r="C50" s="21" t="s">
        <v>3</v>
      </c>
      <c r="D50" s="36">
        <v>1</v>
      </c>
      <c r="E50" s="38">
        <v>67868.852459016402</v>
      </c>
      <c r="F50" s="44">
        <f t="shared" si="0"/>
        <v>82800.000000000015</v>
      </c>
      <c r="G50" s="11">
        <f>E50*D50</f>
        <v>67868.852459016402</v>
      </c>
      <c r="H50" s="11">
        <f t="shared" si="1"/>
        <v>82800.000000000015</v>
      </c>
      <c r="I50" s="10" t="s">
        <v>6</v>
      </c>
      <c r="J50" s="19" t="s">
        <v>27</v>
      </c>
      <c r="K50" s="19" t="s">
        <v>77</v>
      </c>
      <c r="L50" s="26" t="s">
        <v>98</v>
      </c>
    </row>
    <row r="51" spans="1:12" x14ac:dyDescent="0.2">
      <c r="A51" s="9">
        <v>48</v>
      </c>
      <c r="B51" s="35" t="s">
        <v>11</v>
      </c>
      <c r="C51" s="21" t="s">
        <v>3</v>
      </c>
      <c r="D51" s="36">
        <v>1</v>
      </c>
      <c r="E51" s="38">
        <v>67868.852459016402</v>
      </c>
      <c r="F51" s="44">
        <f t="shared" si="0"/>
        <v>82800.000000000015</v>
      </c>
      <c r="G51" s="11">
        <f>E51*D51</f>
        <v>67868.852459016402</v>
      </c>
      <c r="H51" s="11">
        <f t="shared" si="1"/>
        <v>82800.000000000015</v>
      </c>
      <c r="I51" s="10" t="s">
        <v>6</v>
      </c>
      <c r="J51" s="19" t="s">
        <v>27</v>
      </c>
      <c r="K51" s="19" t="s">
        <v>78</v>
      </c>
      <c r="L51" s="26" t="s">
        <v>98</v>
      </c>
    </row>
    <row r="52" spans="1:12" x14ac:dyDescent="0.2">
      <c r="A52" s="9">
        <v>49</v>
      </c>
      <c r="B52" s="35" t="s">
        <v>18</v>
      </c>
      <c r="C52" s="21" t="s">
        <v>3</v>
      </c>
      <c r="D52" s="36">
        <v>0.5</v>
      </c>
      <c r="E52" s="38">
        <v>67868.852459016402</v>
      </c>
      <c r="F52" s="44">
        <f t="shared" si="0"/>
        <v>82800.000000000015</v>
      </c>
      <c r="G52" s="11">
        <f>E52*D52</f>
        <v>33934.426229508201</v>
      </c>
      <c r="H52" s="11">
        <f t="shared" si="1"/>
        <v>41400.000000000007</v>
      </c>
      <c r="I52" s="10" t="s">
        <v>6</v>
      </c>
      <c r="J52" s="19" t="s">
        <v>27</v>
      </c>
      <c r="K52" s="19" t="s">
        <v>79</v>
      </c>
      <c r="L52" s="26" t="s">
        <v>98</v>
      </c>
    </row>
    <row r="53" spans="1:12" x14ac:dyDescent="0.2">
      <c r="A53" s="9">
        <v>50</v>
      </c>
      <c r="B53" s="35" t="s">
        <v>21</v>
      </c>
      <c r="C53" s="21" t="s">
        <v>3</v>
      </c>
      <c r="D53" s="36">
        <v>0.5</v>
      </c>
      <c r="E53" s="38">
        <v>67868.852459016402</v>
      </c>
      <c r="F53" s="44">
        <f t="shared" si="0"/>
        <v>82800.000000000015</v>
      </c>
      <c r="G53" s="11">
        <f>E53*D53</f>
        <v>33934.426229508201</v>
      </c>
      <c r="H53" s="11">
        <f t="shared" si="1"/>
        <v>41400.000000000007</v>
      </c>
      <c r="I53" s="10" t="s">
        <v>6</v>
      </c>
      <c r="J53" s="19" t="s">
        <v>27</v>
      </c>
      <c r="K53" s="19" t="s">
        <v>80</v>
      </c>
      <c r="L53" s="26" t="s">
        <v>98</v>
      </c>
    </row>
    <row r="54" spans="1:12" x14ac:dyDescent="0.2">
      <c r="A54" s="9">
        <v>51</v>
      </c>
      <c r="B54" s="35" t="s">
        <v>22</v>
      </c>
      <c r="C54" s="21" t="s">
        <v>3</v>
      </c>
      <c r="D54" s="36">
        <v>1</v>
      </c>
      <c r="E54" s="39">
        <v>67868.852459016402</v>
      </c>
      <c r="F54" s="44">
        <f t="shared" si="0"/>
        <v>82800.000000000015</v>
      </c>
      <c r="G54" s="11">
        <f>E54*D54</f>
        <v>67868.852459016402</v>
      </c>
      <c r="H54" s="11">
        <f t="shared" si="1"/>
        <v>82800.000000000015</v>
      </c>
      <c r="I54" s="10" t="s">
        <v>6</v>
      </c>
      <c r="J54" s="19" t="s">
        <v>27</v>
      </c>
      <c r="K54" s="19" t="s">
        <v>81</v>
      </c>
      <c r="L54" s="26" t="s">
        <v>98</v>
      </c>
    </row>
    <row r="55" spans="1:12" x14ac:dyDescent="0.2">
      <c r="A55" s="9">
        <v>52</v>
      </c>
      <c r="B55" s="35" t="s">
        <v>16</v>
      </c>
      <c r="C55" s="21" t="s">
        <v>3</v>
      </c>
      <c r="D55" s="36">
        <v>1</v>
      </c>
      <c r="E55" s="39">
        <v>75737.704918032789</v>
      </c>
      <c r="F55" s="44">
        <f t="shared" si="0"/>
        <v>92400</v>
      </c>
      <c r="G55" s="11">
        <f>E55*D55</f>
        <v>75737.704918032789</v>
      </c>
      <c r="H55" s="11">
        <f t="shared" si="1"/>
        <v>92400</v>
      </c>
      <c r="I55" s="10" t="s">
        <v>6</v>
      </c>
      <c r="J55" s="19" t="s">
        <v>29</v>
      </c>
      <c r="K55" s="19" t="s">
        <v>82</v>
      </c>
      <c r="L55" s="26" t="s">
        <v>99</v>
      </c>
    </row>
    <row r="56" spans="1:12" x14ac:dyDescent="0.2">
      <c r="A56" s="9">
        <v>53</v>
      </c>
      <c r="B56" s="35" t="s">
        <v>15</v>
      </c>
      <c r="C56" s="21" t="s">
        <v>3</v>
      </c>
      <c r="D56" s="36">
        <v>1</v>
      </c>
      <c r="E56" s="39">
        <v>69836.065573770495</v>
      </c>
      <c r="F56" s="44">
        <f t="shared" si="0"/>
        <v>85200</v>
      </c>
      <c r="G56" s="11">
        <f>E56*D56</f>
        <v>69836.065573770495</v>
      </c>
      <c r="H56" s="11">
        <f t="shared" si="1"/>
        <v>85200</v>
      </c>
      <c r="I56" s="10" t="s">
        <v>6</v>
      </c>
      <c r="J56" s="19" t="s">
        <v>29</v>
      </c>
      <c r="K56" s="19" t="s">
        <v>83</v>
      </c>
      <c r="L56" s="26" t="s">
        <v>99</v>
      </c>
    </row>
    <row r="57" spans="1:12" x14ac:dyDescent="0.2">
      <c r="A57" s="9">
        <v>54</v>
      </c>
      <c r="B57" s="35" t="s">
        <v>17</v>
      </c>
      <c r="C57" s="21" t="s">
        <v>3</v>
      </c>
      <c r="D57" s="36">
        <v>0.5</v>
      </c>
      <c r="E57" s="39">
        <v>88524.590163934423</v>
      </c>
      <c r="F57" s="44">
        <f t="shared" si="0"/>
        <v>108000</v>
      </c>
      <c r="G57" s="11">
        <f>E57*D57</f>
        <v>44262.295081967211</v>
      </c>
      <c r="H57" s="11">
        <f t="shared" si="1"/>
        <v>54000</v>
      </c>
      <c r="I57" s="10" t="s">
        <v>6</v>
      </c>
      <c r="J57" s="19" t="s">
        <v>24</v>
      </c>
      <c r="K57" s="19" t="s">
        <v>33</v>
      </c>
      <c r="L57" s="26" t="s">
        <v>99</v>
      </c>
    </row>
    <row r="58" spans="1:12" x14ac:dyDescent="0.2">
      <c r="A58" s="9">
        <v>55</v>
      </c>
      <c r="B58" s="35" t="s">
        <v>20</v>
      </c>
      <c r="C58" s="21" t="s">
        <v>3</v>
      </c>
      <c r="D58" s="36">
        <v>0.6</v>
      </c>
      <c r="E58" s="39">
        <v>93442.62295081967</v>
      </c>
      <c r="F58" s="44">
        <f t="shared" si="0"/>
        <v>114000</v>
      </c>
      <c r="G58" s="11">
        <f>E58*D58</f>
        <v>56065.573770491799</v>
      </c>
      <c r="H58" s="11">
        <f t="shared" si="1"/>
        <v>68400</v>
      </c>
      <c r="I58" s="10" t="s">
        <v>6</v>
      </c>
      <c r="J58" s="19" t="s">
        <v>24</v>
      </c>
      <c r="K58" s="19" t="s">
        <v>34</v>
      </c>
      <c r="L58" s="26" t="s">
        <v>99</v>
      </c>
    </row>
    <row r="59" spans="1:12" x14ac:dyDescent="0.2">
      <c r="A59" s="9">
        <v>56</v>
      </c>
      <c r="B59" s="35" t="s">
        <v>16</v>
      </c>
      <c r="C59" s="21" t="s">
        <v>3</v>
      </c>
      <c r="D59" s="36">
        <v>1.5</v>
      </c>
      <c r="E59" s="39">
        <v>75737.704918032789</v>
      </c>
      <c r="F59" s="44">
        <f t="shared" si="0"/>
        <v>92400</v>
      </c>
      <c r="G59" s="11">
        <f>E59*D59</f>
        <v>113606.55737704918</v>
      </c>
      <c r="H59" s="11">
        <f t="shared" si="1"/>
        <v>138600</v>
      </c>
      <c r="I59" s="10" t="s">
        <v>6</v>
      </c>
      <c r="J59" s="19" t="s">
        <v>24</v>
      </c>
      <c r="K59" s="19" t="s">
        <v>84</v>
      </c>
      <c r="L59" s="26" t="s">
        <v>99</v>
      </c>
    </row>
    <row r="60" spans="1:12" x14ac:dyDescent="0.2">
      <c r="A60" s="9">
        <v>57</v>
      </c>
      <c r="B60" s="35" t="s">
        <v>17</v>
      </c>
      <c r="C60" s="21" t="s">
        <v>3</v>
      </c>
      <c r="D60" s="36">
        <v>2</v>
      </c>
      <c r="E60" s="38">
        <v>88524.590163934423</v>
      </c>
      <c r="F60" s="44">
        <f t="shared" si="0"/>
        <v>108000</v>
      </c>
      <c r="G60" s="11">
        <f>E60*D60</f>
        <v>177049.18032786885</v>
      </c>
      <c r="H60" s="11">
        <f t="shared" si="1"/>
        <v>216000</v>
      </c>
      <c r="I60" s="10" t="s">
        <v>6</v>
      </c>
      <c r="J60" s="19" t="s">
        <v>24</v>
      </c>
      <c r="K60" s="19" t="s">
        <v>35</v>
      </c>
      <c r="L60" s="26" t="s">
        <v>99</v>
      </c>
    </row>
    <row r="61" spans="1:12" x14ac:dyDescent="0.2">
      <c r="A61" s="9">
        <v>58</v>
      </c>
      <c r="B61" s="35" t="s">
        <v>20</v>
      </c>
      <c r="C61" s="21" t="s">
        <v>3</v>
      </c>
      <c r="D61" s="36">
        <v>1.92</v>
      </c>
      <c r="E61" s="38">
        <v>93442.62295081967</v>
      </c>
      <c r="F61" s="44">
        <f t="shared" si="0"/>
        <v>114000</v>
      </c>
      <c r="G61" s="11">
        <f>E61*D61</f>
        <v>179409.83606557376</v>
      </c>
      <c r="H61" s="11">
        <f t="shared" si="1"/>
        <v>218880</v>
      </c>
      <c r="I61" s="10" t="s">
        <v>6</v>
      </c>
      <c r="J61" s="19" t="s">
        <v>25</v>
      </c>
      <c r="K61" s="19" t="s">
        <v>48</v>
      </c>
      <c r="L61" s="26" t="s">
        <v>99</v>
      </c>
    </row>
    <row r="62" spans="1:12" x14ac:dyDescent="0.2">
      <c r="A62" s="9">
        <v>59</v>
      </c>
      <c r="B62" s="35" t="s">
        <v>9</v>
      </c>
      <c r="C62" s="21" t="s">
        <v>3</v>
      </c>
      <c r="D62" s="36">
        <v>0.2</v>
      </c>
      <c r="E62" s="38">
        <v>67868.852459016402</v>
      </c>
      <c r="F62" s="44">
        <f t="shared" si="0"/>
        <v>82800.000000000015</v>
      </c>
      <c r="G62" s="11">
        <f>E62*D62</f>
        <v>13573.770491803281</v>
      </c>
      <c r="H62" s="11">
        <f t="shared" si="1"/>
        <v>16560.000000000004</v>
      </c>
      <c r="I62" s="10" t="s">
        <v>6</v>
      </c>
      <c r="J62" s="19" t="s">
        <v>27</v>
      </c>
      <c r="K62" s="19" t="s">
        <v>85</v>
      </c>
      <c r="L62" s="26" t="s">
        <v>100</v>
      </c>
    </row>
    <row r="63" spans="1:12" x14ac:dyDescent="0.2">
      <c r="A63" s="9">
        <v>60</v>
      </c>
      <c r="B63" s="35" t="s">
        <v>11</v>
      </c>
      <c r="C63" s="21" t="s">
        <v>3</v>
      </c>
      <c r="D63" s="36">
        <v>0.15</v>
      </c>
      <c r="E63" s="38">
        <v>67868.852459016402</v>
      </c>
      <c r="F63" s="44">
        <f t="shared" si="0"/>
        <v>82800.000000000015</v>
      </c>
      <c r="G63" s="11">
        <f>E63*D63</f>
        <v>10180.327868852461</v>
      </c>
      <c r="H63" s="11">
        <f t="shared" si="1"/>
        <v>12420.000000000002</v>
      </c>
      <c r="I63" s="10" t="s">
        <v>6</v>
      </c>
      <c r="J63" s="19" t="s">
        <v>27</v>
      </c>
      <c r="K63" s="19" t="s">
        <v>86</v>
      </c>
      <c r="L63" s="26" t="s">
        <v>100</v>
      </c>
    </row>
    <row r="64" spans="1:12" x14ac:dyDescent="0.2">
      <c r="A64" s="9">
        <v>61</v>
      </c>
      <c r="B64" s="35" t="s">
        <v>12</v>
      </c>
      <c r="C64" s="21" t="s">
        <v>3</v>
      </c>
      <c r="D64" s="36">
        <v>0.1</v>
      </c>
      <c r="E64" s="38">
        <v>69836.065573770495</v>
      </c>
      <c r="F64" s="44">
        <f t="shared" si="0"/>
        <v>85200</v>
      </c>
      <c r="G64" s="11">
        <f>E64*D64</f>
        <v>6983.6065573770502</v>
      </c>
      <c r="H64" s="11">
        <f t="shared" si="1"/>
        <v>8520.0000000000018</v>
      </c>
      <c r="I64" s="10" t="s">
        <v>6</v>
      </c>
      <c r="J64" s="19" t="s">
        <v>27</v>
      </c>
      <c r="K64" s="19" t="s">
        <v>47</v>
      </c>
      <c r="L64" s="26" t="s">
        <v>100</v>
      </c>
    </row>
    <row r="65" spans="1:12" x14ac:dyDescent="0.2">
      <c r="A65" s="9">
        <v>62</v>
      </c>
      <c r="B65" s="35" t="s">
        <v>18</v>
      </c>
      <c r="C65" s="21" t="s">
        <v>3</v>
      </c>
      <c r="D65" s="36">
        <v>0.5</v>
      </c>
      <c r="E65" s="38">
        <v>67868.852459016402</v>
      </c>
      <c r="F65" s="44">
        <f t="shared" si="0"/>
        <v>82800.000000000015</v>
      </c>
      <c r="G65" s="11">
        <f>E65*D65</f>
        <v>33934.426229508201</v>
      </c>
      <c r="H65" s="11">
        <f t="shared" si="1"/>
        <v>41400.000000000007</v>
      </c>
      <c r="I65" s="10" t="s">
        <v>6</v>
      </c>
      <c r="J65" s="19" t="s">
        <v>27</v>
      </c>
      <c r="K65" s="19" t="s">
        <v>39</v>
      </c>
      <c r="L65" s="26" t="s">
        <v>100</v>
      </c>
    </row>
    <row r="66" spans="1:12" x14ac:dyDescent="0.2">
      <c r="A66" s="9">
        <v>63</v>
      </c>
      <c r="B66" s="35" t="s">
        <v>21</v>
      </c>
      <c r="C66" s="21" t="s">
        <v>3</v>
      </c>
      <c r="D66" s="36">
        <v>0.15</v>
      </c>
      <c r="E66" s="38">
        <v>67868.852459016402</v>
      </c>
      <c r="F66" s="44">
        <f t="shared" si="0"/>
        <v>82800.000000000015</v>
      </c>
      <c r="G66" s="11">
        <f>E66*D66</f>
        <v>10180.327868852461</v>
      </c>
      <c r="H66" s="11">
        <f t="shared" si="1"/>
        <v>12420.000000000002</v>
      </c>
      <c r="I66" s="10" t="s">
        <v>6</v>
      </c>
      <c r="J66" s="19" t="s">
        <v>30</v>
      </c>
      <c r="K66" s="19" t="s">
        <v>87</v>
      </c>
      <c r="L66" s="26" t="s">
        <v>100</v>
      </c>
    </row>
    <row r="67" spans="1:12" x14ac:dyDescent="0.2">
      <c r="A67" s="9">
        <v>64</v>
      </c>
      <c r="B67" s="35" t="s">
        <v>22</v>
      </c>
      <c r="C67" s="21" t="s">
        <v>3</v>
      </c>
      <c r="D67" s="36">
        <v>0.15</v>
      </c>
      <c r="E67" s="38">
        <v>67868.852459016402</v>
      </c>
      <c r="F67" s="44">
        <f t="shared" si="0"/>
        <v>82800.000000000015</v>
      </c>
      <c r="G67" s="11">
        <f>E67*D67</f>
        <v>10180.327868852461</v>
      </c>
      <c r="H67" s="11">
        <f t="shared" si="1"/>
        <v>12420.000000000002</v>
      </c>
      <c r="I67" s="10" t="s">
        <v>6</v>
      </c>
      <c r="J67" s="19" t="s">
        <v>27</v>
      </c>
      <c r="K67" s="19" t="s">
        <v>62</v>
      </c>
      <c r="L67" s="26" t="s">
        <v>100</v>
      </c>
    </row>
    <row r="68" spans="1:12" x14ac:dyDescent="0.2">
      <c r="A68" s="9">
        <v>65</v>
      </c>
      <c r="B68" s="35" t="s">
        <v>18</v>
      </c>
      <c r="C68" s="21" t="s">
        <v>3</v>
      </c>
      <c r="D68" s="36">
        <v>0.2</v>
      </c>
      <c r="E68" s="38">
        <v>67868.852459016402</v>
      </c>
      <c r="F68" s="44">
        <f t="shared" si="0"/>
        <v>82800.000000000015</v>
      </c>
      <c r="G68" s="11">
        <f>E68*D68</f>
        <v>13573.770491803281</v>
      </c>
      <c r="H68" s="11">
        <f t="shared" si="1"/>
        <v>16560.000000000004</v>
      </c>
      <c r="I68" s="10" t="s">
        <v>6</v>
      </c>
      <c r="J68" s="19" t="s">
        <v>27</v>
      </c>
      <c r="K68" s="19" t="s">
        <v>56</v>
      </c>
      <c r="L68" s="26" t="s">
        <v>101</v>
      </c>
    </row>
    <row r="69" spans="1:12" x14ac:dyDescent="0.2">
      <c r="A69" s="9">
        <v>66</v>
      </c>
      <c r="B69" s="35" t="s">
        <v>9</v>
      </c>
      <c r="C69" s="21" t="s">
        <v>3</v>
      </c>
      <c r="D69" s="36">
        <v>0.5</v>
      </c>
      <c r="E69" s="38">
        <v>67868.852459016402</v>
      </c>
      <c r="F69" s="44">
        <f t="shared" ref="F69:F77" si="2">E69*1.22</f>
        <v>82800.000000000015</v>
      </c>
      <c r="G69" s="11">
        <f>E69*D69</f>
        <v>33934.426229508201</v>
      </c>
      <c r="H69" s="11">
        <f t="shared" ref="H69:H77" si="3">G69*1.22</f>
        <v>41400.000000000007</v>
      </c>
      <c r="I69" s="10" t="s">
        <v>6</v>
      </c>
      <c r="J69" s="19" t="s">
        <v>24</v>
      </c>
      <c r="K69" s="19" t="s">
        <v>67</v>
      </c>
      <c r="L69" s="26" t="s">
        <v>102</v>
      </c>
    </row>
    <row r="70" spans="1:12" x14ac:dyDescent="0.2">
      <c r="A70" s="9">
        <v>67</v>
      </c>
      <c r="B70" s="35" t="s">
        <v>10</v>
      </c>
      <c r="C70" s="21" t="s">
        <v>3</v>
      </c>
      <c r="D70" s="36">
        <v>0.5</v>
      </c>
      <c r="E70" s="38">
        <v>67868.852459016402</v>
      </c>
      <c r="F70" s="44">
        <f t="shared" si="2"/>
        <v>82800.000000000015</v>
      </c>
      <c r="G70" s="11">
        <f>E70*D70</f>
        <v>33934.426229508201</v>
      </c>
      <c r="H70" s="11">
        <f t="shared" si="3"/>
        <v>41400.000000000007</v>
      </c>
      <c r="I70" s="10" t="s">
        <v>6</v>
      </c>
      <c r="J70" s="19" t="s">
        <v>27</v>
      </c>
      <c r="K70" s="19" t="s">
        <v>68</v>
      </c>
      <c r="L70" s="26" t="s">
        <v>102</v>
      </c>
    </row>
    <row r="71" spans="1:12" x14ac:dyDescent="0.2">
      <c r="A71" s="9">
        <v>68</v>
      </c>
      <c r="B71" s="35" t="s">
        <v>11</v>
      </c>
      <c r="C71" s="21" t="s">
        <v>3</v>
      </c>
      <c r="D71" s="36">
        <v>0.7</v>
      </c>
      <c r="E71" s="38">
        <v>67868.852459016402</v>
      </c>
      <c r="F71" s="44">
        <f t="shared" si="2"/>
        <v>82800.000000000015</v>
      </c>
      <c r="G71" s="11">
        <f>E71*D71</f>
        <v>47508.196721311477</v>
      </c>
      <c r="H71" s="11">
        <f t="shared" si="3"/>
        <v>57960</v>
      </c>
      <c r="I71" s="10" t="s">
        <v>6</v>
      </c>
      <c r="J71" s="19" t="s">
        <v>27</v>
      </c>
      <c r="K71" s="19" t="s">
        <v>70</v>
      </c>
      <c r="L71" s="26" t="s">
        <v>102</v>
      </c>
    </row>
    <row r="72" spans="1:12" x14ac:dyDescent="0.2">
      <c r="A72" s="9">
        <v>69</v>
      </c>
      <c r="B72" s="35" t="s">
        <v>18</v>
      </c>
      <c r="C72" s="21" t="s">
        <v>3</v>
      </c>
      <c r="D72" s="36">
        <v>0.3</v>
      </c>
      <c r="E72" s="38">
        <v>67868.852459016402</v>
      </c>
      <c r="F72" s="44">
        <f t="shared" si="2"/>
        <v>82800.000000000015</v>
      </c>
      <c r="G72" s="11">
        <f>E72*D72</f>
        <v>20360.655737704921</v>
      </c>
      <c r="H72" s="11">
        <f t="shared" si="3"/>
        <v>24840.000000000004</v>
      </c>
      <c r="I72" s="10" t="s">
        <v>6</v>
      </c>
      <c r="J72" s="19" t="s">
        <v>27</v>
      </c>
      <c r="K72" s="19" t="s">
        <v>71</v>
      </c>
      <c r="L72" s="26" t="s">
        <v>102</v>
      </c>
    </row>
    <row r="73" spans="1:12" x14ac:dyDescent="0.2">
      <c r="A73" s="9">
        <v>70</v>
      </c>
      <c r="B73" s="35" t="s">
        <v>21</v>
      </c>
      <c r="C73" s="21" t="s">
        <v>3</v>
      </c>
      <c r="D73" s="36">
        <v>0.5</v>
      </c>
      <c r="E73" s="38">
        <v>67868.852459016402</v>
      </c>
      <c r="F73" s="44">
        <f t="shared" si="2"/>
        <v>82800.000000000015</v>
      </c>
      <c r="G73" s="11">
        <f>E73*D73</f>
        <v>33934.426229508201</v>
      </c>
      <c r="H73" s="11">
        <f t="shared" si="3"/>
        <v>41400.000000000007</v>
      </c>
      <c r="I73" s="10" t="s">
        <v>6</v>
      </c>
      <c r="J73" s="19" t="s">
        <v>27</v>
      </c>
      <c r="K73" s="19" t="s">
        <v>88</v>
      </c>
      <c r="L73" s="26" t="s">
        <v>102</v>
      </c>
    </row>
    <row r="74" spans="1:12" x14ac:dyDescent="0.2">
      <c r="A74" s="9">
        <v>71</v>
      </c>
      <c r="B74" s="35" t="s">
        <v>14</v>
      </c>
      <c r="C74" s="21" t="s">
        <v>3</v>
      </c>
      <c r="D74" s="36">
        <v>0.6</v>
      </c>
      <c r="E74" s="38">
        <v>69836.065573770495</v>
      </c>
      <c r="F74" s="44">
        <f t="shared" si="2"/>
        <v>85200</v>
      </c>
      <c r="G74" s="11">
        <f>E74*D74</f>
        <v>41901.639344262294</v>
      </c>
      <c r="H74" s="11">
        <f t="shared" si="3"/>
        <v>51120</v>
      </c>
      <c r="I74" s="10" t="s">
        <v>6</v>
      </c>
      <c r="J74" s="19" t="s">
        <v>27</v>
      </c>
      <c r="K74" s="19" t="s">
        <v>72</v>
      </c>
      <c r="L74" s="26" t="s">
        <v>103</v>
      </c>
    </row>
    <row r="75" spans="1:12" x14ac:dyDescent="0.2">
      <c r="A75" s="9">
        <v>72</v>
      </c>
      <c r="B75" s="35" t="s">
        <v>22</v>
      </c>
      <c r="C75" s="21" t="s">
        <v>3</v>
      </c>
      <c r="D75" s="36">
        <v>0.5</v>
      </c>
      <c r="E75" s="38">
        <v>67868.852459016402</v>
      </c>
      <c r="F75" s="44">
        <f t="shared" si="2"/>
        <v>82800.000000000015</v>
      </c>
      <c r="G75" s="11">
        <f>E75*D75</f>
        <v>33934.426229508201</v>
      </c>
      <c r="H75" s="11">
        <f t="shared" si="3"/>
        <v>41400.000000000007</v>
      </c>
      <c r="I75" s="10" t="s">
        <v>6</v>
      </c>
      <c r="J75" s="19" t="s">
        <v>27</v>
      </c>
      <c r="K75" s="19" t="s">
        <v>75</v>
      </c>
      <c r="L75" s="26" t="s">
        <v>103</v>
      </c>
    </row>
    <row r="76" spans="1:12" x14ac:dyDescent="0.2">
      <c r="A76" s="9">
        <v>73</v>
      </c>
      <c r="B76" s="35" t="s">
        <v>15</v>
      </c>
      <c r="C76" s="21" t="s">
        <v>3</v>
      </c>
      <c r="D76" s="36">
        <v>0.4</v>
      </c>
      <c r="E76" s="38">
        <v>69836.065573770495</v>
      </c>
      <c r="F76" s="44">
        <f t="shared" si="2"/>
        <v>85200</v>
      </c>
      <c r="G76" s="11">
        <f>E76*D76</f>
        <v>27934.426229508201</v>
      </c>
      <c r="H76" s="11">
        <f t="shared" si="3"/>
        <v>34080.000000000007</v>
      </c>
      <c r="I76" s="10" t="s">
        <v>6</v>
      </c>
      <c r="J76" s="19" t="s">
        <v>27</v>
      </c>
      <c r="K76" s="19" t="s">
        <v>89</v>
      </c>
      <c r="L76" s="26" t="s">
        <v>104</v>
      </c>
    </row>
    <row r="77" spans="1:12" x14ac:dyDescent="0.2">
      <c r="A77" s="3">
        <v>74</v>
      </c>
      <c r="B77" s="40" t="s">
        <v>13</v>
      </c>
      <c r="C77" s="21" t="s">
        <v>3</v>
      </c>
      <c r="D77" s="37">
        <v>0.3</v>
      </c>
      <c r="E77" s="38">
        <v>69836.065573770495</v>
      </c>
      <c r="F77" s="44">
        <f t="shared" si="2"/>
        <v>85200</v>
      </c>
      <c r="G77" s="11">
        <f>E77*D77</f>
        <v>20950.819672131147</v>
      </c>
      <c r="H77" s="11">
        <f t="shared" si="3"/>
        <v>25560</v>
      </c>
      <c r="I77" s="10" t="s">
        <v>6</v>
      </c>
      <c r="J77" s="19" t="s">
        <v>27</v>
      </c>
      <c r="K77" s="19" t="s">
        <v>76</v>
      </c>
      <c r="L77" s="27" t="s">
        <v>105</v>
      </c>
    </row>
    <row r="78" spans="1:12" ht="24" customHeight="1" x14ac:dyDescent="0.2">
      <c r="A78" s="8"/>
      <c r="B78" s="29"/>
      <c r="C78" s="7"/>
      <c r="D78" s="14">
        <f>SUM(D4:D77)</f>
        <v>43.370000000000005</v>
      </c>
      <c r="E78" s="12"/>
      <c r="F78" s="12"/>
      <c r="G78" s="30">
        <f>SUM(G4:G77)</f>
        <v>3088868.8524590158</v>
      </c>
      <c r="H78" s="30">
        <f>SUM(H4:H77)</f>
        <v>3768420.0000000005</v>
      </c>
      <c r="I78" s="13"/>
      <c r="J78" s="18"/>
      <c r="K78" s="18"/>
    </row>
    <row r="113" spans="1:9" s="2" customFormat="1" x14ac:dyDescent="0.2">
      <c r="A113" s="16"/>
      <c r="B113" s="4"/>
      <c r="C113" s="20"/>
      <c r="D113" s="24"/>
      <c r="E113" s="24"/>
      <c r="F113" s="41"/>
      <c r="G113" s="23"/>
      <c r="H113" s="17"/>
      <c r="I113" s="17"/>
    </row>
  </sheetData>
  <autoFilter ref="B3:I78"/>
  <mergeCells count="2">
    <mergeCell ref="G1:I1"/>
    <mergeCell ref="A2:I2"/>
  </mergeCells>
  <pageMargins left="0.25" right="0.25" top="0.75" bottom="0.75" header="0.3" footer="0.3"/>
  <pageSetup paperSize="9" fitToHeight="0" orientation="landscape" r:id="rId1"/>
  <headerFooter>
    <oddFooter>&amp;CСтраница  &amp;P из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для проверки</vt:lpstr>
      <vt:lpstr>'для проверки'!ExternalData_1</vt:lpstr>
      <vt:lpstr>'для проверки'!Область_печати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plusnin_ip</dc:creator>
  <cp:lastModifiedBy>Администратор</cp:lastModifiedBy>
  <cp:lastPrinted>2025-09-25T06:23:32Z</cp:lastPrinted>
  <dcterms:created xsi:type="dcterms:W3CDTF">2011-03-24T09:14:27Z</dcterms:created>
  <dcterms:modified xsi:type="dcterms:W3CDTF">2026-08-14T05:00:25Z</dcterms:modified>
</cp:coreProperties>
</file>