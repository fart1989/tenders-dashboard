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29.133.71\Share\УЛ и МТО\СЗ\ЦКК\2026\ЦКК 39\Вопрос 17\Приложения для закупки\"/>
    </mc:Choice>
  </mc:AlternateContent>
  <bookViews>
    <workbookView xWindow="0" yWindow="0" windowWidth="28800" windowHeight="11400"/>
  </bookViews>
  <sheets>
    <sheet name="Приложение №1" sheetId="1" r:id="rId1"/>
  </sheets>
  <definedNames>
    <definedName name="_xlnm._FilterDatabase" localSheetId="0" hidden="1">'Приложение №1'!$B$3:$R$3</definedName>
    <definedName name="_xlnm.Print_Area" localSheetId="0">'Приложение №1'!$M$8</definedName>
  </definedNames>
  <calcPr calcId="162913"/>
</workbook>
</file>

<file path=xl/calcChain.xml><?xml version="1.0" encoding="utf-8"?>
<calcChain xmlns="http://schemas.openxmlformats.org/spreadsheetml/2006/main">
  <c r="J6" i="1" l="1"/>
  <c r="J5" i="1"/>
  <c r="J4" i="1"/>
  <c r="J7" i="1" s="1"/>
</calcChain>
</file>

<file path=xl/sharedStrings.xml><?xml version="1.0" encoding="utf-8"?>
<sst xmlns="http://schemas.openxmlformats.org/spreadsheetml/2006/main" count="25" uniqueCount="19">
  <si>
    <t>Приложение 1 к ТЗ</t>
  </si>
  <si>
    <t>ПЕРЕЧЕНЬ И ОБЪЕМЫ ПОСТАВКИ</t>
  </si>
  <si>
    <t>№ пп</t>
  </si>
  <si>
    <t>Материал</t>
  </si>
  <si>
    <t>Краткий текст материала</t>
  </si>
  <si>
    <t>Код ОКПД2</t>
  </si>
  <si>
    <t>Применение ПП № 1875 (запрет/ ограничение/ преимущество/ не применяется)</t>
  </si>
  <si>
    <r>
      <rPr>
        <sz val="11"/>
        <rFont val="Times New Roman"/>
      </rPr>
      <t>Основание не применения ПП № 1875 - ссылка на пункт ПП и пояснения (</t>
    </r>
    <r>
      <rPr>
        <u/>
        <sz val="11"/>
        <rFont val="Times New Roman"/>
      </rPr>
      <t>заполняется если ПП № 1875 не применяется</t>
    </r>
    <r>
      <rPr>
        <sz val="11"/>
        <rFont val="Times New Roman"/>
      </rPr>
      <t>)</t>
    </r>
  </si>
  <si>
    <t>Базисная ЕИ</t>
  </si>
  <si>
    <t>количество</t>
  </si>
  <si>
    <t>Цена, руб., без НДС</t>
  </si>
  <si>
    <t>Стоимость, руб., без НДС</t>
  </si>
  <si>
    <t>КТПТ-ВВ-250/10/0,4 3.1.3.3.0.0.1.0.0</t>
  </si>
  <si>
    <t>27.11.41.000</t>
  </si>
  <si>
    <t>шт</t>
  </si>
  <si>
    <t>КТПТ-ВВ-400/10/0,4 3.1.4.4.0.0.1.0.0</t>
  </si>
  <si>
    <t>КТПТ-ВВ-630/10/0,4 3.1.4.4.0.0.1.0.0</t>
  </si>
  <si>
    <t xml:space="preserve">Итого планируемая (предельная) цена закупки </t>
  </si>
  <si>
    <t>преимущество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</si>
</sst>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.00\ _₽_-;\-* #,##0.00\ _₽_-;_-* &quot;-&quot;??\ _₽_-;_-@_-"/>
  </numFmts>
  <fonts count="13" x14ac:knownFonts="1">
    <font>
      <sz val="11"/>
      <color theme="1"/>
      <name val="Calibri"/>
      <scheme val="minor"/>
    </font>
    <font>
      <sz val="10"/>
      <name val="Arial"/>
    </font>
    <font>
      <sz val="10"/>
      <color theme="1"/>
      <name val="Times New Roman"/>
    </font>
    <font>
      <sz val="14"/>
      <name val="Times New Roman"/>
    </font>
    <font>
      <sz val="11"/>
      <color theme="1"/>
      <name val="Times New Roman"/>
    </font>
    <font>
      <sz val="10"/>
      <name val="Times New Roman"/>
    </font>
    <font>
      <sz val="11"/>
      <name val="Times New Roman"/>
    </font>
    <font>
      <sz val="12"/>
      <color theme="1"/>
      <name val="Times New Roman"/>
    </font>
    <font>
      <sz val="12"/>
      <name val="Times New Roman"/>
    </font>
    <font>
      <b/>
      <sz val="9"/>
      <color theme="1"/>
      <name val="Times New Roman"/>
    </font>
    <font>
      <b/>
      <sz val="10"/>
      <name val="Times New Roman"/>
    </font>
    <font>
      <sz val="11"/>
      <color theme="1"/>
      <name val="Calibri"/>
      <scheme val="minor"/>
    </font>
    <font>
      <u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11" fillId="0" borderId="0"/>
    <xf numFmtId="0" fontId="1" fillId="0" borderId="0"/>
    <xf numFmtId="0" fontId="1" fillId="0" borderId="0"/>
    <xf numFmtId="164" fontId="11" fillId="0" borderId="0" applyFont="0" applyFill="0" applyBorder="0" applyProtection="0"/>
  </cellStyleXfs>
  <cellXfs count="39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164" fontId="5" fillId="0" borderId="1" xfId="5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 shrinkToFit="1"/>
    </xf>
    <xf numFmtId="165" fontId="4" fillId="3" borderId="0" xfId="5" applyNumberFormat="1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9" fillId="0" borderId="1" xfId="0" applyFont="1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4" xfId="0" applyBorder="1"/>
    <xf numFmtId="164" fontId="10" fillId="0" borderId="6" xfId="5" applyNumberFormat="1" applyFont="1" applyBorder="1"/>
    <xf numFmtId="164" fontId="0" fillId="0" borderId="0" xfId="5" applyNumberFormat="1" applyAlignment="1">
      <alignment horizontal="center" vertical="center" wrapText="1"/>
    </xf>
    <xf numFmtId="165" fontId="4" fillId="3" borderId="0" xfId="5" applyNumberFormat="1" applyFont="1" applyFill="1" applyAlignment="1">
      <alignment horizontal="center" vertical="center"/>
    </xf>
    <xf numFmtId="165" fontId="0" fillId="0" borderId="0" xfId="0" applyNumberFormat="1"/>
    <xf numFmtId="4" fontId="0" fillId="0" borderId="0" xfId="0" applyNumberFormat="1"/>
    <xf numFmtId="0" fontId="2" fillId="0" borderId="0" xfId="0" applyFont="1" applyAlignment="1">
      <alignment horizontal="center" vertical="center" wrapText="1"/>
    </xf>
  </cellXfs>
  <cellStyles count="6">
    <cellStyle name="Обычный" xfId="0" builtinId="0"/>
    <cellStyle name="Обычный 2" xfId="1"/>
    <cellStyle name="Обычный 2 2" xfId="2"/>
    <cellStyle name="Обычный 3" xfId="3"/>
    <cellStyle name="Обычный 3 2" xfId="4"/>
    <cellStyle name="Финансовый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"/>
  <sheetViews>
    <sheetView tabSelected="1" zoomScale="90" workbookViewId="0">
      <selection activeCell="G11" sqref="G11"/>
    </sheetView>
  </sheetViews>
  <sheetFormatPr defaultRowHeight="15" x14ac:dyDescent="0.25"/>
  <cols>
    <col min="1" max="1" width="6.42578125" style="1" customWidth="1"/>
    <col min="2" max="2" width="13.42578125" style="1" customWidth="1"/>
    <col min="3" max="3" width="42.28515625" style="2" customWidth="1"/>
    <col min="4" max="4" width="16.42578125" style="2" customWidth="1"/>
    <col min="5" max="5" width="36.85546875" style="2" customWidth="1"/>
    <col min="6" max="6" width="31.85546875" style="2" customWidth="1"/>
    <col min="7" max="7" width="9.140625" style="1"/>
    <col min="8" max="8" width="7.85546875" style="1" customWidth="1"/>
    <col min="9" max="9" width="15" style="1" customWidth="1"/>
    <col min="10" max="10" width="23.85546875" style="3" customWidth="1"/>
    <col min="11" max="11" width="9.140625" style="1" customWidth="1"/>
    <col min="12" max="12" width="16.85546875" style="1" customWidth="1"/>
    <col min="13" max="13" width="17.7109375" style="1" customWidth="1"/>
    <col min="14" max="14" width="70.28515625" style="1" customWidth="1"/>
    <col min="15" max="15" width="10.85546875" style="1" bestFit="1" customWidth="1"/>
    <col min="16" max="16" width="9.140625" style="1"/>
    <col min="17" max="17" width="12.7109375" style="1" customWidth="1"/>
    <col min="18" max="16384" width="9.140625" style="1"/>
  </cols>
  <sheetData>
    <row r="1" spans="1:18" ht="25.5" customHeight="1" x14ac:dyDescent="0.25">
      <c r="H1" s="38" t="s">
        <v>0</v>
      </c>
      <c r="I1" s="38"/>
      <c r="J1" s="38"/>
    </row>
    <row r="2" spans="1:18" ht="41.25" customHeight="1" x14ac:dyDescent="0.3">
      <c r="C2" s="5" t="s">
        <v>1</v>
      </c>
      <c r="D2" s="5"/>
      <c r="E2" s="5"/>
      <c r="F2" s="5"/>
      <c r="H2" s="4"/>
      <c r="I2" s="4"/>
      <c r="J2" s="4"/>
    </row>
    <row r="3" spans="1:18" ht="59.25" customHeight="1" x14ac:dyDescent="0.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9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O3" s="12"/>
      <c r="P3" s="12"/>
      <c r="Q3" s="12"/>
    </row>
    <row r="4" spans="1:18" ht="36" customHeight="1" x14ac:dyDescent="0.25">
      <c r="A4" s="6">
        <v>1</v>
      </c>
      <c r="B4" s="13">
        <v>3412202386</v>
      </c>
      <c r="C4" s="14" t="s">
        <v>12</v>
      </c>
      <c r="D4" s="15" t="s">
        <v>13</v>
      </c>
      <c r="E4" s="15" t="s">
        <v>18</v>
      </c>
      <c r="F4" s="16"/>
      <c r="G4" s="17" t="s">
        <v>14</v>
      </c>
      <c r="H4" s="17">
        <v>3</v>
      </c>
      <c r="I4" s="18">
        <v>1189263.68</v>
      </c>
      <c r="J4" s="19">
        <f t="shared" ref="J4:J6" si="0">H4*I4</f>
        <v>3567791.04</v>
      </c>
      <c r="K4" s="20"/>
      <c r="L4" s="20"/>
      <c r="M4" s="21"/>
      <c r="N4" s="22"/>
      <c r="O4" s="23"/>
      <c r="P4" s="24"/>
      <c r="Q4" s="25"/>
      <c r="R4" s="24"/>
    </row>
    <row r="5" spans="1:18" ht="36" customHeight="1" x14ac:dyDescent="0.25">
      <c r="A5" s="6">
        <v>2</v>
      </c>
      <c r="B5" s="13">
        <v>3412202494</v>
      </c>
      <c r="C5" s="14" t="s">
        <v>15</v>
      </c>
      <c r="D5" s="15" t="s">
        <v>13</v>
      </c>
      <c r="E5" s="15" t="s">
        <v>18</v>
      </c>
      <c r="F5" s="16"/>
      <c r="G5" s="17" t="s">
        <v>14</v>
      </c>
      <c r="H5" s="26">
        <v>2</v>
      </c>
      <c r="I5" s="18">
        <v>1337063.47</v>
      </c>
      <c r="J5" s="19">
        <f t="shared" si="0"/>
        <v>2674126.94</v>
      </c>
      <c r="K5" s="20"/>
      <c r="L5" s="20"/>
      <c r="M5" s="21"/>
      <c r="N5" s="22"/>
      <c r="O5" s="23"/>
      <c r="P5" s="24"/>
      <c r="Q5" s="25"/>
      <c r="R5" s="24"/>
    </row>
    <row r="6" spans="1:18" ht="36" customHeight="1" x14ac:dyDescent="0.25">
      <c r="A6" s="6">
        <v>3</v>
      </c>
      <c r="B6" s="13">
        <v>3412202593</v>
      </c>
      <c r="C6" s="27" t="s">
        <v>16</v>
      </c>
      <c r="D6" s="15" t="s">
        <v>13</v>
      </c>
      <c r="E6" s="15" t="s">
        <v>18</v>
      </c>
      <c r="F6" s="16"/>
      <c r="G6" s="17" t="s">
        <v>14</v>
      </c>
      <c r="H6" s="26">
        <v>6</v>
      </c>
      <c r="I6" s="18">
        <v>1373454.49</v>
      </c>
      <c r="J6" s="19">
        <f t="shared" si="0"/>
        <v>8240726.9399999995</v>
      </c>
      <c r="K6" s="20"/>
      <c r="L6" s="20"/>
      <c r="M6" s="21"/>
      <c r="N6" s="22"/>
      <c r="O6" s="23"/>
      <c r="P6" s="24"/>
      <c r="Q6" s="25"/>
      <c r="R6" s="24"/>
    </row>
    <row r="7" spans="1:18" ht="35.25" customHeight="1" x14ac:dyDescent="0.25">
      <c r="A7" s="28"/>
      <c r="B7" s="29" t="s">
        <v>17</v>
      </c>
      <c r="C7" s="30"/>
      <c r="D7" s="30"/>
      <c r="E7" s="30"/>
      <c r="F7" s="30"/>
      <c r="G7" s="31"/>
      <c r="H7" s="31"/>
      <c r="I7" s="32"/>
      <c r="J7" s="33">
        <f>J4+J5+J6</f>
        <v>14482644.92</v>
      </c>
      <c r="K7" s="20"/>
      <c r="L7" s="20"/>
      <c r="M7" s="34"/>
      <c r="N7" s="22"/>
      <c r="O7" s="35"/>
      <c r="P7" s="24"/>
      <c r="Q7"/>
    </row>
    <row r="8" spans="1:18" ht="36.75" customHeight="1" x14ac:dyDescent="0.25">
      <c r="M8" s="36"/>
      <c r="N8" s="22"/>
      <c r="O8" s="35"/>
      <c r="P8" s="24"/>
      <c r="Q8" s="37"/>
    </row>
    <row r="9" spans="1:18" ht="35.25" customHeight="1" x14ac:dyDescent="0.25">
      <c r="M9" s="36"/>
      <c r="N9" s="22"/>
      <c r="O9" s="35"/>
      <c r="P9" s="24"/>
    </row>
    <row r="10" spans="1:18" x14ac:dyDescent="0.25">
      <c r="Q10" s="37"/>
    </row>
  </sheetData>
  <autoFilter ref="B3:R3">
    <sortState ref="B4:R16">
      <sortCondition ref="C3"/>
    </sortState>
  </autoFilter>
  <mergeCells count="1">
    <mergeCell ref="H1:J1"/>
  </mergeCells>
  <pageMargins left="0.25" right="0.25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Приложение №1</vt:lpstr>
      <vt:lpstr>'Приложение №1'!Область_печати</vt:lpstr>
    </vt:vector>
  </TitlesOfParts>
  <Company>МРСК Сибири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Ранский Анатолий Анатольевич</dc:creator>
  <cp:lastModifiedBy>Надежда Кузнецова</cp:lastModifiedBy>
  <cp:revision>28</cp:revision>
  <dcterms:created xsi:type="dcterms:W3CDTF">2018-08-31T03:49:17Z</dcterms:created>
  <dcterms:modified xsi:type="dcterms:W3CDTF">2026-08-19T06:42:28Z</dcterms:modified>
</cp:coreProperties>
</file>