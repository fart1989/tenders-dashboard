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Лист1!$A$8:$L$26</definedName>
    <definedName name="_xlnm.Print_Area" localSheetId="0">Лист1!$A$1:$L$27</definedName>
  </definedNames>
  <calcPr/>
</workbook>
</file>

<file path=xl/sharedStrings.xml><?xml version="1.0" encoding="utf-8"?>
<sst xmlns="http://schemas.openxmlformats.org/spreadsheetml/2006/main" count="19" uniqueCount="19">
  <si>
    <t xml:space="preserve">Приложение к СО 6.3140/0</t>
  </si>
  <si>
    <t xml:space="preserve">Расчет НМЦ</t>
  </si>
  <si>
    <t xml:space="preserve">№ п/п</t>
  </si>
  <si>
    <t xml:space="preserve">Наименование товара</t>
  </si>
  <si>
    <t xml:space="preserve">Ед. изм.</t>
  </si>
  <si>
    <t>Количество</t>
  </si>
  <si>
    <t xml:space="preserve">Рыночная цена за ед. рублей без НДС</t>
  </si>
  <si>
    <t xml:space="preserve">Расчет НМЦ, руб. без НДС</t>
  </si>
  <si>
    <t xml:space="preserve">Источник ценовой информации</t>
  </si>
  <si>
    <t xml:space="preserve">источник 1</t>
  </si>
  <si>
    <t xml:space="preserve">источник 2</t>
  </si>
  <si>
    <t xml:space="preserve">источник 3</t>
  </si>
  <si>
    <t xml:space="preserve">Цена, руб. без НДС</t>
  </si>
  <si>
    <t xml:space="preserve">Стоимость, руб. без НДС</t>
  </si>
  <si>
    <t xml:space="preserve">КТПТ-ВВ-250/10/0,4 3.1.3.3.0.0.1.0.0</t>
  </si>
  <si>
    <t>шт</t>
  </si>
  <si>
    <t xml:space="preserve">КТПТ-ВВ-400/10/0,4 3.1.4.4.0.0.1.0.0</t>
  </si>
  <si>
    <t xml:space="preserve">КТПТ-ВВ-630/10/0,4 3.1.4.4.0.0.1.0.0</t>
  </si>
  <si>
    <t xml:space="preserve">Итого НМЦ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</si>
</sst>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11">
    <font>
      <sz val="11.000000"/>
      <color theme="1"/>
      <name val="Calibri"/>
      <scheme val="minor"/>
    </font>
    <font>
      <sz val="11.000000"/>
      <color theme="1"/>
      <name val="Times New Roman"/>
    </font>
    <font>
      <sz val="12.000000"/>
      <color theme="1"/>
      <name val="Times New Roman"/>
    </font>
    <font>
      <b/>
      <sz val="11.000000"/>
      <color theme="1"/>
      <name val="Times New Roman"/>
    </font>
    <font>
      <b/>
      <sz val="10.000000"/>
      <color theme="1"/>
      <name val="Times New Roman"/>
    </font>
    <font>
      <b/>
      <sz val="12.000000"/>
      <color theme="1"/>
      <name val="Times New Roman"/>
    </font>
    <font>
      <sz val="14.000000"/>
      <color theme="1"/>
      <name val="Times New Roman"/>
    </font>
    <font>
      <sz val="10.000000"/>
      <name val="Times New Roman"/>
    </font>
    <font>
      <b/>
      <sz val="10.000000"/>
      <name val="Times New Roman"/>
    </font>
    <font>
      <sz val="11.000000"/>
      <name val="Times New Roman"/>
    </font>
    <font>
      <b/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5"/>
        <bgColor indexed="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</cellStyleXfs>
  <cellXfs count="34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wrapText="1"/>
    </xf>
    <xf fontId="1" fillId="0" borderId="0" numFmtId="160" xfId="1" applyNumberFormat="1" applyFont="1"/>
    <xf fontId="3" fillId="0" borderId="0" numFmtId="0" xfId="0" applyFont="1"/>
    <xf fontId="1" fillId="0" borderId="0" numFmtId="2" xfId="0" applyNumberFormat="1" applyFont="1"/>
    <xf fontId="3" fillId="0" borderId="0" numFmtId="0" xfId="0" applyFont="1" applyAlignment="1">
      <alignment horizontal="right"/>
    </xf>
    <xf fontId="3" fillId="0" borderId="0" numFmtId="0" xfId="0" applyFont="1" applyAlignment="1">
      <alignment horizontal="center"/>
    </xf>
    <xf fontId="4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left" vertical="center" wrapText="1"/>
    </xf>
    <xf fontId="4" fillId="2" borderId="2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 wrapText="1"/>
    </xf>
    <xf fontId="4" fillId="2" borderId="5" numFmtId="0" xfId="0" applyFont="1" applyFill="1" applyBorder="1" applyAlignment="1">
      <alignment horizontal="center" vertical="center" wrapText="1"/>
    </xf>
    <xf fontId="5" fillId="2" borderId="5" numFmtId="0" xfId="0" applyFont="1" applyFill="1" applyBorder="1" applyAlignment="1">
      <alignment horizontal="left" vertical="center" wrapText="1"/>
    </xf>
    <xf fontId="4" fillId="2" borderId="6" numFmtId="0" xfId="0" applyFont="1" applyFill="1" applyBorder="1" applyAlignment="1">
      <alignment horizontal="center" vertical="center" wrapText="1"/>
    </xf>
    <xf fontId="5" fillId="2" borderId="6" numFmtId="0" xfId="0" applyFont="1" applyFill="1" applyBorder="1" applyAlignment="1">
      <alignment horizontal="left" vertical="center" wrapText="1"/>
    </xf>
    <xf fontId="4" fillId="2" borderId="4" numFmtId="160" xfId="1" applyNumberFormat="1" applyFont="1" applyFill="1" applyBorder="1" applyAlignment="1">
      <alignment horizontal="center" vertical="center" wrapText="1"/>
    </xf>
    <xf fontId="6" fillId="0" borderId="0" numFmtId="0" xfId="0" applyFont="1"/>
    <xf fontId="0" fillId="0" borderId="4" numFmtId="0" xfId="0" applyBorder="1" applyAlignment="1">
      <alignment vertical="top"/>
    </xf>
    <xf fontId="7" fillId="0" borderId="0" numFmtId="0" xfId="0" applyFont="1" applyAlignment="1">
      <alignment horizontal="center" vertical="center"/>
    </xf>
    <xf fontId="0" fillId="0" borderId="6" numFmtId="4" xfId="0" applyNumberFormat="1" applyBorder="1" applyAlignment="1">
      <alignment horizontal="right" vertical="top"/>
    </xf>
    <xf fontId="0" fillId="0" borderId="0" numFmtId="4" xfId="0" applyNumberFormat="1" applyAlignment="1">
      <alignment horizontal="right" vertical="top"/>
    </xf>
    <xf fontId="0" fillId="0" borderId="4" numFmtId="4" xfId="0" applyNumberFormat="1" applyBorder="1" applyAlignment="1">
      <alignment horizontal="right" vertical="top"/>
    </xf>
    <xf fontId="7" fillId="0" borderId="4" numFmtId="4" xfId="0" applyNumberFormat="1" applyFont="1" applyBorder="1" applyAlignment="1">
      <alignment horizontal="right" vertical="center" wrapText="1"/>
    </xf>
    <xf fontId="8" fillId="0" borderId="4" numFmtId="4" xfId="0" applyNumberFormat="1" applyFont="1" applyBorder="1" applyAlignment="1">
      <alignment horizontal="right" vertical="center"/>
    </xf>
    <xf fontId="9" fillId="0" borderId="4" numFmtId="4" xfId="0" applyNumberFormat="1" applyFont="1" applyBorder="1" applyAlignment="1">
      <alignment horizontal="right" vertical="center"/>
    </xf>
    <xf fontId="1" fillId="0" borderId="0" numFmtId="160" xfId="0" applyNumberFormat="1" applyFont="1"/>
    <xf fontId="7" fillId="0" borderId="4" numFmtId="0" xfId="0" applyFont="1" applyBorder="1" applyAlignment="1">
      <alignment horizontal="center" vertical="center"/>
    </xf>
    <xf fontId="5" fillId="3" borderId="7" numFmtId="0" xfId="0" applyFont="1" applyFill="1" applyBorder="1" applyAlignment="1">
      <alignment horizontal="center" vertical="top"/>
    </xf>
    <xf fontId="5" fillId="3" borderId="8" numFmtId="0" xfId="0" applyFont="1" applyFill="1" applyBorder="1" applyAlignment="1">
      <alignment horizontal="center" vertical="top"/>
    </xf>
    <xf fontId="5" fillId="3" borderId="9" numFmtId="0" xfId="0" applyFont="1" applyFill="1" applyBorder="1" applyAlignment="1">
      <alignment horizontal="center" vertical="top"/>
    </xf>
    <xf fontId="10" fillId="3" borderId="4" numFmtId="4" xfId="0" applyNumberFormat="1" applyFont="1" applyFill="1" applyBorder="1" applyAlignment="1">
      <alignment horizontal="right" vertical="center"/>
    </xf>
    <xf fontId="3" fillId="0" borderId="0" numFmtId="4" xfId="0" applyNumberFormat="1" applyFont="1"/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70" workbookViewId="0">
      <selection activeCell="L1" activeCellId="0" sqref="L1"/>
    </sheetView>
  </sheetViews>
  <sheetFormatPr defaultRowHeight="14.25"/>
  <cols>
    <col customWidth="1" min="1" max="1" style="1" width="14.28515625"/>
    <col customWidth="1" min="2" max="2" style="2" width="43.7109375"/>
    <col customWidth="1" min="3" max="3" style="1" width="6.42578125"/>
    <col customWidth="1" min="4" max="4" style="1" width="12.42578125"/>
    <col customWidth="1" min="5" max="8" style="3" width="14.7109375"/>
    <col customWidth="1" min="9" max="9" style="1" width="18.7109375"/>
    <col customWidth="1" min="10" max="10" style="1" width="12"/>
    <col customWidth="1" min="11" max="11" style="4" width="17.85546875"/>
    <col customWidth="1" min="12" max="12" style="4" width="14.42578125"/>
    <col customWidth="1" min="13" max="13" style="1" width="13.42578125"/>
    <col min="14" max="14" style="5" width="9.140625"/>
    <col min="15" max="20" style="1" width="9.140625"/>
    <col customWidth="1" min="21" max="21" style="1" width="80.5703125"/>
    <col customWidth="1" min="22" max="22" style="1" width="48.85546875"/>
    <col min="23" max="16384" style="1" width="9.140625"/>
  </cols>
  <sheetData>
    <row r="1">
      <c r="L1" s="6" t="s">
        <v>0</v>
      </c>
    </row>
    <row r="2">
      <c r="A2" s="4"/>
    </row>
    <row r="3" ht="1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/>
    <row r="5" ht="38.25" customHeight="1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11"/>
      <c r="G5" s="11"/>
      <c r="H5" s="11"/>
      <c r="I5" s="11"/>
      <c r="J5" s="11"/>
      <c r="K5" s="12" t="s">
        <v>7</v>
      </c>
      <c r="L5" s="12"/>
    </row>
    <row r="6" ht="38.25" customHeight="1">
      <c r="A6" s="13"/>
      <c r="B6" s="14"/>
      <c r="C6" s="13"/>
      <c r="D6" s="13"/>
      <c r="E6" s="10" t="s">
        <v>8</v>
      </c>
      <c r="F6" s="11"/>
      <c r="G6" s="11"/>
      <c r="H6" s="11"/>
      <c r="I6" s="11"/>
      <c r="J6" s="11"/>
      <c r="K6" s="12"/>
      <c r="L6" s="12"/>
    </row>
    <row r="7" ht="81" customHeight="1">
      <c r="A7" s="15"/>
      <c r="B7" s="16"/>
      <c r="C7" s="15"/>
      <c r="D7" s="15"/>
      <c r="E7" s="17" t="s">
        <v>9</v>
      </c>
      <c r="F7" s="17" t="s">
        <v>10</v>
      </c>
      <c r="G7" s="17" t="s">
        <v>11</v>
      </c>
      <c r="H7" s="17"/>
      <c r="I7" s="17"/>
      <c r="J7" s="17"/>
      <c r="K7" s="12" t="s">
        <v>12</v>
      </c>
      <c r="L7" s="12" t="s">
        <v>13</v>
      </c>
      <c r="U7" s="18"/>
    </row>
    <row r="8" ht="15.75" customHeight="1">
      <c r="A8" s="19">
        <v>3412202386</v>
      </c>
      <c r="B8" s="19" t="s">
        <v>14</v>
      </c>
      <c r="C8" s="20" t="s">
        <v>15</v>
      </c>
      <c r="D8" s="21">
        <v>3</v>
      </c>
      <c r="E8" s="22">
        <v>1189263.6799999999</v>
      </c>
      <c r="F8" s="23"/>
      <c r="G8" s="23"/>
      <c r="H8" s="23"/>
      <c r="I8" s="23"/>
      <c r="J8" s="24"/>
      <c r="K8" s="25">
        <f>E8</f>
        <v>1189263.6799999999</v>
      </c>
      <c r="L8" s="26">
        <f>D8*K8</f>
        <v>3567791.04</v>
      </c>
      <c r="M8" s="27"/>
      <c r="U8" s="18"/>
    </row>
    <row r="9" ht="15.75" customHeight="1">
      <c r="A9" s="19">
        <v>3412202494</v>
      </c>
      <c r="B9" s="19" t="s">
        <v>16</v>
      </c>
      <c r="C9" s="28" t="s">
        <v>15</v>
      </c>
      <c r="D9" s="22">
        <v>2</v>
      </c>
      <c r="E9" s="23">
        <v>1337063.47</v>
      </c>
      <c r="F9" s="23"/>
      <c r="G9" s="23"/>
      <c r="H9" s="23"/>
      <c r="I9" s="23"/>
      <c r="J9" s="24"/>
      <c r="K9" s="25">
        <f>E9</f>
        <v>1337063.47</v>
      </c>
      <c r="L9" s="26">
        <f>D9*K9</f>
        <v>2674126.9399999999</v>
      </c>
      <c r="M9" s="27"/>
      <c r="U9" s="18"/>
    </row>
    <row r="10" ht="15.75" customHeight="1">
      <c r="A10" s="19">
        <v>3412202593</v>
      </c>
      <c r="B10" s="19" t="s">
        <v>17</v>
      </c>
      <c r="C10" s="20" t="s">
        <v>15</v>
      </c>
      <c r="D10" s="23">
        <v>6</v>
      </c>
      <c r="E10" s="22">
        <v>1373454.49</v>
      </c>
      <c r="F10" s="23"/>
      <c r="G10" s="23"/>
      <c r="H10" s="23"/>
      <c r="I10" s="23"/>
      <c r="J10" s="24"/>
      <c r="K10" s="25">
        <f>E10</f>
        <v>1373454.49</v>
      </c>
      <c r="L10" s="26">
        <f>D10*K10</f>
        <v>8240726.9399999995</v>
      </c>
      <c r="M10" s="27"/>
      <c r="U10" s="18"/>
    </row>
    <row r="11" ht="15.75" customHeight="1">
      <c r="A11" s="19"/>
      <c r="B11" s="19"/>
      <c r="C11" s="28"/>
      <c r="D11" s="28"/>
      <c r="E11" s="23"/>
      <c r="F11" s="23"/>
      <c r="G11" s="23"/>
      <c r="H11" s="23"/>
      <c r="I11" s="23"/>
      <c r="J11" s="24"/>
      <c r="K11" s="25"/>
      <c r="L11" s="26"/>
      <c r="M11" s="27"/>
      <c r="U11" s="18"/>
    </row>
    <row r="12" ht="15.75" customHeight="1">
      <c r="A12" s="19"/>
      <c r="B12" s="19"/>
      <c r="C12" s="28"/>
      <c r="D12" s="28"/>
      <c r="E12" s="23"/>
      <c r="F12" s="23"/>
      <c r="G12" s="23"/>
      <c r="H12" s="23"/>
      <c r="I12" s="23"/>
      <c r="J12" s="24"/>
      <c r="K12" s="25"/>
      <c r="L12" s="26"/>
      <c r="M12" s="27"/>
    </row>
    <row r="13" ht="15.75" customHeight="1">
      <c r="A13" s="19"/>
      <c r="B13" s="19"/>
      <c r="C13" s="28"/>
      <c r="D13" s="28"/>
      <c r="E13" s="23"/>
      <c r="F13" s="23"/>
      <c r="G13" s="23"/>
      <c r="H13" s="23"/>
      <c r="I13" s="23"/>
      <c r="J13" s="24"/>
      <c r="K13" s="25"/>
      <c r="L13" s="26"/>
      <c r="M13" s="27"/>
    </row>
    <row r="14" ht="15.75" customHeight="1">
      <c r="A14" s="19"/>
      <c r="B14" s="19"/>
      <c r="C14" s="28"/>
      <c r="D14" s="28"/>
      <c r="E14" s="23"/>
      <c r="F14" s="23"/>
      <c r="G14" s="23"/>
      <c r="H14" s="23"/>
      <c r="I14" s="23"/>
      <c r="J14" s="24"/>
      <c r="K14" s="25"/>
      <c r="L14" s="26"/>
      <c r="M14" s="27"/>
    </row>
    <row r="15" ht="15.75" customHeight="1">
      <c r="A15" s="19"/>
      <c r="B15" s="19"/>
      <c r="C15" s="28"/>
      <c r="D15" s="28"/>
      <c r="E15" s="23"/>
      <c r="F15" s="23"/>
      <c r="G15" s="23"/>
      <c r="H15" s="23"/>
      <c r="I15" s="23"/>
      <c r="J15" s="24"/>
      <c r="K15" s="25"/>
      <c r="L15" s="26"/>
      <c r="M15" s="27"/>
    </row>
    <row r="16" ht="15.75" customHeight="1">
      <c r="A16" s="19"/>
      <c r="B16" s="19"/>
      <c r="C16" s="28"/>
      <c r="D16" s="28"/>
      <c r="E16" s="23"/>
      <c r="F16" s="23"/>
      <c r="G16" s="23"/>
      <c r="H16" s="23"/>
      <c r="I16" s="23"/>
      <c r="J16" s="24"/>
      <c r="K16" s="25"/>
      <c r="L16" s="26"/>
      <c r="M16" s="27"/>
    </row>
    <row r="17" ht="15.75" customHeight="1">
      <c r="A17" s="19"/>
      <c r="B17" s="19"/>
      <c r="C17" s="28"/>
      <c r="D17" s="28"/>
      <c r="E17" s="23"/>
      <c r="F17" s="23"/>
      <c r="G17" s="23"/>
      <c r="H17" s="23"/>
      <c r="I17" s="23"/>
      <c r="J17" s="24"/>
      <c r="K17" s="25"/>
      <c r="L17" s="26"/>
      <c r="M17" s="27"/>
    </row>
    <row r="18" ht="15.75" customHeight="1">
      <c r="A18" s="19"/>
      <c r="B18" s="19"/>
      <c r="C18" s="28"/>
      <c r="D18" s="28"/>
      <c r="E18" s="23"/>
      <c r="F18" s="23"/>
      <c r="G18" s="23"/>
      <c r="H18" s="23"/>
      <c r="I18" s="23"/>
      <c r="J18" s="24"/>
      <c r="K18" s="25"/>
      <c r="L18" s="26"/>
      <c r="M18" s="27"/>
    </row>
    <row r="19" ht="15.75" customHeight="1">
      <c r="A19" s="19"/>
      <c r="B19" s="19"/>
      <c r="C19" s="28"/>
      <c r="D19" s="28"/>
      <c r="E19" s="23"/>
      <c r="F19" s="23"/>
      <c r="G19" s="23"/>
      <c r="H19" s="23"/>
      <c r="I19" s="23"/>
      <c r="J19" s="24"/>
      <c r="K19" s="25"/>
      <c r="L19" s="26"/>
      <c r="M19" s="27"/>
    </row>
    <row r="20" ht="15.75" customHeight="1">
      <c r="A20" s="19"/>
      <c r="B20" s="19"/>
      <c r="C20" s="28"/>
      <c r="D20" s="28"/>
      <c r="E20" s="23"/>
      <c r="F20" s="23"/>
      <c r="G20" s="23"/>
      <c r="H20" s="23"/>
      <c r="I20" s="23"/>
      <c r="J20" s="24"/>
      <c r="K20" s="25"/>
      <c r="L20" s="26"/>
      <c r="M20" s="27"/>
    </row>
    <row r="21" ht="15.75" customHeight="1">
      <c r="A21" s="19"/>
      <c r="B21" s="19"/>
      <c r="C21" s="28"/>
      <c r="D21" s="28"/>
      <c r="E21" s="23"/>
      <c r="F21" s="23"/>
      <c r="G21" s="23"/>
      <c r="H21" s="23"/>
      <c r="I21" s="23"/>
      <c r="J21" s="24"/>
      <c r="K21" s="25"/>
      <c r="L21" s="26"/>
      <c r="M21" s="27"/>
    </row>
    <row r="22" ht="15.75" customHeight="1">
      <c r="A22" s="19"/>
      <c r="B22" s="19"/>
      <c r="C22" s="28"/>
      <c r="D22" s="28"/>
      <c r="E22" s="23"/>
      <c r="F22" s="23"/>
      <c r="G22" s="23"/>
      <c r="H22" s="23"/>
      <c r="I22" s="23"/>
      <c r="J22" s="24"/>
      <c r="K22" s="25"/>
      <c r="L22" s="26"/>
      <c r="M22" s="27"/>
    </row>
    <row r="23" ht="15.75" customHeight="1">
      <c r="A23" s="19"/>
      <c r="B23" s="19"/>
      <c r="C23" s="28"/>
      <c r="D23" s="28"/>
      <c r="E23" s="23"/>
      <c r="F23" s="23"/>
      <c r="G23" s="23"/>
      <c r="H23" s="23"/>
      <c r="I23" s="23"/>
      <c r="J23" s="24"/>
      <c r="K23" s="25"/>
      <c r="L23" s="26"/>
      <c r="M23" s="27"/>
    </row>
    <row r="24" ht="15.75" customHeight="1">
      <c r="A24" s="19"/>
      <c r="B24" s="19"/>
      <c r="C24" s="28"/>
      <c r="D24" s="28"/>
      <c r="E24" s="23"/>
      <c r="F24" s="23"/>
      <c r="G24" s="23"/>
      <c r="H24" s="23"/>
      <c r="I24" s="23"/>
      <c r="J24" s="24"/>
      <c r="K24" s="25"/>
      <c r="L24" s="26"/>
      <c r="M24" s="27"/>
    </row>
    <row r="25" ht="15.75" customHeight="1">
      <c r="A25" s="19"/>
      <c r="B25" s="19"/>
      <c r="C25" s="28"/>
      <c r="D25" s="28"/>
      <c r="E25" s="23"/>
      <c r="F25" s="23"/>
      <c r="G25" s="23"/>
      <c r="H25" s="23"/>
      <c r="I25" s="23"/>
      <c r="J25" s="24"/>
      <c r="K25" s="25"/>
      <c r="L25" s="26"/>
      <c r="M25" s="27"/>
    </row>
    <row r="26" ht="15.75" customHeight="1">
      <c r="A26" s="29" t="s">
        <v>18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32">
        <f>SUM(L8:L25)</f>
        <v>14482644.92</v>
      </c>
      <c r="M26" s="27"/>
    </row>
    <row r="27">
      <c r="L27" s="33"/>
    </row>
    <row r="28">
      <c r="E28" s="1"/>
      <c r="F28" s="3"/>
      <c r="G28" s="3"/>
      <c r="H28" s="3"/>
      <c r="I28" s="1"/>
      <c r="J28" s="1"/>
    </row>
    <row r="29">
      <c r="E29" s="3"/>
      <c r="F29" s="3"/>
      <c r="G29" s="3"/>
      <c r="H29" s="3"/>
      <c r="I29" s="1"/>
      <c r="J29" s="1"/>
    </row>
  </sheetData>
  <mergeCells count="9">
    <mergeCell ref="A3:K3"/>
    <mergeCell ref="A5:A7"/>
    <mergeCell ref="B5:B7"/>
    <mergeCell ref="C5:C7"/>
    <mergeCell ref="D5:D7"/>
    <mergeCell ref="E5:J5"/>
    <mergeCell ref="K5:L6"/>
    <mergeCell ref="E6:J6"/>
    <mergeCell ref="A26:K26"/>
  </mergeCells>
  <printOptions headings="0" gridLines="0"/>
  <pageMargins left="0.25" right="0.25" top="0.75" bottom="0.75" header="0.29999999999999999" footer="0.29999999999999999"/>
  <pageSetup paperSize="9" scale="44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>МРСК Сибири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Ранский Анатолий Анатольевич</dc:creator>
  <cp:lastModifiedBy>StolyarovVV</cp:lastModifiedBy>
  <cp:revision>2</cp:revision>
  <dcterms:created xsi:type="dcterms:W3CDTF">2016-10-27T04:45:37Z</dcterms:created>
  <dcterms:modified xsi:type="dcterms:W3CDTF">2026-06-04T08:15:03Z</dcterms:modified>
</cp:coreProperties>
</file>