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R:\!!!!!!!!!!2026!!!!!!!!!!\1 Служба крови (МАРНОВ Г.А)\Пулированые (обычные)\"/>
    </mc:Choice>
  </mc:AlternateContent>
  <xr:revisionPtr revIDLastSave="0" documentId="13_ncr:1_{A3735174-DFE5-46F9-9C34-0C23D6207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МЦК" sheetId="1" r:id="rId1"/>
  </sheets>
  <definedNames>
    <definedName name="_xlnm.Print_Area" localSheetId="0">НМЦК!$A$3:$R$23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J17" i="1" l="1"/>
  <c r="I17" i="1"/>
  <c r="H17" i="1"/>
  <c r="M17" i="1" l="1"/>
  <c r="N17" i="1"/>
  <c r="L17" i="1" l="1"/>
  <c r="P17" i="1"/>
  <c r="Q17" i="1" s="1"/>
  <c r="R17" i="1" s="1"/>
  <c r="R18" i="1" s="1"/>
  <c r="I16" i="1" l="1"/>
  <c r="J16" i="1"/>
  <c r="H16" i="1"/>
  <c r="B5" i="1" l="1"/>
  <c r="H3" i="1"/>
</calcChain>
</file>

<file path=xl/sharedStrings.xml><?xml version="1.0" encoding="utf-8"?>
<sst xmlns="http://schemas.openxmlformats.org/spreadsheetml/2006/main" count="44" uniqueCount="44">
  <si>
    <t>Предложение 3 организации</t>
  </si>
  <si>
    <t>Стандартное  отклонение</t>
  </si>
  <si>
    <t>Средняя арифметическая</t>
  </si>
  <si>
    <t>кол-во</t>
  </si>
  <si>
    <t xml:space="preserve"> ОБОСНОВАНИЕ НАЧАЛЬНОЙ (МАКСИМАЛЬНОЙ) ЦЕНЫ КОНТРАКТА</t>
  </si>
  <si>
    <t>Обоснование начальной (максимальной) цены контракта</t>
  </si>
  <si>
    <t>Основные характеристики объекта закупки</t>
  </si>
  <si>
    <t>Согласно Техническому заданию.</t>
  </si>
  <si>
    <t>Используемый метод определения НМЦК с обоснованием:</t>
  </si>
  <si>
    <t>Расчет НМЦК</t>
  </si>
  <si>
    <t xml:space="preserve">Расчет начальной цены единицы медицинского изделия (НЦЕ) соответствии  с п. 9, п. 12 Приказа Минздрава   России № 450н. 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и начальной цены единицы товара, работы, услуги при осуществлении закупок медицинских изделий". Для обоснования используется метод сопоставимых рыночных цен (анализ рынка), так как в соответствии с ч.6 ст.22 Федерального закона «О контрактной системе в сфере закупок товаров, работ, услуг для обеспечения государственных и муниципальных нужд» №44-ФЗ от 05.04.2013 года данный метод является приоритетным для определения и обоснования начальной (максимальной) цены контракта. </t>
  </si>
  <si>
    <t>№</t>
  </si>
  <si>
    <t>Наименование</t>
  </si>
  <si>
    <t>Единица измерения</t>
  </si>
  <si>
    <t>Количество закупаемых товаров (v)</t>
  </si>
  <si>
    <t>Цена единицы медицинского изделия, без учета НДС (руб.)</t>
  </si>
  <si>
    <t>Количество (n) значений информации о цене единицы медицинского изделия</t>
  </si>
  <si>
    <t>Коэффициент вариации цены (V)</t>
  </si>
  <si>
    <t>Стандартное отклонение</t>
  </si>
  <si>
    <t>Начальная цена единицы медицинского изделия, без учета НДС (НЦЕ), руб.</t>
  </si>
  <si>
    <t>НДС, руб.**</t>
  </si>
  <si>
    <t>Начальная цена единицы медицинского изделия, с учетом НДС (НЦЕ), руб.</t>
  </si>
  <si>
    <t>НМЦК, руб.</t>
  </si>
  <si>
    <t>ИТОГО:</t>
  </si>
  <si>
    <t>Коэффициент вариации не превышает 33%, что свидетельствует об однородности совокупности значений, используемых в расчете</t>
  </si>
  <si>
    <t>Работник контрактной службы/контрактый управляющий:</t>
  </si>
  <si>
    <t>(должность)</t>
  </si>
  <si>
    <t>(подпись/расшифровка подписи)</t>
  </si>
  <si>
    <t>(Ф.И.О. исполнителя/контактный телефон)</t>
  </si>
  <si>
    <r>
      <t xml:space="preserve">Начальная (максимальная) цена контракта (НМЦК) определена в соответствии п. 17 Приказа Минздрава России от 15.05.2020 </t>
    </r>
    <r>
      <rPr>
        <sz val="14"/>
        <color rgb="FF00B050"/>
        <rFont val="Times New Roman"/>
        <family val="1"/>
        <charset val="204"/>
      </rPr>
      <t>N 450н</t>
    </r>
    <r>
      <rPr>
        <sz val="14"/>
        <rFont val="Times New Roman"/>
      </rPr>
      <t xml:space="preserve"> "Об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и начальной цены единицы товара, работы, услуги при осуществлении закупок медицинских изделий"</t>
    </r>
  </si>
  <si>
    <t>*исходя из положений п.9 Приказа МЗ РФ № 450н от 15.05.2020 г., начальная цена единицы медицинского изделия устанавливается как средневзвешенное значение (либо не более средневзвешенной цены) собранных заказчиком цен без учета НДС                                                                                                                                                                                  **в соответствии с ПП РФ от 15 сентября 2008 г. N 688 "Об утверждении перечней кодов медицинских товаров, облагаемых налогом на добавленную стоимость по налоговой ставке 10 процентов"</t>
  </si>
  <si>
    <t>Цена единицы медицинского изделия,  (руб.)</t>
  </si>
  <si>
    <t>шт</t>
  </si>
  <si>
    <t>Система для заготовки концентрата тромбоцитов методом пулирования ЛТС</t>
  </si>
  <si>
    <t>Среднее из имеющихся значений цены единицы медицинского изделия, без учета НДС (НЦЕ), руб.*</t>
  </si>
  <si>
    <t>Коммерческое предложение 08-06-286-2026 от 01.06.2026</t>
  </si>
  <si>
    <t>Коммерческое предложение 08-06-287-2026 от 01.06.2026</t>
  </si>
  <si>
    <t>Коммерческое предложение 08-06-296-2026 от 03.06.2026</t>
  </si>
  <si>
    <t>Д.А. Агаева</t>
  </si>
  <si>
    <t>Агаева Диана Агаяровна/7-977-610-38-49</t>
  </si>
  <si>
    <t>Дата подготовки обоснования НМЦК: 23.08.2026 г.</t>
  </si>
  <si>
    <t>Итоговая НМЦК с учетом доведенных лимитов составляет: 2 620 000 (Два миллиона шестьсот двадцать тысяч) рублей 00 копеек</t>
  </si>
  <si>
    <t>специалист по закупкам ОМТО и ОЗД</t>
  </si>
  <si>
    <t>на поставку систем для заготовки концентрата тромбоцитов методом пулирования ЛТС для нужд ГБУЗ МО "МОЦК" в 2026 году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</si>
</sst>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#,##0.0000000"/>
    <numFmt numFmtId="166" formatCode="#,##0.00;[Red]#,##0.00"/>
    <numFmt numFmtId="167" formatCode="_-* #,##0&quot; &quot;_₽_-;&quot;-&quot;* #,##0&quot; &quot;_₽_-;_-* &quot;-&quot;??\ _₽_-;_-@_-"/>
  </numFmts>
  <fonts count="22" x14ac:knownFonts="1">
    <font>
      <sz val="11"/>
      <color theme="1"/>
      <name val="Calibri"/>
      <scheme val="minor"/>
    </font>
    <font>
      <sz val="11"/>
      <name val="Calibri"/>
    </font>
    <font>
      <sz val="12"/>
      <name val="Times New Roman"/>
    </font>
    <font>
      <sz val="14"/>
      <name val="Times New Roman"/>
    </font>
    <font>
      <b/>
      <sz val="12"/>
      <name val="Times New Roman"/>
    </font>
    <font>
      <b/>
      <sz val="14"/>
      <name val="Times New Roman"/>
    </font>
    <font>
      <b/>
      <sz val="16"/>
      <name val="Times New Roman"/>
    </font>
    <font>
      <sz val="16"/>
      <name val="Times New Roman"/>
    </font>
    <font>
      <b/>
      <sz val="16"/>
      <color theme="1"/>
      <name val="Times New Roman"/>
    </font>
    <font>
      <sz val="16"/>
      <color theme="1"/>
      <name val="Times New Roman"/>
    </font>
    <font>
      <sz val="14"/>
      <color theme="1"/>
      <name val="Times New Roman"/>
    </font>
    <font>
      <sz val="11"/>
      <color theme="1"/>
      <name val="Calibri"/>
      <scheme val="minor"/>
    </font>
    <font>
      <sz val="14"/>
      <color rgb="FF00B05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1" fillId="0" borderId="0"/>
    <xf numFmtId="0" fontId="11" fillId="0" borderId="0"/>
    <xf numFmtId="9" fontId="11" fillId="2" borderId="0" applyFont="0" applyFill="0" applyBorder="0"/>
    <xf numFmtId="164" fontId="11" fillId="0" borderId="0" applyFont="0" applyFill="0" applyBorder="0" applyProtection="0"/>
  </cellStyleXfs>
  <cellXfs count="89">
    <xf numFmtId="0" fontId="0" fillId="0" borderId="0" xfId="0"/>
    <xf numFmtId="4" fontId="2" fillId="0" borderId="0" xfId="0" applyNumberFormat="1" applyFont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left" vertical="center" wrapText="1"/>
    </xf>
    <xf numFmtId="164" fontId="3" fillId="0" borderId="11" xfId="4" applyFont="1" applyBorder="1" applyAlignment="1">
      <alignment horizontal="left" vertical="center" wrapText="1"/>
    </xf>
    <xf numFmtId="164" fontId="3" fillId="0" borderId="15" xfId="4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4" fontId="6" fillId="0" borderId="11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0" fontId="8" fillId="0" borderId="0" xfId="2" applyFont="1" applyAlignment="1">
      <alignment horizontal="center"/>
    </xf>
    <xf numFmtId="166" fontId="2" fillId="0" borderId="0" xfId="0" applyNumberFormat="1" applyFont="1" applyAlignment="1">
      <alignment horizontal="center" vertical="center" wrapText="1"/>
    </xf>
    <xf numFmtId="0" fontId="10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9" fillId="0" borderId="9" xfId="2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7" fontId="14" fillId="0" borderId="4" xfId="3" applyNumberFormat="1" applyFont="1" applyFill="1" applyBorder="1" applyAlignment="1">
      <alignment horizontal="center" vertical="center" wrapText="1"/>
    </xf>
    <xf numFmtId="164" fontId="13" fillId="0" borderId="11" xfId="4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166" fontId="0" fillId="0" borderId="0" xfId="0" applyNumberFormat="1"/>
    <xf numFmtId="166" fontId="3" fillId="0" borderId="18" xfId="0" applyNumberFormat="1" applyFont="1" applyBorder="1" applyAlignment="1">
      <alignment horizontal="center" vertical="center" wrapText="1"/>
    </xf>
    <xf numFmtId="4" fontId="5" fillId="0" borderId="19" xfId="0" applyNumberFormat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/>
    </xf>
    <xf numFmtId="0" fontId="18" fillId="0" borderId="0" xfId="2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20" fillId="0" borderId="9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21" fillId="0" borderId="0" xfId="2" applyFont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0" fontId="20" fillId="0" borderId="0" xfId="2" applyFont="1" applyAlignment="1">
      <alignment horizontal="center" wrapText="1"/>
    </xf>
    <xf numFmtId="0" fontId="21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wrapText="1"/>
    </xf>
    <xf numFmtId="0" fontId="20" fillId="0" borderId="6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20" fillId="0" borderId="9" xfId="2" applyFont="1" applyBorder="1" applyAlignment="1">
      <alignment horizontal="center"/>
    </xf>
    <xf numFmtId="4" fontId="7" fillId="0" borderId="8" xfId="0" applyNumberFormat="1" applyFont="1" applyBorder="1" applyAlignment="1">
      <alignment horizontal="left" vertical="center" wrapText="1"/>
    </xf>
    <xf numFmtId="4" fontId="7" fillId="0" borderId="9" xfId="0" applyNumberFormat="1" applyFont="1" applyBorder="1" applyAlignment="1">
      <alignment horizontal="left" vertical="center" wrapText="1"/>
    </xf>
    <xf numFmtId="4" fontId="7" fillId="0" borderId="10" xfId="0" applyNumberFormat="1" applyFont="1" applyBorder="1" applyAlignment="1">
      <alignment horizontal="left" vertical="center" wrapText="1"/>
    </xf>
    <xf numFmtId="4" fontId="16" fillId="0" borderId="2" xfId="0" applyNumberFormat="1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 wrapText="1"/>
    </xf>
    <xf numFmtId="4" fontId="15" fillId="0" borderId="6" xfId="0" applyNumberFormat="1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 wrapText="1"/>
    </xf>
    <xf numFmtId="166" fontId="3" fillId="0" borderId="11" xfId="0" applyNumberFormat="1" applyFont="1" applyBorder="1" applyAlignment="1">
      <alignment horizontal="center" vertical="center" wrapText="1"/>
    </xf>
    <xf numFmtId="166" fontId="3" fillId="0" borderId="13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4" fontId="7" fillId="0" borderId="16" xfId="0" applyNumberFormat="1" applyFont="1" applyBorder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4" fontId="7" fillId="0" borderId="17" xfId="0" applyNumberFormat="1" applyFont="1" applyBorder="1" applyAlignment="1">
      <alignment horizontal="left" vertical="center" wrapText="1"/>
    </xf>
    <xf numFmtId="166" fontId="13" fillId="0" borderId="12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3" xfId="0" applyNumberFormat="1" applyFont="1" applyBorder="1" applyAlignment="1">
      <alignment horizontal="left" vertical="center" wrapText="1"/>
    </xf>
    <xf numFmtId="4" fontId="3" fillId="0" borderId="4" xfId="0" applyNumberFormat="1" applyFont="1" applyBorder="1" applyAlignment="1">
      <alignment horizontal="left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5">
    <cellStyle name="Обычный" xfId="0" builtinId="0"/>
    <cellStyle name="Обычный 2" xfId="1" xr:uid="{00000000-0005-0000-0000-000001000000}"/>
    <cellStyle name="Обычный 23" xfId="2" xr:uid="{00000000-0005-0000-0000-000002000000}"/>
    <cellStyle name="Процентный" xfId="3" builtinId="5"/>
    <cellStyle name="Финансовый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tabSelected="1" zoomScale="80" zoomScaleNormal="80" workbookViewId="0">
      <pane xSplit="3" ySplit="3" topLeftCell="D8" activePane="bottomRight" state="frozen"/>
      <selection activeCell="L46" sqref="L45:L46"/>
      <selection pane="topRight"/>
      <selection pane="bottomLeft"/>
      <selection pane="bottomRight" activeCell="A10" sqref="A10:R10"/>
    </sheetView>
  </sheetViews>
  <sheetFormatPr defaultColWidth="9.140625" defaultRowHeight="15.75" x14ac:dyDescent="0.25"/>
  <cols>
    <col min="1" max="1" width="5.5703125" style="1" customWidth="1"/>
    <col min="2" max="2" width="37.85546875" style="1" customWidth="1"/>
    <col min="3" max="3" width="17.85546875" style="1" customWidth="1"/>
    <col min="4" max="4" width="15" style="1" customWidth="1"/>
    <col min="5" max="7" width="21.5703125" style="1" customWidth="1"/>
    <col min="8" max="10" width="20.140625" style="1" customWidth="1"/>
    <col min="11" max="11" width="17.28515625" style="1" customWidth="1"/>
    <col min="12" max="12" width="13.42578125" style="1" customWidth="1"/>
    <col min="13" max="13" width="16.7109375" style="1" customWidth="1"/>
    <col min="14" max="14" width="21" style="1" customWidth="1"/>
    <col min="15" max="15" width="21.42578125" style="1" customWidth="1"/>
    <col min="16" max="17" width="20.85546875" style="1" customWidth="1"/>
    <col min="18" max="18" width="24.42578125" style="1" customWidth="1"/>
    <col min="19" max="19" width="22.140625" style="1" customWidth="1"/>
    <col min="20" max="20" width="15.85546875" style="1" customWidth="1"/>
    <col min="21" max="21" width="16.140625" style="1" customWidth="1"/>
    <col min="22" max="16384" width="9.140625" style="1"/>
  </cols>
  <sheetData>
    <row r="1" spans="1:18" ht="78.75" hidden="1" customHeight="1" x14ac:dyDescent="0.25">
      <c r="A1" s="2" t="s">
        <v>0</v>
      </c>
      <c r="B1" s="3">
        <v>10363500</v>
      </c>
      <c r="C1" s="3"/>
      <c r="D1" s="3"/>
      <c r="E1" s="3"/>
      <c r="F1" s="3"/>
      <c r="G1" s="3"/>
    </row>
    <row r="2" spans="1:18" ht="31.5" hidden="1" customHeight="1" x14ac:dyDescent="0.25">
      <c r="A2" s="2"/>
      <c r="B2" s="3"/>
      <c r="C2" s="3"/>
      <c r="D2" s="3"/>
      <c r="E2" s="3"/>
      <c r="F2" s="3"/>
      <c r="G2" s="3"/>
      <c r="H2" s="4" t="s">
        <v>1</v>
      </c>
      <c r="I2" s="5"/>
      <c r="J2" s="5"/>
    </row>
    <row r="3" spans="1:18" ht="18.75" hidden="1" customHeight="1" x14ac:dyDescent="0.25">
      <c r="A3" s="2"/>
      <c r="B3" s="3"/>
      <c r="C3" s="3"/>
      <c r="D3" s="3"/>
      <c r="E3" s="3"/>
      <c r="F3" s="3"/>
      <c r="G3" s="3"/>
      <c r="H3" s="6" t="e">
        <f>STDEVA(B1:B1)</f>
        <v>#DIV/0!</v>
      </c>
      <c r="I3" s="7"/>
      <c r="J3" s="7"/>
    </row>
    <row r="4" spans="1:18" ht="25.5" hidden="1" customHeight="1" x14ac:dyDescent="0.25">
      <c r="A4" s="8"/>
    </row>
    <row r="5" spans="1:18" ht="78.75" hidden="1" customHeight="1" x14ac:dyDescent="0.25">
      <c r="A5" s="4" t="s">
        <v>2</v>
      </c>
      <c r="B5" s="4">
        <f>AVERAGE(B1:B1)</f>
        <v>10363500</v>
      </c>
      <c r="C5" s="5"/>
      <c r="D5" s="5"/>
      <c r="E5" s="5"/>
      <c r="F5" s="5"/>
      <c r="G5" s="5"/>
    </row>
    <row r="6" spans="1:18" ht="15.75" hidden="1" customHeight="1" x14ac:dyDescent="0.25">
      <c r="A6" s="4" t="s">
        <v>3</v>
      </c>
      <c r="B6" s="4">
        <v>1</v>
      </c>
      <c r="C6" s="5"/>
      <c r="D6" s="5"/>
      <c r="E6" s="5"/>
      <c r="F6" s="5"/>
      <c r="G6" s="5"/>
    </row>
    <row r="7" spans="1:18" ht="15.75" hidden="1" customHeight="1" x14ac:dyDescent="0.25">
      <c r="A7" s="80"/>
      <c r="B7" s="80"/>
      <c r="C7" s="5"/>
      <c r="D7" s="5"/>
      <c r="E7" s="5"/>
      <c r="F7" s="5"/>
      <c r="G7" s="5"/>
    </row>
    <row r="8" spans="1:18" ht="27" customHeight="1" x14ac:dyDescent="0.25">
      <c r="A8" s="81" t="s">
        <v>4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</row>
    <row r="9" spans="1:18" ht="33.75" customHeight="1" x14ac:dyDescent="0.25">
      <c r="A9" s="81" t="s">
        <v>43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</row>
    <row r="10" spans="1:18" ht="18.75" x14ac:dyDescent="0.25">
      <c r="A10" s="82" t="s">
        <v>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1:18" ht="22.9" customHeight="1" x14ac:dyDescent="0.25">
      <c r="A11" s="73" t="s">
        <v>6</v>
      </c>
      <c r="B11" s="83"/>
      <c r="C11" s="83"/>
      <c r="D11" s="84"/>
      <c r="E11" s="76" t="s">
        <v>7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8"/>
    </row>
    <row r="12" spans="1:18" ht="54" customHeight="1" x14ac:dyDescent="0.25">
      <c r="A12" s="73" t="s">
        <v>8</v>
      </c>
      <c r="B12" s="83"/>
      <c r="C12" s="83"/>
      <c r="D12" s="84"/>
      <c r="E12" s="73" t="s">
        <v>29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</row>
    <row r="13" spans="1:18" ht="48.75" customHeight="1" x14ac:dyDescent="0.25">
      <c r="A13" s="67" t="s">
        <v>9</v>
      </c>
      <c r="B13" s="85"/>
      <c r="C13" s="85"/>
      <c r="D13" s="85"/>
      <c r="E13" s="67" t="s">
        <v>10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9"/>
    </row>
    <row r="14" spans="1:18" ht="36" customHeight="1" x14ac:dyDescent="0.25">
      <c r="A14" s="86"/>
      <c r="B14" s="87"/>
      <c r="C14" s="87"/>
      <c r="D14" s="87"/>
      <c r="E14" s="70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2"/>
    </row>
    <row r="15" spans="1:18" ht="45" customHeight="1" x14ac:dyDescent="0.25">
      <c r="A15" s="88" t="s">
        <v>11</v>
      </c>
      <c r="B15" s="88" t="s">
        <v>12</v>
      </c>
      <c r="C15" s="88" t="s">
        <v>13</v>
      </c>
      <c r="D15" s="88" t="s">
        <v>14</v>
      </c>
      <c r="E15" s="79" t="s">
        <v>31</v>
      </c>
      <c r="F15" s="79"/>
      <c r="G15" s="79"/>
      <c r="H15" s="79" t="s">
        <v>15</v>
      </c>
      <c r="I15" s="79"/>
      <c r="J15" s="79"/>
      <c r="K15" s="58" t="s">
        <v>16</v>
      </c>
      <c r="L15" s="58" t="s">
        <v>17</v>
      </c>
      <c r="M15" s="58" t="s">
        <v>18</v>
      </c>
      <c r="N15" s="56" t="s">
        <v>19</v>
      </c>
      <c r="O15" s="66" t="s">
        <v>34</v>
      </c>
      <c r="P15" s="55" t="s">
        <v>20</v>
      </c>
      <c r="Q15" s="56" t="s">
        <v>21</v>
      </c>
      <c r="R15" s="58" t="s">
        <v>22</v>
      </c>
    </row>
    <row r="16" spans="1:18" ht="132" customHeight="1" x14ac:dyDescent="0.25">
      <c r="A16" s="59"/>
      <c r="B16" s="59"/>
      <c r="C16" s="59"/>
      <c r="D16" s="59"/>
      <c r="E16" s="27" t="s">
        <v>35</v>
      </c>
      <c r="F16" s="27" t="s">
        <v>36</v>
      </c>
      <c r="G16" s="27" t="s">
        <v>37</v>
      </c>
      <c r="H16" s="24" t="str">
        <f>E16</f>
        <v>Коммерческое предложение 08-06-286-2026 от 01.06.2026</v>
      </c>
      <c r="I16" s="24" t="str">
        <f t="shared" ref="I16:J16" si="0">F16</f>
        <v>Коммерческое предложение 08-06-287-2026 от 01.06.2026</v>
      </c>
      <c r="J16" s="24" t="str">
        <f t="shared" si="0"/>
        <v>Коммерческое предложение 08-06-296-2026 от 03.06.2026</v>
      </c>
      <c r="K16" s="59"/>
      <c r="L16" s="59"/>
      <c r="M16" s="59"/>
      <c r="N16" s="57"/>
      <c r="O16" s="55"/>
      <c r="P16" s="55"/>
      <c r="Q16" s="57"/>
      <c r="R16" s="59"/>
    </row>
    <row r="17" spans="1:22" ht="56.25" x14ac:dyDescent="0.25">
      <c r="A17" s="28">
        <v>1</v>
      </c>
      <c r="B17" s="29" t="s">
        <v>33</v>
      </c>
      <c r="C17" s="24" t="s">
        <v>32</v>
      </c>
      <c r="D17" s="25">
        <v>1000</v>
      </c>
      <c r="E17" s="26">
        <v>2735</v>
      </c>
      <c r="F17" s="9">
        <v>2620</v>
      </c>
      <c r="G17" s="10">
        <v>2789</v>
      </c>
      <c r="H17" s="26">
        <f>E17/110*100</f>
        <v>2486.3636363636365</v>
      </c>
      <c r="I17" s="26">
        <f t="shared" ref="I17" si="1">F17/110*100</f>
        <v>2381.8181818181815</v>
      </c>
      <c r="J17" s="26">
        <f t="shared" ref="J17" si="2">G17/110*100</f>
        <v>2535.4545454545455</v>
      </c>
      <c r="K17" s="11">
        <v>3</v>
      </c>
      <c r="L17" s="12">
        <f>M17/N17*100</f>
        <v>3.1795900432287341</v>
      </c>
      <c r="M17" s="12">
        <f>STDEV(H17:J17)</f>
        <v>78.468466758833287</v>
      </c>
      <c r="N17" s="13">
        <f>ROUND((H17+I17+J17)/K17,2)</f>
        <v>2467.88</v>
      </c>
      <c r="O17" s="13">
        <f>MIN(H17:J17)</f>
        <v>2381.8181818181815</v>
      </c>
      <c r="P17" s="31">
        <f>ROUND(O17*10%,2)</f>
        <v>238.18</v>
      </c>
      <c r="Q17" s="33">
        <f>ROUND(O17+P17,2)</f>
        <v>2620</v>
      </c>
      <c r="R17" s="32">
        <f>Q17*D17</f>
        <v>2620000</v>
      </c>
      <c r="S17" s="30"/>
      <c r="T17"/>
      <c r="U17"/>
    </row>
    <row r="18" spans="1:22" s="14" customFormat="1" ht="20.25" x14ac:dyDescent="0.25">
      <c r="A18" s="60" t="s">
        <v>23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2"/>
      <c r="N18" s="15"/>
      <c r="O18" s="15"/>
      <c r="P18" s="15"/>
      <c r="Q18" s="15"/>
      <c r="R18" s="16">
        <f>SUM(R17:R17)</f>
        <v>2620000</v>
      </c>
    </row>
    <row r="19" spans="1:22" ht="31.15" customHeight="1" x14ac:dyDescent="0.25">
      <c r="A19" s="63" t="s">
        <v>24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</row>
    <row r="20" spans="1:22" ht="51.6" customHeight="1" x14ac:dyDescent="0.25">
      <c r="A20" s="47" t="s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9"/>
    </row>
    <row r="21" spans="1:22" customFormat="1" ht="22.15" customHeight="1" x14ac:dyDescent="0.25"/>
    <row r="22" spans="1:22" ht="23.45" customHeight="1" x14ac:dyDescent="0.25">
      <c r="A22" s="50" t="s">
        <v>41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2"/>
    </row>
    <row r="23" spans="1:22" ht="18.75" customHeight="1" x14ac:dyDescent="0.25">
      <c r="A23" s="53" t="s">
        <v>40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</row>
    <row r="25" spans="1:22" ht="21" customHeight="1" x14ac:dyDescent="0.3">
      <c r="A25" s="17"/>
      <c r="B25" s="45" t="s">
        <v>25</v>
      </c>
      <c r="C25" s="45"/>
      <c r="D25" s="45"/>
      <c r="E25" s="45"/>
      <c r="F25" s="21"/>
      <c r="G25" s="21"/>
      <c r="H25" s="21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ht="20.25" x14ac:dyDescent="0.3">
      <c r="A26" s="17"/>
      <c r="B26" s="34"/>
      <c r="C26" s="35"/>
      <c r="D26" s="35"/>
      <c r="E26" s="18"/>
      <c r="F26" s="18"/>
      <c r="G26" s="18"/>
      <c r="H26" s="18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20.25" x14ac:dyDescent="0.3">
      <c r="B27" s="46" t="s">
        <v>42</v>
      </c>
      <c r="C27" s="46"/>
      <c r="D27" s="46"/>
      <c r="E27" s="46"/>
      <c r="F27" s="22"/>
      <c r="G27" s="22"/>
      <c r="H27" s="22"/>
      <c r="R27" s="19"/>
    </row>
    <row r="28" spans="1:22" ht="18.75" x14ac:dyDescent="0.3">
      <c r="B28" s="44" t="s">
        <v>26</v>
      </c>
      <c r="C28" s="44"/>
      <c r="D28" s="44"/>
      <c r="E28" s="44"/>
      <c r="F28" s="23"/>
      <c r="G28" s="23"/>
      <c r="H28" s="23"/>
      <c r="R28" s="19"/>
    </row>
    <row r="29" spans="1:22" ht="18.75" x14ac:dyDescent="0.3">
      <c r="B29" s="37"/>
      <c r="C29" s="38"/>
      <c r="D29" s="38"/>
      <c r="E29" s="20"/>
      <c r="F29" s="20"/>
      <c r="G29" s="20"/>
      <c r="H29" s="20"/>
      <c r="R29" s="19"/>
    </row>
    <row r="30" spans="1:22" ht="18.75" x14ac:dyDescent="0.3">
      <c r="B30" s="36"/>
      <c r="C30" s="39"/>
      <c r="D30" s="39" t="s">
        <v>38</v>
      </c>
      <c r="E30" s="20"/>
      <c r="F30" s="20"/>
      <c r="G30" s="20"/>
      <c r="H30" s="20"/>
      <c r="R30" s="19"/>
    </row>
    <row r="31" spans="1:22" ht="18.75" x14ac:dyDescent="0.3">
      <c r="B31" s="44" t="s">
        <v>27</v>
      </c>
      <c r="C31" s="44"/>
      <c r="D31" s="40"/>
      <c r="E31" s="20"/>
      <c r="F31" s="20"/>
      <c r="G31" s="20"/>
      <c r="H31" s="20"/>
      <c r="R31" s="19"/>
    </row>
    <row r="32" spans="1:22" ht="18.75" x14ac:dyDescent="0.3">
      <c r="B32" s="41"/>
      <c r="C32" s="42"/>
      <c r="D32" s="42"/>
      <c r="E32" s="43"/>
    </row>
    <row r="33" spans="2:5" x14ac:dyDescent="0.25">
      <c r="B33" s="46" t="s">
        <v>39</v>
      </c>
      <c r="C33" s="46"/>
      <c r="D33" s="46"/>
      <c r="E33" s="46"/>
    </row>
    <row r="34" spans="2:5" x14ac:dyDescent="0.25">
      <c r="B34" s="44" t="s">
        <v>28</v>
      </c>
      <c r="C34" s="44"/>
      <c r="D34" s="44"/>
      <c r="E34" s="44"/>
    </row>
  </sheetData>
  <mergeCells count="35">
    <mergeCell ref="E13:R14"/>
    <mergeCell ref="E12:R12"/>
    <mergeCell ref="E11:R11"/>
    <mergeCell ref="E15:G15"/>
    <mergeCell ref="A7:B7"/>
    <mergeCell ref="A8:R8"/>
    <mergeCell ref="A9:R9"/>
    <mergeCell ref="A10:R10"/>
    <mergeCell ref="A11:D11"/>
    <mergeCell ref="A12:D12"/>
    <mergeCell ref="A13:D14"/>
    <mergeCell ref="A15:A16"/>
    <mergeCell ref="B15:B16"/>
    <mergeCell ref="C15:C16"/>
    <mergeCell ref="D15:D16"/>
    <mergeCell ref="H15:J15"/>
    <mergeCell ref="A20:R20"/>
    <mergeCell ref="A22:R22"/>
    <mergeCell ref="A23:R23"/>
    <mergeCell ref="P15:P16"/>
    <mergeCell ref="Q15:Q16"/>
    <mergeCell ref="R15:R16"/>
    <mergeCell ref="A18:M18"/>
    <mergeCell ref="A19:R19"/>
    <mergeCell ref="K15:K16"/>
    <mergeCell ref="L15:L16"/>
    <mergeCell ref="M15:M16"/>
    <mergeCell ref="N15:N16"/>
    <mergeCell ref="O15:O16"/>
    <mergeCell ref="B34:E34"/>
    <mergeCell ref="B25:E25"/>
    <mergeCell ref="B27:E27"/>
    <mergeCell ref="B28:E28"/>
    <mergeCell ref="B31:C31"/>
    <mergeCell ref="B33:E33"/>
  </mergeCells>
  <pageMargins left="0.25" right="0.25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НМЦК</vt:lpstr>
      <vt:lpstr>НМЦК!Область_печати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Диана Агаяровна Агаева</cp:lastModifiedBy>
  <cp:revision>15</cp:revision>
  <dcterms:created xsi:type="dcterms:W3CDTF">2018-02-28T10:43:00Z</dcterms:created>
  <dcterms:modified xsi:type="dcterms:W3CDTF">2026-08-27T10:58:49Z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1049-11.2.0.8970</vt:lpwstr>
  </property>
</Properties>
</file>