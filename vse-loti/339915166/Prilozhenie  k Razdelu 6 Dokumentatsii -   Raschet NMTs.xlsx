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mc:AlternateContent xmlns:mc="http://schemas.openxmlformats.org/markup-compatibility/2006">
    <mc:Choice Requires="x15">
      <x15ac:absPath xmlns:x15ac="http://schemas.microsoft.com/office/spreadsheetml/2010/11/ac" url="M:\2. Подразделения Компании\УЗД\Закупки 2026\1. Сбор коммерческих предложений\___- ДАО - 25-летие ГТЛК\"/>
    </mc:Choice>
  </mc:AlternateContent>
  <xr:revisionPtr revIDLastSave="0" documentId="13_ncr:1_{03A44496-8824-4825-ABD0-21D37003715F}" xr6:coauthVersionLast="47" xr6:coauthVersionMax="47" xr10:uidLastSave="{00000000-0000-0000-0000-000000000000}"/>
  <bookViews>
    <workbookView xWindow="-120" yWindow="-120" windowWidth="29040" windowHeight="15840" tabRatio="500" xr2:uid="{00000000-000D-0000-FFFF-FFFF00000000}"/>
  </bookViews>
  <sheets>
    <sheet name="Лист1" sheetId="1" r:id="rId1"/>
  </sheets>
  <externalReferences>
    <externalReference r:id="rId2"/>
    <externalReference r:id="rId3"/>
    <externalReference r:id="rId4"/>
    <externalReference r:id="rId5"/>
  </externalReferences>
  <definedNames>
    <definedName name="_xlnm.Print_Area" localSheetId="0">Лист1!$A$1:$Z$451</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 l="1"/>
  <c r="F442" i="1" s="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D13" i="1" l="1"/>
  <c r="D14" i="1"/>
  <c r="D15" i="1"/>
  <c r="D16" i="1"/>
  <c r="Z16" i="1" s="1"/>
  <c r="D17" i="1"/>
  <c r="Z17" i="1" s="1"/>
  <c r="D18" i="1"/>
  <c r="Z18" i="1" s="1"/>
  <c r="D19" i="1"/>
  <c r="Z19" i="1" s="1"/>
  <c r="D20" i="1"/>
  <c r="Z20" i="1" s="1"/>
  <c r="D21" i="1"/>
  <c r="Z21" i="1" s="1"/>
  <c r="D22" i="1"/>
  <c r="Z22" i="1" s="1"/>
  <c r="D23" i="1"/>
  <c r="Z23" i="1" s="1"/>
  <c r="D24" i="1"/>
  <c r="Z24" i="1" s="1"/>
  <c r="D25" i="1"/>
  <c r="Z25" i="1" s="1"/>
  <c r="D26" i="1"/>
  <c r="Z26" i="1" s="1"/>
  <c r="D27" i="1"/>
  <c r="Z27" i="1" s="1"/>
  <c r="D28" i="1"/>
  <c r="Z28" i="1" s="1"/>
  <c r="D29" i="1"/>
  <c r="Z29" i="1" s="1"/>
  <c r="D30" i="1"/>
  <c r="Z30" i="1" s="1"/>
  <c r="D31" i="1"/>
  <c r="Z31" i="1" s="1"/>
  <c r="D32" i="1"/>
  <c r="Z32" i="1" s="1"/>
  <c r="D33" i="1"/>
  <c r="Z33" i="1" s="1"/>
  <c r="D34" i="1"/>
  <c r="Z34" i="1" s="1"/>
  <c r="D35" i="1"/>
  <c r="Z35" i="1" s="1"/>
  <c r="D36" i="1"/>
  <c r="Z36" i="1" s="1"/>
  <c r="D37" i="1"/>
  <c r="Z37" i="1" s="1"/>
  <c r="D38" i="1"/>
  <c r="Z38" i="1" s="1"/>
  <c r="D39" i="1"/>
  <c r="Z39" i="1" s="1"/>
  <c r="D40" i="1"/>
  <c r="Z40" i="1" s="1"/>
  <c r="D41" i="1"/>
  <c r="Z41" i="1" s="1"/>
  <c r="D42" i="1"/>
  <c r="Z42" i="1" s="1"/>
  <c r="D43" i="1"/>
  <c r="Z43" i="1" s="1"/>
  <c r="D44" i="1"/>
  <c r="Z44" i="1" s="1"/>
  <c r="D45" i="1"/>
  <c r="Z45" i="1" s="1"/>
  <c r="D46" i="1"/>
  <c r="Z46" i="1" s="1"/>
  <c r="D47" i="1"/>
  <c r="Z47" i="1" s="1"/>
  <c r="D48" i="1"/>
  <c r="Z48" i="1" s="1"/>
  <c r="D49" i="1"/>
  <c r="Z49" i="1" s="1"/>
  <c r="D50" i="1"/>
  <c r="Z50" i="1" s="1"/>
  <c r="D51" i="1"/>
  <c r="Z51" i="1" s="1"/>
  <c r="D52" i="1"/>
  <c r="Z52" i="1" s="1"/>
  <c r="D53" i="1"/>
  <c r="Z53" i="1" s="1"/>
  <c r="D54" i="1"/>
  <c r="Z54" i="1" s="1"/>
  <c r="D55" i="1"/>
  <c r="Z55" i="1" s="1"/>
  <c r="D56" i="1"/>
  <c r="Z56" i="1" s="1"/>
  <c r="D57" i="1"/>
  <c r="Z57" i="1" s="1"/>
  <c r="D58" i="1"/>
  <c r="Z58" i="1" s="1"/>
  <c r="D59" i="1"/>
  <c r="Z59" i="1" s="1"/>
  <c r="D60" i="1"/>
  <c r="Z60" i="1" s="1"/>
  <c r="D61" i="1"/>
  <c r="Z61" i="1" s="1"/>
  <c r="D62" i="1"/>
  <c r="Z62" i="1" s="1"/>
  <c r="D63" i="1"/>
  <c r="Z63" i="1" s="1"/>
  <c r="D64" i="1"/>
  <c r="Z64" i="1" s="1"/>
  <c r="D65" i="1"/>
  <c r="Z65" i="1" s="1"/>
  <c r="D66" i="1"/>
  <c r="Z66" i="1" s="1"/>
  <c r="D67" i="1"/>
  <c r="Z67" i="1" s="1"/>
  <c r="D68" i="1"/>
  <c r="Z68" i="1" s="1"/>
  <c r="D69" i="1"/>
  <c r="Z69" i="1" s="1"/>
  <c r="D70" i="1"/>
  <c r="Z70" i="1" s="1"/>
  <c r="D71" i="1"/>
  <c r="Z71" i="1" s="1"/>
  <c r="D72" i="1"/>
  <c r="Z72" i="1" s="1"/>
  <c r="D73" i="1"/>
  <c r="Z73" i="1" s="1"/>
  <c r="D74" i="1"/>
  <c r="Z74" i="1" s="1"/>
  <c r="D75" i="1"/>
  <c r="Z75" i="1" s="1"/>
  <c r="D76" i="1"/>
  <c r="Z76" i="1" s="1"/>
  <c r="D77" i="1"/>
  <c r="Z77" i="1" s="1"/>
  <c r="D78" i="1"/>
  <c r="Z78" i="1" s="1"/>
  <c r="D79" i="1"/>
  <c r="Z79" i="1" s="1"/>
  <c r="D80" i="1"/>
  <c r="Z80" i="1" s="1"/>
  <c r="D81" i="1"/>
  <c r="Z81" i="1" s="1"/>
  <c r="D82" i="1"/>
  <c r="Z82" i="1" s="1"/>
  <c r="D83" i="1"/>
  <c r="Z83" i="1" s="1"/>
  <c r="D84" i="1"/>
  <c r="Z84" i="1" s="1"/>
  <c r="D85" i="1"/>
  <c r="Z85" i="1" s="1"/>
  <c r="D86" i="1"/>
  <c r="Z86" i="1" s="1"/>
  <c r="D87" i="1"/>
  <c r="Z87" i="1" s="1"/>
  <c r="D88" i="1"/>
  <c r="Z88" i="1" s="1"/>
  <c r="D89" i="1"/>
  <c r="Z89" i="1" s="1"/>
  <c r="D90" i="1"/>
  <c r="Z90" i="1" s="1"/>
  <c r="D91" i="1"/>
  <c r="Z91" i="1" s="1"/>
  <c r="D92" i="1"/>
  <c r="Z92" i="1" s="1"/>
  <c r="D93" i="1"/>
  <c r="Z93" i="1" s="1"/>
  <c r="D94" i="1"/>
  <c r="Z94" i="1" s="1"/>
  <c r="D95" i="1"/>
  <c r="Z95" i="1" s="1"/>
  <c r="D96" i="1"/>
  <c r="Z96" i="1" s="1"/>
  <c r="D97" i="1"/>
  <c r="Z97" i="1" s="1"/>
  <c r="D98" i="1"/>
  <c r="Z98" i="1" s="1"/>
  <c r="D99" i="1"/>
  <c r="Z99" i="1" s="1"/>
  <c r="D100" i="1"/>
  <c r="Z100" i="1" s="1"/>
  <c r="D101" i="1"/>
  <c r="Z101" i="1" s="1"/>
  <c r="D102" i="1"/>
  <c r="Z102" i="1" s="1"/>
  <c r="D103" i="1"/>
  <c r="Z103" i="1" s="1"/>
  <c r="D104" i="1"/>
  <c r="Z104" i="1" s="1"/>
  <c r="D105" i="1"/>
  <c r="Z105" i="1" s="1"/>
  <c r="D106" i="1"/>
  <c r="Z106" i="1" s="1"/>
  <c r="D107" i="1"/>
  <c r="Z107" i="1" s="1"/>
  <c r="D108" i="1"/>
  <c r="Z108" i="1" s="1"/>
  <c r="D109" i="1"/>
  <c r="Z109" i="1" s="1"/>
  <c r="D110" i="1"/>
  <c r="Z110" i="1" s="1"/>
  <c r="D111" i="1"/>
  <c r="Z111" i="1" s="1"/>
  <c r="D112" i="1"/>
  <c r="Z112" i="1" s="1"/>
  <c r="D113" i="1"/>
  <c r="Z113" i="1" s="1"/>
  <c r="D114" i="1"/>
  <c r="Z114" i="1" s="1"/>
  <c r="D115" i="1"/>
  <c r="Z115" i="1" s="1"/>
  <c r="D116" i="1"/>
  <c r="Z116" i="1" s="1"/>
  <c r="D117" i="1"/>
  <c r="Z117" i="1" s="1"/>
  <c r="D118" i="1"/>
  <c r="Z118" i="1" s="1"/>
  <c r="D119" i="1"/>
  <c r="Z119" i="1" s="1"/>
  <c r="D120" i="1"/>
  <c r="Z120" i="1" s="1"/>
  <c r="D121" i="1"/>
  <c r="Z121" i="1" s="1"/>
  <c r="D122" i="1"/>
  <c r="Z122" i="1" s="1"/>
  <c r="D123" i="1"/>
  <c r="Z123" i="1" s="1"/>
  <c r="D124" i="1"/>
  <c r="Z124" i="1" s="1"/>
  <c r="D125" i="1"/>
  <c r="Z125" i="1" s="1"/>
  <c r="D126" i="1"/>
  <c r="Z126" i="1" s="1"/>
  <c r="D127" i="1"/>
  <c r="Z127" i="1" s="1"/>
  <c r="D128" i="1"/>
  <c r="Z128" i="1" s="1"/>
  <c r="D129" i="1"/>
  <c r="Z129" i="1" s="1"/>
  <c r="D130" i="1"/>
  <c r="Z130" i="1" s="1"/>
  <c r="D131" i="1"/>
  <c r="Z131" i="1" s="1"/>
  <c r="D132" i="1"/>
  <c r="Z132" i="1" s="1"/>
  <c r="D133" i="1"/>
  <c r="Z133" i="1" s="1"/>
  <c r="D134" i="1"/>
  <c r="Z134" i="1" s="1"/>
  <c r="D135" i="1"/>
  <c r="Z135" i="1" s="1"/>
  <c r="D136" i="1"/>
  <c r="Z136" i="1" s="1"/>
  <c r="D137" i="1"/>
  <c r="Z137" i="1" s="1"/>
  <c r="D138" i="1"/>
  <c r="Z138" i="1" s="1"/>
  <c r="D139" i="1"/>
  <c r="Z139" i="1" s="1"/>
  <c r="D140" i="1"/>
  <c r="Z140" i="1" s="1"/>
  <c r="D141" i="1"/>
  <c r="Z141" i="1" s="1"/>
  <c r="D142" i="1"/>
  <c r="Z142" i="1" s="1"/>
  <c r="D143" i="1"/>
  <c r="Z143" i="1" s="1"/>
  <c r="D144" i="1"/>
  <c r="Z144" i="1" s="1"/>
  <c r="D145" i="1"/>
  <c r="Z145" i="1" s="1"/>
  <c r="D146" i="1"/>
  <c r="Z146" i="1" s="1"/>
  <c r="D147" i="1"/>
  <c r="Z147" i="1" s="1"/>
  <c r="D148" i="1"/>
  <c r="Z148" i="1" s="1"/>
  <c r="D149" i="1"/>
  <c r="Z149" i="1" s="1"/>
  <c r="D150" i="1"/>
  <c r="Z150" i="1" s="1"/>
  <c r="D151" i="1"/>
  <c r="Z151" i="1" s="1"/>
  <c r="D152" i="1"/>
  <c r="Z152" i="1" s="1"/>
  <c r="D153" i="1"/>
  <c r="D154" i="1"/>
  <c r="D155" i="1"/>
  <c r="D156" i="1"/>
  <c r="D157" i="1"/>
  <c r="D158" i="1"/>
  <c r="D159" i="1"/>
  <c r="D160" i="1"/>
  <c r="Z160" i="1" s="1"/>
  <c r="D161" i="1"/>
  <c r="D162" i="1"/>
  <c r="D163" i="1"/>
  <c r="Z163" i="1" s="1"/>
  <c r="D164" i="1"/>
  <c r="Z164" i="1" s="1"/>
  <c r="D165" i="1"/>
  <c r="Z165" i="1" s="1"/>
  <c r="D166" i="1"/>
  <c r="Z166" i="1" s="1"/>
  <c r="D167" i="1"/>
  <c r="Z167" i="1" s="1"/>
  <c r="D168" i="1"/>
  <c r="Z168" i="1" s="1"/>
  <c r="D169" i="1"/>
  <c r="Z169" i="1" s="1"/>
  <c r="D170" i="1"/>
  <c r="Z170" i="1" s="1"/>
  <c r="D171" i="1"/>
  <c r="Z171" i="1" s="1"/>
  <c r="D172" i="1"/>
  <c r="Z172" i="1" s="1"/>
  <c r="D173" i="1"/>
  <c r="Z173" i="1" s="1"/>
  <c r="D174" i="1"/>
  <c r="Z174" i="1" s="1"/>
  <c r="D175" i="1"/>
  <c r="Z175" i="1" s="1"/>
  <c r="D176" i="1"/>
  <c r="Z176" i="1" s="1"/>
  <c r="D177" i="1"/>
  <c r="Z177" i="1" s="1"/>
  <c r="D178" i="1"/>
  <c r="Z178" i="1" s="1"/>
  <c r="D179" i="1"/>
  <c r="Z179" i="1" s="1"/>
  <c r="D180" i="1"/>
  <c r="Z180" i="1" s="1"/>
  <c r="D181" i="1"/>
  <c r="Z181" i="1" s="1"/>
  <c r="D182" i="1"/>
  <c r="Z182" i="1" s="1"/>
  <c r="D183" i="1"/>
  <c r="Z183" i="1" s="1"/>
  <c r="D184" i="1"/>
  <c r="Z184" i="1" s="1"/>
  <c r="D185" i="1"/>
  <c r="Z185" i="1" s="1"/>
  <c r="D186" i="1"/>
  <c r="Z186" i="1" s="1"/>
  <c r="D187" i="1"/>
  <c r="Z187" i="1" s="1"/>
  <c r="D188" i="1"/>
  <c r="Z188" i="1" s="1"/>
  <c r="D189" i="1"/>
  <c r="Z189" i="1" s="1"/>
  <c r="D190" i="1"/>
  <c r="Z190" i="1" s="1"/>
  <c r="D191" i="1"/>
  <c r="Z191" i="1" s="1"/>
  <c r="D192" i="1"/>
  <c r="Z192" i="1" s="1"/>
  <c r="D193" i="1"/>
  <c r="Z193" i="1" s="1"/>
  <c r="D194" i="1"/>
  <c r="Z194" i="1" s="1"/>
  <c r="D195" i="1"/>
  <c r="Z195" i="1" s="1"/>
  <c r="D196" i="1"/>
  <c r="Z196" i="1" s="1"/>
  <c r="D197" i="1"/>
  <c r="Z197" i="1" s="1"/>
  <c r="D198" i="1"/>
  <c r="Z198" i="1" s="1"/>
  <c r="D199" i="1"/>
  <c r="Z199" i="1" s="1"/>
  <c r="D200" i="1"/>
  <c r="Z200" i="1" s="1"/>
  <c r="D201" i="1"/>
  <c r="Z201" i="1" s="1"/>
  <c r="D202" i="1"/>
  <c r="Z202" i="1" s="1"/>
  <c r="D203" i="1"/>
  <c r="Z203" i="1" s="1"/>
  <c r="D204" i="1"/>
  <c r="Z204" i="1" s="1"/>
  <c r="D205" i="1"/>
  <c r="Z205" i="1" s="1"/>
  <c r="D206" i="1"/>
  <c r="Z206" i="1" s="1"/>
  <c r="D207" i="1"/>
  <c r="Z207" i="1" s="1"/>
  <c r="D208" i="1"/>
  <c r="Z208" i="1" s="1"/>
  <c r="D209" i="1"/>
  <c r="Z209" i="1" s="1"/>
  <c r="D210" i="1"/>
  <c r="Z210" i="1" s="1"/>
  <c r="D211" i="1"/>
  <c r="Z211" i="1" s="1"/>
  <c r="D212" i="1"/>
  <c r="Z212" i="1" s="1"/>
  <c r="D213" i="1"/>
  <c r="Z213" i="1" s="1"/>
  <c r="D214" i="1"/>
  <c r="Z214" i="1" s="1"/>
  <c r="D215" i="1"/>
  <c r="Z215" i="1" s="1"/>
  <c r="D216" i="1"/>
  <c r="Z216" i="1" s="1"/>
  <c r="D217" i="1"/>
  <c r="Z217" i="1" s="1"/>
  <c r="D218" i="1"/>
  <c r="Z218" i="1" s="1"/>
  <c r="D219" i="1"/>
  <c r="Z219" i="1" s="1"/>
  <c r="D220" i="1"/>
  <c r="Z220" i="1" s="1"/>
  <c r="D221" i="1"/>
  <c r="Z221" i="1" s="1"/>
  <c r="D222" i="1"/>
  <c r="Z222" i="1" s="1"/>
  <c r="D223" i="1"/>
  <c r="Z223" i="1" s="1"/>
  <c r="D224" i="1"/>
  <c r="Z224" i="1" s="1"/>
  <c r="D225" i="1"/>
  <c r="Z225" i="1" s="1"/>
  <c r="D226" i="1"/>
  <c r="Z226" i="1" s="1"/>
  <c r="D227" i="1"/>
  <c r="Z227" i="1" s="1"/>
  <c r="D228" i="1"/>
  <c r="Z228" i="1" s="1"/>
  <c r="D229" i="1"/>
  <c r="Z229" i="1" s="1"/>
  <c r="D230" i="1"/>
  <c r="Z230" i="1" s="1"/>
  <c r="D231" i="1"/>
  <c r="Z231" i="1" s="1"/>
  <c r="D232" i="1"/>
  <c r="Z232" i="1" s="1"/>
  <c r="D233" i="1"/>
  <c r="Z233" i="1" s="1"/>
  <c r="D234" i="1"/>
  <c r="Z234" i="1" s="1"/>
  <c r="D235" i="1"/>
  <c r="Z235" i="1" s="1"/>
  <c r="D236" i="1"/>
  <c r="Z236" i="1" s="1"/>
  <c r="D237" i="1"/>
  <c r="Z237" i="1" s="1"/>
  <c r="D238" i="1"/>
  <c r="Z238" i="1" s="1"/>
  <c r="D239" i="1"/>
  <c r="Z239" i="1" s="1"/>
  <c r="D240" i="1"/>
  <c r="Z240" i="1" s="1"/>
  <c r="D241" i="1"/>
  <c r="Z241" i="1" s="1"/>
  <c r="D242" i="1"/>
  <c r="Z242" i="1" s="1"/>
  <c r="D243" i="1"/>
  <c r="Z243" i="1" s="1"/>
  <c r="D244" i="1"/>
  <c r="Z244" i="1" s="1"/>
  <c r="D245" i="1"/>
  <c r="Z245" i="1" s="1"/>
  <c r="D246" i="1"/>
  <c r="Z246" i="1" s="1"/>
  <c r="D247" i="1"/>
  <c r="Z247" i="1" s="1"/>
  <c r="D248" i="1"/>
  <c r="Z248" i="1" s="1"/>
  <c r="D249" i="1"/>
  <c r="Z249" i="1" s="1"/>
  <c r="D250" i="1"/>
  <c r="Z250" i="1" s="1"/>
  <c r="D251" i="1"/>
  <c r="Z251" i="1" s="1"/>
  <c r="D252" i="1"/>
  <c r="Z252" i="1" s="1"/>
  <c r="D253" i="1"/>
  <c r="Z253" i="1" s="1"/>
  <c r="D254" i="1"/>
  <c r="Z254" i="1" s="1"/>
  <c r="D255" i="1"/>
  <c r="Z255" i="1" s="1"/>
  <c r="D256" i="1"/>
  <c r="Z256" i="1" s="1"/>
  <c r="D257" i="1"/>
  <c r="Z257" i="1" s="1"/>
  <c r="D258" i="1"/>
  <c r="Z258" i="1" s="1"/>
  <c r="D259" i="1"/>
  <c r="Z259" i="1" s="1"/>
  <c r="D260" i="1"/>
  <c r="Z260" i="1" s="1"/>
  <c r="D261" i="1"/>
  <c r="Z261" i="1" s="1"/>
  <c r="D262" i="1"/>
  <c r="Z262" i="1" s="1"/>
  <c r="D263" i="1"/>
  <c r="Z263" i="1" s="1"/>
  <c r="D264" i="1"/>
  <c r="Z264" i="1" s="1"/>
  <c r="D265" i="1"/>
  <c r="Z265" i="1" s="1"/>
  <c r="D266" i="1"/>
  <c r="Z266" i="1" s="1"/>
  <c r="D267" i="1"/>
  <c r="Z267" i="1" s="1"/>
  <c r="D268" i="1"/>
  <c r="Z268" i="1" s="1"/>
  <c r="D269" i="1"/>
  <c r="Z269" i="1" s="1"/>
  <c r="D270" i="1"/>
  <c r="Z270" i="1" s="1"/>
  <c r="D271" i="1"/>
  <c r="Z271" i="1" s="1"/>
  <c r="D272" i="1"/>
  <c r="Z272" i="1" s="1"/>
  <c r="D273" i="1"/>
  <c r="Z273" i="1" s="1"/>
  <c r="D274" i="1"/>
  <c r="Z274" i="1" s="1"/>
  <c r="D275" i="1"/>
  <c r="Z275" i="1" s="1"/>
  <c r="D276" i="1"/>
  <c r="Z276" i="1" s="1"/>
  <c r="D277" i="1"/>
  <c r="Z277" i="1" s="1"/>
  <c r="D278" i="1"/>
  <c r="Z278" i="1" s="1"/>
  <c r="D279" i="1"/>
  <c r="Z279" i="1" s="1"/>
  <c r="D280" i="1"/>
  <c r="Z280" i="1" s="1"/>
  <c r="D281" i="1"/>
  <c r="Z281" i="1" s="1"/>
  <c r="D282" i="1"/>
  <c r="Z282" i="1" s="1"/>
  <c r="D283" i="1"/>
  <c r="Z283" i="1" s="1"/>
  <c r="D284" i="1"/>
  <c r="Z284" i="1" s="1"/>
  <c r="D285" i="1"/>
  <c r="Z285" i="1" s="1"/>
  <c r="D286" i="1"/>
  <c r="Z286" i="1" s="1"/>
  <c r="D287" i="1"/>
  <c r="Z287" i="1" s="1"/>
  <c r="D288" i="1"/>
  <c r="Z288" i="1" s="1"/>
  <c r="D289" i="1"/>
  <c r="Z289" i="1" s="1"/>
  <c r="D290" i="1"/>
  <c r="Z290" i="1" s="1"/>
  <c r="D291" i="1"/>
  <c r="Z291" i="1" s="1"/>
  <c r="D292" i="1"/>
  <c r="Z292" i="1" s="1"/>
  <c r="D293" i="1"/>
  <c r="Z293" i="1" s="1"/>
  <c r="D294" i="1"/>
  <c r="Z294" i="1" s="1"/>
  <c r="D295" i="1"/>
  <c r="Z295" i="1" s="1"/>
  <c r="D296" i="1"/>
  <c r="Z296" i="1" s="1"/>
  <c r="D297" i="1"/>
  <c r="Z297" i="1" s="1"/>
  <c r="D298" i="1"/>
  <c r="Z298" i="1" s="1"/>
  <c r="D299" i="1"/>
  <c r="Z299" i="1" s="1"/>
  <c r="D300" i="1"/>
  <c r="Z300" i="1" s="1"/>
  <c r="D301" i="1"/>
  <c r="Z301" i="1" s="1"/>
  <c r="D302" i="1"/>
  <c r="Z302" i="1" s="1"/>
  <c r="D303" i="1"/>
  <c r="Z303" i="1" s="1"/>
  <c r="D304" i="1"/>
  <c r="Z304" i="1" s="1"/>
  <c r="D305" i="1"/>
  <c r="Z305" i="1" s="1"/>
  <c r="D306" i="1"/>
  <c r="Z306" i="1" s="1"/>
  <c r="D307" i="1"/>
  <c r="Z307" i="1" s="1"/>
  <c r="D308" i="1"/>
  <c r="Z308" i="1" s="1"/>
  <c r="D309" i="1"/>
  <c r="Z309" i="1" s="1"/>
  <c r="D310" i="1"/>
  <c r="Z310" i="1" s="1"/>
  <c r="D311" i="1"/>
  <c r="Z311" i="1" s="1"/>
  <c r="D312" i="1"/>
  <c r="Z312" i="1" s="1"/>
  <c r="D313" i="1"/>
  <c r="Z313" i="1" s="1"/>
  <c r="D314" i="1"/>
  <c r="Z314" i="1" s="1"/>
  <c r="D315" i="1"/>
  <c r="Z315" i="1" s="1"/>
  <c r="D316" i="1"/>
  <c r="Z316" i="1" s="1"/>
  <c r="D317" i="1"/>
  <c r="Z317" i="1" s="1"/>
  <c r="D318" i="1"/>
  <c r="Z318" i="1" s="1"/>
  <c r="D319" i="1"/>
  <c r="Z319" i="1" s="1"/>
  <c r="D320" i="1"/>
  <c r="Z320" i="1" s="1"/>
  <c r="D321" i="1"/>
  <c r="Z321" i="1" s="1"/>
  <c r="D322" i="1"/>
  <c r="Z322" i="1" s="1"/>
  <c r="D323" i="1"/>
  <c r="Z323" i="1" s="1"/>
  <c r="D324" i="1"/>
  <c r="Z324" i="1" s="1"/>
  <c r="D325" i="1"/>
  <c r="Z325" i="1" s="1"/>
  <c r="D326" i="1"/>
  <c r="Z326" i="1" s="1"/>
  <c r="D327" i="1"/>
  <c r="Z327" i="1" s="1"/>
  <c r="D328" i="1"/>
  <c r="Z328" i="1" s="1"/>
  <c r="D329" i="1"/>
  <c r="Z329" i="1" s="1"/>
  <c r="D330" i="1"/>
  <c r="Z330" i="1" s="1"/>
  <c r="D331" i="1"/>
  <c r="Z331" i="1" s="1"/>
  <c r="D332" i="1"/>
  <c r="Z332" i="1" s="1"/>
  <c r="D333" i="1"/>
  <c r="Z333" i="1" s="1"/>
  <c r="D334" i="1"/>
  <c r="Z334" i="1" s="1"/>
  <c r="D335" i="1"/>
  <c r="Z335" i="1" s="1"/>
  <c r="D336" i="1"/>
  <c r="Z336" i="1" s="1"/>
  <c r="D337" i="1"/>
  <c r="Z337" i="1" s="1"/>
  <c r="D338" i="1"/>
  <c r="Z338" i="1" s="1"/>
  <c r="D339" i="1"/>
  <c r="Z339" i="1" s="1"/>
  <c r="D340" i="1"/>
  <c r="Z340" i="1" s="1"/>
  <c r="D341" i="1"/>
  <c r="Z341" i="1" s="1"/>
  <c r="D342" i="1"/>
  <c r="Z342" i="1" s="1"/>
  <c r="D343" i="1"/>
  <c r="Z343" i="1" s="1"/>
  <c r="D344" i="1"/>
  <c r="Z344" i="1" s="1"/>
  <c r="D345" i="1"/>
  <c r="Z345" i="1" s="1"/>
  <c r="D346" i="1"/>
  <c r="Z346" i="1" s="1"/>
  <c r="D347" i="1"/>
  <c r="Z347" i="1" s="1"/>
  <c r="D348" i="1"/>
  <c r="Z348" i="1" s="1"/>
  <c r="D349" i="1"/>
  <c r="Z349" i="1" s="1"/>
  <c r="D350" i="1"/>
  <c r="Z350" i="1" s="1"/>
  <c r="D351" i="1"/>
  <c r="Z351" i="1" s="1"/>
  <c r="D352" i="1"/>
  <c r="Z352" i="1" s="1"/>
  <c r="D353" i="1"/>
  <c r="Z353" i="1" s="1"/>
  <c r="D354" i="1"/>
  <c r="Z354" i="1" s="1"/>
  <c r="D355" i="1"/>
  <c r="Z355" i="1" s="1"/>
  <c r="D356" i="1"/>
  <c r="Z356" i="1" s="1"/>
  <c r="D357" i="1"/>
  <c r="Z357" i="1" s="1"/>
  <c r="D358" i="1"/>
  <c r="Z358" i="1" s="1"/>
  <c r="D359" i="1"/>
  <c r="Z359" i="1" s="1"/>
  <c r="D360" i="1"/>
  <c r="Z360" i="1" s="1"/>
  <c r="D361" i="1"/>
  <c r="Z361" i="1" s="1"/>
  <c r="D362" i="1"/>
  <c r="Z362" i="1" s="1"/>
  <c r="D363" i="1"/>
  <c r="Z363" i="1" s="1"/>
  <c r="D364" i="1"/>
  <c r="Z364" i="1" s="1"/>
  <c r="D365" i="1"/>
  <c r="Z365" i="1" s="1"/>
  <c r="D366" i="1"/>
  <c r="Z366" i="1" s="1"/>
  <c r="D367" i="1"/>
  <c r="Z367" i="1" s="1"/>
  <c r="D368" i="1"/>
  <c r="Z368" i="1" s="1"/>
  <c r="D369" i="1"/>
  <c r="Z369" i="1" s="1"/>
  <c r="D370" i="1"/>
  <c r="Z370" i="1" s="1"/>
  <c r="D371" i="1"/>
  <c r="Z371" i="1" s="1"/>
  <c r="D372" i="1"/>
  <c r="Z372" i="1" s="1"/>
  <c r="D373" i="1"/>
  <c r="Z373" i="1" s="1"/>
  <c r="D374" i="1"/>
  <c r="Z374" i="1" s="1"/>
  <c r="D375" i="1"/>
  <c r="Z375" i="1" s="1"/>
  <c r="D376" i="1"/>
  <c r="Z376" i="1" s="1"/>
  <c r="D377" i="1"/>
  <c r="Z377" i="1" s="1"/>
  <c r="D378" i="1"/>
  <c r="Z378" i="1" s="1"/>
  <c r="D379" i="1"/>
  <c r="Z379" i="1" s="1"/>
  <c r="D380" i="1"/>
  <c r="Z380" i="1" s="1"/>
  <c r="D381" i="1"/>
  <c r="Z381" i="1" s="1"/>
  <c r="D382" i="1"/>
  <c r="Z382" i="1" s="1"/>
  <c r="D383" i="1"/>
  <c r="Z383" i="1" s="1"/>
  <c r="D384" i="1"/>
  <c r="Z384" i="1" s="1"/>
  <c r="D385" i="1"/>
  <c r="Z385" i="1" s="1"/>
  <c r="D386" i="1"/>
  <c r="Z386" i="1" s="1"/>
  <c r="D387" i="1"/>
  <c r="Z387" i="1" s="1"/>
  <c r="D388" i="1"/>
  <c r="Z388" i="1" s="1"/>
  <c r="D389" i="1"/>
  <c r="Z389" i="1" s="1"/>
  <c r="D390" i="1"/>
  <c r="Z390" i="1" s="1"/>
  <c r="D391" i="1"/>
  <c r="Z391" i="1" s="1"/>
  <c r="D392" i="1"/>
  <c r="Z392" i="1" s="1"/>
  <c r="D393" i="1"/>
  <c r="Z393" i="1" s="1"/>
  <c r="D394" i="1"/>
  <c r="Z394" i="1" s="1"/>
  <c r="D395" i="1"/>
  <c r="Z395" i="1" s="1"/>
  <c r="D396" i="1"/>
  <c r="Z396" i="1" s="1"/>
  <c r="D397" i="1"/>
  <c r="Z397" i="1" s="1"/>
  <c r="D398" i="1"/>
  <c r="Z398" i="1" s="1"/>
  <c r="D399" i="1"/>
  <c r="Z399" i="1" s="1"/>
  <c r="D400" i="1"/>
  <c r="Z400" i="1" s="1"/>
  <c r="D401" i="1"/>
  <c r="Z401" i="1" s="1"/>
  <c r="D402" i="1"/>
  <c r="Z402" i="1" s="1"/>
  <c r="D403" i="1"/>
  <c r="Z403" i="1" s="1"/>
  <c r="D404" i="1"/>
  <c r="Z404" i="1" s="1"/>
  <c r="D405" i="1"/>
  <c r="Z405" i="1" s="1"/>
  <c r="D406" i="1"/>
  <c r="Z406" i="1" s="1"/>
  <c r="D407" i="1"/>
  <c r="Z407" i="1" s="1"/>
  <c r="D408" i="1"/>
  <c r="Z408" i="1" s="1"/>
  <c r="D409" i="1"/>
  <c r="Z409" i="1" s="1"/>
  <c r="D410" i="1"/>
  <c r="Z410" i="1" s="1"/>
  <c r="D411" i="1"/>
  <c r="Z411" i="1" s="1"/>
  <c r="D412" i="1"/>
  <c r="Z412" i="1" s="1"/>
  <c r="D413" i="1"/>
  <c r="D414" i="1"/>
  <c r="D415" i="1"/>
  <c r="D416" i="1"/>
  <c r="Z416" i="1" s="1"/>
  <c r="D417" i="1"/>
  <c r="D418" i="1"/>
  <c r="D419" i="1"/>
  <c r="D420" i="1"/>
  <c r="Z420" i="1" s="1"/>
  <c r="D421" i="1"/>
  <c r="Z421" i="1" s="1"/>
  <c r="D422" i="1"/>
  <c r="Z422" i="1" s="1"/>
  <c r="D423" i="1"/>
  <c r="Z423" i="1" s="1"/>
  <c r="D424" i="1"/>
  <c r="Z424" i="1" s="1"/>
  <c r="D425" i="1"/>
  <c r="Z425" i="1" s="1"/>
  <c r="D426" i="1"/>
  <c r="Z426" i="1" s="1"/>
  <c r="D427" i="1"/>
  <c r="Z427" i="1" s="1"/>
  <c r="D428" i="1"/>
  <c r="Z428" i="1" s="1"/>
  <c r="D429" i="1"/>
  <c r="Z429" i="1" s="1"/>
  <c r="D430" i="1"/>
  <c r="Z430" i="1" s="1"/>
  <c r="D431" i="1"/>
  <c r="Z431" i="1" s="1"/>
  <c r="D432" i="1"/>
  <c r="Z432" i="1" s="1"/>
  <c r="D433" i="1"/>
  <c r="D434" i="1"/>
  <c r="D435" i="1"/>
  <c r="D436" i="1"/>
  <c r="D437" i="1"/>
  <c r="D438" i="1"/>
  <c r="D439" i="1"/>
  <c r="D440" i="1"/>
  <c r="D441" i="1"/>
  <c r="Z13" i="1"/>
  <c r="Z14" i="1"/>
  <c r="Z15" i="1"/>
  <c r="Z153" i="1"/>
  <c r="Z154" i="1"/>
  <c r="Z155" i="1"/>
  <c r="Z156" i="1"/>
  <c r="Z157" i="1"/>
  <c r="Z158" i="1"/>
  <c r="Z159" i="1"/>
  <c r="Z161" i="1"/>
  <c r="Z162" i="1"/>
  <c r="Z413" i="1"/>
  <c r="Z414" i="1"/>
  <c r="Z415" i="1"/>
  <c r="Z417" i="1"/>
  <c r="Z418" i="1"/>
  <c r="Z419" i="1"/>
  <c r="Z433" i="1"/>
  <c r="Z434" i="1"/>
  <c r="Z435" i="1"/>
  <c r="Z436" i="1"/>
  <c r="Z437" i="1"/>
  <c r="Z438" i="1"/>
  <c r="Z439" i="1"/>
  <c r="Z440" i="1"/>
  <c r="Z441" i="1"/>
  <c r="E442" i="1"/>
  <c r="G442" i="1"/>
  <c r="D442" i="1" l="1"/>
</calcChain>
</file>

<file path=xl/sharedStrings.xml><?xml version="1.0" encoding="utf-8"?>
<sst xmlns="http://schemas.openxmlformats.org/spreadsheetml/2006/main" count="921" uniqueCount="505">
  <si>
    <t>№</t>
  </si>
  <si>
    <t>Наименование товара, услуги (работы)</t>
  </si>
  <si>
    <t>{Поставщик_4}</t>
  </si>
  <si>
    <t>{Поставщик_5}</t>
  </si>
  <si>
    <t>{Поставщик_6}</t>
  </si>
  <si>
    <t>{Поставщик_7}</t>
  </si>
  <si>
    <t>{Поставщик_8}</t>
  </si>
  <si>
    <t>{Поставщик_9}</t>
  </si>
  <si>
    <t>{Поставщик_10}</t>
  </si>
  <si>
    <t>{Поставщик_11}</t>
  </si>
  <si>
    <t>{Поставщик_12}</t>
  </si>
  <si>
    <t>{Поставщик_13}</t>
  </si>
  <si>
    <t>{Поставщик_14}</t>
  </si>
  <si>
    <t>{Поставщик_15}</t>
  </si>
  <si>
    <t>{Поставщик_16}</t>
  </si>
  <si>
    <t>{Поставщик_17}</t>
  </si>
  <si>
    <t>{Поставщик_18}</t>
  </si>
  <si>
    <t>{Поставщик_19}</t>
  </si>
  <si>
    <t>{Поставщик_20}</t>
  </si>
  <si>
    <t>Цена (руб.)</t>
  </si>
  <si>
    <t>Итого:</t>
  </si>
  <si>
    <t xml:space="preserve"> </t>
  </si>
  <si>
    <t>Средняя цена (руб.)</t>
  </si>
  <si>
    <t>Обоснование начальной (максимальной) цены договора</t>
  </si>
  <si>
    <t>Способ проведения закупки, предмет закупки</t>
  </si>
  <si>
    <t>Кол-во, ед. измерения</t>
  </si>
  <si>
    <t xml:space="preserve">Краткая характеристики объекта закупки </t>
  </si>
  <si>
    <t>Используемый метод определения НМЦед с обоснованием выбора данного метода</t>
  </si>
  <si>
    <t>РАСЧЕТ НМЦед</t>
  </si>
  <si>
    <t>1 чел./час</t>
  </si>
  <si>
    <t>1 усл. ед.</t>
  </si>
  <si>
    <t>1 шт.</t>
  </si>
  <si>
    <t>Всего:</t>
  </si>
  <si>
    <t>Объем фактически выполненых услуг определяется в ходе исполнения Договора в пределах максимального значения цены договора, исходя из единичных расценок каждого вида работы, 1 усл. ед.</t>
  </si>
  <si>
    <t xml:space="preserve">Единица измерения </t>
  </si>
  <si>
    <t>(1–2 чел.) — игра на площадке 4×4×4 м, обучение 2 минуты, игра 1 минута, 2 профессиональных аниматора и инвентарь.</t>
  </si>
  <si>
    <t>1 усл</t>
  </si>
  <si>
    <t>(от 20 до 100 чел.) — командообразующее мероприятие в формате квеста, командного соревнования или интеллектуальной игры с профессиональным ведущим, сценарной разработкой под заказчика, всем реквизитом.</t>
  </si>
  <si>
    <t>1 час</t>
  </si>
  <si>
    <t>(от 200 до 2000 чел.) — масштабный тематический квест для детей с авторским сценарием, тематическими костюмами для ведущих и персонажей, реквизитом, с опытом проведения крупных детских мероприятий для государственных и корпоративных клиентов.</t>
  </si>
  <si>
    <t>Организация и проведение интерактива с пиньятой — профессиональный аниматор с опытом проведения интерактивных активностей на корпоративных мероприятиях, изготовление тематической пиньяты под концепцию мероприятия.</t>
  </si>
  <si>
    <t>1 выступление</t>
  </si>
  <si>
    <t>Тематический квест на городских локациях с авторским сценарием, разработкой маршрута, реквизитом, профессиональными ведущими и техническим сопровождением.</t>
  </si>
  <si>
    <t>1 чел</t>
  </si>
  <si>
    <t>Услуга аниматора — актёр, выпускник театрального училища, с опытом работы в профессиональном театре и авторскими интерактивными программами для смешанной и детской аудитории, 10 лет+.</t>
  </si>
  <si>
    <t>Услуга аниматора — профессиональный артист с авторскими интерактивными шоу-программами в формате ростовых костюмов и световых шоу с криоэффектом, опытом работы на корпоративных мероприятиях 10+ лет.</t>
  </si>
  <si>
    <t>Услуга аниматора — профессиональный специалист по интерактивному взаимодействию с аудиторией с профильным актёрским или режиссёрским образованием, авторскими программами для корпоративных форматов, опытом работы с группами от 30 до 200 человек, 10 лет+.</t>
  </si>
  <si>
    <t>Аренда 1 этажа концертного зала на 1200 человек в радиусе 2 километров от Гостиного двора</t>
  </si>
  <si>
    <t>1 усл/4 часа</t>
  </si>
  <si>
    <t>Аренда вестибюля (при аренде ивент-зала+киберполигона) 370 кв.м в диджитал-центре г. Москва</t>
  </si>
  <si>
    <t>1 усл/8 часов</t>
  </si>
  <si>
    <t>Аренда вестибюля (при аренде ивент-зала+киберполигона) 370 кв.м. в диджитал-центре г. Москва</t>
  </si>
  <si>
    <t>1 усл/доп час</t>
  </si>
  <si>
    <t>Аренда двух хоккейных арен 60×28 м каждая, SPA-зона с банным комплексом, тренажёрный зал, спортивные площадки для бадминтона, пинг-понга и сквоша</t>
  </si>
  <si>
    <t>услуга</t>
  </si>
  <si>
    <t>Аренда зала 100 кв.м в шаговой доступности от офиса компании не более 15 минут</t>
  </si>
  <si>
    <t>Аренда зала 105 кв.м в шаговой доступности от офиса компании не более 15 минут</t>
  </si>
  <si>
    <t>Аренда зала 115 кв.м в шаговой доступности от офиса компании не более 15 минут</t>
  </si>
  <si>
    <t>Аренда зала 140 кв.м в шаговой доступности от офиса компании не более 15 минут</t>
  </si>
  <si>
    <t>Аренда зала 160 кв.м в шаговой доступности от офиса компании не более 15 минут</t>
  </si>
  <si>
    <t>Аренда зала 220 кв.м в шаговой доступности от офиса компании не более 15 минут</t>
  </si>
  <si>
    <t>Аренда зала 440 кв.м в шаговой доступности от офиса компании не более 15 минут</t>
  </si>
  <si>
    <t>Аренда зала 50 кв.м в шаговой доступности от офиса компании не более 15 минут</t>
  </si>
  <si>
    <t>Аренда зала 60 кв.м в шаговой доступности от офиса компании не более 15 минут</t>
  </si>
  <si>
    <t>Аренда зала 70 кв.м в шаговой доступности от офиса компании не более 15 минут</t>
  </si>
  <si>
    <t>Аренда зала 700 кв.м в шаговой доступности от офиса компании не более 15 минут</t>
  </si>
  <si>
    <t>Аренда зала 75 кв.м в шаговой доступности от офиса компании не более 15 минут</t>
  </si>
  <si>
    <t>Аренда зала 80 кв.м в шаговой доступности от офиса компании не более 15 минут</t>
  </si>
  <si>
    <t>Аренда зала 90 кв.м в шаговой доступности от офиса компании не более 15 минут</t>
  </si>
  <si>
    <t>Аренда зоны для фуршет в концертном зале на 1200 человек в радиусе 2 километров от Гостиного двора на 1 этаже</t>
  </si>
  <si>
    <t>Аренда зоны для фуршета в концертном зале на 1200 человек в радиусе 2 километров от Гостиного двора на 1 этаже</t>
  </si>
  <si>
    <t>1 усл/8 часа</t>
  </si>
  <si>
    <t>Аренда зоны для фуршета в концертном зале на 1200 человек в радиусе 2 километров от Гостиного двора на 2 этаже</t>
  </si>
  <si>
    <t>Аренда ивент-зала 250 кв.м в диджитал-центре г. Москва</t>
  </si>
  <si>
    <t>Аренда игровых форматов для работы с большой аудиторией в режиме шоу — участники из зала выходят на площадку и соревнуются в творческих, музыкальных или командных заданиях, 2 профессиональных аниматора.</t>
  </si>
  <si>
    <t>Аренда интерактивных игровых станций — соревнование участников на скорость реакции и точность моторики, в индивидуальном и парном форматах, оборудование фиксирует результаты и рекорды, 2 профессиональных аниматора.</t>
  </si>
  <si>
    <t>Аренда интерактивных игровых станций — тренировка памяти, логического мышления и скорости обработки информации, в индивидуальном и командном форматах, 2 профессиональных аниматора.</t>
  </si>
  <si>
    <t>Аренда интерактивных спортивных станций с соревновательной механикой — командные и парные форматы с цифровыми механиками, 2 профессиональных аниматора.</t>
  </si>
  <si>
    <t>Аренда интерактивных станций — точность движений, пространственное восприятие и тонкая моторика участников, в индивидуальном и соревновательном режимах, 2 профессиональных аниматора.</t>
  </si>
  <si>
    <t>Аренда киберполигона 200 кв.м. в диджитал-центре г. Москва</t>
  </si>
  <si>
    <t>Аренда концертного зала на 1200 человек в радиусе 2 километров от Гостиного двора, вечерний тариф (для демонтажа в день мероприятия)</t>
  </si>
  <si>
    <t>Аренда концертного зала на 1200 человек в радиусе 2 километров от Гостиного двора, вечерний тариф (для монтажа накануне мероприятия)</t>
  </si>
  <si>
    <t>Аренда концертного зала на 1200 человек в радиусе 2 километров от Гостиного двора, вечерний тариф (монтажа сцены в день мероприятия)</t>
  </si>
  <si>
    <t>Аренда концертного зала на 1200 человек в радиусе 2 километров от Гостиного двора, вечерний тариф в момент проведения мероприятия</t>
  </si>
  <si>
    <t>Аренда лампового кабинета (VIP) 80 кв.м в диджитал-центре г. Москва</t>
  </si>
  <si>
    <t>Аренда миражной комнаты 37 кв.м. в диджитал-центре г. Москва</t>
  </si>
  <si>
    <t>Аренда мягкой комнаты 37 кв.м. в диджитал-центре г. Москва</t>
  </si>
  <si>
    <t>Аренда мягкой объединенной комнаты 74 кв.м. в диджитал-центре г. Москва</t>
  </si>
  <si>
    <t>Аренда невесомой комнаты со столом 32 кв.м. в диджитал-центре г. Москва</t>
  </si>
  <si>
    <t>Аренда облачной комнаты со столом 43 кв.м. в диджитал-центре г. Москва</t>
  </si>
  <si>
    <t>Аренда открытой площади с твердым покрытием прилегающая к спортивной арене, 3 000 кв. м.</t>
  </si>
  <si>
    <t>Аренда пиксельной комнаты 35 кв.м. в диджитал-центре г. Москва</t>
  </si>
  <si>
    <t>Аренда пиксельной комнаты объединенной 70 кв.м. в диджитал-центре г. Москва</t>
  </si>
  <si>
    <t>Аренда профессионального звукозаписывающего оборудования — многоканальный рекордер, петличные и направленные микрофоны, бум, беспроводные системы передачи звука, с техником.</t>
  </si>
  <si>
    <t>1 смена</t>
  </si>
  <si>
    <t>Аренда профессионального светового оборудования для съёмки — осветительные приборы кинематографического класса, диффузоры, флаги, отражатели, с техником по свету.</t>
  </si>
  <si>
    <t>Аренда профессионального съёмочного комплекта — кинокамера кинематографического класса с комплектом объективов, дополнительное оборудование (стабилизаторы, слайдеры, операторские тележки), технический специалист по обслуживанию комплекта.</t>
  </si>
  <si>
    <t>Аренда спортивной территории — полноразмерное футбольное поле 105×68 м с натуральным газоном и системой подогрева, 8 легкоатлетических дорожек, 2 мини-футбольных поля с искусственной травой и подогревом, 12 теннисных кортов, 4 раздевалки с душевыми, парковка, пресс-центр и медпункт.</t>
  </si>
  <si>
    <t>1 услуга</t>
  </si>
  <si>
    <t>Аренда универсального крытого спортивного объекта, общая площадь более 16 650 кв. м, на количество участников не менее 3 000 чел., камеры хранения для участников, техническое оборудование, сцена, парковка</t>
  </si>
  <si>
    <t>Аренда футбольного поля с искусственным/натуральным покрытием, системой подогрева и искусственным освещением</t>
  </si>
  <si>
    <t>Аренда эфирной комнаты 27 кв.м. в диджитал-центре г. Москва</t>
  </si>
  <si>
    <t>Предоставление комплекта профессионального постановочного оборудования — освещение, стулья для оркестра, пюпитры, сценические конструкции и прочее оборудование согласно техническому райдеру мероприятия.</t>
  </si>
  <si>
    <t>Предоставление комплекта профессионального технического оборудования согласно техническому райдеру мероприятия.</t>
  </si>
  <si>
    <t>Предоставление контейнера для вывоза строительного мусора и демонтированных декораций по окончании мероприятия.</t>
  </si>
  <si>
    <t>Предоставление мебели для гримёрных помещений артистов и участников мероприятия согласно техническому райдеру.</t>
  </si>
  <si>
    <t>на 1 артиста</t>
  </si>
  <si>
    <t>(1–6 чел.) Выступление артистов на ходулях в авторских дизайнерских костюмах — в велком-формате или в составе театрализованного номера, опытом корпоративных и культурных мероприятий.</t>
  </si>
  <si>
    <t>Артист Категории А. Актуальный лидер продаж. Артист с высокими показателями ротации на федеральных радиостанциях и цифровых стриминговых платформах (актуальный репертуар). Исполнитель является драйвером привлечения зрительского внимания и поддерживают «молодежный» или «семейный» профиль мероприятия за счет свежего материала. Рекомендуются как основа сценической программы. Артист является финалистом или лауреатом всероссийских телевизионных конкурсов («Голос», «Фабрика звёзд», «Новая волна», «Детское Евровидение»). Имеют победы или призовые места в международных вокальных соревнованиях. Активно номинируются на национальные премии (Russia Music Awards, «Золотой Граммофон», «Муз-ТВ»).</t>
  </si>
  <si>
    <t>Артист Категории А+. Эксклюзивный хедлайнер. Артист, обладающий многолетней безупречной деловой репутацией и стабильной способностью собирать аудиторию свыше 10 000 человек без дополнительной рекламной поддержки. Характеризуются 100% заполняемостью крупных концертных площадок, постоянным присутствием в итоговых годовых чартах и федеральных радиоэфирах. Включение данного артиста в программу является статусным решением, гарантирующим медийный резонанс мероприятия.Артист имеет опыт участия в национальных отборах на «Евровидение» , либо представлял российскую эстраду на крупнейших международных фестивалях. Лауреаты премий «Золотой Граммофон», «Муз-ТВ», «Виктория», «MTV Europe Music Awards».</t>
  </si>
  <si>
    <t>Артист Категории В. Проверенная база. Артист, имеющий устойчивый портфель «золотых хитов» и высокую степень узнаваемости среди аудитории 30+. Исполнитель характеризуется отсутствием рисков и неизменно положительной обратной связью от корпоративных заказчиков.Рекомендуется для формирования костяка шоу-программы, обеспечивая ностальгический и позитивный эмоциональный фон. Участник или призёр российских конкурсов 1990–2000-х годов («Песня года», «Шлягер года», «Звёздная дорожка»).</t>
  </si>
  <si>
    <t xml:space="preserve">Артист Категории С. Тематические и нишевые артисты. Исполнитель, представляющий узкие музыкальные жанры (рок, фолк, шансон, ретро). Рекомендуется для включения в концертную программу в качестве дополнения к основной программе, а также для тематических блоков (например, «Дискотека 90-х», «Вечер романса» или «Рок-пауза») с целью диверсификации музыкальных предпочтений гостей. Участник является лауреатами узкопрофильных конкурсов (рок-фестивали «Нашествие», «Звёзды Шансона», фолк-конкурсы «Песни России», «Романсиада»). </t>
  </si>
  <si>
    <t>Выступление артиста в образе Деда Мороза в формате фристайл — профессиональный исполнитель с актёрским или цирковым образованием, авторской интерактивной программой с импровизационными элементами, опытом выступлений на корпоративных новогодних мероприятиях аудиторией от 200 человек, стажем 5 лет+.</t>
  </si>
  <si>
    <t>Выступление солистов балета — артистов ведущих российских театров с профессиональным хореографическим образованием (Академия хореографии или аналог), опытом выступлений на государственных и корпоративных площадках, с классической или современной программой под тематику мероприятия, стажем 5 лет+.</t>
  </si>
  <si>
    <t>Услуга бренд-стратега — профессиональный специалист с высшим образованием в области маркетинга, коммуникаций или смежных специальностей, опытом проведения глубинных интервью с ключевыми стейкхолдерами, анализом целевой аудитории и конкурентной среды, формулированием единого смыслового ядра бренда, стажем 5 лет+. Результат: согласованный документ с сутью бренда.</t>
  </si>
  <si>
    <t>1 чел/час</t>
  </si>
  <si>
    <t>Услуга бренд-стратега — профессиональный специалист с опытом выявления измеримых параметров продукта и формирования базы для эмоционального позиционирования, созданием списка рациональных аргументов и эмоциональных ценностей бренда, стажем 5 лет+.</t>
  </si>
  <si>
    <t>Услуга бренд-стратега — профессиональный специалист с опытом работы с архетипами и визуальными метафорами бренда, подбором мудбордов и ассоциативных рядов, созданием портрета-ориентира для дизайнера, фотографа и маркетолога, стажем 5 лет+.</t>
  </si>
  <si>
    <t>Услуга бренд-стратега — профессиональный специалист с опытом разработки миссии и долгосрочного позиционирования для корпоративных брендов, формулированием инструмента нематериальной мотивации сотрудников и повышения лояльности аудитории, стажем 5 лет+. Результат: согласованный текст миссии бренда.</t>
  </si>
  <si>
    <t>Ведущий мероприятия Категории А. Ведущий мероприятия Категории А. Профессиональный ведущий и мастер сцены. Узнаваемый Артист ( на уровне 70–85%), в основном аудитория 30+. Активно снимается в сериалах, участвуют в театральных антрепризах, ведут крупные городские мероприятия/ Проводит индивидуальные стендап-концерты, творческие вечера, мастер-классы. Часто приглашаются как профессиональные ведущие (корпоративы, деловые форумы)/ Имеет театральное или актёрское образование, работают в разных жанрах. Воспринимаются как признанные мастера своего дела, сочетающие профессионализм и лёгкость общения. Подходят для интерактивных блоков, творческих пауз, вечерней развлекательной части и статусных церемоний.</t>
  </si>
  <si>
    <t>Ведущий мероприятия Категории А+. Ведущий мероприятия Категории А+. Топ- звёзды театра, кино, эстрады. Узнаваемый Артист (на уровне 95–100%) среди всех возрастных групп. Постоянный участник федеральных ТВ-проектов (юмористические шоу, ток-шоу, сериалы с многомиллионными рейтингами). Имеет сольные и гастрольные туры (моноспектакли, антрепризные спектакли) с числом зрителей от 2 000+ за вечер. Регулярно приглашается на государственные концерты (День Победы, День России, Новый год на федеральных каналах)
Имеет многолетнюю карьеру с званиями «Заслуженный/Народный артист РФ». Артист этой категории воспринимается как национальное достояние, их появление гарантирует высокий эмоциональный подъём, доверие и статусность мероприятия. Подходят для открытия и закрытия крупных шоу, а также для золотого часа программы.</t>
  </si>
  <si>
    <t>Ведущий мероприятия Категория В. Ведущий мероприятия Категория В. Профильный специалист, нишевая звезда. Узнаваемый Артист (на уровне 40–60%), хорошо известен в своих профессиональных кругах или среди постоянных зрителей конкретных ТВ-каналов. Выступает в формате творческих встреч, моноспектаклей, мастер-классов, озвучивания, участия в профильных фестивалях. Обладает безупречной профессиональной репутацией. Воспринимаются как «свои», знакомые по телевизионным программам. Подходят для разогрева публики, первого отделения концерта, юмористических блоков и мероприятий с оптимальным бюджетом.</t>
  </si>
  <si>
    <t>Ведущий мероприятия Категория С. Ведущий мероприятия Категория С. Нишевый и камерный формат. Артист, узнаваемый в основном в узких кругах (театралы, путешественники, любители литературы, классики). Выступает в камерных форматах: театральные читки, авторские вечера, книжные клубы, лектории, закрытые деловые мероприятия, выставки, частные салоны. Интеллектуальный и культурный спикер. Воспринимаются как уникальные, неформатные, глубокие личности. Не создают массового шоу, но придают мероприятию интеллектуальную глубину, оригинальность и эксклюзивность. Подходят для интеллектуальных пауз, мотивационных блоков, закрытых встреч без галстуков.</t>
  </si>
  <si>
    <t>Ведущий мероприятия Категория Д. Ведущие корпоративных и деловых мероприятий. Артист, не медийная личность, владеет интерактивными форматами работы с аудиторией: вовлечение зала, управление энергией группы, работа с вопросами из зала, импровизация. Имеет развитое чувство юмора и навык экспромта — способность придумывать репризы, шутки, связки и реакции на ходу, исходя из текущей ситуации в зале (ошибки техники, нестандартные реакции гостей, изменение тайминга). Универсален, может работать как в формате официального модератора (деловые форумы, презентации, панельные дискуссии), так и в формате развлекательного ведущего (корпоративные вечеринки, тимбилдинги, конкурсные программы). Умеет работать с разными составами групп — от камерных встреч (30–50 человек) до больших банкетов (300–500 гостей). Имеет в наличии собственноый инвентарь — микрофоны, беспроводные системы, колоды карт, реквизит для конкурсов, планшет/ноутбук для работы с презентациями (в зависимости от формата). Отличается гибкостью в тайминге — готовность к изменениям программы по ходу мероприятия, удлинению или сокращению блоков без потери качества и психологической подготовкой, пониманием групповой динамики, умением работать с «трудными» гостями, сохранять позитивный фон в любой ситуации.</t>
  </si>
  <si>
    <t>Услуга модератора виртуальных встреч — профессиональный ведущий с высшим образованием (актёрское или журналистское), опытом модерации онлайн-мероприятий для корпоративной аудитории, навыками вовлечения участников, стажем 3 лет+.</t>
  </si>
  <si>
    <t>Интерактивный видеоэффект в формате видео-бабл — профессиональный технический специалист с опытом создания и управления интерактивными видеоэффектами на корпоративных мероприятиях.</t>
  </si>
  <si>
    <t>Производство имиджевого корпоративного фильма — профессиональная продакшн-команда (режиссёр, оператор, монтажёр) с профильным кино- или телевизионным образованием, опытом производства имиджевых и документальных фильмов для крупных российских компаний, полным циклом от разработки сценария и раскадровки до финального монтажа, цветокоррекции и звукового сопровождения, стажем 5 лет+.</t>
  </si>
  <si>
    <t>Производство отчётного имиджевого ролика с мероприятия — профессиональный видеограф-режиссёр монтажа с опытом более 10 лет, специализацией на корпоративном видеопроизводстве, авторским режиссёрским подходом к структуре и подаче материала.</t>
  </si>
  <si>
    <t>Услуга ассистента оператора — профессиональный специалист с профильным техническим или операторским образованием, опытом работы на съёмочных площадках корпоративного и документального кино, обслуживанием камерного оборудования, фокус-пулингом и подготовкой техники к съёмочному дню, стажем 3 лет+.</t>
  </si>
  <si>
    <t>Услуга звукорежиссёра — профессиональный специалист с высшим или средним специальным образованием по специальности «звукорежиссура», опытом работы на концертных и корпоративных мероприятиях аудиторией от 500 человек, управлением аналоговым и цифровым звуковым оборудованием ведущих производителей, стажем 5 лет+.</t>
  </si>
  <si>
    <t>Услуга оператора — профессиональный кинооператор с высшим образованием (ВГИК, операторский факультет или аналог), опытом операторской работы на корпоративных и документальных фильмах, созданием визуального образа проекта, разработкой операторского плана, работой со светом, композицией и движением камеры, стажем 5 лет+.</t>
  </si>
  <si>
    <t>Услуга оператора БПЛА — профессиональный пилот дрона с государственным сертификатом оператора беспилотного воздушного судна, опытом аэросъёмки для корпоративных и документальных фильмов, получением необходимых разрешений на полёты, стажем 3 лет+.</t>
  </si>
  <si>
    <t>Услуга продюсера постпродакшна — профессиональный специалист с высшим образованием в области кино или медиапроизводства (ВГИК или аналог), опытом управления полным циклом постпродакшна корпоративных фильмов, координацией команды монтажёров, колористов и специалистов по звуку, контролем соответствия финального продукта заданию, стажем 5 лет+.</t>
  </si>
  <si>
    <t>Услуга режиссёра — профессиональный кинорежиссёр с высшим образованием (ВГИК, мастерская игрового или документального кино), опытом постановки корпоративных и документальных фильмов для крупных российских компаний, полным авторским руководством от разработки режиссёрского сценария до финального контроля монтажа, портфолио реализованных фильмов, стажем 5 лет+.</t>
  </si>
  <si>
    <t>Услуга режиссёра монтажа — профессиональный специалист с высшим образованием в области кинопроизводства или монтажа (ВГИК или аналог), опытом монтажа корпоративных и документальных фильмов, выстраиванием драматургии и темпоритма, согласованием монтажных решений с режиссёром, стажем 5 лет+.</t>
  </si>
  <si>
    <t>Услуга технического монтажёра — профессиональный специалист с профильным образованием, опытом технической обработки отснятого материала, синхронизации аудио и видео дорожек, подготовки материала к цветокоррекции и финальному сведению, стажем 3 лет+.</t>
  </si>
  <si>
    <t>Услуга художника по свету — профессиональный специалист по сценическому освещению с профильным техническим или художественным образованием, опытом разработки световых партитур для концертных и театральных постановок, управлением профессиональным световым оборудованием на мероприятиях аудиторией от 500 человек, навыками программирования световых пультов, стажем 5 лет+.</t>
  </si>
  <si>
    <t>(1–5 чел.) — гонки в управляемом заносе на заднеприводных копийных автомоделях в масштабе 1:24, трасса на подиуме 1×2 м, 2 профессиональных аниматора и инвентарь.</t>
  </si>
  <si>
    <t>(1–5 чел.) — гонки в управляемом заносе на полноприводных автомоделях в масштабе 1:10, 2 профессиональных аниматора и инвентарь.</t>
  </si>
  <si>
    <t>(1–5 чел.) — гонки на автомобилях по трассе с полозьями, трасса 3×4 м, 2 профессиональных аниматора и инвентарь.</t>
  </si>
  <si>
    <t>(1–5 чел.) — гонки на копийных радиоуправляемых автомобилях Формула-1 или DTM в масштабе 1:10 по трассе 12×12 м, 2 профессиональных аниматора и инвентарь.</t>
  </si>
  <si>
    <t>(1–5 чел.) — гонки на мини радиоуправляемых машинках с управлением рулём и педалями на профессиональных SIM-креслах, многоуровневая трасса 4×6 м, 2 профессиональных аниматора и инвентарь.</t>
  </si>
  <si>
    <t>(1–5 чел.) — гонки на радиоуправляемых внедорожниках в масштабе 1:10 по трассе 25×12 м, 2 профессиональных аниматора и инвентарь.</t>
  </si>
  <si>
    <t>(1–5 чел.) — гонки на реалистичных микро радиоуправляемых автомобилях Kyosho в масштабе 1:24 по трассе 6×4 м, 2 профессиональных аниматора и инвентарь.</t>
  </si>
  <si>
    <t>(1–5 чел.) — параллельный слалом на радиоуправляемых автомобилях в масштабе 1:10, трасса от 3×6 до 5×10 м, 2 профессиональных аниматора и инвентарь.</t>
  </si>
  <si>
    <t>(До 20 чел. в час) — гонки на радиоуправляемых парусных яхтах, 2 лодки, заезды по 3 минуты, 2 профессиональных аниматора и инвентарь.</t>
  </si>
  <si>
    <t>Листовой ПВХ для производства конструкций и элементов оформления.</t>
  </si>
  <si>
    <t>1 лист</t>
  </si>
  <si>
    <t>Металлопрокат для производства несущих конструкций и элементов оформления.</t>
  </si>
  <si>
    <t>1 п/м</t>
  </si>
  <si>
    <t>Нанесение изображения методом широкоформатной печати на баннерную, тканевую или иную основу.</t>
  </si>
  <si>
    <t>1 м²</t>
  </si>
  <si>
    <t>Пиломатериалы и листовые материалы для производства декоративных конструкций. 1 шт.</t>
  </si>
  <si>
    <t>Производство баннера для оформления мероприятия.</t>
  </si>
  <si>
    <t>Разработка и реализация интерактивного арт-объекта в формате книги-стенда — комплексная услуга, включающая работу арт-директора по разработке авторской концепции и визуального решения, работу графического дизайнера по подготовке макетов и иллюстраций, работу технолога по разработке конструктивного решения с применением специализированных материалов (акрил, металл, пластик, интерактивные элементы), производство и сборку на производственной базе, доставку, монтаж и финальную настройку на площадке. Арт-директор и дизайнер с профильным образованием и портфолио реализованных арт-объектов для мероприятий федерального уровня.</t>
  </si>
  <si>
    <t>Самоклеящаяся плёнка для брендирования и оформления поверхностей.</t>
  </si>
  <si>
    <t>Ткань для производства декоративных элементов и конструкций оформления мероприятия.</t>
  </si>
  <si>
    <t>Услуга колориста — профессиональный специалист с профильным образованием в области кино или цветокоррекции, опытом колоргрейдинга корпоративных и документальных фильмов, созданием единого визуального образа фильма, стажем 3 лет+.</t>
  </si>
  <si>
    <t>Услуга окрашивания конструкций и элементов оформления в соответствии с утверждённым визуальным решением.</t>
  </si>
  <si>
    <t>Услуга оформления воздушными шарами с опытом корпоративного оформления, расходными материалами в стоимости.</t>
  </si>
  <si>
    <t>Услуга пошива текстильных элементов оформления — чехлы, скатерти, драпировки, флаги и прочее.</t>
  </si>
  <si>
    <t>Услуга сварки металлических конструкций для производства несущих элементов оформления.</t>
  </si>
  <si>
    <t>Услуга упаковки декоративных конструкций и элементов оформления на складе для транспортировки на площадку.</t>
  </si>
  <si>
    <t>Услуга флориста — профессиональный специалист с опытом оформления корпоративных мероприятий, подбором и закупкой цветов для вручения на церемонии и оформления зала в соответствии с концепцией мероприятия.</t>
  </si>
  <si>
    <t>Услуга флориста и декоратора по оформлению банкетных столов — профессиональный специалист с опытом декорирования корпоративных банкетов аудиторией от 200 человек, созданием единой концепции оформления в соответствии с тематикой мероприятия.</t>
  </si>
  <si>
    <t>Услуга фрезерной обработки материалов для производства декоративных элементов оформления.</t>
  </si>
  <si>
    <t>Услуга художника-декоратора — профессиональный специалист по event-оформлению с профильным художественным или дизайнерским образованием, опытом разработки и реализации декора для корпоративных мероприятий аудиторией от 500 человек, портфолио проектов для крупных российских компаний, стажем 5 лет+.</t>
  </si>
  <si>
    <t>Услуга художника-декоратора — профессиональный специалист по event-оформлению с профильным художественным или дизайнерским образованием, опытом разработки и реализации новогоднего декора для корпоративных мероприятий аудиторией от 400 человек, портфолио проектов для крупных российских компаний, стажем 5 лет+.</t>
  </si>
  <si>
    <t>Услуга диджея — профессиональный DJ с опытом работы на закрытых корпоративных и светских мероприятиях 10 лет+, входящих в рейтинг РБК-100, авторскими миксами и тонким чувством аудитории, портфолио мероприятий крупных российских компаний.</t>
  </si>
  <si>
    <t>1 усл. ед</t>
  </si>
  <si>
    <t>Услуга диджея с функцией виджея — профессиональный специалист с образованием в области музыки и видеопроизводства, опытом создания синхронизированного аудио-видеоконтента в режиме реального времени на корпоративных и деловых мероприятиях 10 лет+.</t>
  </si>
  <si>
    <t>Услуга диджея с элементами авторского живого выступления — профессиональный DJ с музыкальным образованием, опытом корпоративных мероприятий 10 лет+, авторскими миксами и живыми музыкальными элементами в сете.</t>
  </si>
  <si>
    <t>Разработка и подготовка к печати деловой документации в фирменном стиле — профессиональный дизайнер с высшим дизайнерским образованием, опытом создания корпоративной полиграфии, стажем 3 лет+.</t>
  </si>
  <si>
    <t>Разработка и подготовка к производству корпоративных печатных и промоматериалов — профессиональный дизайнер с высшим дизайнерским образованием, опытом создания широкого спектра корпоративных носителей, стажем 3 лет+.</t>
  </si>
  <si>
    <t>Разработка макетов декоративных конструкций и элементов оформления под тематику мероприятия.</t>
  </si>
  <si>
    <t>Разработка макетов широкого спектра брендированных материалов и сувенирной продукции — профессиональный дизайнер с высшим дизайнерским образованием, опытом подготовки макетов к производству разных форматов, стажем 3 лет+.</t>
  </si>
  <si>
    <t>Услуга UI-дизайнера — профессиональный специалист с высшим дизайнерским образованием, опытом оформления витрин для цифровых магазинов и корпоративных платформ, созданием шаблонов в едином стиле проекта.</t>
  </si>
  <si>
    <t>Услуга UI-дизайнера — профессиональный специалист с высшим дизайнерским образованием, опытом разработки иконографики для чат-ботов и мобильных интерфейсов, созданием кастомных иконок в едином визуальном стиле, стажем 3 лет+.</t>
  </si>
  <si>
    <t>Услуга UI-дизайнера — профессиональный специалист с высшим дизайнерским образованием, опытом создания библиотек иконок для цифровых продуктов, разработкой полного набора пиктограмм для всех категорий контента марафона, стажем 3 лет+.</t>
  </si>
  <si>
    <t>Услуга UI-дизайнера — профессиональный специалист с высшим дизайнерским образованием, опытом создания графических элементов интерфейса для цифровых проектов, разработкой разделителей, плашек и элементов оформления в едином фирменном стиле.</t>
  </si>
  <si>
    <t>Услуга UX/UI-дизайнера — профессиональный специалист с высшим дизайнерским или техническим образованием, опытом проектирования структуры контента для чат-ботов и цифровых марафонов, разработкой правил вёрстки сообщений и логики навигации, стажем 3 лет+.</t>
  </si>
  <si>
    <t>Услуга UX/UI-дизайнера и иллюстратора — профессиональные специалисты с высшим дизайнерским образованием, опытом визуализации игровых механик для корпоративных digital-проектов, разработкой 10 состояний карты с анимационными переходами, стажем 3 лет+.</t>
  </si>
  <si>
    <t>Услуга web-дизайнера — профессиональный специалист с высшим дизайнерским образованием, опытом работы с web сайми и интернет приложениями</t>
  </si>
  <si>
    <t>Услуга арт-директора и графического дизайнера — профессиональные специалисты с высшим дизайнерским образованием, опытом формирования системы визуальных констант для корпоративных брендов (палитра, типографика, графические элементы), стажем 5 лет+.</t>
  </si>
  <si>
    <t>Услуга геймдизайнера — профессиональный специалист с опытом разработки механик геймификации для корпоративных HR и engagement-проектов, проектированием системы баллов, уровней и достижений, стажем 3 лет+.</t>
  </si>
  <si>
    <t>Услуга графического дизайнера — профессиональный специалист с высшим дизайнерским образованием, опытом разработки digital badges и наградных элементов для геймифицированных проектов, созданием 20 уникальных карточек достижений, стажем 3 лет+.</t>
  </si>
  <si>
    <t>Услуга графического дизайнера-верстальщика по внесению правок в согласованную концепцию логотипа — 1 круг правок на основании обратной связи заказчика.</t>
  </si>
  <si>
    <t>Услуга дизайнера — профессиональный специалист с профильным дизайнерским образованием, опытом разработки полиграфических материалов для корпоративных мероприятий представительского уровня, подготовкой макета именного приглашения с учётом фирменного стиля мероприятия и сопровождением производства.</t>
  </si>
  <si>
    <t>Услуга дизайнера-верстальщика — профессиональный специалист с высшим дизайнерским образованием, опытом создания корпоративных брендбуков включающих платформу бренда и не менее 25 дизайн-макетов, стажем 3 лет+. Результат: согласованный брендбук в цифровом и печатном форматах.</t>
  </si>
  <si>
    <t>Услуга звукового дизайнера и мастеринг-инженера — профессиональный специалист с высшим образованием по специальности «звукорежиссура», опытом финального сведения диалогов, музыки и эффектов, создания авторского звукового дизайна и мастеринга корпоративных фильмов, стажем 3 лет+.</t>
  </si>
  <si>
    <t>Услуга иллюстратора и дизайнера — профессиональный специалист с высшим дизайнерским или художественным образованием, опытом создания иллюстративных фонов для игровых digital-форматов, разработкой уникальных подложек под тематику игровых локаций.</t>
  </si>
  <si>
    <t>Услуга контент-дизайнера — профессиональный специалист с высшим образованием, опытом разработки интерактивных квизов для корпоративных HR-проектов, созданием вопросов и образовательных пояснений, стажем 3 лет+.</t>
  </si>
  <si>
    <t>Услуга моушн-дизайнера — профессиональный специалист с профильным дизайнерским образованием, опытом создания видеоконтента для экранного сопровождения корпоративных мероприятий, разработкой заставок, слайдов и анимированных элементов под фирменный стиль мероприятия, стажем 3 лет+.</t>
  </si>
  <si>
    <t>(1–5 чел.) Выездной барный сервис с собственным оборудованием и расходными материалами, опытом обслуживания корпоративных мероприятий 5 лет+.</t>
  </si>
  <si>
    <t>Анимационная станция “Гонконгские вафли” сладкие со свежими ягодами 150 гр</t>
  </si>
  <si>
    <t>на 1 чел</t>
  </si>
  <si>
    <t>Анимационная станция А-ля рус (пирожки, тосты из бородинского хлеба с сельдью картофелем и муссом свеклы, паштет из куриной печени со смородиной на румяных тостах, драники, блинчики с мясом, самовар, сушки, пряники) 250 гр</t>
  </si>
  <si>
    <t>Анимационная станция Блины с топингами 100 гр</t>
  </si>
  <si>
    <t>Анимационная станция Кукуруза 150 гр</t>
  </si>
  <si>
    <t>Анимационная станция Мини бургер с говяжьим бифштексом, листьями айсберг, свежим помидором,маринованным огурчиком и соусом 180 гр</t>
  </si>
  <si>
    <t>Анимационная станция мороженого с топингами (шоколадные посыпки, крошка печенья, мармеладки, маршмеллоу) 100 гр</t>
  </si>
  <si>
    <t>Анимационная станция окрошки (на квасе или кефире на выбор) 150 гр</t>
  </si>
  <si>
    <t>Анимационная станция Поке (креветки, лосось с/с, тунец, рис, огурцы свежие, авокадо, салат чука, капуста красная, редис, эдамаме, водоросли нори, соевый соус, соус терияки, соус цитрусовый) 150 гр</t>
  </si>
  <si>
    <t>Анимационная станция Полевая кухня (гречка с тушенкой, макароны по-флотски) 250 гр</t>
  </si>
  <si>
    <t>Анимационная станция Попкорн 100 гр</t>
  </si>
  <si>
    <t>Анимационная станция с мини чебуреками в казане (с картофелем и вялеными томатами, с говядиной, с сыром и зеленью) с соусом дзадзики и томатным 100 гр</t>
  </si>
  <si>
    <t>Анимационная станция Салат бар (салатные миксы в ассортименте, помидоры, огурцы, куриное филе на гриле, тунец консервированный, перец болгарский, брынза, пармезан, оливки /маслины, смесь органических семян, соуса цитрусовый, коктейльный, оливковое масло, соус цезарь, крем бальзамик, французский соус) 250 гр</t>
  </si>
  <si>
    <t>Анимационная станция Том Ям (с морепродуктами, подается с рисом и кокосовым молоком) 150 гр</t>
  </si>
  <si>
    <t>Анимационная станция хот-догов 300 гр</t>
  </si>
  <si>
    <t>Анимационная станция Шаурма 250 гр</t>
  </si>
  <si>
    <t>Анимационная станция"Паста" 150 гр</t>
  </si>
  <si>
    <t>Брокколи на гриле 50 гр</t>
  </si>
  <si>
    <t>Бэби картофель 50 гр</t>
  </si>
  <si>
    <t>Вода в стекле без газа 330 мл</t>
  </si>
  <si>
    <t>Вода в стекле без газа 530 мл</t>
  </si>
  <si>
    <t>Вода в стекле с газом 330 мл</t>
  </si>
  <si>
    <t>Вода в стекле с газом 530 мл</t>
  </si>
  <si>
    <t>Каре ягненка 70 гр</t>
  </si>
  <si>
    <t>Кейтеринг банкет до 100 гостей (камамбер с голубикой 30 гр, брускетта полента с уткой 30 гр, тартар из лосося на бриоши 40 гр, канапе с печеной айвой, прошутто и малиной 30 гр, ассорти итальянских сыров 100 гр, ассорти итальянских мясных деликатесов 100 гр, ассорти маринованных оливок и маслин 40 гр, зеленый салат с авокадо 100 гр, салат с креветками, инжиром и греческим сыром 100 гр, салат с цыпленком и майо тхина 100 гр, ризотто с трюфельным соусом 60 гр, говяжья вырезка с сезонными овощами и беби-картофелем 420 гр, сибас с зеленым соте из овощей 200 гр, фруктовый салат 60 гр, ассорти десертов, вода с газом/без газа 450 мл, кофе зерновой 125 мл, чай в ассортименте 300 мл, морс 120мл)</t>
  </si>
  <si>
    <t>на чел</t>
  </si>
  <si>
    <t>Кейтеринг кофе-брейк #1 (мини-круассан в ветчиной и сыром 80 гр, брускета с копченым лососем и муссом из авокадо 35 гр, брускетта с печеными овощами 35 гр, овощное крудите с хумусом 40 гр, ассорти выпечки 50 гр, ассорти десертов 50 гр, фруктовый салат 60 гр, вода без газа 450 мл, кофе зерновой 125 мл, чай в ассортименте 300 гр)</t>
  </si>
  <si>
    <t>Кейтеринг кофе-брейк #2 (мини-круассан с лососем 60 гр, брускетта с креветкой и желе из авокадо 60 гр, брускетта полента с уткой и малиновым конфитюром 35 гр, канапе с печеной айвой, прошутто и голубикой 35 гр, овощное крудите с хумусом 30 гр, ассорти выпечки 50 гр, орехи/сухофрукты 50 гр, вода без газа 450 мл, кофе зерновой 125 мл, чай в ассортименте 300 мл)</t>
  </si>
  <si>
    <t>Кейтеринг кофе-брейк азиатский (мини сэндвич с уткой на булочке бао 100г, татаки из говядины с имбирно-огуречной сальсой 30г, креветка в хрустящей корочке, соус сладкий чили 40г, овощной спринг-ролл, соус сладкий чили 40г, сатай из курицы с пикантным соусом 40г, мусс из манго 40г, нарезанные экзотические фрукты 70г, сушеные бананы, ананас, манго 15г, кекс огура с зеленым чаем 40г, креветочные крекеры 10г, ассортимент соков 150мл, свежеприготовленный кофе и чай 75/75мл, минеральная вода с газом и без газа 75/75м)</t>
  </si>
  <si>
    <t>Кейтеринг кофе-брейк ЗОЖ (фруктовый салат 50 гр, йогурт 80 гр, овощное крудите с хумусом 40 гр, орехи/сухофрукты 60 гр, зеленый салат с фетой и апельсинами 30 гр, вода без газа 450 мл, кофе зерновой 125 мл, чай в ассортименте 300 мл)</t>
  </si>
  <si>
    <t>Кейтеринг кофе-брейк под вино (камамбер с голубикой 30 гр, ассорти итальянских сыров 60 гр, канапе с печёной айвой, прошутто и малиной 30 гр, брускетта с тунцом 50 гр, тартар из говядины на бриоши 50 гр, ассорти из ягод 40 гр, ассорти маринованных оливок и маслин 30 гр, Вода без газа 450 мл, кофе зерновой 125 мл, чай в ассортименте 300 мл, вода с лимоном и мятой 450 мл)</t>
  </si>
  <si>
    <t>Кейтеринг кофе-брейк сырный (сыры 3 видов, груша в вине 60г, мини брускетта с камамбером и медом 30г, горячие сырные палочки, клюквенный соус 40г, чизкейк 40г, тарталетка с маскарпоне 40г, виноград, сухофрукты, орехи 40г, домашний хлеб, гриссини 40/20г, ассортимент соков 150мл, свежеприготовленный кофе и чай 75/75мл, минеральная вода с газом и без газа 75/75мл)</t>
  </si>
  <si>
    <t>Кейтеринг кофе-брейк сытный (мини моцарелла, черри томаты, песто 30г, ростбиф с корнишонами и медовой горчицей 30г, брускетта с лососем и каперсами 30г, панини с салями Милано и сыром 60г, пирожки с мясом 30г, пирожки с картошкой 30г, мини брошет из индейки 40г, рыбные шарики, соус тартар 40г, пирожное красный бархат 40г, тарталетка фруктовая 40г, сезонные резаные фрукты 70г, ассортимент соков 150мл, свежеприготовленный кофе и чай 75/75мл, минеральная вода с газом и без газа 75/75мл)</t>
  </si>
  <si>
    <t>Кейтеринг кофе-брейк утренний (мини сырники 65 гр, йогурт/гранола 95 гр, мини-круассан с лососем 50 гр,фруктовый салат 60 гр, ассорти выпечки 70 гр, орехи/сухофрукты 60 гр, вода без газа 450 мл, кофе зерновой 125 мл, чай в ассортименте 300 мл)</t>
  </si>
  <si>
    <t>Кейтеринг кофе-брейк ягодный (брускетта: утиная грудка с ягодным джемом 40г, тост с крем-сыром и ягодами 40г, йогурт со свежими ягодами 50г, смузи из клубники 50г, ягодный тарт 40г, малиновый тирамису 40г, тарталетка с голубикой 35г, хрустящий шоколад с сублимированными ягодами 30г, ассорти свежих ягод 40г, ассортимент соков 150мл, свежеприготовленный кофе и чай 75/75мл, минеральная вода с газом и без газа 75/75мл)</t>
  </si>
  <si>
    <t>Кейтеринг ланч (зеленый салат мини с зернистым творогом 70 гр, мини-боул с креветкой/лососем/тунцом 100 гр, овощи гриль с прованскими травами 60 гр, беби-картофель с розмарином 60 гр, люля-кебаб из говядины 70 гр, куриный шашлык с соусом терияки 70 гр, фруктовый салат 50 гр, ассорти десертов 50 гр, вода без газа 450 мл, кофе зерновой 125 мл, чай в ассортименте 300 мл, морс 120 мл)</t>
  </si>
  <si>
    <t>Кейтеринг на велком (ассорти печенья 100 гр, ассорти выпечки 130 гр, вода без газа 450 мл, зерновой кофе 125 мл, чай в ассортименте 300 мл)</t>
  </si>
  <si>
    <t>Кейтеринг фуршет #1 (ассорти итальянских сыров 60 гр, ассорти итальянских мясных деликатесов 60 гр, камамбер с голубикой 30 гр, овощное крудите с хумусом 40 гр, брускетта полента с уткой и малиновым конфитюром 45 гр, спринг-ролл с креветкой 45 гр, паштет на фруктовом хлебе 45 гр, креветка карри 40 гр, ассорти маринованных оливок и маслин 30 гр, салат с моцареллой, вялеными томатами и печеным перцем 70 гр, салат с уткой и грушей 80 гр, треска с цитрусовым соусом 80 гр, мини медальоны из говядины с цукини 80 гр, беби-картофель с розмарином 70 гр, овощи в азиатском стиле 70 гр, фруктовый салат 50 гр, ассорти десертов 70 гр, вода с газом/без газа 450 мл, кофе зерновой 125 мл, чай в ассортименте 300 мл, морс 120 мл)</t>
  </si>
  <si>
    <t>Кейтеринг фуршет #2 (овощное крудите с хумусом 30 гр, цезарь с цыпленком 70 гр, креветка карри 40 гр, спринг-ролл с креветкой 60 гр, микс соленых орехов 30 гр, начос с сырным соусом 40 гр, гренки из бородинского хлеба 30 гр, ассорти из итальянских деликатесов 70 гр, ассорти итальянских сыров 60 гр, куриные крылья BBQ 70 гр, фруктовый салат 50 гр, вода с газом/без газа 450 мл, кофе в зернах 125 мл, чай в ассортименте 300 мл, coca-cola 250 мл)</t>
  </si>
  <si>
    <t>Кейтеринг фуршет #3 (ассорти итальянских сыров 80 гр, ассорти итальянских деликатесов 80 гр, камамбер с голубикой 30 гр, овощное крудите с хумусом 40 гр, брускетта полента с уткой и малиновым конфитюром 40 гр, спринг-ролл с креветкой 40 гр, креветка карри 40 гр, канапе с печёной айвой, прошутто и малиной 70 гр, паштет из куриной печени 40 гр, вителло тоннато 60 гр, ассорти маринованных оливок и маслин 30 гр, запеченный ролл 30 гр, салат с моцареллой, вялеными томатами и печеным перцем 70 гр, салат с креветкой и помело 80 гр, форель терияки 90 гр, пряная говядина с печеным перцем 90 гр, овощи в азиатском стиле 50 гр, запеченный батат с соусом горгонзола 120 гр, ассорти ягод 50 гр, ассорти десертов 50 гр, вода с газом/без газа 450 мл, кофе зерновой 125 мл, чай в ассортименте 300 мл, морс 120 мл)</t>
  </si>
  <si>
    <t>Кейтеринг фуршет #4 ассорти сыров 60 гр, ассорти мясных нарезок 60 гр, брускетта полента с уткой и малиновым конфитюром 40 гр, креветка васаби 40 гр, зеленый салат с апельсинами и фетой 70 гр, тунец татаки с соусом понзу 40 гр, тартар из форели, авокадо и огурца 50 гр, тартар из говядины на бриоши 50 гр, спринг ролл с креветкой 40 гр, брускетта с тунцом 100 гр, овощи в азиатском стиле 80 гр, жареный рис с курицей 90 гр, шашлык из креветок 80 гр, чай в ассортименте 300 мл, кофе зерновой 125 мл, морс 125 мл, холодный зеленый чай 450 гр)</t>
  </si>
  <si>
    <t>Кейтеринг фуршет #5 (тунец татаки, морские водоросли, цитрусовый соус 30г, брускетта с лососем и каперсами 30г, креветка и дыня на шпажке, сладкий соус из манго и чили 30г, ростбиф с корнишонами и медовой горчицей 30г, ролл с домашней птицей и сыром грюйер 40г, салат из свежих овощей, сыр брынза, соус из рукколы 30г, сыр камамбер, конфитюр из винограда, грецкие орехи 30г, мини моцарелла, черри томаты, песто 30г, мини брошеты с лососем 40г, креветка в хрустящей корочке, соус сладкий чили 40г, мини брошет из говядины 40г, мини брошет из курицы 40г, жульен с белыми грибами 40г, овощной спринг-ролл, сладкий соус чили 40г, маринованные маслины 10г, жареные орехи кешью 10г, ассорти мини крекеров 10г, эклер карамельный 40г, манго-маракуйя чизкейк 40г, опера 40г, фруктовая тарталетка 40г, свежеприготовленный кофе и чай 75/75мл)</t>
  </si>
  <si>
    <t>Кейтеринг фуршет #6 (ролл с копченым лососем 30г, копченая утиная грудка с вареньем из клюквы 30г, брускетта с томатами, оливками и кинзой 30г, грибной дюксель в профитроле 30г, козий сыр с чатни из инжира 30г, рыбные шарики, соус тартар 40г, мини брошет из индейки 40г, кебаб из говядины 40г, овощной спринг-ролл, сладкий соус чили 40г, ассорти мини крекеров 10г, ассорти орехов 10г, фруктовая тарталетка 40г, пирожное красный бархат 40г, тирамису 40г, свежеприготовленный кофе и чай 75/75мл)</t>
  </si>
  <si>
    <t>Кейтеринг фуршет #7 (ролл с копченым лососем 30г, сельдь с маринованным красным луком на бородинском хлебе 30г, пармская ветчина с дыней 30г, брускетта с овощами гриль и миндалем 30г, мусс из авокадо, чипсы из питы 30г, креветки гриль с имбирным соусом 40г, кебаб из баранины, соус ткемали 40г, мини котлета пожарская из цыпленка, грибной соус 40г, мини брошет с овощами 40г, жульен с белыми грибами 40г, оливки фаршированные 10г, маринованные маслины 10г, креветочные крекеры 10г, лимонная тарталетка с меренгой 40г, эклер шоколадный 40г, панна котта 40г, пирожное маракуйя-фисташка 40г, свежеприготовленный кофе и чай 75/75мл)</t>
  </si>
  <si>
    <t>Кейтеринг фуршет #8 (рулет из копченого лосося, сливочный сыр 30г, сыр чеддер с виноградом 30г, копченая утиная грудка с вареньем из брусники на багете 30г, хумус с хрустящей питой 30г, сэндвич: моцарелла с цукини, вялеными томатами и соусом песто 60г, сэндвич-ролл с индейкой и сыром 60г, салат Тайский с говядиной и рисовой лапшой 50г, бефстроганов пай с картофельным пюре 50г, мини котлета пожарская из цыпленка, грибной соус 40г, рыбные шарики, соус тартар 40г, мильфей из овощей 60г, мини картофель запеченный с беконом 40г, пирожки с капустой 30г, пирожки с мясом 30г, ватрушка с творогом 45г, ассортимент хлеба 2шт/60г, чизкейк 40г, пирожное красный бархат 40г, эклер карамельный 40г, сезонные резаные фрукты 70г, ассортимент соков 150мл, свежеприготовленный кофе и чай 75/75мл, минеральная вода с газом и без газа 75/75мл)</t>
  </si>
  <si>
    <t>Кейтеринг фуршет (эклер с муссом из лосося 50г, мини моцарелла, черри томаты, песто 30г, рулетики из ветчины с крем-сыром 30г, мусс из авокадо, чипсы начос 30г, сэндвич: тунец и овощи 60г, салат из свежих овощей с сыром фета 60г, салат Цезарь с куриной грудкой и беконом 70г, кебаб из говядины 40г, мини брошеты из индейки 40г, фиш энд чипс 60г, мини брошет с овощами 40г, крокеты из картофеля и утки конфи, ягодный соус 50г, пирожки с курицей 30г, пирожки с грибами 30г, сочник с творогом 45г, пирожное птичье молоко 40г, пирожное маракуйя-фисташка 40г, профитроль с клубничным кремом 40г, сезонные резаные фрукты 70г, ассортимент соков 150 мл, свежеприготовленный кофе и чай 75/75мл, минеральная вода с газом и без газа 75/75мл)</t>
  </si>
  <si>
    <t>Кола Добрый 250 мл</t>
  </si>
  <si>
    <t>1 шт</t>
  </si>
  <si>
    <t>Лосось с икрой и крошкой бородинского крема</t>
  </si>
  <si>
    <t>Медовик классический 35 гр</t>
  </si>
  <si>
    <t>Мини блинчик с красной икрой 16 гр</t>
  </si>
  <si>
    <t>Мини блинчик с черной икрой 16 гр</t>
  </si>
  <si>
    <t>Мини капкейк с кремом 40 гр</t>
  </si>
  <si>
    <t>Мини салат Греческий 60 гр</t>
  </si>
  <si>
    <t>Мини салат Оливье с телятиной 60 гр</t>
  </si>
  <si>
    <t>Мини салат с языком , томатами и тахини 60 гр</t>
  </si>
  <si>
    <t>Мини салат Цезарь с креветками 50 гр</t>
  </si>
  <si>
    <t>Мини салат Цезарь с курицей 50 гр</t>
  </si>
  <si>
    <t>Мини эклер с камчатским крабом 25 гр</t>
  </si>
  <si>
    <t>Моцарелла со сладкими томатами и соусом Песто 30 гр</t>
  </si>
  <si>
    <t>Овощное крудите с соусом Блю Чиз 40 гр</t>
  </si>
  <si>
    <t>Организация питания технического персонала и подрядчиков в ходе монтажа, проведения и демонтажа мероприятия.</t>
  </si>
  <si>
    <t>1 чел.</t>
  </si>
  <si>
    <t>Панакота с соусом из свежих ягод (клубника, ежевика, малина) 30 гр</t>
  </si>
  <si>
    <t>Пармская ветчина с дыней на шпажке 17 гр</t>
  </si>
  <si>
    <t>Пирожное Анна Павлова со свежими ягодами (клубника, ежевика, малина, красная смородина) 25 гр</t>
  </si>
  <si>
    <t>Пирожное Шу с клубничным кремом 20 гр</t>
  </si>
  <si>
    <t>Профитроль с муссом из копченого лосося 22 гр</t>
  </si>
  <si>
    <t>Профитроль с паштетом из куриной печени 21 гр</t>
  </si>
  <si>
    <t>Рулет из ростбифа с мягким сыром и печеным перцем 28 гр</t>
  </si>
  <si>
    <t>Свежая клубника в шоколаде 30 гр</t>
  </si>
  <si>
    <t>Сок в стекле в ассортименте (яблоко, вишня, апельсин) 200 мл</t>
  </si>
  <si>
    <t>Сыровяленая оленина с муссом из сыра Фета 25 гр</t>
  </si>
  <si>
    <t>Тарт Грушевый 40 гр</t>
  </si>
  <si>
    <t>Угольная треска с соусом Сотерн 50 гр</t>
  </si>
  <si>
    <t>Услуга профессионального бармена по организации коктейльного обслуживания гостей — специалист с опытом работы на корпоративных мероприятиях, авторскими безалкогольными и алкогольными рецептурами.</t>
  </si>
  <si>
    <t>Ягодная корзинка со свежими ягодами (клубника, ежевика, малина) 90 гр</t>
  </si>
  <si>
    <t>Профессиональная студийная запись вокала и инструментальных партий — сертифицированная студия звукозаписи, звукорежиссёр с опытом коммерческих записей.</t>
  </si>
  <si>
    <t>Профессиональное сведение и мастеринг аудиоматериала — звукорежиссёр с профильным образованием и опытом работы в музыкальном производстве.</t>
  </si>
  <si>
    <t>Услуга звукорежиссёра на съёмочной площадке — профессиональный специалист с высшим или средним специальным образованием по специальности «звукорежиссура», опытом записи синхронного звука на съёмках корпоративных и документальных фильмов, размещением и настройкой петличных и направленных микрофонов, мониторингом качества звука, стажем 3 лет+.</t>
  </si>
  <si>
    <t>8 часов</t>
  </si>
  <si>
    <t>Выступление иллюзиониста — лауреата или дипломанта российских и международных конкурсов иллюзионного искусства, с профессиональной программой, опытом корпоративных мероприятий 10+ лет</t>
  </si>
  <si>
    <t>Выступление иллюзиониста — участник телепроекта «Удиви меня» на ТВ-3, с профессиональной программой в жанре контактного жонглирования и digital-иллюзии, опытом корпоративных мероприятий.</t>
  </si>
  <si>
    <t>Создание авторской песни под тематику и концепцию мероприятия — профессиональный автор-композитор с опытом написания корпоративных гимнов и тематических треков.</t>
  </si>
  <si>
    <t>Тематическая интерактивная презентация по направлению авиационного транспорта — профессиональный модератор с экспертными знаниями в области авиации и транспортных технологий, авторским визуальным контентом, опытом проведения деловых презентаций.</t>
  </si>
  <si>
    <t>Тематическая интерактивная презентация по направлению беспилотных летательных аппаратов — профессиональный модератор с экспертными знаниями в области БПЛА и дронтехнологий, авторским визуальным контентом.</t>
  </si>
  <si>
    <t>Тематическая интерактивная презентация по направлению водного транспорта — профессиональный модератор с экспертными знаниями в области водного транспорта и логистики, авторским визуальным контентом, опытом проведения деловых презентаций.</t>
  </si>
  <si>
    <t>Тематическая интерактивная презентация по направлению городского транспорта — профессиональный модератор с экспертными знаниями в области городской мобильности и транспортной инфраструктуры, авторским визуальным контентом.</t>
  </si>
  <si>
    <t>Тематическая интерактивная презентация по направлению железнодорожного транспорта — профессиональный модератор с экспертными знаниями в области железнодорожных технологий, авторским визуальным контентом, опытом проведения деловых презентаций.</t>
  </si>
  <si>
    <t>Тематическая интерактивная презентация по направлению цифровых активов и спутниковых технологий — профессиональный модератор с экспертными знаниями в области космических и цифровых технологий, авторским визуальным контентом.</t>
  </si>
  <si>
    <t>Услуга ассистента режиссёра — профессиональный специалист с профильным образованием в области режиссуры или event-менеджмента, опытом координации артистов и подрядчиков на крупных корпоративных и концертных мероприятиях аудиторией от 500 человек, стажем 3 лет+.</t>
  </si>
  <si>
    <t>Услуга диктора — профессиональный исполнитель с профильным дикторским или актёрским образованием, опытом записи корпоративного аудиоконтента, чистой дикцией, стажем 3 лет+.</t>
  </si>
  <si>
    <t>Услуга звукорежиссёра — профессиональный специалист с профильным образованием по специальности «звукорежиссура», опытом обработки, сведения и мастеринга аудиоконтента для корпоративных подкастов, стажем 3 лет+.</t>
  </si>
  <si>
    <t>Услуга комьюнити-менеджера — профессиональный специалист с опытом модерации корпоративных сообществ в чате, поддержанием позитивной атмосферы и реагированием на вопросы участников, стажем 3 лет+.</t>
  </si>
  <si>
    <t>Услуга комьюнити-менеджера — профессиональный специалист с опытом поддержки пользователей корпоративного чат-бота, оперативными ответами и эскалацией сложных случаев.</t>
  </si>
  <si>
    <t>Услуга контент-менеджера — профессиональный специалист с опытом ведения live-контента для корпоративных digital-проектов, своевременным обновлением ленты активностей участников.</t>
  </si>
  <si>
    <t>Услуга контент-модератора — профессиональный специалист с опытом курирования творческих заданий в корпоративных digital-проектах, оценкой работ по установленным критериям.</t>
  </si>
  <si>
    <t>Услуга контент-модератора — профессиональный специалист с опытом модерации пользовательского контента корпоративных digital-проектов, проверкой соответствия материалов правилам и ценностям компании.</t>
  </si>
  <si>
    <t>Услуга контент-стратега — профессиональный специалист с опытом разработки детального плана активностей для корпоративных digital-проектов, созданием расписания ежедневных заданий, квизов, подкастов и интерактивов на 30 дней, стажем 3 лет+.</t>
  </si>
  <si>
    <t>Услуга контент-стратега — профессиональный специалист с опытом создания контент-матриц для корпоративных цифровых проектов, структурированием контента по тематическим неделям, стажем 3 лет+.</t>
  </si>
  <si>
    <t>Услуга контент-стратега и сценариста — профессиональный специалист с высшим образованием в области маркетинга, журналистики или медиапроизводства, опытом разработки концепций корпоративных онлайн-марафонов, созданием общей идеи, тематической структуры и сценарного плана активностей, стажем 3 лет+.</t>
  </si>
  <si>
    <t>Услуга продюсера подкастов — профессиональный специалист с опытом подготовки корпоративных экспертов к записи, разработкой вопросников и согласованием тезисов, стажем 3 лет+.</t>
  </si>
  <si>
    <t>Услуга режиссёра-постановщика — профессиональный режиссёр с высшим режиссёрским образованием (ГИТИС, ВГИК или аналог), опытом постановки корпоративных мероприятий, концертов и торжественных церемоний аудиторией от 500 человек, авторским сопровождением от разработки сценария до финального прогона, стажем 10 лет+.</t>
  </si>
  <si>
    <t>Услуга копирайтера — профессиональный специалист с высшим образованием в области филологии или журналистики, опытом создания ежедневного контента для корпоративных digital-проектов, написанием 30 уникальных постов, стажем 3 лет+.</t>
  </si>
  <si>
    <t>Услуга копирайтера — профессиональный специалист с высшим образованием в области филологии, журналистики или маркетинга, опытом написания диалоговых текстов для корпоративных чат-ботов, созданием тона коммуникации в соответствии с Tone of Voice заказчика, стажем 3 лет+.</t>
  </si>
  <si>
    <t>Услуга копирайтера — профессиональный специалист с высшим образованием, опытом написания текстов для корпоративных посадочных страниц, стажем 3 лет+.</t>
  </si>
  <si>
    <t>Услуга копирайтера — профессиональный специалист с опытом написания коротких вовлекающих уведомлений для корпоративных digital-проектов под каждый тип активности.</t>
  </si>
  <si>
    <t>Услуга копирайтера — профессиональный специалист с опытом написания онбординговых текстов для корпоративных digital-продуктов, созданием цепочки приветственных сообщений для вовлечения участников.</t>
  </si>
  <si>
    <t>Услуга копирайтера — профессиональный специалист с опытом подготовки еженедельных дайджестов для корпоративных digital-проектов, структурированием итогов недели и анонсом предстоящих активностей.</t>
  </si>
  <si>
    <t>Услуга копирайтера-стратега — профессиональный специалист с высшим образованием в области филологии, журналистики или маркетинга, опытом разработки редакционной политики и тональности коммуникации для корпоративных брендов, созданием редполитики с примерами использования, стажем 5 лет+.</t>
  </si>
  <si>
    <t>Доставка декоративных конструкций и элементов оформления за пределы МКАД.</t>
  </si>
  <si>
    <t>1 км</t>
  </si>
  <si>
    <t>Доставка и вывоз декоративных конструкций и элементов оформления в пределах МКАД.</t>
  </si>
  <si>
    <t>Организация авиаперелётов для членов съёмочной группы в ходе выездных съёмок — подбор маршрутов и тарифов, закупка билетов, логистическое сопровождение.</t>
  </si>
  <si>
    <t>Организация доставки оборудования, реквизита, декораций и материалов на площадку и обратно.</t>
  </si>
  <si>
    <t>Организация парковочного обслуживания гостей мероприятия на территории площадки.</t>
  </si>
  <si>
    <t>Организация питания съёмочной группы на площадке в ходе съёмочного дня — горячее питание, напитки и перекусы согласно расписанию.</t>
  </si>
  <si>
    <t>Организация проживания членов съёмочной группы в ходе выездных съёмок — подбор, бронирование и контроль размещения.</t>
  </si>
  <si>
    <t>Организация транспортного обеспечения съёмочной группы — профессиональный водитель с опытом работы на съёмочных проектах, доставка группы и оборудования на съёмочные локации.</t>
  </si>
  <si>
    <t>Предоставление автомобиля представительского класса для трансфера гостей или тематического использования на мероприятии, с профессиональным водителем.</t>
  </si>
  <si>
    <t>Суточные расходы членов съёмочной группы в ходе выездных съёмок согласно нормативам и условиям договора.</t>
  </si>
  <si>
    <t>(1–30 чел.) Мастер-класс по созданию авторского аромата под руководством профессионального парфюмера, с полным комплектом ингредиентов и флаконов для каждого участника в стоимости.</t>
  </si>
  <si>
    <t>1 ус. ед.</t>
  </si>
  <si>
    <t>(до 40 чел. в час) — мастер-класс по сборке и пилотированию дронов, 3 поста сборки, 3 поста компьютерного симулятора полётов, 1 пост полёта в визуальном режиме, 2 профессиональных аниматора и инвентарь.</t>
  </si>
  <si>
    <t>(от 10 до 30 чел.) — мастер-класс по приготовлению блюд под руководством профессионального шеф-повара, с полным комплектом ингредиентов и инвентаря.</t>
  </si>
  <si>
    <t>(от 10 до 30 человек) Мастер-класс по древней стратегической игре Го с сертификатом от Московской Федерации Го, мини-турниром и разбором игровых стратегий и тактик принятия решений</t>
  </si>
  <si>
    <t>(от 10 до 30 человек) Мастер-класс по спортивному бриджу под руководством Президента Федерации Спортивного бриджа России, с турниром на 6–8 сдач с использованием профессионального оборудования и подсчетом результатов</t>
  </si>
  <si>
    <t>(от 10 до 50 чел.) — мастер-класс по петанку под руководством многократного чемпиона России по петанку, с полным комплектом инвентаря (буль, кошонет).</t>
  </si>
  <si>
    <t>(от 20 до 50 чел.) — арт-мастер-класс по созданию картины под руководством художника с профессиональным образованием и опытом участия в выставках, с полным комплектом расходных материалов.</t>
  </si>
  <si>
    <t>(от 200 до 500 чел.) — мастер-класс по каллиграфии под руководством профессионального каллиграфа, с полным комплектом инструментов и расходных материалов для каждого участника, готовая работа остается у участника.</t>
  </si>
  <si>
    <t>(от 200 до 500 чел.) — мастер-класс по работе с гончарным кругом под руководством профессионального мастера, с оборудованием и расходными материалами.</t>
  </si>
  <si>
    <t>(от 200 до 500 чел.) — мастер-класс по ручной лепке из глины под руководством профессионального мастера, с оборудованием и расходными материалами.</t>
  </si>
  <si>
    <t>(от 200 до 500 чел.) — мастер-класс по созданию авторских коктейлей под руководством профессионального бармена, с полным комплектом ингредиентов и инвентаря.</t>
  </si>
  <si>
    <t>(от 200 до 500 чел.) — мастер-класс по созданию авторского украшения под руководством профессионального мастера, с полным комплектом материалов, готовое украшение остаётся у участника.</t>
  </si>
  <si>
    <t>(от 200 до 500 чел.) — мастер-класс по созданию авторской ароматической свечи под руководством профессионального мастера, с полным комплектом материалов, готовая свеча остаётся у участника.</t>
  </si>
  <si>
    <t>(от 200 до 500 чел.) — мастер-класс по созданию авторской цветочной композиции или букета под руководством профессионального флориста, с полным комплектом цветов и материалов, готовая работа остаётся у участника.</t>
  </si>
  <si>
    <t>Катание или экскурсия с использованием военной техники в формате командной активности, с профессиональным инструктором, страховкой и необходимым снаряжением.</t>
  </si>
  <si>
    <t>Мастер класс по энологии под руководством сертифицированного сомелье с профильным образованием (WSET уровень 2 и выше или аналог), в обучающем и развлекательном формате, расходные материалы.</t>
  </si>
  <si>
    <t>Мастер-класс по созданию объектов из картона и бумаги под руководством профессионального мастера, с расходными материалами и готовым результатом для каждого участника.</t>
  </si>
  <si>
    <t>Чайная церемония под руководством профессионального мастера с подтверждённой специализацией в чайной культуре, с чайным сервизом и расходными материалами.</t>
  </si>
  <si>
    <t>Услуга медицинского сопровождения мероприятия — дежурство медицинской бригады скорой помощи и бригады МЧС на протяжении всего мероприятия.</t>
  </si>
  <si>
    <t>Услуга администратора мероприятия — профессиональный специалист с высшим или средним специальным образованием, опытом административного сопровождения корпоративных мероприятий аудиторией от 300 человек, навыками работы с гостевыми списками, системами аккредитации, координацией гостевого потока и взаимодействием с площадкой, стажем 3 лет+.</t>
  </si>
  <si>
    <t>Услуга исполнительного продюсера — профессиональный специалист с высшим образованием в области кино, менеджмента или продюсирования (ВГИК, ВШЭ, ГИТИС или аналог), опытом полного управления производством корпоративных фильмов от препродакшна до сдачи материала заказчику, бюджетированием и контролем сроков, стажем 5 лет+.</t>
  </si>
  <si>
    <t>Услуга координатора по билетному сопровождению мероприятия — профессиональный специалист с опытом работы с билетными системами и именными приглашениями, формированием и ведением гостевых списков, своевременным распределением и доставкой билетов адресатам, контролем явки и аккредитации на входе в день мероприятия.</t>
  </si>
  <si>
    <t>Услуга креативного продюсера — профессиональный специалист с высшим образованием в области режиссуры, маркетинга или event-менеджмента, опытом разработки концепций корпоративных мероприятий аудиторией от 300 человек, созданием сценарного плана, тематики, драматургии и визуального образа под стратегические задачи заказчика, портфолио не менее 10 реализованных концепций, стажем 5 лет+.</t>
  </si>
  <si>
    <t>Услуга линейного продюсера — профессиональный специалист с высшим образованием в области кино или менеджмента, опытом операционного управления съёмочным процессом, составлением и контролем расписания, организацией локаций, транспорта, питания и размещения группы, стажем 3 лет+.</t>
  </si>
  <si>
    <t>Услуга менеджера по подарочному сопровождению — профессиональный специалист с опытом подбора, закупки, брендирования, упаковки и логистики подарочных наборов для корпоративных мероприятий, формированием индивидуальных комплектов под концепцию и бюджет заказчика, контролем качества и своевременной доставки.</t>
  </si>
  <si>
    <t>Услуга менеджера по производству брендированной продукции — профессиональный специалист с опытом разработки и производства корпоративной продукции для мероприятий, а также продукции с символикой и элементами идентификации, координация дизайна, производства и контроля качества, портфолио проектов для крупных российских компаний.</t>
  </si>
  <si>
    <t>Услуга менеджера по производству брендированной продукции — профессиональный специалист с опытом разработки и производства сувенирной и корпоративной продукции, координацией дизайна, производства и контроля качества.</t>
  </si>
  <si>
    <t>Услуга менеджера проекта — профессиональный event-менеджер с высшим образованием в области менеджмента, управления проектами или смежных специальностей, опытом самостоятельного управления мероприятиями аудиторией от 500 человек, координацией команды от 20 подрядчиков, навыками бюджетирования, тайм-менеджмента, антикризисного управления и работы с официальными структурами, портфолио не менее 20 реализованных проектов, стажем 5 лет+.</t>
  </si>
  <si>
    <t>Услуга охраны мероприятия — профессиональная охранная организация с лицензией на осуществление охранной деятельности, организацией пропускного режима, контролем периметра и оперативным реагированием на инциденты.</t>
  </si>
  <si>
    <t>Услуга помощника на мероприятии — специалист по операционной поддержке на площадке с опытом работы на корпоративных мероприятиях аудиторией от 300 человек, выполнением задач по навигации гостей, взаимодействию с подрядчиками, расстановке реквизита и оперативному решению организационных вопросов.</t>
  </si>
  <si>
    <t>Услуга специалиста по согласованиям — профессиональный специалист с опытом получения разрешений на съёмку в общественных и частных локациях, взаимодействием с государственными органами, администрациями объектов и собственниками площадок, оформлением полного пакета разрешительной документации, стажем 3 лет+.</t>
  </si>
  <si>
    <t>Предоставление и монтаж арочной тентовой конструкции — от 8×10 м до 30×60 м, без дополнительного оснащения.</t>
  </si>
  <si>
    <t>1 кв.м/1 день</t>
  </si>
  <si>
    <t>Предоставление и монтаж арочной тентовой конструкции — от 8×10 м до 30×60 м, в полной комплектации: напольное покрытие, система освещения и дверной блок.</t>
  </si>
  <si>
    <t>Предоставление и монтаж быстросборного складного шатра — от 3×3 м до 6×12 м, для технических зон, регистрации, судейских помещений и точек питания.</t>
  </si>
  <si>
    <t>Предоставление и монтаж геодезического купольного шатра — диаметр от 6 м до 40 м, сферическая конструкция без внутренних опор с панорамными окнами из прозрачного ПВХ, для VIP-зон, брендированных пространств и презентаций.</t>
  </si>
  <si>
    <t>Предоставление и монтаж двускатной тентовой конструкции — от 6×12 м до 40×80 м, без напольного покрытия и дополнительного оснащения.</t>
  </si>
  <si>
    <t>Предоставление и монтаж двускатной тентовой конструкции — от 6×12 м до 40×80 м, в полной комплектации: напольное покрытие, ковролин, система освещения и дверной блок.</t>
  </si>
  <si>
    <t>Предоставление и монтаж двускатной тентовой конструкции — от 6×12 м до 40×80 м, с напольным покрытием и укладкой ковролина.</t>
  </si>
  <si>
    <t>Предоставление и монтаж двускатной тентовой конструкции — от 6×12 м до 40×80 м, с напольным покрытием, системой внутреннего освещения и дверным блоком.</t>
  </si>
  <si>
    <t>Предоставление и монтаж двускатной тентовой конструкции — от 6×12 м до 40×80 м, с установкой фанерного или усиленного напольного покрытия.</t>
  </si>
  <si>
    <t>Предоставление и монтаж каскадной тентовой конструкции из нескольких соединённых секций — от 10×20 м и более, для создания многоуровневых пространств большой площади.</t>
  </si>
  <si>
    <t>Предоставление и монтаж купольного шатра сферической формы — диаметр от 6 м до 30 м, с возможностью установки прозрачных панелей, для VIP-зон, презентаций и крупных закрытых пространств.</t>
  </si>
  <si>
    <t>Предоставление и монтаж тентового ангара — от 15×30 м до 40×100 м, крупногабаритная арочная конструкция для технических зон, размещения оборудования и организации масштабных закрытых пространств.</t>
  </si>
  <si>
    <t>Предоставление и монтаж шатра-звезды с центральной опорой и расходящимися лучами — от 5×5 м до 15×15 м, для входных групп, промозон и акцентных площадок.</t>
  </si>
  <si>
    <t>Предоставление и монтаж шатра-пагоды — от 3×3 м до 10×10 м, в полной комплектации: напольное покрытие, система освещения и дверной блок.</t>
  </si>
  <si>
    <t>Предоставление и монтаж шатра-пагоды — от 3×3 м до 10×10 м, с напольным покрытием и укладкой ковролина.</t>
  </si>
  <si>
    <t>Предоставление и монтаж шатра-пагоды — от 3×3 м до 10×10 м, с установкой напольного покрытия.</t>
  </si>
  <si>
    <t>Предоставление и монтаж шатра-пагоды пирамидальной формы — от 3×3 м до 10×10 м, без дополнительного оснащения.</t>
  </si>
  <si>
    <t>Услуга монтажника по сборке и установке декоративных конструкций и элементов оформления на площадке.</t>
  </si>
  <si>
    <t>1 смена/10 часов</t>
  </si>
  <si>
    <t>Услуга шеф-монтажа — профессиональный специалист по управлению монтажной бригадой на объекте, координацией работ и контролем качества установки конструкций.</t>
  </si>
  <si>
    <t>Услуги монтажной бригады по сборке и разборке декораций, конструкций и оборудования на площадке.</t>
  </si>
  <si>
    <t>Услуги монтажной и демонтажной бригады по сборке и разборке декораций, конструкций и оборудования на площадке.</t>
  </si>
  <si>
    <t>(1–5 чел.) Выступление ансамбля баянистов с профессиональным музыкальным образованием, разноплановым репертуаром, опытом корпоративных и концертных мероприятий.</t>
  </si>
  <si>
    <t>1 чел/выступление</t>
  </si>
  <si>
    <t>(4–7 чел.) Выступление джазового коллектива, с музыкантами с высшим музыкальным образованием, авторской программой в жанре джазовой импровизации. С опытом корпоративных мероприятий 10+ лет</t>
  </si>
  <si>
    <t>Выступление джазового ансамбля — профессиональные музыканты с высшим музыкальным образованием (консерватория или РАМ им. Гнесиных), опытом выступлений на корпоративных и светских мероприятиях, живой программой в жанре джаз, стажем 5 лет+.</t>
  </si>
  <si>
    <t>Выступление профессионального ансамбля барабанщиков — артисты с профильным музыкальным образованием, авторской программой, опытом выступлений на корпоративных и новогодних мероприятиях аудиторией от 200 человек, стажем 5 лет+.</t>
  </si>
  <si>
    <t>Премиальная шоу-программа и театрализованный коллектив Категории А+.  Полноценное костюмированное шоу с элементами театра, хореографии, визуальных эффектов.  Полноценное костюмированное шоу с элементами театра, хореографии, визуальных эффектов. Высокий уровень технического райдера (свет, звук, видеоинсталляции, спецэффекты). Программа имеет сценарий и драматургию, а не просто набор песен. Способны заполнить собой крупную сцену (от 10×8 метров) и работать на аудиторию от 500 до 3 000+ зрителей. Часто приглашаются на городские фестивали, открытия сезонов, новогодние корпоративы, премиальные закрытые вечера. Участники и лауреаты всероссийских и международных театральных и цирковых фестивалей (фестиваль «Браво!», «Золотая Маска», «Цирк будущего»).</t>
  </si>
  <si>
    <t>Универсальные музыкальные коллективы и кавер-бэнды. Категория А. Универсальный музыкальный коллектив, кавер-бэнд. Живое инструментальное исполнение, преимущественно кавер-версии мировых и российских хитов. Гибкий состав (от квартета до биг-бэнда) и возможность адаптировать программу под заказчика. Участники региональных и всероссийских фестивалей-конкурсов кавер-групп и вокально-инструментальных ансамблей (например, «Хит-конвейер», «Золотой микрофон», «Кубок каверов»)</t>
  </si>
  <si>
    <t>Нишевый, тематический коллектив (фольклор, ретро, экспериментальные форматы) Категории В. Нишевый, тематический коллектив. Имеет чёткую жанровую направленность (фольклор, казачья песня, стилизация под 1920–1970-е, тематические пародии). Работают на тематических вечерах. Может выступать соло, так и перед основным хедлайнером. Участники профильных фестивалей — фольклорных, этнических, исторических реконструкций, тематических шоу</t>
  </si>
  <si>
    <t>Прочие организационные расходы, связанные с подготовкой и проведением мероприятия.</t>
  </si>
  <si>
    <t>Резерв на покрытие непредвиденных расходов в ходе реализации проекта — технические доработки, срочные правки, дополнительные ресурсы по запросу заказчика.</t>
  </si>
  <si>
    <t>(1–10 чел.) — профессиональные судьи с квалификационными категориями по соответствующим видам спорта, подготовкой и ведением документации (протоколы, заявочные листы, турнирные таблицы), обработкой финальных протоколов по всем дисциплинам, подготовкой к церемонии награждения.</t>
  </si>
  <si>
    <t>Организация и проведение турнира по бадминтону — профессиональное судейство (не менее 5 чел., всероссийской категории, стаж от 3 лет), секретарь для ведения документации, профессиональные воланы (не менее 100 шт.) и ракетки (не менее 50 шт.), вода для участников, наградная продукция (кубки, медали, грамоты).</t>
  </si>
  <si>
    <t>Организация и проведение турнира по волейболу — профессиональное судейство (не менее 5 чел., всероссийской категории, стаж 3+ лет), технический персонал (не менее 5 чел.) для ведения счёта и статистики, профессиональные мячи (50+ шт.), вода для участников, наградная продукция (кубки, медали, грамоты).</t>
  </si>
  <si>
    <t>Организация и проведение турнира по футболу — профессиональное судейство (всероссийской категории, стаж 3+ лет), технический персонал (не менее 10 чел.) для ведения счёта и статистики, разметка полей, профессиональные мячи (не менее 50 шт.), манишки, вода для участников, наградная продукция (кубки, медали, грамоты).</t>
  </si>
  <si>
    <t>Организация и проведение турнира по хоккею — профессиональное судейство (всероссийской категории, стаж 3+ лет), технический персонал для ведения счёта и статистики (не менее 10 чел.), профессиональные шайбы и клюшки, защитная экипировка, вода для участников, наградная продукция (кубки, медали, грамоты).</t>
  </si>
  <si>
    <t>Разработка и проведение онлайн-марафона к юбилею компании — услуга профессионального продюсера цифровых проектов с опытом создания корпоративных онлайн-форматов, включающая разработку концепции и сценарного плана активностей, создание контент-матрицы, техническую реализацию, модерацию участников, координацию спикеров и экспертов, постпродакшн материалов.</t>
  </si>
  <si>
    <t>Услуга сценариста — профессиональный специалист с высшим образованием в области кинорежиссуры, журналистики или литературного творчества (ВГИК, Литературный институт или аналог), опытом написания сценариев для корпоративных и документальных фильмов, разработкой полной драматургической структуры с описанием сцен, диалогов и раскадровки, стажем 5 лет+.</t>
  </si>
  <si>
    <t>Услуга сценариста — профессиональный специалист с высшим образованием в области сценарного мастерства или журналистики, опытом написания нарративного контента для корпоративных игровых digital-форматов, стажем 3 лет+.</t>
  </si>
  <si>
    <t>Услуга сценариста — профессиональный специалист с опытом разработки сценариев корпоративных онлайн-мероприятий, созданием структуры встречи и интерактивных элементов.</t>
  </si>
  <si>
    <t>Услуга сценариста подкастов — профессиональный специалист с высшим образованием в области журналистики или медиапроизводства, опытом разработки сценариев корпоративных подкастов, написанием 4 сценариев с подготовкой вопросов для экспертов, стажем 3 лет+.</t>
  </si>
  <si>
    <t>Аренда профессионального хостинга для основного чат-бота марафона — высокопроизводительный сервер с гарантированной доступностью.</t>
  </si>
  <si>
    <t>Аренда профессионального хостинга для основной базы данных марафона — надёжная облачная инфраструктура с гарантированным uptime, резервным копированием и масштабируемостью.</t>
  </si>
  <si>
    <t>Аренда хостинговой инфраструктуры для вспомогательных чат-ботов марафона — серверные мощности с обеспечением стабильной работы.</t>
  </si>
  <si>
    <t>Интерактивная демонстрационная установка — шар Тесла с визуальными эффектами высоковольтных разрядов, профессиональный оператор с техническим образованием и опытом работы с высоковольтным оборудованием на публичных мероприятиях.</t>
  </si>
  <si>
    <t>Интерактивная система голосования на мероприятии — профессиональное оборудование, техническая поддержка в ходе мероприятия, настройка под задачи заказчика.</t>
  </si>
  <si>
    <t>Обеспечение гостей и технического персонала доступом к высокоскоростному интернету на площадке в ходе мероприятия.</t>
  </si>
  <si>
    <t>Оплата технического сбора площадки за использование инфраструктуры и оборудования зала.</t>
  </si>
  <si>
    <t>Подготовка рабочей технической документации по декоративным конструкциям и элементам оформления для передачи в производство.</t>
  </si>
  <si>
    <t>Профессиональная интерактивная сенсорная панель большого формата с брендированным контентом — викторины, голосования, корпоративные игры, техническая поддержка и контент под заказчика.</t>
  </si>
  <si>
    <t>Услуга backend-разработчика — профессиональный специалист с высшим техническим образованием в области программирования, опытом проектирования архитектуры чат-ботов и цифровых платформ, разработкой модульной структуры и компонентов системы, стажем 3 лет+.</t>
  </si>
  <si>
    <t>Услуга backend-разработчика — профессиональный специалист с высшим техническим образованием, опытом интеграции внешних API для корпоративных digital-проектов, настройкой обработки запросов и механизмов стабильной работы, стажем 3 лет+.</t>
  </si>
  <si>
    <t>Услуга backend-разработчика — профессиональный специалист с высшим техническим образованием, опытом настройки систем логирования и мониторинга для корпоративных digital-платформ, стажем 3 лет+.</t>
  </si>
  <si>
    <t>Услуга backend-разработчика — профессиональный специалист с высшим техническим образованием, опытом настройки системы миграций базы данных и управления пулом соединений для высоконагруженных платформ, стажем 3 лет+.</t>
  </si>
  <si>
    <t>Услуга backend-разработчика — профессиональный специалист с высшим техническим образованием, опытом оптимизации и документирования кода корпоративных цифровых проектов, написанием технических комментариев и README-документации, стажем 3 лет+.</t>
  </si>
  <si>
    <t>Услуга backend-разработчика — профессиональный специалист с высшим техническим образованием, опытом проведения финального аудита кода и проверки целостности данных перед передачей заказчику, стажем 3 лет+.</t>
  </si>
  <si>
    <t>Услуга backend-разработчика — профессиональный специалист с высшим техническим образованием, опытом программирования игровых механик для корпоративных digital-проектов, реализацией логики ветвления квестов и системы учёта результатов, стажем 3 лет+.</t>
  </si>
  <si>
    <t>Услуга backend-разработчика — профессиональный специалист с высшим техническим образованием, опытом разработки бизнес-логики для корпоративных чат-ботов и digital-платформ, реализацией игрового движка, системы начисления баллов и пользовательских сценариев, стажем 3 лет+.</t>
  </si>
  <si>
    <t>Услуга backend-разработчика — профессиональный специалист с высшим техническим образованием, опытом разработки вспомогательных чат-ботов для конкурсных механик корпоративных марафонов, стажем 3 лет+.</t>
  </si>
  <si>
    <t>Услуга backend-разработчика — профессиональный специалист с высшим техническим образованием, опытом разработки моделей данных с использованием ORM для корпоративных digital-проектов, стажем 3 лет+.</t>
  </si>
  <si>
    <t>Услуга backend-разработчика по поддержке — профессиональный специалист с высшим техническим образованием, опытом оперативного исправления багов в корпоративных digital-проектах, обеспечением непрерывной работы платформы, стажем 3 лет+.</t>
  </si>
  <si>
    <t>Услуга database-администратора — профессиональный специалист с высшим техническим образованием, опытом проектирования и настройки реляционных баз данных для корпоративных digital-платформ, разработкой схемы таблиц, индексов и связей, стажем 3 лет+.</t>
  </si>
  <si>
    <t>Услуга database-администратора — профессиональный специалист с высшим техническим образованием, опытом создания резервных копий баз данных и анонимизации персональных данных в соответствии с требованиями законодательства, стажем 3 лет+.</t>
  </si>
  <si>
    <t>Услуга DevOps-специалиста — профессиональный специалист с высшим техническим образованием, опытом мониторинга работоспособности корпоративных digital-платформ, отслеживанием uptime сервера и метрик производительности, стажем 3 лет+.</t>
  </si>
  <si>
    <t>Услуга DevOps-специалиста — профессиональный специалист с высшим техническим образованием, опытом настройки контейнеризации и CI/CD-пайплайнов для корпоративных digital-проектов, стажем 3 лет+.</t>
  </si>
  <si>
    <t>Услуга QA-специалиста — профессиональный специалист с высшим техническим образованием, опытом проведения нагрузочного тестирования корпоративных digital-платформ перед запуском, стажем 3 лет+.</t>
  </si>
  <si>
    <t>Услуга выпускающего режиссёра — профессиональный специалист с профильным образованием, опытом управления технической и творческой частью мероприятий в режиме реального времени, навыками работы с профессиональным сценическим оборудованием, аудиторией от 500 человек, стажем 5 лет+.</t>
  </si>
  <si>
    <t>Услуга менеджера проекта — профессиональный специалист с опытом ведения цифровых проектов, подготовкой еженедельных отчётов о статусе работы системы и консультированием заказчика, стажем 3 лет+.</t>
  </si>
  <si>
    <t>Услуга специалиста по информационной безопасности — профессиональный специалист с высшим техническим образованием, опытом проведения аудита безопасности корпоративных digital-платформ, выявлением уязвимостей и подготовкой отчёта с рекомендациями, стажем 3 лет+.</t>
  </si>
  <si>
    <t>Услуга технического копирайтера — профессиональный специалист с опытом написания FAQ и пошаговых инструкций для корпоративных digital-продуктов.</t>
  </si>
  <si>
    <t>Услуга технического продюсера онлайн-трансляций — профессиональный специалист с опытом организации корпоративных мероприятий, управлением потоком трансляции и решением технических вопросов в реальном времени, стажем 3 лет+.</t>
  </si>
  <si>
    <t>Услуга технического специалиста — профессиональный специалист с опытом финальной передачи digital-проектов заказчику, подготовкой полного архива файлов и инструкций по восстановлению системы.</t>
  </si>
  <si>
    <t>Услуга технического специалиста площадки по сопровождению мероприятия — профессиональный техник с опытом работы с оборудованием площадки, обеспечением бесперебойной работы всех технических систем.</t>
  </si>
  <si>
    <t>Услуга технического специалиста по настройке и сопровождению диджитал-контента — профессиональный оператор цифровых медиасистем с профильным техническим образованием, опытом настройки контента под брендинг мероприятия и техническим сопровождением на площадке, стажем 3 лет+.</t>
  </si>
  <si>
    <t>Услуга технического специалиста по обслуживанию микрофонного парка в ходе мероприятия — профессиональный техник с профильным техническим образованием, знанием профессионального микрофонного оборудования ведущих производителей, опытом работы на мероприятиях аудиторией от 500 человек, стажем 3 лет+.</t>
  </si>
  <si>
    <t>Услуга технической бригады по демонтажу зрительских кресел — специалисты с опытом работы на концертных площадках, знанием регламентов площадки и соблюдением технического цикла подготовки.</t>
  </si>
  <si>
    <t>Услуга фитнес-тренера — профессиональный специалист с профильным образованием в области физической культуры и спорта, опытом проведения групповых онлайн-тренировок для корпоративной аудитории, стажем 3 лет+.</t>
  </si>
  <si>
    <t>Автоматизированный рисующий робот — гость фотографируется, устройство воспроизводит его портрет в виде графического рисунка на бумаге, готовый скетч остаётся у участника, оператор.</t>
  </si>
  <si>
    <t>Интерактивная фотобудка в формате сенсорного зеркала — гости выбирают фильтры и рамки, фотографируются и мгновенно получают снимок, оператор.</t>
  </si>
  <si>
    <t>Интерактивная фотозона — гость получает короткое анимированное видео с кинематографическим эффектом живого портрета вместо статичной фотографии.</t>
  </si>
  <si>
    <t>Интерактивная фотозона с использованием ретрофотокамеры — мгновенная печать снимков, профессиональный оператор с опытом работы на корпоративных мероприятиях.</t>
  </si>
  <si>
    <t>Интерактивная фотозона с технологией искусственного интеллекта — гость фотографируется, нейросеть генерирует авторский художественный портрет в заданном стиле, результат отправляется на почту или телефон участника.</t>
  </si>
  <si>
    <t>Платформа с вращающейся камерой — гость встаёт на подиум, камера создаёт замедленное видео с облётом по кругу, результат отправляется на телефон участника, оператор.</t>
  </si>
  <si>
    <t>Предоставление ретроавтомобилей для фотозоны или тематического оформления мероприятия, с водителем и необходимым сопровождением.</t>
  </si>
  <si>
    <t>Профессиональная фотозона с брендированным задником, реквизитом и мгновенной распечаткой снимков на месте, оператор.</t>
  </si>
  <si>
    <t>Разработка и реализация тематической фотозоны на открытой террасе — услуга дизайнера и монтажной бригады с опытом создания брендированных фотозон для корпоративных мероприятий.</t>
  </si>
  <si>
    <t>Репортажная фотосъёмка мероприятия — профессиональный фотограф с опытом протокольной и церемониальной съёмки мероприятий Заказчика уровня, в том числе с участием первых лиц, опытом работы 10 лет+.</t>
  </si>
  <si>
    <t>Репортажная фотосъёмка мероприятия — профессиональный фотограф с профильным образованием в области фотографии, специализацией на корпоративном event-репортаже, опытом работы 10 лет+.</t>
  </si>
  <si>
    <t>Выступление русского православного церковно-певческого коллектива, монастырского хора, имеющего традицию пения более 600 лет, имеющего опыт исполнения композиций на церемонии открытия Олимпийских игр, под управлением заслуженного артиста РФ, лауреата премии за пропаганду русской народной культуры.</t>
  </si>
  <si>
    <t>Услуга хостес — профессиональный специалист по встрече и сопровождению гостей, с опытом работы на мероприятиях представительского уровня аудиторией от 200 человек, знанием делового этикета и протокола, навыками работы с гостевыми списками и аккредитационными системами, презентабельным внешним видом.</t>
  </si>
  <si>
    <t>(1 чел.) Услуга художника-шаржиста с профильным художественным образованием, опытом работы на корпоративных мероприятиях 10+ лет.</t>
  </si>
  <si>
    <t>Создание авторского интерактивного комикса под тематику мероприятия — профессиональный художник-иллюстратор с опытом разработки корпоративного контента, уникальный визуальный нарратив с персонажами и сюжетом под заказчика.</t>
  </si>
  <si>
    <t>(1-10 чел.) Выступление свето-циркового коллектива — с опытом работы 10+ лет, более 3000 выступлений, с подтверждённым портфолио мероприятий федерального уровня и опытом работы с государственными корпорациями, в синтезе светового шоу, цирковых жанров и акробатики.</t>
  </si>
  <si>
    <t>(1–2 чел.) Акробатический номер в жанре жонглирования ногами с программируемыми световыми эффектами на реквизите, танцем и виртуозными трюками.</t>
  </si>
  <si>
    <t>(1–2 чел.) Выступление профессиональных воздушных гимнастов на полотнах, ремнях или кольце с акробатическими трюками и поддержками, опытом корпоративных мероприятий (с оборудованием для выступления).</t>
  </si>
  <si>
    <t>(1–2 чел.) Цирковой номер на вращающихся напольных дисках с танцем, балансами, гимнастическими трюками и элементами эквилибристики.</t>
  </si>
  <si>
    <t>(1–30 чел.) Полноценный свето-цирковой спектакль с иммерсивной историей, интерактивом с залом, голограммами, спецэффектами на костюмах и видеоконтентом. Программа адаптируется под тематику мероприятия.</t>
  </si>
  <si>
    <t>(1-8 чел.) Масштабный цирковой номер в народном стиле, более 10 смен реквизита, цирковая работа в скакалках, танец и трюки.</t>
  </si>
  <si>
    <t>1 чел./выступление</t>
  </si>
  <si>
    <t>Выступление профессионального артиста-эквилибриста на подвесном канате с акробатическими элементами и трюками, опытом корпоративных мероприятий.</t>
  </si>
  <si>
    <t>1чел/выступление</t>
  </si>
  <si>
    <t>Интерактивная велком-зона с акробатическими элементами на подвесной конструкции, совмещённая с барным обслуживанием гостей.</t>
  </si>
  <si>
    <t>(1 чел.) Акробатическое велком-шоу — крупном прозрачном сосуде, с профессиональным хореографическим или цирковым образованием, опытом корпоративных мероприятий 10+ лет.</t>
  </si>
  <si>
    <t>(1 чел.) Выступление артистки светового шоу с контактным жонглированием, с авторской программой, опытом корпоративных мероприятий, входящих в рейтинг РБК-100.</t>
  </si>
  <si>
    <t>(1 чел.) Флейринг-шоу — профессиональный флейрингист с наградами российских или международных соревнований по флейрингу, опытом корпоративных мероприятий.</t>
  </si>
  <si>
    <t>(1–10 чел.) Световое шоу с четырьмя сменами реквизита, эффектами на костюмах, голограммами, танцем и поддержками.</t>
  </si>
  <si>
    <t>(1–2 чел.) Проекционное маппинг-шоу с авторским 3D-видеоконтентом, синхронизацией с музыкой, опытом торжественных церемоний для компаний, входящих в рейтинг РБК-100.</t>
  </si>
  <si>
    <t>(1-3 чел.) Шоу с профессиональным световым оборудованием, синхронизацией с музыкой, опытом проведения на торжественных корпоративных мероприятиях для компаний, входящих в рейтинг РБК-100.</t>
  </si>
  <si>
    <t>(1–4 чел.) Профессиональное пиротехническое шоу с лицензией на проведение пиротехнических работ, разрешительной документацией, опытом корпоративных мероприятий. С опытом работы на мероприятиях для компаний, входящих в рейтинг РБК-100.</t>
  </si>
  <si>
    <t>(1-4 чел.) Световое цирковое шоу с профессиональными артистами, LED-реквизитом, спецэффектами голограммами в воздухе, акробатическими трюками и поддержками, видеоконтентом на экран.</t>
  </si>
  <si>
    <t>(1-4 чел.) Шоу поющих официантов с вокальным образованием или опытом сольных выступлений, интерактивным форматом. С опытом работы 10+ лет</t>
  </si>
  <si>
    <t>(1-5 чел.) Акробатическое шоу с профессиональными артистами цирковых жанров, дипломами российских и международных цирковых фестивалей, не менее трёх номеров, собственным реквизитом, монтажом и демонтажом в стоимости</t>
  </si>
  <si>
    <t>(1–6 чел.) Многоуровневое театрализованное фаер-шоу с несколькими сменами огненного и пиротехнического реквизита, авторскими дизайнерскими костюмами. С опытом работы на мероприятиях для компаний, входящих в рейтинг РБК-100.</t>
  </si>
  <si>
    <t>(1–6 чел.) Театрализованное световое шоу в флуоресцентных костюмах с авторской хореографией и несколькими сменами светового реквизита. С опытом работы на мероприятиях для компаний, входящих в рейтинг РБК-100.</t>
  </si>
  <si>
    <t>(1–8 чел.) Выступление артистов в формате спортивного шоу-перформанса с профессиональной программой, опытом корпоративных мероприятий 10+ лет.</t>
  </si>
  <si>
    <t>(1–8 чел.) Танцевально-трюковой световой номер с тремя сменами реквизита, голограммами, акробатикой и световыми геометрическими фигурами.</t>
  </si>
  <si>
    <t>(1-8 чел.) Танцевальный номер в народном стиле с высокотехнологичным реквизитом, профессиональными артистами, графическими жезлами с голограммами, акробатическими трюками.</t>
  </si>
  <si>
    <t>(2–4 чел.) Велоакробатическое шоу — многократные чемпионы России по велотриалу и велоакробатике, с профессиональным оборудованием. 1 усл. ед.</t>
  </si>
  <si>
    <t>(2–4 чел.) Серебряное / зеркальное шоу с авторской хореографической программой, с собственными профессиональными сценическими костюмами, опытом корпоративных мероприятий 10+ лет.</t>
  </si>
  <si>
    <t>(4-8 чел.) Высокотехнологичное световое шоу с профессиональными артистами в программируемых LED-костюмах, акробатикой, танцем и видеоконтентом на экран. Продолжительность 5–7 минут.</t>
  </si>
  <si>
    <t>Выступление профессионального артиста в образе русалки в водной среде с синхронизированной хореографией, опытом корпоративных и светских мероприятий.</t>
  </si>
  <si>
    <t>Джазово-духовое шоу с музыкантами с высшим музыкальным образованием по специальности духовые инструменты, интерактивным форматом.</t>
  </si>
  <si>
    <t>Пиротехническое шоу — с лицензией на проведение пиротехнических работ, разрешительной документацией, опытом корпоративных мероприятий 10+ лет.</t>
  </si>
  <si>
    <t>Театрализованное световое шоу в флюоресцентных костюмах с авторской хореографией и несколькими сменами светового реквизита.</t>
  </si>
  <si>
    <t>Сбор коммерческих предложений. Разработка и реализация комплексной юбилейной программы, посвященной 25-летию АО «ГТЛК».</t>
  </si>
  <si>
    <t xml:space="preserve">Разработка и реализация комплексной юбилейной программы, посвященной 25-летию АО «ГТЛК».
</t>
  </si>
  <si>
    <t>Минимальная НМЦед из предложенных  (руб., вкл. НДС)</t>
  </si>
  <si>
    <t>(1–10 чел.) Выступление независимой театрально-цирковой компании — под руководством режиссёра, участника городских фестивалей и театральных площадок, синтезом циркового, театрального и музыкального искусства.</t>
  </si>
  <si>
    <t>(1-2 чел.) Шоу молниеносной смены образов —  с опытом не менее 30 выступлений.</t>
  </si>
  <si>
    <t>(1-30 чел.) Танцевальное шоу по индийскому танцу с опытом выступления на федеральных площадках, в том числе Кремлевском дворце съездов.</t>
  </si>
  <si>
    <t>(от 1 до 15 чел.) Профессиональный театр огня, света и пиротехники с опытом работы 19+ лет</t>
  </si>
  <si>
    <t>Выступление музыкального коллектива — участников Высшей лиги КВН, с авторской и кавер-программой, опытом корпоративных мероприятий.</t>
  </si>
  <si>
    <t>Командная деловая игра или бизнес-симуляция с профессиональным ведущим-фасилитатором, методологической разработкой под тематику заказчика.</t>
  </si>
  <si>
    <t>Выступление государственного фольклорного ансамбля, сочетающее народное пение, хореографию и музыкальное искусство на профессиональной основе.</t>
  </si>
  <si>
    <t>Выступление армейского ансамбля песни и пляски.</t>
  </si>
  <si>
    <t>Выступление артиста балета —  лучшего танцовщика года по версии различных профильных изданий</t>
  </si>
  <si>
    <t>Выступление иллюзиониста — участника телепроектов «Удиви меня», «Окнутые люди» на СТС, опытом корпоративных выступлений 15 лет+.</t>
  </si>
  <si>
    <t>Выступление иллюзиониста — участника шоу «Удиви меня», с авторской программой в жанре манипуляций и камерной магии, зарубежным гастрольным опытом.</t>
  </si>
  <si>
    <t>Выступление иллюзиониста — участника телепроектов «Удиви меня», «Минута славы» и «Лучшие иллюзионисты России», участника шоу на официальном приёме гостей Олимпийских игр Сочи.</t>
  </si>
  <si>
    <t>(1–5 человек) Выступление группы, постоянного участника фестивалей «Нашествие», «Крылья», «Максидром», с авторским рок-репертуаром. С опытом работы на мероприятиях 30+ лет</t>
  </si>
  <si>
    <t>Выступление оперного певца — заслуженного артиста, участника Конкурса оперных певцов, участника Гран-при фестивалей-конкурсов</t>
  </si>
  <si>
    <t>Выступление оперной певицы — лауреата Премии Президента России молодым деятелям культуры, молодежного гранта премии «Триумф», участника Всероссийского конкурса вокалистов Bella voce,  Международного конкурса оперных певцов «Новые голоса».</t>
  </si>
  <si>
    <t>(2-6 чел.) Световое цирковое шоу с  кубом на вращающейся платформе, голограммами, акробатикой и полотнами-флагами. Продолжительность 5–7 минут.</t>
  </si>
  <si>
    <t>Акробатический номер в жанре цирковой эквилибристики в двухметровом световом колесе с программируемыми световыми эффектами.</t>
  </si>
  <si>
    <t>(1-10 чел.) Лазерное шоу — участники Кубка креативного бизнеса от «Опора России», участники премий BEMA и «За ГРАНЬЮ», с международным гастрольным опытом.</t>
  </si>
  <si>
    <t>(1–10 чел.) Выступление коллектива степ-танца.</t>
  </si>
  <si>
    <t>(1–9 чел.) Масштабное высокотехнологичное шоу — совмещение светового номера в LED-костюмах и акробатики в двухметровом световом колесе.</t>
  </si>
  <si>
    <t>На основании проведенного анализа рынка и расчетов, НМЦед составляет:  руб.:69 472 955  рублей 16 копеек.</t>
  </si>
  <si>
    <t>Дата подготовки: 31 августа 2026 года</t>
  </si>
  <si>
    <r>
      <t xml:space="preserve">Максимальное значение цены договора составляет  160 000 000 , вкл. НДС (пп. 8.11.4.3 п. 8.11. Положения о закупке товаров, работ и услуг для нужд АО «ГТЛК»). Цена единицы Услуги  определена в соответствии с требованиями п.8.4.5 .Положения о закупке товаров, работ и услуг для нужд АО «ГТЛК методом сопоставимых рыночных цен (анализ рынка), суммарная стоимость начальных (максимальных) единичных расценок составляет: </t>
    </r>
    <r>
      <rPr>
        <sz val="11"/>
        <color rgb="FFFF0000"/>
        <rFont val="Times New Roman"/>
        <family val="1"/>
        <charset val="204"/>
      </rPr>
      <t xml:space="preserve"> </t>
    </r>
    <r>
      <rPr>
        <sz val="11"/>
        <rFont val="Times New Roman"/>
        <family val="1"/>
        <charset val="204"/>
      </rPr>
      <t>69 472 955 рублей 16 копеек.</t>
    </r>
  </si>
  <si>
    <t>Исполнитель №1</t>
  </si>
  <si>
    <t xml:space="preserve">Исполнитель №2 </t>
  </si>
  <si>
    <t xml:space="preserve">Исполнитель №3 </t>
  </si>
  <si>
    <t xml:space="preserve">Исполнитель №4 </t>
  </si>
  <si>
    <t>цена</t>
  </si>
  <si>
    <t>Приложение к Разделу 6 Документации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</si>
</sst>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43" formatCode="_-* #,##0.00_-;\-* #,##0.00_-;_-* &quot;-&quot;??_-;_-@_-"/>
    <numFmt numFmtId="164" formatCode="#,##0.00#########"/>
    <numFmt numFmtId="165" formatCode="_-* #,##0.00\ [$₽-419]_-;\-* #,##0.00\ [$₽-419]_-;_-* &quot;-&quot;??\ [$₽-419]_-;_-@_-"/>
  </numFmts>
  <fonts count="14" x14ac:knownFonts="1">
    <font>
      <sz val="11"/>
      <color rgb="FF000000"/>
      <name val="Calibri"/>
      <charset val="204"/>
    </font>
    <font>
      <sz val="11"/>
      <color rgb="FF000000"/>
      <name val="Times New Roman"/>
      <family val="1"/>
      <charset val="204"/>
    </font>
    <font>
      <sz val="8"/>
      <color rgb="FF000000"/>
      <name val="Times New Roman"/>
      <family val="1"/>
      <charset val="204"/>
    </font>
    <font>
      <sz val="16"/>
      <color rgb="FF000000"/>
      <name val="Times New Roman"/>
      <family val="1"/>
      <charset val="204"/>
    </font>
    <font>
      <sz val="10"/>
      <color rgb="FF000000"/>
      <name val="Times New Roman"/>
      <family val="1"/>
      <charset val="204"/>
    </font>
    <font>
      <sz val="11"/>
      <color rgb="FF000000"/>
      <name val="Times New Roman"/>
      <family val="1"/>
      <charset val="204"/>
    </font>
    <font>
      <sz val="11"/>
      <color rgb="FF000000"/>
      <name val="Calibri"/>
      <family val="2"/>
      <charset val="204"/>
    </font>
    <font>
      <sz val="11"/>
      <color rgb="FFFF0000"/>
      <name val="Calibri"/>
      <family val="2"/>
      <charset val="204"/>
    </font>
    <font>
      <sz val="8"/>
      <name val="Calibri"/>
      <family val="2"/>
      <charset val="204"/>
    </font>
    <font>
      <sz val="8"/>
      <color rgb="FFFF0000"/>
      <name val="Times New Roman"/>
      <family val="1"/>
      <charset val="204"/>
    </font>
    <font>
      <sz val="11"/>
      <color rgb="FFFF0000"/>
      <name val="Times New Roman"/>
      <family val="1"/>
      <charset val="204"/>
    </font>
    <font>
      <b/>
      <sz val="11"/>
      <color rgb="FF000000"/>
      <name val="Calibri"/>
      <family val="2"/>
      <charset val="204"/>
    </font>
    <font>
      <sz val="11"/>
      <name val="Times New Roman"/>
      <family val="1"/>
      <charset val="204"/>
    </font>
    <font>
      <b/>
      <sz val="12"/>
      <color rgb="FF000000"/>
      <name val="Times New Roman"/>
      <family val="1"/>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3">
    <xf numFmtId="0" fontId="0" fillId="0" borderId="0" applyAlignment="0"/>
    <xf numFmtId="44" fontId="6" fillId="0" borderId="0" applyFont="0" applyFill="0" applyBorder="0" applyAlignment="0" applyProtection="0"/>
    <xf numFmtId="43" fontId="6" fillId="0" borderId="0" applyFont="0" applyFill="0" applyBorder="0" applyAlignment="0" applyProtection="0"/>
  </cellStyleXfs>
  <cellXfs count="44">
    <xf numFmtId="0" fontId="0" fillId="0" borderId="0" xfId="0"/>
    <xf numFmtId="2" fontId="0" fillId="0" borderId="0" xfId="0" applyNumberFormat="1"/>
    <xf numFmtId="0" fontId="1" fillId="0" borderId="0" xfId="0" applyFont="1"/>
    <xf numFmtId="2" fontId="2" fillId="0" borderId="0" xfId="0" applyNumberFormat="1" applyFont="1" applyAlignment="1">
      <alignment vertical="top" wrapText="1"/>
    </xf>
    <xf numFmtId="2" fontId="1" fillId="0" borderId="0" xfId="0" applyNumberFormat="1" applyFont="1"/>
    <xf numFmtId="2" fontId="5" fillId="0" borderId="0" xfId="0" applyNumberFormat="1" applyFont="1"/>
    <xf numFmtId="14" fontId="1" fillId="0" borderId="0" xfId="0" applyNumberFormat="1" applyFont="1"/>
    <xf numFmtId="165" fontId="0" fillId="0" borderId="0" xfId="1" applyNumberFormat="1" applyFont="1"/>
    <xf numFmtId="43" fontId="0" fillId="0" borderId="0" xfId="2" applyFont="1"/>
    <xf numFmtId="2" fontId="9" fillId="0" borderId="0" xfId="0" applyNumberFormat="1" applyFont="1" applyAlignment="1">
      <alignment vertical="top" wrapText="1"/>
    </xf>
    <xf numFmtId="2" fontId="10" fillId="0" borderId="0" xfId="0" applyNumberFormat="1" applyFont="1"/>
    <xf numFmtId="2" fontId="7" fillId="0" borderId="0" xfId="0" applyNumberFormat="1" applyFont="1"/>
    <xf numFmtId="0" fontId="11" fillId="0" borderId="0" xfId="0" applyFont="1"/>
    <xf numFmtId="0" fontId="1" fillId="0" borderId="1" xfId="0" applyFont="1" applyBorder="1" applyAlignment="1">
      <alignment vertical="center" wrapText="1"/>
    </xf>
    <xf numFmtId="0" fontId="1" fillId="0" borderId="1" xfId="0" applyFont="1" applyBorder="1" applyAlignment="1">
      <alignment horizontal="center" vertical="center" wrapText="1"/>
    </xf>
    <xf numFmtId="4" fontId="1"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4" fontId="12" fillId="0" borderId="1" xfId="0" applyNumberFormat="1" applyFont="1" applyBorder="1" applyAlignment="1">
      <alignment horizontal="right" vertical="center" wrapText="1"/>
    </xf>
    <xf numFmtId="4" fontId="1" fillId="0" borderId="1" xfId="0" applyNumberFormat="1" applyFont="1" applyBorder="1" applyAlignment="1">
      <alignment horizontal="right" vertical="center" wrapText="1"/>
    </xf>
    <xf numFmtId="165" fontId="1" fillId="0" borderId="1" xfId="0" applyNumberFormat="1" applyFont="1" applyBorder="1" applyAlignment="1">
      <alignment horizontal="center" vertical="center" wrapText="1"/>
    </xf>
    <xf numFmtId="43" fontId="0" fillId="0" borderId="0" xfId="2" applyFont="1" applyFill="1"/>
    <xf numFmtId="165" fontId="0" fillId="0" borderId="0" xfId="1" applyNumberFormat="1" applyFont="1" applyFill="1"/>
    <xf numFmtId="43" fontId="7" fillId="0" borderId="0" xfId="2" applyFont="1" applyFill="1"/>
    <xf numFmtId="0" fontId="7" fillId="0" borderId="0" xfId="0" applyFont="1" applyAlignment="1">
      <alignment wrapText="1"/>
    </xf>
    <xf numFmtId="164" fontId="1" fillId="0" borderId="1" xfId="0" applyNumberFormat="1" applyFont="1" applyBorder="1" applyAlignment="1">
      <alignment horizontal="center" vertical="center" wrapText="1"/>
    </xf>
    <xf numFmtId="164" fontId="12" fillId="0" borderId="1" xfId="0" applyNumberFormat="1" applyFont="1" applyBorder="1" applyAlignment="1">
      <alignment horizontal="center" vertical="center" wrapText="1"/>
    </xf>
    <xf numFmtId="164" fontId="1" fillId="0" borderId="1" xfId="0" applyNumberFormat="1" applyFont="1" applyBorder="1" applyAlignment="1">
      <alignment horizontal="center" wrapText="1"/>
    </xf>
    <xf numFmtId="164" fontId="4" fillId="0" borderId="0" xfId="0" applyNumberFormat="1" applyFont="1" applyAlignment="1">
      <alignment horizontal="center" vertical="center" wrapText="1"/>
    </xf>
    <xf numFmtId="0" fontId="4" fillId="0" borderId="0" xfId="0" applyFont="1" applyAlignment="1">
      <alignment horizontal="left" wrapText="1"/>
    </xf>
    <xf numFmtId="0" fontId="1" fillId="0" borderId="0" xfId="0" applyFont="1" applyAlignment="1">
      <alignment horizontal="center" vertical="center" wrapText="1"/>
    </xf>
    <xf numFmtId="2" fontId="1" fillId="0" borderId="0" xfId="0" applyNumberFormat="1"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12"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2" fontId="1" fillId="0" borderId="1" xfId="0" applyNumberFormat="1" applyFont="1" applyBorder="1" applyAlignment="1">
      <alignment horizontal="center" vertical="center" wrapText="1"/>
    </xf>
    <xf numFmtId="0" fontId="1" fillId="0" borderId="1" xfId="0" applyFont="1" applyBorder="1" applyAlignment="1">
      <alignment horizontal="left" vertical="top" wrapText="1"/>
    </xf>
    <xf numFmtId="0" fontId="12" fillId="0" borderId="1" xfId="0" applyFont="1" applyBorder="1" applyAlignment="1">
      <alignment horizontal="left" vertical="top" wrapText="1"/>
    </xf>
    <xf numFmtId="0" fontId="3" fillId="0" borderId="0" xfId="0" applyFont="1" applyAlignment="1">
      <alignment horizont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13" fillId="0" borderId="0" xfId="0" applyFont="1"/>
  </cellXfs>
  <cellStyles count="3">
    <cellStyle name="Денежный" xfId="1" builtinId="4"/>
    <cellStyle name="Обычный" xfId="0" builtinId="0"/>
    <cellStyle name="Финансовый" xfId="2"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1040;&#1085;&#1072;&#1083;&#1080;&#1079;%20&#1091;&#1095;&#1072;&#1089;&#1090;&#1085;&#1080;&#1082;&#1086;&#1074;%20&#1088;&#1099;&#1085;&#1082;&#1072;!/286.%20&#1044;&#1040;&#1054;%2025-&#1083;&#1077;&#1090;&#1080;&#1077;%20&#1043;&#1058;&#1051;&#1050;%20&#1056;&#1077;&#1096;&#1085;&#1080;&#1085;&#1072;/2_5222147342458723156.xlsx" TargetMode="External"/><Relationship Id="rId1" Type="http://schemas.openxmlformats.org/officeDocument/2006/relationships/externalLinkPath" Target="/2.%20&#1055;&#1086;&#1076;&#1088;&#1072;&#1079;&#1076;&#1077;&#1083;&#1077;&#1085;&#1080;&#1103;%20&#1050;&#1086;&#1084;&#1087;&#1072;&#1085;&#1080;&#1080;/&#1059;&#1047;&#1044;/&#1040;&#1085;&#1072;&#1083;&#1080;&#1079;%20&#1091;&#1095;&#1072;&#1089;&#1090;&#1085;&#1080;&#1082;&#1086;&#1074;%20&#1088;&#1099;&#1085;&#1082;&#1072;!/286.%20&#1044;&#1040;&#1054;%2025-&#1083;&#1077;&#1090;&#1080;&#1077;%20&#1043;&#1058;&#1051;&#1050;%20&#1056;&#1077;&#1096;&#1085;&#1080;&#1085;&#1072;/2_522214734245872315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eshnina\AppData\Local\Temp\&#1058;&#1072;&#1073;&#1083;&#1080;&#1094;&#1072;%20&#1082;%20&#1089;&#1087;&#1077;&#1094;&#1080;&#1092;&#1080;&#1082;&#1072;&#1094;&#1080;&#1080;%20&#1040;&#1090;&#1086;&#1084;&#1080;&#108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eshnina\Desktop\&#1058;&#1072;&#1073;&#1083;&#1080;&#1094;&#107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1040;&#1085;&#1072;&#1083;&#1080;&#1079;%20&#1091;&#1095;&#1072;&#1089;&#1090;&#1085;&#1080;&#1082;&#1086;&#1074;%20&#1088;&#1099;&#1085;&#1082;&#1072;!/286.%20&#1044;&#1040;&#1054;%2025-&#1083;&#1077;&#1090;&#1080;&#1077;%20&#1043;&#1058;&#1051;&#1050;%20&#1056;&#1077;&#1096;&#1085;&#1080;&#1085;&#1072;/&#1048;&#1055;%20&#1050;&#1086;&#1088;&#1096;&#1091;&#1085;&#1086;&#1074;.xlsx" TargetMode="External"/><Relationship Id="rId1" Type="http://schemas.openxmlformats.org/officeDocument/2006/relationships/externalLinkPath" Target="/2.%20&#1055;&#1086;&#1076;&#1088;&#1072;&#1079;&#1076;&#1077;&#1083;&#1077;&#1085;&#1080;&#1103;%20&#1050;&#1086;&#1084;&#1087;&#1072;&#1085;&#1080;&#1080;/&#1059;&#1047;&#1044;/&#1040;&#1085;&#1072;&#1083;&#1080;&#1079;%20&#1091;&#1095;&#1072;&#1089;&#1090;&#1085;&#1080;&#1082;&#1086;&#1074;%20&#1088;&#1099;&#1085;&#1082;&#1072;!/286.%20&#1044;&#1040;&#1054;%2025-&#1083;&#1077;&#1090;&#1080;&#1077;%20&#1043;&#1058;&#1051;&#1050;%20&#1056;&#1077;&#1096;&#1085;&#1080;&#1085;&#1072;/&#1048;&#1055;%20&#1050;&#1086;&#1088;&#1096;&#1091;&#1085;&#1086;&#107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СВОД"/>
      <sheetName val="СПЕЦИФИКАЦИЯ"/>
      <sheetName val="Коррект_специф"/>
      <sheetName val="Лист4"/>
    </sheetNames>
    <sheetDataSet>
      <sheetData sheetId="0"/>
      <sheetData sheetId="1"/>
      <sheetData sheetId="2"/>
      <sheetData sheetId="3">
        <row r="4">
          <cell r="D4">
            <v>126000</v>
          </cell>
        </row>
        <row r="5">
          <cell r="D5">
            <v>157500</v>
          </cell>
        </row>
        <row r="6">
          <cell r="D6">
            <v>2100</v>
          </cell>
        </row>
        <row r="7">
          <cell r="D7">
            <v>210000</v>
          </cell>
        </row>
        <row r="8">
          <cell r="D8">
            <v>52500</v>
          </cell>
        </row>
        <row r="9">
          <cell r="D9">
            <v>1575</v>
          </cell>
        </row>
        <row r="10">
          <cell r="D10">
            <v>15120</v>
          </cell>
        </row>
        <row r="11">
          <cell r="D11">
            <v>42000</v>
          </cell>
        </row>
        <row r="12">
          <cell r="D12">
            <v>15750</v>
          </cell>
        </row>
        <row r="13">
          <cell r="D13">
            <v>504000</v>
          </cell>
        </row>
        <row r="14">
          <cell r="D14">
            <v>646800</v>
          </cell>
        </row>
        <row r="15">
          <cell r="D15">
            <v>149100</v>
          </cell>
        </row>
        <row r="16">
          <cell r="D16">
            <v>294000</v>
          </cell>
        </row>
        <row r="17">
          <cell r="D17">
            <v>42000</v>
          </cell>
        </row>
        <row r="18">
          <cell r="D18">
            <v>630000</v>
          </cell>
        </row>
        <row r="19">
          <cell r="D19">
            <v>105000</v>
          </cell>
        </row>
        <row r="20">
          <cell r="D20">
            <v>173250</v>
          </cell>
        </row>
        <row r="21">
          <cell r="D21">
            <v>173250</v>
          </cell>
        </row>
        <row r="22">
          <cell r="D22">
            <v>168000</v>
          </cell>
        </row>
        <row r="23">
          <cell r="D23">
            <v>194250</v>
          </cell>
        </row>
        <row r="24">
          <cell r="D24">
            <v>420000</v>
          </cell>
        </row>
        <row r="25">
          <cell r="D25">
            <v>735000</v>
          </cell>
        </row>
        <row r="26">
          <cell r="D26">
            <v>57750</v>
          </cell>
        </row>
        <row r="27">
          <cell r="D27">
            <v>57750</v>
          </cell>
        </row>
        <row r="28">
          <cell r="D28">
            <v>84000</v>
          </cell>
        </row>
        <row r="29">
          <cell r="D29">
            <v>892500</v>
          </cell>
        </row>
        <row r="30">
          <cell r="D30">
            <v>84000</v>
          </cell>
        </row>
        <row r="31">
          <cell r="D31">
            <v>94500</v>
          </cell>
        </row>
        <row r="32">
          <cell r="D32">
            <v>94500</v>
          </cell>
        </row>
        <row r="33">
          <cell r="D33">
            <v>52500</v>
          </cell>
        </row>
        <row r="34">
          <cell r="D34">
            <v>86100</v>
          </cell>
        </row>
        <row r="35">
          <cell r="D35">
            <v>73500</v>
          </cell>
        </row>
        <row r="36">
          <cell r="D36">
            <v>630000</v>
          </cell>
        </row>
        <row r="37">
          <cell r="D37">
            <v>17955</v>
          </cell>
        </row>
        <row r="38">
          <cell r="D38">
            <v>20097</v>
          </cell>
        </row>
        <row r="39">
          <cell r="D39">
            <v>20538</v>
          </cell>
        </row>
        <row r="40">
          <cell r="D40">
            <v>22176</v>
          </cell>
        </row>
        <row r="41">
          <cell r="D41">
            <v>23284.799999999999</v>
          </cell>
        </row>
        <row r="42">
          <cell r="D42">
            <v>1207500</v>
          </cell>
        </row>
        <row r="43">
          <cell r="D43">
            <v>630000</v>
          </cell>
        </row>
        <row r="44">
          <cell r="D44">
            <v>630000</v>
          </cell>
        </row>
        <row r="45">
          <cell r="D45">
            <v>630000</v>
          </cell>
        </row>
        <row r="46">
          <cell r="D46">
            <v>2100000</v>
          </cell>
        </row>
        <row r="47">
          <cell r="D47">
            <v>525000</v>
          </cell>
        </row>
        <row r="48">
          <cell r="D48">
            <v>84000</v>
          </cell>
        </row>
        <row r="49">
          <cell r="D49">
            <v>84000</v>
          </cell>
        </row>
        <row r="50">
          <cell r="D50">
            <v>157500</v>
          </cell>
        </row>
        <row r="51">
          <cell r="D51">
            <v>84000</v>
          </cell>
        </row>
        <row r="52">
          <cell r="D52">
            <v>84000</v>
          </cell>
        </row>
        <row r="53">
          <cell r="D53">
            <v>840000</v>
          </cell>
        </row>
        <row r="54">
          <cell r="D54">
            <v>84000</v>
          </cell>
        </row>
        <row r="55">
          <cell r="D55">
            <v>157500</v>
          </cell>
        </row>
        <row r="56">
          <cell r="D56">
            <v>12600</v>
          </cell>
        </row>
        <row r="57">
          <cell r="D57">
            <v>26250</v>
          </cell>
        </row>
        <row r="58">
          <cell r="D58">
            <v>26250</v>
          </cell>
        </row>
        <row r="59">
          <cell r="D59">
            <v>630000</v>
          </cell>
        </row>
        <row r="60">
          <cell r="D60">
            <v>1050000</v>
          </cell>
        </row>
        <row r="61">
          <cell r="D61">
            <v>236250</v>
          </cell>
        </row>
        <row r="62">
          <cell r="D62">
            <v>126000</v>
          </cell>
        </row>
        <row r="63">
          <cell r="D63">
            <v>404250</v>
          </cell>
        </row>
        <row r="64">
          <cell r="D64">
            <v>42000</v>
          </cell>
        </row>
        <row r="65">
          <cell r="D65">
            <v>1575</v>
          </cell>
        </row>
        <row r="66">
          <cell r="D66">
            <v>10500</v>
          </cell>
        </row>
        <row r="67">
          <cell r="D67">
            <v>23940</v>
          </cell>
        </row>
        <row r="68">
          <cell r="D68">
            <v>8400000</v>
          </cell>
        </row>
        <row r="69">
          <cell r="D69">
            <v>12600000</v>
          </cell>
        </row>
        <row r="70">
          <cell r="D70">
            <v>5250000</v>
          </cell>
        </row>
        <row r="71">
          <cell r="D71">
            <v>315000</v>
          </cell>
        </row>
        <row r="72">
          <cell r="D72">
            <v>31500</v>
          </cell>
        </row>
        <row r="73">
          <cell r="D73">
            <v>672000</v>
          </cell>
        </row>
        <row r="74">
          <cell r="D74">
            <v>5250</v>
          </cell>
        </row>
        <row r="75">
          <cell r="D75">
            <v>10500</v>
          </cell>
        </row>
        <row r="76">
          <cell r="D76">
            <v>10500</v>
          </cell>
        </row>
        <row r="77">
          <cell r="D77">
            <v>10500</v>
          </cell>
        </row>
        <row r="78">
          <cell r="D78">
            <v>10500</v>
          </cell>
        </row>
        <row r="79">
          <cell r="D79">
            <v>315000</v>
          </cell>
        </row>
        <row r="80">
          <cell r="D80">
            <v>945000</v>
          </cell>
        </row>
        <row r="81">
          <cell r="D81">
            <v>105000</v>
          </cell>
        </row>
        <row r="82">
          <cell r="D82">
            <v>52500</v>
          </cell>
        </row>
        <row r="83">
          <cell r="D83">
            <v>31500</v>
          </cell>
        </row>
        <row r="84">
          <cell r="D84">
            <v>7875</v>
          </cell>
        </row>
        <row r="85">
          <cell r="D85">
            <v>50400</v>
          </cell>
        </row>
        <row r="86">
          <cell r="D86">
            <v>157500</v>
          </cell>
        </row>
        <row r="87">
          <cell r="D87">
            <v>126000</v>
          </cell>
        </row>
        <row r="88">
          <cell r="D88">
            <v>18900</v>
          </cell>
        </row>
        <row r="89">
          <cell r="D89">
            <v>6300</v>
          </cell>
        </row>
        <row r="90">
          <cell r="D90">
            <v>26250</v>
          </cell>
        </row>
        <row r="91">
          <cell r="D91">
            <v>26250</v>
          </cell>
        </row>
        <row r="92">
          <cell r="D92">
            <v>105000</v>
          </cell>
        </row>
        <row r="93">
          <cell r="D93">
            <v>315000</v>
          </cell>
        </row>
        <row r="94">
          <cell r="D94">
            <v>262500</v>
          </cell>
        </row>
        <row r="95">
          <cell r="D95">
            <v>17850</v>
          </cell>
        </row>
        <row r="96">
          <cell r="D96">
            <v>2362.5</v>
          </cell>
        </row>
        <row r="97">
          <cell r="D97">
            <v>100800</v>
          </cell>
        </row>
        <row r="98">
          <cell r="D98">
            <v>100800</v>
          </cell>
        </row>
        <row r="99">
          <cell r="D99">
            <v>100800</v>
          </cell>
        </row>
        <row r="100">
          <cell r="D100">
            <v>277200</v>
          </cell>
        </row>
        <row r="101">
          <cell r="D101">
            <v>630000</v>
          </cell>
        </row>
        <row r="102">
          <cell r="D102">
            <v>189000</v>
          </cell>
        </row>
        <row r="103">
          <cell r="D103">
            <v>100800</v>
          </cell>
        </row>
        <row r="104">
          <cell r="D104">
            <v>75600</v>
          </cell>
        </row>
        <row r="105">
          <cell r="D105">
            <v>94500</v>
          </cell>
        </row>
        <row r="106">
          <cell r="D106">
            <v>15120</v>
          </cell>
        </row>
        <row r="107">
          <cell r="D107">
            <v>340.2</v>
          </cell>
        </row>
        <row r="108">
          <cell r="D108">
            <v>4032</v>
          </cell>
        </row>
        <row r="109">
          <cell r="D109">
            <v>1764</v>
          </cell>
        </row>
        <row r="110">
          <cell r="D110">
            <v>1827</v>
          </cell>
        </row>
        <row r="111">
          <cell r="D111">
            <v>1968750</v>
          </cell>
        </row>
        <row r="112">
          <cell r="D112">
            <v>3402</v>
          </cell>
        </row>
        <row r="113">
          <cell r="D113">
            <v>630</v>
          </cell>
        </row>
        <row r="114">
          <cell r="D114">
            <v>5250</v>
          </cell>
        </row>
        <row r="115">
          <cell r="D115">
            <v>12600</v>
          </cell>
        </row>
        <row r="116">
          <cell r="D116">
            <v>126</v>
          </cell>
        </row>
        <row r="117">
          <cell r="D117">
            <v>1800</v>
          </cell>
        </row>
        <row r="118">
          <cell r="D118">
            <v>8820</v>
          </cell>
        </row>
        <row r="119">
          <cell r="D119">
            <v>6300</v>
          </cell>
        </row>
        <row r="120">
          <cell r="D120">
            <v>1575</v>
          </cell>
        </row>
        <row r="121">
          <cell r="D121">
            <v>5250</v>
          </cell>
        </row>
        <row r="122">
          <cell r="D122">
            <v>88.2</v>
          </cell>
        </row>
        <row r="123">
          <cell r="D123">
            <v>15750</v>
          </cell>
        </row>
        <row r="124">
          <cell r="D124">
            <v>10500</v>
          </cell>
        </row>
        <row r="125">
          <cell r="D125">
            <v>52500</v>
          </cell>
        </row>
        <row r="126">
          <cell r="D126">
            <v>63000</v>
          </cell>
        </row>
        <row r="127">
          <cell r="D127">
            <v>367500</v>
          </cell>
        </row>
        <row r="128">
          <cell r="D128">
            <v>5250</v>
          </cell>
        </row>
        <row r="129">
          <cell r="D129">
            <v>5250</v>
          </cell>
        </row>
        <row r="130">
          <cell r="D130">
            <v>2100</v>
          </cell>
        </row>
        <row r="131">
          <cell r="D131">
            <v>5250</v>
          </cell>
        </row>
        <row r="132">
          <cell r="D132">
            <v>23625</v>
          </cell>
        </row>
        <row r="133">
          <cell r="D133">
            <v>23625</v>
          </cell>
        </row>
        <row r="134">
          <cell r="D134">
            <v>23625</v>
          </cell>
        </row>
        <row r="135">
          <cell r="D135">
            <v>23625</v>
          </cell>
        </row>
        <row r="136">
          <cell r="D136">
            <v>15750</v>
          </cell>
        </row>
        <row r="137">
          <cell r="D137">
            <v>39375</v>
          </cell>
        </row>
        <row r="138">
          <cell r="D138">
            <v>70875</v>
          </cell>
        </row>
        <row r="139">
          <cell r="D139">
            <v>5250</v>
          </cell>
        </row>
        <row r="140">
          <cell r="D140">
            <v>15750</v>
          </cell>
        </row>
        <row r="141">
          <cell r="D141">
            <v>39375</v>
          </cell>
        </row>
        <row r="142">
          <cell r="D142">
            <v>2625</v>
          </cell>
        </row>
        <row r="143">
          <cell r="D143">
            <v>3780</v>
          </cell>
        </row>
        <row r="144">
          <cell r="D144">
            <v>5250</v>
          </cell>
        </row>
        <row r="145">
          <cell r="D145">
            <v>26250</v>
          </cell>
        </row>
        <row r="146">
          <cell r="D146">
            <v>15750</v>
          </cell>
        </row>
        <row r="147">
          <cell r="D147">
            <v>47250</v>
          </cell>
        </row>
        <row r="148">
          <cell r="D148">
            <v>5250</v>
          </cell>
        </row>
        <row r="149">
          <cell r="D149">
            <v>23850.75</v>
          </cell>
        </row>
        <row r="150">
          <cell r="D150">
            <v>519.75</v>
          </cell>
        </row>
        <row r="151">
          <cell r="D151">
            <v>1212.75</v>
          </cell>
        </row>
        <row r="152">
          <cell r="D152">
            <v>197.4</v>
          </cell>
        </row>
        <row r="153">
          <cell r="D153">
            <v>392.7</v>
          </cell>
        </row>
        <row r="154">
          <cell r="D154">
            <v>577.5</v>
          </cell>
        </row>
        <row r="155">
          <cell r="D155">
            <v>438.90000000000003</v>
          </cell>
        </row>
        <row r="156">
          <cell r="D156">
            <v>548.625</v>
          </cell>
        </row>
        <row r="157">
          <cell r="D157">
            <v>727.65</v>
          </cell>
        </row>
        <row r="158">
          <cell r="D158">
            <v>262.5</v>
          </cell>
        </row>
        <row r="159">
          <cell r="D159">
            <v>220.5</v>
          </cell>
        </row>
        <row r="160">
          <cell r="D160">
            <v>392.7</v>
          </cell>
        </row>
        <row r="161">
          <cell r="D161">
            <v>808.5</v>
          </cell>
        </row>
        <row r="162">
          <cell r="D162">
            <v>796.95</v>
          </cell>
        </row>
        <row r="163">
          <cell r="D163">
            <v>519.75</v>
          </cell>
        </row>
        <row r="164">
          <cell r="D164">
            <v>635.25</v>
          </cell>
        </row>
        <row r="165">
          <cell r="D165">
            <v>693</v>
          </cell>
        </row>
        <row r="166">
          <cell r="D166">
            <v>346.5</v>
          </cell>
        </row>
        <row r="167">
          <cell r="D167">
            <v>242.55</v>
          </cell>
        </row>
        <row r="168">
          <cell r="D168">
            <v>231</v>
          </cell>
        </row>
        <row r="169">
          <cell r="D169">
            <v>462</v>
          </cell>
        </row>
        <row r="170">
          <cell r="D170">
            <v>231</v>
          </cell>
        </row>
        <row r="171">
          <cell r="D171">
            <v>462</v>
          </cell>
        </row>
        <row r="172">
          <cell r="D172">
            <v>750.75</v>
          </cell>
        </row>
        <row r="173">
          <cell r="D173">
            <v>12180</v>
          </cell>
        </row>
        <row r="174">
          <cell r="D174">
            <v>3045</v>
          </cell>
        </row>
        <row r="175">
          <cell r="D175">
            <v>3360</v>
          </cell>
        </row>
        <row r="176">
          <cell r="D176">
            <v>3675</v>
          </cell>
        </row>
        <row r="177">
          <cell r="D177">
            <v>2625</v>
          </cell>
        </row>
        <row r="178">
          <cell r="D178">
            <v>2730</v>
          </cell>
        </row>
        <row r="179">
          <cell r="D179">
            <v>2782.5</v>
          </cell>
        </row>
        <row r="180">
          <cell r="D180">
            <v>3412.5</v>
          </cell>
        </row>
        <row r="181">
          <cell r="D181">
            <v>2730</v>
          </cell>
        </row>
        <row r="182">
          <cell r="D182">
            <v>3202.5</v>
          </cell>
        </row>
        <row r="183">
          <cell r="D183">
            <v>4515</v>
          </cell>
        </row>
        <row r="184">
          <cell r="D184">
            <v>1102.5</v>
          </cell>
        </row>
        <row r="185">
          <cell r="D185">
            <v>7665</v>
          </cell>
        </row>
        <row r="186">
          <cell r="D186">
            <v>6405</v>
          </cell>
        </row>
        <row r="187">
          <cell r="D187">
            <v>9870</v>
          </cell>
        </row>
        <row r="188">
          <cell r="D188">
            <v>7665</v>
          </cell>
        </row>
        <row r="189">
          <cell r="D189">
            <v>7192.5</v>
          </cell>
        </row>
        <row r="190">
          <cell r="D190">
            <v>5040</v>
          </cell>
        </row>
        <row r="191">
          <cell r="D191">
            <v>3570</v>
          </cell>
        </row>
        <row r="192">
          <cell r="D192">
            <v>5250</v>
          </cell>
        </row>
        <row r="193">
          <cell r="D193">
            <v>6142.5</v>
          </cell>
        </row>
        <row r="194">
          <cell r="D194">
            <v>346.5</v>
          </cell>
        </row>
        <row r="195">
          <cell r="D195">
            <v>381.15000000000003</v>
          </cell>
        </row>
        <row r="196">
          <cell r="D196">
            <v>288.75</v>
          </cell>
        </row>
        <row r="197">
          <cell r="D197">
            <v>381.15000000000003</v>
          </cell>
        </row>
        <row r="198">
          <cell r="D198">
            <v>1732.5</v>
          </cell>
        </row>
        <row r="199">
          <cell r="D199">
            <v>288.75</v>
          </cell>
        </row>
        <row r="200">
          <cell r="D200">
            <v>288.75</v>
          </cell>
        </row>
        <row r="201">
          <cell r="D201">
            <v>288.75</v>
          </cell>
        </row>
        <row r="202">
          <cell r="D202">
            <v>519.75</v>
          </cell>
        </row>
        <row r="203">
          <cell r="D203">
            <v>381.15000000000003</v>
          </cell>
        </row>
        <row r="204">
          <cell r="D204">
            <v>265.65000000000003</v>
          </cell>
        </row>
        <row r="205">
          <cell r="D205">
            <v>265.65000000000003</v>
          </cell>
        </row>
        <row r="206">
          <cell r="D206">
            <v>265.65000000000003</v>
          </cell>
        </row>
        <row r="207">
          <cell r="D207">
            <v>254.10000000000002</v>
          </cell>
        </row>
        <row r="208">
          <cell r="D208">
            <v>525</v>
          </cell>
        </row>
        <row r="209">
          <cell r="D209">
            <v>288.75</v>
          </cell>
        </row>
        <row r="210">
          <cell r="D210">
            <v>242.55</v>
          </cell>
        </row>
        <row r="211">
          <cell r="D211">
            <v>288.75</v>
          </cell>
        </row>
        <row r="212">
          <cell r="D212">
            <v>288.75</v>
          </cell>
        </row>
        <row r="213">
          <cell r="D213">
            <v>288.75</v>
          </cell>
        </row>
        <row r="214">
          <cell r="D214">
            <v>207.9</v>
          </cell>
        </row>
        <row r="215">
          <cell r="D215">
            <v>265.65000000000003</v>
          </cell>
        </row>
        <row r="216">
          <cell r="D216">
            <v>173.25</v>
          </cell>
        </row>
        <row r="217">
          <cell r="D217">
            <v>346.5</v>
          </cell>
        </row>
        <row r="218">
          <cell r="D218">
            <v>427.35</v>
          </cell>
        </row>
        <row r="219">
          <cell r="D219">
            <v>288.75</v>
          </cell>
        </row>
        <row r="220">
          <cell r="D220">
            <v>600.6</v>
          </cell>
        </row>
        <row r="221">
          <cell r="D221">
            <v>3024</v>
          </cell>
        </row>
        <row r="222">
          <cell r="D222">
            <v>438.90000000000003</v>
          </cell>
        </row>
        <row r="223">
          <cell r="D223">
            <v>4200</v>
          </cell>
        </row>
        <row r="224">
          <cell r="D224">
            <v>3675</v>
          </cell>
        </row>
        <row r="225">
          <cell r="D225">
            <v>18900</v>
          </cell>
        </row>
        <row r="226">
          <cell r="D226">
            <v>31500</v>
          </cell>
        </row>
        <row r="227">
          <cell r="D227">
            <v>84000</v>
          </cell>
        </row>
        <row r="228">
          <cell r="D228">
            <v>94500</v>
          </cell>
        </row>
        <row r="229">
          <cell r="D229">
            <v>105000</v>
          </cell>
        </row>
        <row r="230">
          <cell r="D230">
            <v>42000</v>
          </cell>
        </row>
        <row r="231">
          <cell r="D231">
            <v>94500</v>
          </cell>
        </row>
        <row r="232">
          <cell r="D232">
            <v>31500</v>
          </cell>
        </row>
        <row r="233">
          <cell r="D233">
            <v>31500</v>
          </cell>
        </row>
        <row r="234">
          <cell r="D234">
            <v>31500</v>
          </cell>
        </row>
        <row r="235">
          <cell r="D235">
            <v>31500</v>
          </cell>
        </row>
        <row r="236">
          <cell r="D236">
            <v>31500</v>
          </cell>
        </row>
        <row r="237">
          <cell r="D237">
            <v>31500</v>
          </cell>
        </row>
        <row r="238">
          <cell r="D238">
            <v>6300</v>
          </cell>
        </row>
        <row r="239">
          <cell r="D239">
            <v>47250</v>
          </cell>
        </row>
        <row r="240">
          <cell r="D240">
            <v>47250</v>
          </cell>
        </row>
        <row r="241">
          <cell r="D241">
            <v>1575</v>
          </cell>
        </row>
        <row r="242">
          <cell r="D242">
            <v>1575</v>
          </cell>
        </row>
        <row r="243">
          <cell r="D243">
            <v>1575</v>
          </cell>
        </row>
        <row r="244">
          <cell r="D244">
            <v>1575</v>
          </cell>
        </row>
        <row r="245">
          <cell r="D245">
            <v>1575</v>
          </cell>
        </row>
        <row r="246">
          <cell r="D246">
            <v>39375</v>
          </cell>
        </row>
        <row r="247">
          <cell r="D247">
            <v>23625</v>
          </cell>
        </row>
        <row r="248">
          <cell r="D248">
            <v>63000</v>
          </cell>
        </row>
        <row r="249">
          <cell r="D249">
            <v>39375</v>
          </cell>
        </row>
        <row r="250">
          <cell r="D250">
            <v>21000</v>
          </cell>
        </row>
        <row r="251">
          <cell r="D251">
            <v>23625</v>
          </cell>
        </row>
        <row r="252">
          <cell r="D252">
            <v>39375</v>
          </cell>
        </row>
        <row r="253">
          <cell r="D253">
            <v>55125</v>
          </cell>
        </row>
        <row r="254">
          <cell r="D254">
            <v>15750</v>
          </cell>
        </row>
        <row r="255">
          <cell r="D255">
            <v>15750</v>
          </cell>
        </row>
        <row r="256">
          <cell r="D256">
            <v>15750</v>
          </cell>
        </row>
        <row r="257">
          <cell r="D257">
            <v>10500</v>
          </cell>
        </row>
        <row r="258">
          <cell r="D258">
            <v>1890</v>
          </cell>
        </row>
        <row r="259">
          <cell r="D259">
            <v>88.2</v>
          </cell>
        </row>
        <row r="260">
          <cell r="D260">
            <v>23100</v>
          </cell>
        </row>
        <row r="261">
          <cell r="D261">
            <v>525</v>
          </cell>
        </row>
        <row r="262">
          <cell r="D262">
            <v>630</v>
          </cell>
        </row>
        <row r="263">
          <cell r="D263">
            <v>12600</v>
          </cell>
        </row>
        <row r="264">
          <cell r="D264">
            <v>7350</v>
          </cell>
        </row>
        <row r="265">
          <cell r="D265">
            <v>18375</v>
          </cell>
        </row>
        <row r="266">
          <cell r="D266">
            <v>26208</v>
          </cell>
        </row>
        <row r="267">
          <cell r="D267">
            <v>2625</v>
          </cell>
        </row>
        <row r="268">
          <cell r="D268">
            <v>1260</v>
          </cell>
        </row>
        <row r="269">
          <cell r="D269">
            <v>100800</v>
          </cell>
        </row>
        <row r="270">
          <cell r="D270">
            <v>7875</v>
          </cell>
        </row>
        <row r="271">
          <cell r="D271">
            <v>2142</v>
          </cell>
        </row>
        <row r="272">
          <cell r="D272">
            <v>2520</v>
          </cell>
        </row>
        <row r="273">
          <cell r="D273">
            <v>15750</v>
          </cell>
        </row>
        <row r="274">
          <cell r="D274">
            <v>5040</v>
          </cell>
        </row>
        <row r="275">
          <cell r="D275">
            <v>414.75</v>
          </cell>
        </row>
        <row r="276">
          <cell r="D276">
            <v>2205</v>
          </cell>
        </row>
        <row r="277">
          <cell r="D277">
            <v>409.5</v>
          </cell>
        </row>
        <row r="278">
          <cell r="D278">
            <v>1942.5</v>
          </cell>
        </row>
        <row r="279">
          <cell r="D279">
            <v>540.75</v>
          </cell>
        </row>
        <row r="280">
          <cell r="D280">
            <v>955.5</v>
          </cell>
        </row>
        <row r="281">
          <cell r="D281">
            <v>955.5</v>
          </cell>
        </row>
        <row r="282">
          <cell r="D282">
            <v>27588.960000000003</v>
          </cell>
        </row>
        <row r="283">
          <cell r="D283">
            <v>26250</v>
          </cell>
        </row>
        <row r="284">
          <cell r="D284">
            <v>5250</v>
          </cell>
        </row>
        <row r="285">
          <cell r="D285">
            <v>26250</v>
          </cell>
        </row>
        <row r="286">
          <cell r="D286">
            <v>2898</v>
          </cell>
        </row>
        <row r="287">
          <cell r="D287">
            <v>3150</v>
          </cell>
        </row>
        <row r="288">
          <cell r="D288">
            <v>315000</v>
          </cell>
        </row>
        <row r="289">
          <cell r="D289">
            <v>5250</v>
          </cell>
        </row>
        <row r="290">
          <cell r="D290">
            <v>5250</v>
          </cell>
        </row>
        <row r="291">
          <cell r="D291">
            <v>26250</v>
          </cell>
        </row>
        <row r="292">
          <cell r="D292">
            <v>1575</v>
          </cell>
        </row>
        <row r="293">
          <cell r="D293">
            <v>1575</v>
          </cell>
        </row>
        <row r="294">
          <cell r="D294">
            <v>1575</v>
          </cell>
        </row>
        <row r="295">
          <cell r="D295">
            <v>3150</v>
          </cell>
        </row>
        <row r="296">
          <cell r="D296">
            <v>1575</v>
          </cell>
        </row>
        <row r="297">
          <cell r="D297">
            <v>1260</v>
          </cell>
        </row>
        <row r="298">
          <cell r="D298">
            <v>157500</v>
          </cell>
        </row>
        <row r="299">
          <cell r="D299">
            <v>1134</v>
          </cell>
        </row>
        <row r="300">
          <cell r="D300">
            <v>2053.8000000000002</v>
          </cell>
        </row>
        <row r="301">
          <cell r="D301">
            <v>2847.6</v>
          </cell>
        </row>
        <row r="302">
          <cell r="D302">
            <v>7106.4000000000005</v>
          </cell>
        </row>
        <row r="303">
          <cell r="D303">
            <v>1008</v>
          </cell>
        </row>
        <row r="304">
          <cell r="D304">
            <v>2759.4</v>
          </cell>
        </row>
        <row r="305">
          <cell r="D305">
            <v>2394</v>
          </cell>
        </row>
        <row r="306">
          <cell r="D306">
            <v>2003.4</v>
          </cell>
        </row>
        <row r="307">
          <cell r="D307">
            <v>1638</v>
          </cell>
        </row>
        <row r="308">
          <cell r="D308">
            <v>3717</v>
          </cell>
        </row>
        <row r="309">
          <cell r="D309">
            <v>3465</v>
          </cell>
        </row>
        <row r="310">
          <cell r="D310">
            <v>1134</v>
          </cell>
        </row>
        <row r="311">
          <cell r="D311">
            <v>1701</v>
          </cell>
        </row>
        <row r="312">
          <cell r="D312">
            <v>4914</v>
          </cell>
        </row>
        <row r="313">
          <cell r="D313">
            <v>2835</v>
          </cell>
        </row>
        <row r="314">
          <cell r="D314">
            <v>2079</v>
          </cell>
        </row>
        <row r="315">
          <cell r="D315">
            <v>1386</v>
          </cell>
        </row>
        <row r="316">
          <cell r="D316">
            <v>18900</v>
          </cell>
        </row>
        <row r="317">
          <cell r="D317">
            <v>2520</v>
          </cell>
        </row>
        <row r="318">
          <cell r="D318">
            <v>1575</v>
          </cell>
        </row>
        <row r="319">
          <cell r="D319">
            <v>1890</v>
          </cell>
        </row>
        <row r="320">
          <cell r="D320">
            <v>44100</v>
          </cell>
        </row>
        <row r="321">
          <cell r="D321">
            <v>2625000</v>
          </cell>
        </row>
        <row r="322">
          <cell r="D322">
            <v>26250</v>
          </cell>
        </row>
        <row r="323">
          <cell r="D323">
            <v>31500</v>
          </cell>
        </row>
        <row r="324">
          <cell r="D324">
            <v>11025</v>
          </cell>
        </row>
        <row r="325">
          <cell r="D325">
            <v>4200000</v>
          </cell>
        </row>
        <row r="326">
          <cell r="D326">
            <v>472500</v>
          </cell>
        </row>
        <row r="327">
          <cell r="D327">
            <v>367500</v>
          </cell>
        </row>
        <row r="328">
          <cell r="D328">
            <v>603750</v>
          </cell>
        </row>
        <row r="329">
          <cell r="D329">
            <v>603750</v>
          </cell>
        </row>
        <row r="330">
          <cell r="D330">
            <v>525</v>
          </cell>
        </row>
        <row r="331">
          <cell r="D331">
            <v>23625</v>
          </cell>
        </row>
        <row r="332">
          <cell r="D332">
            <v>15750</v>
          </cell>
        </row>
        <row r="333">
          <cell r="D333">
            <v>210000</v>
          </cell>
        </row>
        <row r="334">
          <cell r="D334">
            <v>210000</v>
          </cell>
        </row>
        <row r="335">
          <cell r="D335">
            <v>210000</v>
          </cell>
        </row>
        <row r="336">
          <cell r="D336">
            <v>210000</v>
          </cell>
        </row>
        <row r="337">
          <cell r="D337">
            <v>210000</v>
          </cell>
        </row>
        <row r="338">
          <cell r="D338">
            <v>157500</v>
          </cell>
        </row>
        <row r="339">
          <cell r="D339">
            <v>47250</v>
          </cell>
        </row>
        <row r="340">
          <cell r="D340">
            <v>15750</v>
          </cell>
        </row>
        <row r="341">
          <cell r="D341">
            <v>78750</v>
          </cell>
        </row>
        <row r="342">
          <cell r="D342">
            <v>9450</v>
          </cell>
        </row>
        <row r="343">
          <cell r="D343">
            <v>7875</v>
          </cell>
        </row>
        <row r="344">
          <cell r="D344">
            <v>9450</v>
          </cell>
        </row>
        <row r="345">
          <cell r="D345">
            <v>52500</v>
          </cell>
        </row>
        <row r="346">
          <cell r="D346">
            <v>5250</v>
          </cell>
        </row>
        <row r="347">
          <cell r="D347">
            <v>315</v>
          </cell>
        </row>
        <row r="348">
          <cell r="D348">
            <v>315</v>
          </cell>
        </row>
        <row r="349">
          <cell r="D349">
            <v>2625</v>
          </cell>
        </row>
        <row r="350">
          <cell r="D350">
            <v>50925</v>
          </cell>
        </row>
        <row r="351">
          <cell r="D351">
            <v>31500</v>
          </cell>
        </row>
        <row r="352">
          <cell r="D352">
            <v>39375</v>
          </cell>
        </row>
        <row r="353">
          <cell r="D353">
            <v>23625</v>
          </cell>
        </row>
        <row r="354">
          <cell r="D354">
            <v>23625</v>
          </cell>
        </row>
        <row r="355">
          <cell r="D355">
            <v>39375</v>
          </cell>
        </row>
        <row r="356">
          <cell r="D356">
            <v>15750</v>
          </cell>
        </row>
        <row r="357">
          <cell r="D357">
            <v>47250</v>
          </cell>
        </row>
        <row r="358">
          <cell r="D358">
            <v>70875</v>
          </cell>
        </row>
        <row r="359">
          <cell r="D359">
            <v>15750</v>
          </cell>
        </row>
        <row r="360">
          <cell r="D360">
            <v>23625</v>
          </cell>
        </row>
        <row r="361">
          <cell r="D361">
            <v>39375</v>
          </cell>
        </row>
        <row r="362">
          <cell r="D362">
            <v>23625</v>
          </cell>
        </row>
        <row r="363">
          <cell r="D363">
            <v>15750</v>
          </cell>
        </row>
        <row r="364">
          <cell r="D364">
            <v>39375</v>
          </cell>
        </row>
        <row r="365">
          <cell r="D365">
            <v>15750</v>
          </cell>
        </row>
        <row r="366">
          <cell r="D366">
            <v>7875</v>
          </cell>
        </row>
        <row r="367">
          <cell r="D367">
            <v>10500</v>
          </cell>
        </row>
        <row r="368">
          <cell r="D368">
            <v>23625</v>
          </cell>
        </row>
        <row r="369">
          <cell r="D369">
            <v>23625</v>
          </cell>
        </row>
        <row r="370">
          <cell r="D370">
            <v>23625</v>
          </cell>
        </row>
        <row r="371">
          <cell r="D371">
            <v>3150</v>
          </cell>
        </row>
        <row r="372">
          <cell r="D372">
            <v>7875</v>
          </cell>
        </row>
        <row r="373">
          <cell r="D373">
            <v>2100</v>
          </cell>
        </row>
        <row r="374">
          <cell r="D374">
            <v>10500</v>
          </cell>
        </row>
        <row r="375">
          <cell r="D375">
            <v>2362.5</v>
          </cell>
        </row>
        <row r="376">
          <cell r="D376">
            <v>630</v>
          </cell>
        </row>
        <row r="377">
          <cell r="D377">
            <v>5250</v>
          </cell>
        </row>
        <row r="378">
          <cell r="D378">
            <v>17325</v>
          </cell>
        </row>
        <row r="379">
          <cell r="D379">
            <v>14878.5</v>
          </cell>
        </row>
        <row r="380">
          <cell r="D380">
            <v>35700</v>
          </cell>
        </row>
        <row r="381">
          <cell r="D381">
            <v>84000</v>
          </cell>
        </row>
        <row r="382">
          <cell r="D382">
            <v>23625</v>
          </cell>
        </row>
        <row r="383">
          <cell r="D383">
            <v>14143.5</v>
          </cell>
        </row>
        <row r="384">
          <cell r="D384">
            <v>13650</v>
          </cell>
        </row>
        <row r="385">
          <cell r="D385">
            <v>36582</v>
          </cell>
        </row>
        <row r="386">
          <cell r="D386">
            <v>262500</v>
          </cell>
        </row>
        <row r="387">
          <cell r="D387">
            <v>8820</v>
          </cell>
        </row>
        <row r="388">
          <cell r="D388">
            <v>6300</v>
          </cell>
        </row>
        <row r="389">
          <cell r="D389">
            <v>1050000</v>
          </cell>
        </row>
        <row r="390">
          <cell r="D390">
            <v>2100</v>
          </cell>
        </row>
        <row r="391">
          <cell r="D391">
            <v>3780</v>
          </cell>
        </row>
        <row r="392">
          <cell r="D392">
            <v>10500</v>
          </cell>
        </row>
        <row r="393">
          <cell r="D393">
            <v>92400</v>
          </cell>
        </row>
        <row r="394">
          <cell r="D394">
            <v>22233.75</v>
          </cell>
        </row>
        <row r="395">
          <cell r="D395">
            <v>69300</v>
          </cell>
        </row>
        <row r="396">
          <cell r="D396">
            <v>28586.25</v>
          </cell>
        </row>
        <row r="397">
          <cell r="D397">
            <v>21393.75</v>
          </cell>
        </row>
        <row r="398">
          <cell r="D398">
            <v>20643</v>
          </cell>
        </row>
        <row r="399">
          <cell r="D399">
            <v>47355</v>
          </cell>
        </row>
        <row r="400">
          <cell r="D400">
            <v>69877.5</v>
          </cell>
        </row>
        <row r="401">
          <cell r="D401">
            <v>315000</v>
          </cell>
        </row>
        <row r="402">
          <cell r="D402">
            <v>83160</v>
          </cell>
        </row>
        <row r="403">
          <cell r="D403">
            <v>176400</v>
          </cell>
        </row>
        <row r="404">
          <cell r="D404">
            <v>41580</v>
          </cell>
        </row>
        <row r="405">
          <cell r="D405">
            <v>31500</v>
          </cell>
        </row>
        <row r="406">
          <cell r="D406">
            <v>69300</v>
          </cell>
        </row>
        <row r="407">
          <cell r="D407">
            <v>63000</v>
          </cell>
        </row>
        <row r="408">
          <cell r="D408">
            <v>18900</v>
          </cell>
        </row>
        <row r="409">
          <cell r="D409">
            <v>19692.75</v>
          </cell>
        </row>
        <row r="410">
          <cell r="D410">
            <v>18900</v>
          </cell>
        </row>
        <row r="411">
          <cell r="D411">
            <v>27562.5</v>
          </cell>
        </row>
        <row r="412">
          <cell r="D412">
            <v>158760</v>
          </cell>
        </row>
        <row r="413">
          <cell r="D413">
            <v>23940</v>
          </cell>
        </row>
        <row r="414">
          <cell r="D414">
            <v>44100</v>
          </cell>
        </row>
        <row r="415">
          <cell r="D415">
            <v>23824.5</v>
          </cell>
        </row>
        <row r="416">
          <cell r="D416">
            <v>27562.5</v>
          </cell>
        </row>
        <row r="417">
          <cell r="D417">
            <v>56385</v>
          </cell>
        </row>
        <row r="418">
          <cell r="D418">
            <v>44100</v>
          </cell>
        </row>
        <row r="419">
          <cell r="D419">
            <v>44100</v>
          </cell>
        </row>
        <row r="420">
          <cell r="D420">
            <v>15881.25</v>
          </cell>
        </row>
        <row r="421">
          <cell r="D421">
            <v>19897.5</v>
          </cell>
        </row>
        <row r="422">
          <cell r="D422">
            <v>15750</v>
          </cell>
        </row>
        <row r="423">
          <cell r="D423">
            <v>25410</v>
          </cell>
        </row>
        <row r="424">
          <cell r="D424">
            <v>25410</v>
          </cell>
        </row>
        <row r="425">
          <cell r="D425">
            <v>13650</v>
          </cell>
        </row>
        <row r="426">
          <cell r="D426">
            <v>20643</v>
          </cell>
        </row>
        <row r="427">
          <cell r="D427">
            <v>42550.200000000004</v>
          </cell>
        </row>
        <row r="428">
          <cell r="D428">
            <v>945000</v>
          </cell>
        </row>
        <row r="429">
          <cell r="D429">
            <v>97020</v>
          </cell>
        </row>
        <row r="430">
          <cell r="D430">
            <v>228690</v>
          </cell>
        </row>
        <row r="431">
          <cell r="D431">
            <v>252000</v>
          </cell>
        </row>
        <row r="432">
          <cell r="D432">
            <v>187110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sheetName val="СПЕЦИФИКАЦИЯ"/>
      <sheetName val="Коррект_специф"/>
      <sheetName val="Лист4"/>
    </sheetNames>
    <sheetDataSet>
      <sheetData sheetId="0"/>
      <sheetData sheetId="1"/>
      <sheetData sheetId="2"/>
      <sheetData sheetId="3">
        <row r="5">
          <cell r="D5">
            <v>152500</v>
          </cell>
        </row>
        <row r="6">
          <cell r="D6">
            <v>231800</v>
          </cell>
        </row>
        <row r="7">
          <cell r="D7">
            <v>2196</v>
          </cell>
        </row>
        <row r="8">
          <cell r="D8">
            <v>250100</v>
          </cell>
        </row>
        <row r="9">
          <cell r="D9">
            <v>70760</v>
          </cell>
        </row>
        <row r="10">
          <cell r="D10">
            <v>2074</v>
          </cell>
        </row>
        <row r="11">
          <cell r="D11">
            <v>18300</v>
          </cell>
        </row>
        <row r="12">
          <cell r="D12">
            <v>48800</v>
          </cell>
        </row>
        <row r="13">
          <cell r="D13">
            <v>21106</v>
          </cell>
        </row>
        <row r="14">
          <cell r="D14">
            <v>610000</v>
          </cell>
        </row>
        <row r="15">
          <cell r="D15">
            <v>786900</v>
          </cell>
        </row>
        <row r="16">
          <cell r="D16">
            <v>176900</v>
          </cell>
        </row>
        <row r="17">
          <cell r="D17">
            <v>366000</v>
          </cell>
        </row>
        <row r="18">
          <cell r="D18">
            <v>54900</v>
          </cell>
        </row>
        <row r="19">
          <cell r="D19">
            <v>793000</v>
          </cell>
        </row>
        <row r="20">
          <cell r="D20">
            <v>122000</v>
          </cell>
        </row>
        <row r="21">
          <cell r="D21">
            <v>213500</v>
          </cell>
        </row>
        <row r="22">
          <cell r="D22">
            <v>219600</v>
          </cell>
        </row>
        <row r="23">
          <cell r="D23">
            <v>225700</v>
          </cell>
        </row>
        <row r="24">
          <cell r="D24">
            <v>244000</v>
          </cell>
        </row>
        <row r="25">
          <cell r="D25">
            <v>549000</v>
          </cell>
        </row>
        <row r="26">
          <cell r="D26">
            <v>915000</v>
          </cell>
        </row>
        <row r="27">
          <cell r="D27">
            <v>77470</v>
          </cell>
        </row>
        <row r="28">
          <cell r="D28">
            <v>85400</v>
          </cell>
        </row>
        <row r="29">
          <cell r="D29">
            <v>103700</v>
          </cell>
        </row>
        <row r="30">
          <cell r="D30">
            <v>1085800</v>
          </cell>
        </row>
        <row r="31">
          <cell r="D31">
            <v>97600</v>
          </cell>
        </row>
        <row r="32">
          <cell r="D32">
            <v>122000</v>
          </cell>
        </row>
        <row r="33">
          <cell r="D33">
            <v>128100</v>
          </cell>
        </row>
        <row r="34">
          <cell r="D34">
            <v>61000</v>
          </cell>
        </row>
        <row r="35">
          <cell r="D35">
            <v>103700</v>
          </cell>
        </row>
        <row r="36">
          <cell r="D36">
            <v>97600</v>
          </cell>
        </row>
        <row r="37">
          <cell r="D37">
            <v>793000</v>
          </cell>
        </row>
        <row r="38">
          <cell r="D38">
            <v>20740</v>
          </cell>
        </row>
        <row r="39">
          <cell r="D39">
            <v>24400</v>
          </cell>
        </row>
        <row r="40">
          <cell r="D40">
            <v>24400</v>
          </cell>
        </row>
        <row r="41">
          <cell r="D41">
            <v>30500</v>
          </cell>
        </row>
        <row r="42">
          <cell r="D42">
            <v>31110</v>
          </cell>
        </row>
        <row r="43">
          <cell r="D43">
            <v>1464000</v>
          </cell>
        </row>
        <row r="44">
          <cell r="D44">
            <v>768600</v>
          </cell>
        </row>
        <row r="45">
          <cell r="D45">
            <v>768600</v>
          </cell>
        </row>
        <row r="46">
          <cell r="D46">
            <v>768600</v>
          </cell>
        </row>
        <row r="47">
          <cell r="D47">
            <v>2562000</v>
          </cell>
        </row>
        <row r="48">
          <cell r="D48">
            <v>671000</v>
          </cell>
        </row>
        <row r="49">
          <cell r="D49">
            <v>109800</v>
          </cell>
        </row>
        <row r="50">
          <cell r="D50">
            <v>109800</v>
          </cell>
        </row>
        <row r="51">
          <cell r="D51">
            <v>207400</v>
          </cell>
        </row>
        <row r="52">
          <cell r="D52">
            <v>109800</v>
          </cell>
        </row>
        <row r="53">
          <cell r="D53">
            <v>109800</v>
          </cell>
        </row>
        <row r="54">
          <cell r="D54">
            <v>1098000</v>
          </cell>
        </row>
        <row r="55">
          <cell r="D55">
            <v>109800</v>
          </cell>
        </row>
        <row r="56">
          <cell r="D56">
            <v>195200</v>
          </cell>
        </row>
        <row r="57">
          <cell r="D57">
            <v>14640</v>
          </cell>
        </row>
        <row r="58">
          <cell r="D58">
            <v>30500</v>
          </cell>
        </row>
        <row r="59">
          <cell r="D59">
            <v>30500</v>
          </cell>
        </row>
        <row r="60">
          <cell r="D60">
            <v>793000</v>
          </cell>
        </row>
        <row r="61">
          <cell r="D61">
            <v>1342000</v>
          </cell>
        </row>
        <row r="62">
          <cell r="D62">
            <v>317200</v>
          </cell>
        </row>
        <row r="63">
          <cell r="D63">
            <v>170800</v>
          </cell>
        </row>
        <row r="64">
          <cell r="D64">
            <v>549000</v>
          </cell>
        </row>
        <row r="65">
          <cell r="D65">
            <v>54900</v>
          </cell>
        </row>
        <row r="66">
          <cell r="D66">
            <v>2074</v>
          </cell>
        </row>
        <row r="67">
          <cell r="D67">
            <v>14030</v>
          </cell>
        </row>
        <row r="68">
          <cell r="D68">
            <v>30500</v>
          </cell>
        </row>
        <row r="69">
          <cell r="D69">
            <v>10980000</v>
          </cell>
        </row>
        <row r="70">
          <cell r="D70">
            <v>15860000</v>
          </cell>
        </row>
        <row r="71">
          <cell r="D71">
            <v>6710000</v>
          </cell>
        </row>
        <row r="72">
          <cell r="D72">
            <v>488000</v>
          </cell>
        </row>
        <row r="73">
          <cell r="D73">
            <v>36600</v>
          </cell>
        </row>
        <row r="74">
          <cell r="D74">
            <v>841800</v>
          </cell>
        </row>
        <row r="75">
          <cell r="D75">
            <v>7320</v>
          </cell>
        </row>
        <row r="76">
          <cell r="D76">
            <v>15860</v>
          </cell>
        </row>
        <row r="77">
          <cell r="D77">
            <v>12200</v>
          </cell>
        </row>
        <row r="78">
          <cell r="D78">
            <v>12200</v>
          </cell>
        </row>
        <row r="79">
          <cell r="D79">
            <v>14091</v>
          </cell>
        </row>
        <row r="80">
          <cell r="D80">
            <v>488000</v>
          </cell>
        </row>
        <row r="81">
          <cell r="D81">
            <v>1220000</v>
          </cell>
        </row>
        <row r="82">
          <cell r="D82">
            <v>122000</v>
          </cell>
        </row>
        <row r="83">
          <cell r="D83">
            <v>79300</v>
          </cell>
        </row>
        <row r="84">
          <cell r="D84">
            <v>36600</v>
          </cell>
        </row>
        <row r="85">
          <cell r="D85">
            <v>10980</v>
          </cell>
        </row>
        <row r="86">
          <cell r="D86">
            <v>61000</v>
          </cell>
        </row>
        <row r="87">
          <cell r="D87">
            <v>189100</v>
          </cell>
        </row>
        <row r="88">
          <cell r="D88">
            <v>244000</v>
          </cell>
        </row>
        <row r="89">
          <cell r="D89">
            <v>30500</v>
          </cell>
        </row>
        <row r="90">
          <cell r="D90">
            <v>7320</v>
          </cell>
        </row>
        <row r="91">
          <cell r="D91">
            <v>42700</v>
          </cell>
        </row>
        <row r="92">
          <cell r="D92">
            <v>42700</v>
          </cell>
        </row>
        <row r="93">
          <cell r="D93">
            <v>146400</v>
          </cell>
        </row>
        <row r="94">
          <cell r="D94">
            <v>463600</v>
          </cell>
        </row>
        <row r="95">
          <cell r="D95">
            <v>353800</v>
          </cell>
        </row>
        <row r="96">
          <cell r="D96">
            <v>24400</v>
          </cell>
        </row>
        <row r="97">
          <cell r="D97">
            <v>3172</v>
          </cell>
        </row>
        <row r="98">
          <cell r="D98">
            <v>146400</v>
          </cell>
        </row>
        <row r="99">
          <cell r="D99">
            <v>128100</v>
          </cell>
        </row>
        <row r="100">
          <cell r="D100">
            <v>128100</v>
          </cell>
        </row>
        <row r="101">
          <cell r="D101">
            <v>366000</v>
          </cell>
        </row>
        <row r="102">
          <cell r="D102">
            <v>793000</v>
          </cell>
        </row>
        <row r="103">
          <cell r="D103">
            <v>244000</v>
          </cell>
        </row>
        <row r="104">
          <cell r="D104">
            <v>122000</v>
          </cell>
        </row>
        <row r="105">
          <cell r="D105">
            <v>103700</v>
          </cell>
        </row>
        <row r="106">
          <cell r="D106">
            <v>134200</v>
          </cell>
        </row>
        <row r="107">
          <cell r="D107">
            <v>20130</v>
          </cell>
        </row>
        <row r="108">
          <cell r="D108">
            <v>463.59999999999997</v>
          </cell>
        </row>
        <row r="109">
          <cell r="D109">
            <v>5490</v>
          </cell>
        </row>
        <row r="110">
          <cell r="D110">
            <v>2440</v>
          </cell>
        </row>
        <row r="111">
          <cell r="D111">
            <v>2684</v>
          </cell>
        </row>
        <row r="112">
          <cell r="D112">
            <v>2379000</v>
          </cell>
        </row>
        <row r="113">
          <cell r="D113">
            <v>4880</v>
          </cell>
        </row>
        <row r="114">
          <cell r="D114">
            <v>976</v>
          </cell>
        </row>
        <row r="115">
          <cell r="D115">
            <v>6710</v>
          </cell>
        </row>
        <row r="116">
          <cell r="D116">
            <v>17080</v>
          </cell>
        </row>
        <row r="117">
          <cell r="D117">
            <v>158.6</v>
          </cell>
        </row>
        <row r="118">
          <cell r="D118">
            <v>2684</v>
          </cell>
        </row>
        <row r="119">
          <cell r="D119">
            <v>11834</v>
          </cell>
        </row>
        <row r="120">
          <cell r="D120">
            <v>8540</v>
          </cell>
        </row>
        <row r="121">
          <cell r="D121">
            <v>2074</v>
          </cell>
        </row>
        <row r="122">
          <cell r="D122">
            <v>6954</v>
          </cell>
        </row>
        <row r="123">
          <cell r="D123">
            <v>122</v>
          </cell>
        </row>
        <row r="124">
          <cell r="D124">
            <v>19520</v>
          </cell>
        </row>
        <row r="125">
          <cell r="D125">
            <v>18300</v>
          </cell>
        </row>
        <row r="126">
          <cell r="D126">
            <v>85400</v>
          </cell>
        </row>
        <row r="127">
          <cell r="D127">
            <v>122000</v>
          </cell>
        </row>
        <row r="128">
          <cell r="D128">
            <v>610000</v>
          </cell>
        </row>
        <row r="129">
          <cell r="D129">
            <v>8540</v>
          </cell>
        </row>
        <row r="130">
          <cell r="D130">
            <v>6954</v>
          </cell>
        </row>
        <row r="131">
          <cell r="D131">
            <v>2806</v>
          </cell>
        </row>
        <row r="132">
          <cell r="D132">
            <v>6954</v>
          </cell>
        </row>
        <row r="133">
          <cell r="D133">
            <v>32330</v>
          </cell>
        </row>
        <row r="134">
          <cell r="D134">
            <v>32940</v>
          </cell>
        </row>
        <row r="135">
          <cell r="D135">
            <v>34160</v>
          </cell>
        </row>
        <row r="136">
          <cell r="D136">
            <v>34770</v>
          </cell>
        </row>
        <row r="137">
          <cell r="D137">
            <v>21350</v>
          </cell>
        </row>
        <row r="138">
          <cell r="D138">
            <v>52460</v>
          </cell>
        </row>
        <row r="139">
          <cell r="D139">
            <v>93940</v>
          </cell>
        </row>
        <row r="140">
          <cell r="D140">
            <v>6954</v>
          </cell>
        </row>
        <row r="141">
          <cell r="D141">
            <v>21960</v>
          </cell>
        </row>
        <row r="142">
          <cell r="D142">
            <v>52826</v>
          </cell>
        </row>
        <row r="143">
          <cell r="D143">
            <v>3538</v>
          </cell>
        </row>
        <row r="144">
          <cell r="D144">
            <v>5124</v>
          </cell>
        </row>
        <row r="145">
          <cell r="D145">
            <v>6100</v>
          </cell>
        </row>
        <row r="146">
          <cell r="D146">
            <v>30500</v>
          </cell>
        </row>
        <row r="147">
          <cell r="D147">
            <v>21350</v>
          </cell>
        </row>
        <row r="148">
          <cell r="D148">
            <v>63440</v>
          </cell>
        </row>
        <row r="149">
          <cell r="D149">
            <v>7320</v>
          </cell>
        </row>
        <row r="150">
          <cell r="D150">
            <v>32330</v>
          </cell>
        </row>
        <row r="151">
          <cell r="D151">
            <v>695.4</v>
          </cell>
        </row>
        <row r="152">
          <cell r="D152">
            <v>1830</v>
          </cell>
        </row>
        <row r="153">
          <cell r="D153">
            <v>268.39999999999998</v>
          </cell>
        </row>
        <row r="154">
          <cell r="D154">
            <v>549</v>
          </cell>
        </row>
        <row r="155">
          <cell r="D155">
            <v>793</v>
          </cell>
        </row>
        <row r="156">
          <cell r="D156">
            <v>610</v>
          </cell>
        </row>
        <row r="157">
          <cell r="D157">
            <v>732</v>
          </cell>
        </row>
        <row r="158">
          <cell r="D158">
            <v>976</v>
          </cell>
        </row>
        <row r="159">
          <cell r="D159">
            <v>353.8</v>
          </cell>
        </row>
        <row r="160">
          <cell r="D160">
            <v>305</v>
          </cell>
        </row>
        <row r="161">
          <cell r="D161">
            <v>549</v>
          </cell>
        </row>
        <row r="162">
          <cell r="D162">
            <v>1037</v>
          </cell>
        </row>
        <row r="163">
          <cell r="D163">
            <v>1098</v>
          </cell>
        </row>
        <row r="164">
          <cell r="D164">
            <v>732</v>
          </cell>
        </row>
        <row r="165">
          <cell r="D165">
            <v>854</v>
          </cell>
        </row>
        <row r="166">
          <cell r="D166">
            <v>854</v>
          </cell>
        </row>
        <row r="167">
          <cell r="D167">
            <v>488</v>
          </cell>
        </row>
        <row r="168">
          <cell r="D168">
            <v>366</v>
          </cell>
        </row>
        <row r="169">
          <cell r="D169">
            <v>317.2</v>
          </cell>
        </row>
        <row r="170">
          <cell r="D170">
            <v>622.19999999999993</v>
          </cell>
        </row>
        <row r="171">
          <cell r="D171">
            <v>329.4</v>
          </cell>
        </row>
        <row r="172">
          <cell r="D172">
            <v>550</v>
          </cell>
        </row>
        <row r="173">
          <cell r="D173">
            <v>1098</v>
          </cell>
        </row>
        <row r="174">
          <cell r="D174">
            <v>16470</v>
          </cell>
        </row>
        <row r="175">
          <cell r="D175">
            <v>4514</v>
          </cell>
        </row>
        <row r="176">
          <cell r="D176">
            <v>4270</v>
          </cell>
        </row>
        <row r="177">
          <cell r="D177">
            <v>4880</v>
          </cell>
        </row>
        <row r="178">
          <cell r="D178">
            <v>3660</v>
          </cell>
        </row>
        <row r="179">
          <cell r="D179">
            <v>3660</v>
          </cell>
        </row>
        <row r="180">
          <cell r="D180">
            <v>3660</v>
          </cell>
        </row>
        <row r="181">
          <cell r="D181">
            <v>4636</v>
          </cell>
        </row>
        <row r="182">
          <cell r="D182">
            <v>3660</v>
          </cell>
        </row>
        <row r="183">
          <cell r="D183">
            <v>4270</v>
          </cell>
        </row>
        <row r="184">
          <cell r="D184">
            <v>6100</v>
          </cell>
        </row>
        <row r="185">
          <cell r="D185">
            <v>1464</v>
          </cell>
        </row>
        <row r="186">
          <cell r="D186">
            <v>10370</v>
          </cell>
        </row>
        <row r="187">
          <cell r="D187">
            <v>10980</v>
          </cell>
        </row>
        <row r="188">
          <cell r="D188">
            <v>13420</v>
          </cell>
        </row>
        <row r="189">
          <cell r="D189">
            <v>10980</v>
          </cell>
        </row>
        <row r="190">
          <cell r="D190">
            <v>9760</v>
          </cell>
        </row>
        <row r="191">
          <cell r="D191">
            <v>6710</v>
          </cell>
        </row>
        <row r="192">
          <cell r="D192">
            <v>4758</v>
          </cell>
        </row>
        <row r="193">
          <cell r="D193">
            <v>6710</v>
          </cell>
        </row>
        <row r="194">
          <cell r="D194">
            <v>8296</v>
          </cell>
        </row>
        <row r="195">
          <cell r="D195">
            <v>488</v>
          </cell>
        </row>
        <row r="196">
          <cell r="D196">
            <v>549</v>
          </cell>
        </row>
        <row r="197">
          <cell r="D197">
            <v>427</v>
          </cell>
        </row>
        <row r="198">
          <cell r="D198">
            <v>488</v>
          </cell>
        </row>
        <row r="199">
          <cell r="D199">
            <v>2440</v>
          </cell>
        </row>
        <row r="200">
          <cell r="D200">
            <v>427</v>
          </cell>
        </row>
        <row r="201">
          <cell r="D201">
            <v>390.4</v>
          </cell>
        </row>
        <row r="202">
          <cell r="D202">
            <v>439.2</v>
          </cell>
        </row>
        <row r="203">
          <cell r="D203">
            <v>793</v>
          </cell>
        </row>
        <row r="204">
          <cell r="D204">
            <v>512.4</v>
          </cell>
        </row>
        <row r="205">
          <cell r="D205">
            <v>366</v>
          </cell>
        </row>
        <row r="206">
          <cell r="D206">
            <v>451.4</v>
          </cell>
        </row>
        <row r="207">
          <cell r="D207">
            <v>402.59999999999997</v>
          </cell>
        </row>
        <row r="208">
          <cell r="D208">
            <v>341.59999999999997</v>
          </cell>
        </row>
        <row r="209">
          <cell r="D209">
            <v>732</v>
          </cell>
        </row>
        <row r="210">
          <cell r="D210">
            <v>390.4</v>
          </cell>
        </row>
        <row r="211">
          <cell r="D211">
            <v>317.2</v>
          </cell>
        </row>
        <row r="212">
          <cell r="D212">
            <v>390.4</v>
          </cell>
        </row>
        <row r="213">
          <cell r="D213">
            <v>427</v>
          </cell>
        </row>
        <row r="214">
          <cell r="D214">
            <v>366</v>
          </cell>
        </row>
        <row r="215">
          <cell r="D215">
            <v>280.59999999999997</v>
          </cell>
        </row>
        <row r="216">
          <cell r="D216">
            <v>366</v>
          </cell>
        </row>
        <row r="217">
          <cell r="D217">
            <v>231.79999999999998</v>
          </cell>
        </row>
        <row r="218">
          <cell r="D218">
            <v>463.59999999999997</v>
          </cell>
        </row>
        <row r="219">
          <cell r="D219">
            <v>573.4</v>
          </cell>
        </row>
        <row r="220">
          <cell r="D220">
            <v>390.4</v>
          </cell>
        </row>
        <row r="221">
          <cell r="D221">
            <v>805.19999999999993</v>
          </cell>
        </row>
        <row r="222">
          <cell r="D222">
            <v>4026</v>
          </cell>
        </row>
        <row r="223">
          <cell r="D223">
            <v>610</v>
          </cell>
        </row>
        <row r="224">
          <cell r="D224">
            <v>5612</v>
          </cell>
        </row>
        <row r="225">
          <cell r="D225">
            <v>4880</v>
          </cell>
        </row>
        <row r="226">
          <cell r="D226">
            <v>25254</v>
          </cell>
        </row>
        <row r="227">
          <cell r="D227">
            <v>42700</v>
          </cell>
        </row>
        <row r="228">
          <cell r="D228">
            <v>112850</v>
          </cell>
        </row>
        <row r="229">
          <cell r="D229">
            <v>122000</v>
          </cell>
        </row>
        <row r="230">
          <cell r="D230">
            <v>140910</v>
          </cell>
        </row>
        <row r="231">
          <cell r="D231">
            <v>56364</v>
          </cell>
        </row>
        <row r="232">
          <cell r="D232">
            <v>183000</v>
          </cell>
        </row>
        <row r="233">
          <cell r="D233">
            <v>30500</v>
          </cell>
        </row>
        <row r="234">
          <cell r="D234">
            <v>30500</v>
          </cell>
        </row>
        <row r="235">
          <cell r="D235">
            <v>30500</v>
          </cell>
        </row>
        <row r="236">
          <cell r="D236">
            <v>30500</v>
          </cell>
        </row>
        <row r="237">
          <cell r="D237">
            <v>30500</v>
          </cell>
        </row>
        <row r="238">
          <cell r="D238">
            <v>30500</v>
          </cell>
        </row>
        <row r="239">
          <cell r="D239">
            <v>7930</v>
          </cell>
        </row>
        <row r="240">
          <cell r="D240">
            <v>63440</v>
          </cell>
        </row>
        <row r="241">
          <cell r="D241">
            <v>61000</v>
          </cell>
        </row>
        <row r="242">
          <cell r="D242">
            <v>2196</v>
          </cell>
        </row>
        <row r="243">
          <cell r="D243">
            <v>2196</v>
          </cell>
        </row>
        <row r="244">
          <cell r="D244">
            <v>2318</v>
          </cell>
        </row>
        <row r="245">
          <cell r="D245">
            <v>2318</v>
          </cell>
        </row>
        <row r="246">
          <cell r="D246">
            <v>2318</v>
          </cell>
        </row>
        <row r="247">
          <cell r="D247">
            <v>54900</v>
          </cell>
        </row>
        <row r="248">
          <cell r="D248">
            <v>30500</v>
          </cell>
        </row>
        <row r="249">
          <cell r="D249">
            <v>79300</v>
          </cell>
        </row>
        <row r="250">
          <cell r="D250">
            <v>54900</v>
          </cell>
        </row>
        <row r="251">
          <cell r="D251">
            <v>30500</v>
          </cell>
        </row>
        <row r="252">
          <cell r="D252">
            <v>32940</v>
          </cell>
        </row>
        <row r="253">
          <cell r="D253">
            <v>54900</v>
          </cell>
        </row>
        <row r="254">
          <cell r="D254">
            <v>73200</v>
          </cell>
        </row>
        <row r="255">
          <cell r="D255">
            <v>20740</v>
          </cell>
        </row>
        <row r="256">
          <cell r="D256">
            <v>18300</v>
          </cell>
        </row>
        <row r="257">
          <cell r="D257">
            <v>18300</v>
          </cell>
        </row>
        <row r="258">
          <cell r="D258">
            <v>12200</v>
          </cell>
        </row>
        <row r="259">
          <cell r="D259">
            <v>2440</v>
          </cell>
        </row>
        <row r="260">
          <cell r="D260">
            <v>122</v>
          </cell>
        </row>
        <row r="261">
          <cell r="D261">
            <v>30500</v>
          </cell>
        </row>
        <row r="262">
          <cell r="D262">
            <v>732</v>
          </cell>
        </row>
        <row r="263">
          <cell r="D263">
            <v>854</v>
          </cell>
        </row>
        <row r="264">
          <cell r="D264">
            <v>19520</v>
          </cell>
        </row>
        <row r="265">
          <cell r="D265">
            <v>10980</v>
          </cell>
        </row>
        <row r="266">
          <cell r="D266">
            <v>21960</v>
          </cell>
        </row>
        <row r="267">
          <cell r="D267">
            <v>35380</v>
          </cell>
        </row>
        <row r="268">
          <cell r="D268">
            <v>3050</v>
          </cell>
        </row>
        <row r="269">
          <cell r="D269">
            <v>1830</v>
          </cell>
        </row>
        <row r="270">
          <cell r="D270">
            <v>134200</v>
          </cell>
        </row>
        <row r="271">
          <cell r="D271">
            <v>12200</v>
          </cell>
        </row>
        <row r="272">
          <cell r="D272">
            <v>2440</v>
          </cell>
        </row>
        <row r="273">
          <cell r="D273">
            <v>3294</v>
          </cell>
        </row>
        <row r="274">
          <cell r="D274">
            <v>20740</v>
          </cell>
        </row>
        <row r="275">
          <cell r="D275">
            <v>6710</v>
          </cell>
        </row>
        <row r="276">
          <cell r="D276">
            <v>549</v>
          </cell>
        </row>
        <row r="277">
          <cell r="D277">
            <v>3050</v>
          </cell>
        </row>
        <row r="278">
          <cell r="D278">
            <v>732</v>
          </cell>
        </row>
        <row r="279">
          <cell r="D279">
            <v>2562</v>
          </cell>
        </row>
        <row r="280">
          <cell r="D280">
            <v>732</v>
          </cell>
        </row>
        <row r="281">
          <cell r="D281">
            <v>1220</v>
          </cell>
        </row>
        <row r="282">
          <cell r="D282">
            <v>1098</v>
          </cell>
        </row>
        <row r="283">
          <cell r="D283">
            <v>42700</v>
          </cell>
        </row>
        <row r="284">
          <cell r="D284">
            <v>35380</v>
          </cell>
        </row>
        <row r="285">
          <cell r="D285">
            <v>6954</v>
          </cell>
        </row>
        <row r="286">
          <cell r="D286">
            <v>36600</v>
          </cell>
        </row>
        <row r="287">
          <cell r="D287">
            <v>3904</v>
          </cell>
        </row>
        <row r="288">
          <cell r="D288">
            <v>3660</v>
          </cell>
        </row>
        <row r="289">
          <cell r="D289">
            <v>366000</v>
          </cell>
        </row>
        <row r="290">
          <cell r="D290">
            <v>6710</v>
          </cell>
        </row>
        <row r="291">
          <cell r="D291">
            <v>6710</v>
          </cell>
        </row>
        <row r="292">
          <cell r="D292">
            <v>35136</v>
          </cell>
        </row>
        <row r="293">
          <cell r="D293">
            <v>1952</v>
          </cell>
        </row>
        <row r="294">
          <cell r="D294">
            <v>2074</v>
          </cell>
        </row>
        <row r="295">
          <cell r="D295">
            <v>2318</v>
          </cell>
        </row>
        <row r="296">
          <cell r="D296">
            <v>4270</v>
          </cell>
        </row>
        <row r="297">
          <cell r="D297">
            <v>2074</v>
          </cell>
        </row>
        <row r="298">
          <cell r="D298">
            <v>1586</v>
          </cell>
        </row>
        <row r="299">
          <cell r="D299">
            <v>207400</v>
          </cell>
        </row>
        <row r="300">
          <cell r="D300">
            <v>1586</v>
          </cell>
        </row>
        <row r="301">
          <cell r="D301">
            <v>2440</v>
          </cell>
        </row>
        <row r="302">
          <cell r="D302">
            <v>3416</v>
          </cell>
        </row>
        <row r="303">
          <cell r="D303">
            <v>9516</v>
          </cell>
        </row>
        <row r="304">
          <cell r="D304">
            <v>1220</v>
          </cell>
        </row>
        <row r="305">
          <cell r="D305">
            <v>3660</v>
          </cell>
        </row>
        <row r="306">
          <cell r="D306">
            <v>2806</v>
          </cell>
        </row>
        <row r="307">
          <cell r="D307">
            <v>2440</v>
          </cell>
        </row>
        <row r="308">
          <cell r="D308">
            <v>2196</v>
          </cell>
        </row>
        <row r="309">
          <cell r="D309">
            <v>5002</v>
          </cell>
        </row>
        <row r="310">
          <cell r="D310">
            <v>4636</v>
          </cell>
        </row>
        <row r="311">
          <cell r="D311">
            <v>1464</v>
          </cell>
        </row>
        <row r="312">
          <cell r="D312">
            <v>2318</v>
          </cell>
        </row>
        <row r="313">
          <cell r="D313">
            <v>6710</v>
          </cell>
        </row>
        <row r="314">
          <cell r="D314">
            <v>3416</v>
          </cell>
        </row>
        <row r="315">
          <cell r="D315">
            <v>2440</v>
          </cell>
        </row>
        <row r="316">
          <cell r="D316">
            <v>1830</v>
          </cell>
        </row>
        <row r="317">
          <cell r="D317">
            <v>23180</v>
          </cell>
        </row>
        <row r="318">
          <cell r="D318">
            <v>3294</v>
          </cell>
        </row>
        <row r="319">
          <cell r="D319">
            <v>2135</v>
          </cell>
        </row>
        <row r="320">
          <cell r="D320">
            <v>2440</v>
          </cell>
        </row>
        <row r="321">
          <cell r="D321">
            <v>59170</v>
          </cell>
        </row>
        <row r="322">
          <cell r="D322">
            <v>3416000</v>
          </cell>
        </row>
        <row r="323">
          <cell r="D323">
            <v>35258</v>
          </cell>
        </row>
        <row r="324">
          <cell r="D324">
            <v>42700</v>
          </cell>
        </row>
        <row r="325">
          <cell r="D325">
            <v>13420</v>
          </cell>
        </row>
        <row r="326">
          <cell r="D326">
            <v>5490000</v>
          </cell>
        </row>
        <row r="327">
          <cell r="D327">
            <v>634400</v>
          </cell>
        </row>
        <row r="328">
          <cell r="D328">
            <v>494100</v>
          </cell>
        </row>
        <row r="329">
          <cell r="D329">
            <v>732000</v>
          </cell>
        </row>
        <row r="330">
          <cell r="D330">
            <v>811300</v>
          </cell>
        </row>
        <row r="331">
          <cell r="D331">
            <v>628.29999999999995</v>
          </cell>
        </row>
        <row r="332">
          <cell r="D332">
            <v>31598</v>
          </cell>
        </row>
        <row r="333">
          <cell r="D333">
            <v>21106</v>
          </cell>
        </row>
        <row r="334">
          <cell r="D334">
            <v>244000</v>
          </cell>
        </row>
        <row r="335">
          <cell r="D335">
            <v>256200</v>
          </cell>
        </row>
        <row r="336">
          <cell r="D336">
            <v>244000</v>
          </cell>
        </row>
        <row r="337">
          <cell r="D337">
            <v>250100</v>
          </cell>
        </row>
        <row r="338">
          <cell r="D338">
            <v>305000</v>
          </cell>
        </row>
        <row r="339">
          <cell r="D339">
            <v>213500</v>
          </cell>
        </row>
        <row r="340">
          <cell r="D340">
            <v>63318</v>
          </cell>
        </row>
        <row r="341">
          <cell r="D341">
            <v>21106</v>
          </cell>
        </row>
        <row r="342">
          <cell r="D342">
            <v>103700</v>
          </cell>
        </row>
        <row r="343">
          <cell r="D343">
            <v>12200</v>
          </cell>
        </row>
        <row r="344">
          <cell r="D344">
            <v>10492</v>
          </cell>
        </row>
        <row r="345">
          <cell r="D345">
            <v>10980</v>
          </cell>
        </row>
        <row r="346">
          <cell r="D346">
            <v>70394</v>
          </cell>
        </row>
        <row r="347">
          <cell r="D347">
            <v>6100</v>
          </cell>
        </row>
        <row r="348">
          <cell r="D348">
            <v>427</v>
          </cell>
        </row>
        <row r="349">
          <cell r="D349">
            <v>366</v>
          </cell>
        </row>
        <row r="350">
          <cell r="D350">
            <v>3904</v>
          </cell>
        </row>
        <row r="351">
          <cell r="D351">
            <v>68320</v>
          </cell>
        </row>
        <row r="352">
          <cell r="D352">
            <v>42700</v>
          </cell>
        </row>
        <row r="353">
          <cell r="D353">
            <v>54900</v>
          </cell>
        </row>
        <row r="354">
          <cell r="D354">
            <v>32940</v>
          </cell>
        </row>
        <row r="355">
          <cell r="D355">
            <v>31232</v>
          </cell>
        </row>
        <row r="356">
          <cell r="D356">
            <v>52460</v>
          </cell>
        </row>
        <row r="357">
          <cell r="D357">
            <v>20740</v>
          </cell>
        </row>
        <row r="358">
          <cell r="D358">
            <v>63318</v>
          </cell>
        </row>
        <row r="359">
          <cell r="D359">
            <v>91500</v>
          </cell>
        </row>
        <row r="360">
          <cell r="D360">
            <v>21106</v>
          </cell>
        </row>
        <row r="361">
          <cell r="D361">
            <v>31598</v>
          </cell>
        </row>
        <row r="362">
          <cell r="D362">
            <v>52826</v>
          </cell>
        </row>
        <row r="363">
          <cell r="D363">
            <v>31110</v>
          </cell>
        </row>
        <row r="364">
          <cell r="D364">
            <v>20740</v>
          </cell>
        </row>
        <row r="365">
          <cell r="D365">
            <v>55510</v>
          </cell>
        </row>
        <row r="366">
          <cell r="D366">
            <v>21106</v>
          </cell>
        </row>
        <row r="367">
          <cell r="D367">
            <v>10370</v>
          </cell>
        </row>
        <row r="368">
          <cell r="D368">
            <v>14030</v>
          </cell>
        </row>
        <row r="369">
          <cell r="D369">
            <v>32940</v>
          </cell>
        </row>
        <row r="370">
          <cell r="D370">
            <v>29280</v>
          </cell>
        </row>
        <row r="371">
          <cell r="D371">
            <v>32940</v>
          </cell>
        </row>
        <row r="372">
          <cell r="D372">
            <v>4270</v>
          </cell>
        </row>
        <row r="373">
          <cell r="D373">
            <v>10492</v>
          </cell>
        </row>
        <row r="374">
          <cell r="D374">
            <v>2806</v>
          </cell>
        </row>
        <row r="375">
          <cell r="D375">
            <v>14091</v>
          </cell>
        </row>
        <row r="376">
          <cell r="D376">
            <v>2440</v>
          </cell>
        </row>
        <row r="377">
          <cell r="D377">
            <v>841.8</v>
          </cell>
        </row>
        <row r="378">
          <cell r="D378">
            <v>6954</v>
          </cell>
        </row>
        <row r="379">
          <cell r="D379">
            <v>23180</v>
          </cell>
        </row>
        <row r="380">
          <cell r="D380">
            <v>19886</v>
          </cell>
        </row>
        <row r="381">
          <cell r="D381">
            <v>47580</v>
          </cell>
        </row>
        <row r="382">
          <cell r="D382">
            <v>112240</v>
          </cell>
        </row>
        <row r="383">
          <cell r="D383">
            <v>31720</v>
          </cell>
        </row>
        <row r="384">
          <cell r="D384">
            <v>18300</v>
          </cell>
        </row>
        <row r="385">
          <cell r="D385">
            <v>18910</v>
          </cell>
        </row>
        <row r="386">
          <cell r="D386">
            <v>49410</v>
          </cell>
        </row>
        <row r="387">
          <cell r="D387">
            <v>351360</v>
          </cell>
        </row>
        <row r="388">
          <cell r="D388">
            <v>11590</v>
          </cell>
        </row>
        <row r="389">
          <cell r="D389">
            <v>8418</v>
          </cell>
        </row>
        <row r="390">
          <cell r="D390">
            <v>3050000</v>
          </cell>
        </row>
        <row r="391">
          <cell r="D391">
            <v>2806</v>
          </cell>
        </row>
        <row r="392">
          <cell r="D392">
            <v>4514</v>
          </cell>
        </row>
        <row r="393">
          <cell r="D393">
            <v>14030</v>
          </cell>
        </row>
        <row r="394">
          <cell r="D394">
            <v>123220</v>
          </cell>
        </row>
        <row r="395">
          <cell r="D395">
            <v>30500</v>
          </cell>
        </row>
        <row r="396">
          <cell r="D396">
            <v>92964</v>
          </cell>
        </row>
        <row r="397">
          <cell r="D397">
            <v>36600</v>
          </cell>
        </row>
        <row r="398">
          <cell r="D398">
            <v>28670</v>
          </cell>
        </row>
        <row r="399">
          <cell r="D399">
            <v>27694</v>
          </cell>
        </row>
        <row r="400">
          <cell r="D400">
            <v>63440</v>
          </cell>
        </row>
        <row r="401">
          <cell r="D401">
            <v>92720</v>
          </cell>
        </row>
        <row r="402">
          <cell r="D402">
            <v>427000</v>
          </cell>
        </row>
        <row r="403">
          <cell r="D403">
            <v>97600</v>
          </cell>
        </row>
        <row r="404">
          <cell r="D404">
            <v>236680</v>
          </cell>
        </row>
        <row r="405">
          <cell r="D405">
            <v>55754</v>
          </cell>
        </row>
        <row r="406">
          <cell r="D406">
            <v>45140</v>
          </cell>
        </row>
        <row r="407">
          <cell r="D407">
            <v>92720</v>
          </cell>
        </row>
        <row r="408">
          <cell r="D408">
            <v>84546</v>
          </cell>
        </row>
        <row r="409">
          <cell r="D409">
            <v>24400</v>
          </cell>
        </row>
        <row r="410">
          <cell r="D410">
            <v>26840</v>
          </cell>
        </row>
        <row r="411">
          <cell r="D411">
            <v>25254</v>
          </cell>
        </row>
        <row r="412">
          <cell r="D412">
            <v>32940</v>
          </cell>
        </row>
        <row r="413">
          <cell r="D413">
            <v>213500</v>
          </cell>
        </row>
        <row r="414">
          <cell r="D414">
            <v>32330</v>
          </cell>
        </row>
        <row r="415">
          <cell r="D415">
            <v>58560</v>
          </cell>
        </row>
        <row r="416">
          <cell r="D416">
            <v>28060</v>
          </cell>
        </row>
        <row r="417">
          <cell r="D417">
            <v>36600</v>
          </cell>
        </row>
        <row r="418">
          <cell r="D418">
            <v>79300</v>
          </cell>
        </row>
        <row r="419">
          <cell r="D419">
            <v>59170</v>
          </cell>
        </row>
        <row r="420">
          <cell r="D420">
            <v>54900</v>
          </cell>
        </row>
        <row r="421">
          <cell r="D421">
            <v>21350</v>
          </cell>
        </row>
        <row r="422">
          <cell r="D422">
            <v>23180</v>
          </cell>
        </row>
        <row r="423">
          <cell r="D423">
            <v>21106</v>
          </cell>
        </row>
        <row r="424">
          <cell r="D424">
            <v>34038</v>
          </cell>
        </row>
        <row r="425">
          <cell r="D425">
            <v>30500</v>
          </cell>
        </row>
        <row r="426">
          <cell r="D426">
            <v>18300</v>
          </cell>
        </row>
        <row r="427">
          <cell r="D427">
            <v>30500</v>
          </cell>
        </row>
        <row r="428">
          <cell r="D428">
            <v>56120</v>
          </cell>
        </row>
        <row r="429">
          <cell r="D429">
            <v>1220000</v>
          </cell>
        </row>
        <row r="430">
          <cell r="D430">
            <v>128100</v>
          </cell>
        </row>
        <row r="431">
          <cell r="D431">
            <v>305000</v>
          </cell>
        </row>
        <row r="432">
          <cell r="D432">
            <v>305000</v>
          </cell>
        </row>
        <row r="433">
          <cell r="D433">
            <v>250100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ВОД"/>
      <sheetName val="СПЕЦИФИКАЦИЯ"/>
      <sheetName val="Коррект_специф"/>
      <sheetName val="Лист4"/>
    </sheetNames>
    <sheetDataSet>
      <sheetData sheetId="0"/>
      <sheetData sheetId="1"/>
      <sheetData sheetId="2"/>
      <sheetData sheetId="3">
        <row r="5">
          <cell r="D5">
            <v>178120</v>
          </cell>
        </row>
        <row r="6">
          <cell r="D6">
            <v>183000</v>
          </cell>
        </row>
        <row r="7">
          <cell r="D7">
            <v>1220</v>
          </cell>
        </row>
        <row r="8">
          <cell r="D8">
            <v>292800</v>
          </cell>
        </row>
        <row r="9">
          <cell r="D9">
            <v>61000</v>
          </cell>
        </row>
        <row r="10">
          <cell r="D10">
            <v>1220</v>
          </cell>
        </row>
        <row r="11">
          <cell r="D11">
            <v>12200</v>
          </cell>
        </row>
        <row r="12">
          <cell r="D12">
            <v>42700</v>
          </cell>
        </row>
        <row r="13">
          <cell r="D13">
            <v>12200</v>
          </cell>
        </row>
        <row r="14">
          <cell r="D14">
            <v>549000</v>
          </cell>
        </row>
        <row r="15">
          <cell r="D15">
            <v>732000</v>
          </cell>
        </row>
        <row r="16">
          <cell r="D16">
            <v>170800</v>
          </cell>
        </row>
        <row r="17">
          <cell r="D17">
            <v>451400</v>
          </cell>
        </row>
        <row r="18">
          <cell r="D18">
            <v>48800</v>
          </cell>
        </row>
        <row r="19">
          <cell r="D19">
            <v>732000</v>
          </cell>
        </row>
        <row r="20">
          <cell r="D20">
            <v>134200</v>
          </cell>
        </row>
        <row r="21">
          <cell r="D21">
            <v>134200</v>
          </cell>
        </row>
        <row r="22">
          <cell r="D22">
            <v>134200</v>
          </cell>
        </row>
        <row r="23">
          <cell r="D23">
            <v>183000</v>
          </cell>
        </row>
        <row r="24">
          <cell r="D24">
            <v>231800</v>
          </cell>
        </row>
        <row r="25">
          <cell r="D25">
            <v>549000</v>
          </cell>
        </row>
        <row r="26">
          <cell r="D26">
            <v>854000</v>
          </cell>
        </row>
        <row r="27">
          <cell r="D27">
            <v>73200</v>
          </cell>
        </row>
        <row r="28">
          <cell r="D28">
            <v>73200</v>
          </cell>
        </row>
        <row r="29">
          <cell r="D29">
            <v>73200</v>
          </cell>
        </row>
        <row r="30">
          <cell r="D30">
            <v>1037000</v>
          </cell>
        </row>
        <row r="31">
          <cell r="D31">
            <v>91500</v>
          </cell>
        </row>
        <row r="32">
          <cell r="D32">
            <v>91500</v>
          </cell>
        </row>
        <row r="33">
          <cell r="D33">
            <v>91500</v>
          </cell>
        </row>
        <row r="34">
          <cell r="D34">
            <v>54900</v>
          </cell>
        </row>
        <row r="35">
          <cell r="D35">
            <v>109800</v>
          </cell>
        </row>
        <row r="36">
          <cell r="D36">
            <v>103700</v>
          </cell>
        </row>
        <row r="37">
          <cell r="D37">
            <v>732000</v>
          </cell>
        </row>
        <row r="38">
          <cell r="D38">
            <v>18300</v>
          </cell>
        </row>
        <row r="39">
          <cell r="D39">
            <v>18300</v>
          </cell>
        </row>
        <row r="40">
          <cell r="D40">
            <v>18300</v>
          </cell>
        </row>
        <row r="41">
          <cell r="D41">
            <v>18300</v>
          </cell>
        </row>
        <row r="42">
          <cell r="D42">
            <v>18300</v>
          </cell>
        </row>
        <row r="43">
          <cell r="D43">
            <v>1342000</v>
          </cell>
        </row>
        <row r="44">
          <cell r="D44">
            <v>805200</v>
          </cell>
        </row>
        <row r="45">
          <cell r="D45">
            <v>805200</v>
          </cell>
        </row>
        <row r="46">
          <cell r="D46">
            <v>805200</v>
          </cell>
        </row>
        <row r="47">
          <cell r="D47">
            <v>2440000</v>
          </cell>
        </row>
        <row r="48">
          <cell r="D48">
            <v>610000</v>
          </cell>
        </row>
        <row r="49">
          <cell r="D49">
            <v>103700</v>
          </cell>
        </row>
        <row r="50">
          <cell r="D50">
            <v>103700</v>
          </cell>
        </row>
        <row r="51">
          <cell r="D51">
            <v>183000</v>
          </cell>
        </row>
        <row r="52">
          <cell r="D52">
            <v>103700</v>
          </cell>
        </row>
        <row r="53">
          <cell r="D53">
            <v>103700</v>
          </cell>
        </row>
        <row r="54">
          <cell r="D54">
            <v>976000</v>
          </cell>
        </row>
        <row r="55">
          <cell r="D55">
            <v>103700</v>
          </cell>
        </row>
        <row r="56">
          <cell r="D56">
            <v>183000</v>
          </cell>
        </row>
        <row r="57">
          <cell r="D57">
            <v>18300</v>
          </cell>
        </row>
        <row r="58">
          <cell r="D58">
            <v>18300</v>
          </cell>
        </row>
        <row r="59">
          <cell r="D59">
            <v>18300</v>
          </cell>
        </row>
        <row r="60">
          <cell r="D60">
            <v>732000</v>
          </cell>
        </row>
        <row r="61">
          <cell r="D61">
            <v>1220000</v>
          </cell>
        </row>
        <row r="62">
          <cell r="D62">
            <v>305000</v>
          </cell>
        </row>
        <row r="63">
          <cell r="D63">
            <v>103700</v>
          </cell>
        </row>
        <row r="64">
          <cell r="D64">
            <v>524600</v>
          </cell>
        </row>
        <row r="65">
          <cell r="D65">
            <v>48800</v>
          </cell>
        </row>
        <row r="66">
          <cell r="D66">
            <v>3050</v>
          </cell>
        </row>
        <row r="67">
          <cell r="D67">
            <v>12200</v>
          </cell>
        </row>
        <row r="68">
          <cell r="D68">
            <v>24400</v>
          </cell>
        </row>
        <row r="69">
          <cell r="D69">
            <v>9760000</v>
          </cell>
        </row>
        <row r="70">
          <cell r="D70">
            <v>18300000</v>
          </cell>
        </row>
        <row r="71">
          <cell r="D71">
            <v>6100000</v>
          </cell>
        </row>
        <row r="72">
          <cell r="D72">
            <v>366000</v>
          </cell>
        </row>
        <row r="73">
          <cell r="D73">
            <v>32940</v>
          </cell>
        </row>
        <row r="74">
          <cell r="D74">
            <v>854000</v>
          </cell>
        </row>
        <row r="75">
          <cell r="D75">
            <v>6100</v>
          </cell>
        </row>
        <row r="76">
          <cell r="D76">
            <v>12200</v>
          </cell>
        </row>
        <row r="77">
          <cell r="D77">
            <v>12200</v>
          </cell>
        </row>
        <row r="78">
          <cell r="D78">
            <v>12200</v>
          </cell>
        </row>
        <row r="79">
          <cell r="D79">
            <v>12200</v>
          </cell>
        </row>
        <row r="80">
          <cell r="D80">
            <v>427000</v>
          </cell>
        </row>
        <row r="81">
          <cell r="D81">
            <v>1220000</v>
          </cell>
        </row>
        <row r="82">
          <cell r="D82">
            <v>146400</v>
          </cell>
        </row>
        <row r="83">
          <cell r="D83">
            <v>97600</v>
          </cell>
        </row>
        <row r="84">
          <cell r="D84">
            <v>48800</v>
          </cell>
        </row>
        <row r="85">
          <cell r="D85">
            <v>12200</v>
          </cell>
        </row>
        <row r="86">
          <cell r="D86">
            <v>97600</v>
          </cell>
        </row>
        <row r="87">
          <cell r="D87">
            <v>183000</v>
          </cell>
        </row>
        <row r="88">
          <cell r="D88">
            <v>122000</v>
          </cell>
        </row>
        <row r="89">
          <cell r="D89">
            <v>24400</v>
          </cell>
        </row>
        <row r="90">
          <cell r="D90">
            <v>7930</v>
          </cell>
        </row>
        <row r="91">
          <cell r="D91">
            <v>30500</v>
          </cell>
        </row>
        <row r="92">
          <cell r="D92">
            <v>30500</v>
          </cell>
        </row>
        <row r="93">
          <cell r="D93">
            <v>109800</v>
          </cell>
        </row>
        <row r="94">
          <cell r="D94">
            <v>427000</v>
          </cell>
        </row>
        <row r="95">
          <cell r="D95">
            <v>305000</v>
          </cell>
        </row>
        <row r="96">
          <cell r="D96">
            <v>18300</v>
          </cell>
        </row>
        <row r="97">
          <cell r="D97">
            <v>3050</v>
          </cell>
        </row>
        <row r="98">
          <cell r="D98">
            <v>183000</v>
          </cell>
        </row>
        <row r="99">
          <cell r="D99">
            <v>183000</v>
          </cell>
        </row>
        <row r="100">
          <cell r="D100">
            <v>183000</v>
          </cell>
        </row>
        <row r="101">
          <cell r="D101">
            <v>183000</v>
          </cell>
        </row>
        <row r="102">
          <cell r="D102">
            <v>854000</v>
          </cell>
        </row>
        <row r="103">
          <cell r="D103">
            <v>183000</v>
          </cell>
        </row>
        <row r="104">
          <cell r="D104">
            <v>183000</v>
          </cell>
        </row>
        <row r="105">
          <cell r="D105">
            <v>85400</v>
          </cell>
        </row>
        <row r="106">
          <cell r="D106">
            <v>122000</v>
          </cell>
        </row>
        <row r="107">
          <cell r="D107">
            <v>12200</v>
          </cell>
        </row>
        <row r="108">
          <cell r="D108">
            <v>427</v>
          </cell>
        </row>
        <row r="109">
          <cell r="D109">
            <v>6100</v>
          </cell>
        </row>
        <row r="110">
          <cell r="D110">
            <v>2318</v>
          </cell>
        </row>
        <row r="111">
          <cell r="D111">
            <v>2440</v>
          </cell>
        </row>
        <row r="112">
          <cell r="D112">
            <v>2500000</v>
          </cell>
        </row>
        <row r="113">
          <cell r="D113">
            <v>3660</v>
          </cell>
        </row>
        <row r="114">
          <cell r="D114">
            <v>732</v>
          </cell>
        </row>
        <row r="115">
          <cell r="D115">
            <v>6100</v>
          </cell>
        </row>
        <row r="116">
          <cell r="D116">
            <v>12200</v>
          </cell>
        </row>
        <row r="117">
          <cell r="D117">
            <v>183</v>
          </cell>
        </row>
        <row r="118">
          <cell r="D118">
            <v>2440</v>
          </cell>
        </row>
        <row r="119">
          <cell r="D119">
            <v>9150</v>
          </cell>
        </row>
        <row r="120">
          <cell r="D120">
            <v>6100</v>
          </cell>
        </row>
        <row r="121">
          <cell r="D121">
            <v>6100</v>
          </cell>
        </row>
        <row r="122">
          <cell r="D122">
            <v>6100</v>
          </cell>
        </row>
        <row r="123">
          <cell r="D123">
            <v>61</v>
          </cell>
        </row>
        <row r="124">
          <cell r="D124">
            <v>12200</v>
          </cell>
        </row>
        <row r="125">
          <cell r="D125">
            <v>12200</v>
          </cell>
        </row>
        <row r="126">
          <cell r="D126">
            <v>97600</v>
          </cell>
        </row>
        <row r="127">
          <cell r="D127">
            <v>97600</v>
          </cell>
        </row>
        <row r="128">
          <cell r="D128">
            <v>1220000</v>
          </cell>
        </row>
        <row r="129">
          <cell r="D129">
            <v>6100</v>
          </cell>
        </row>
        <row r="130">
          <cell r="D130">
            <v>6100</v>
          </cell>
        </row>
        <row r="131">
          <cell r="D131">
            <v>2440</v>
          </cell>
        </row>
        <row r="132">
          <cell r="D132">
            <v>6100</v>
          </cell>
        </row>
        <row r="133">
          <cell r="D133">
            <v>24400</v>
          </cell>
        </row>
        <row r="134">
          <cell r="D134">
            <v>24400</v>
          </cell>
        </row>
        <row r="135">
          <cell r="D135">
            <v>24400</v>
          </cell>
        </row>
        <row r="136">
          <cell r="D136">
            <v>24400</v>
          </cell>
        </row>
        <row r="137">
          <cell r="D137">
            <v>24400</v>
          </cell>
        </row>
        <row r="138">
          <cell r="D138">
            <v>24400</v>
          </cell>
        </row>
        <row r="139">
          <cell r="D139">
            <v>91500</v>
          </cell>
        </row>
        <row r="140">
          <cell r="D140">
            <v>7320</v>
          </cell>
        </row>
        <row r="141">
          <cell r="D141">
            <v>12200</v>
          </cell>
        </row>
        <row r="142">
          <cell r="D142">
            <v>12200</v>
          </cell>
        </row>
        <row r="143">
          <cell r="D143">
            <v>1525</v>
          </cell>
        </row>
        <row r="144">
          <cell r="D144">
            <v>5490</v>
          </cell>
        </row>
        <row r="145">
          <cell r="D145">
            <v>5500</v>
          </cell>
        </row>
        <row r="146">
          <cell r="D146">
            <v>36600</v>
          </cell>
        </row>
        <row r="147">
          <cell r="D147">
            <v>36600</v>
          </cell>
        </row>
        <row r="148">
          <cell r="D148">
            <v>36600</v>
          </cell>
        </row>
        <row r="149">
          <cell r="D149">
            <v>7320</v>
          </cell>
        </row>
        <row r="150">
          <cell r="D150">
            <v>61000</v>
          </cell>
        </row>
        <row r="151">
          <cell r="D151">
            <v>732</v>
          </cell>
        </row>
        <row r="152">
          <cell r="D152">
            <v>2440</v>
          </cell>
        </row>
        <row r="153">
          <cell r="D153">
            <v>122</v>
          </cell>
        </row>
        <row r="154">
          <cell r="D154">
            <v>488</v>
          </cell>
        </row>
        <row r="155">
          <cell r="D155">
            <v>671</v>
          </cell>
        </row>
        <row r="156">
          <cell r="D156">
            <v>549</v>
          </cell>
        </row>
        <row r="157">
          <cell r="D157">
            <v>854</v>
          </cell>
        </row>
        <row r="158">
          <cell r="D158">
            <v>1220</v>
          </cell>
        </row>
        <row r="159">
          <cell r="D159">
            <v>244</v>
          </cell>
        </row>
        <row r="160">
          <cell r="D160">
            <v>245</v>
          </cell>
        </row>
        <row r="161">
          <cell r="D161">
            <v>610</v>
          </cell>
        </row>
        <row r="162">
          <cell r="D162">
            <v>1830</v>
          </cell>
        </row>
        <row r="163">
          <cell r="D163">
            <v>1830</v>
          </cell>
        </row>
        <row r="164">
          <cell r="D164">
            <v>610</v>
          </cell>
        </row>
        <row r="165">
          <cell r="D165">
            <v>610</v>
          </cell>
        </row>
        <row r="166">
          <cell r="D166">
            <v>610</v>
          </cell>
        </row>
        <row r="167">
          <cell r="D167">
            <v>400</v>
          </cell>
        </row>
        <row r="168">
          <cell r="D168">
            <v>400</v>
          </cell>
        </row>
        <row r="169">
          <cell r="D169">
            <v>450</v>
          </cell>
        </row>
        <row r="170">
          <cell r="D170">
            <v>750</v>
          </cell>
        </row>
        <row r="171">
          <cell r="D171">
            <v>450</v>
          </cell>
        </row>
        <row r="172">
          <cell r="D172">
            <v>750</v>
          </cell>
        </row>
        <row r="173">
          <cell r="D173">
            <v>1200</v>
          </cell>
        </row>
        <row r="174">
          <cell r="D174">
            <v>15000</v>
          </cell>
        </row>
        <row r="175">
          <cell r="D175">
            <v>3200</v>
          </cell>
        </row>
        <row r="176">
          <cell r="D176">
            <v>4500</v>
          </cell>
        </row>
        <row r="177">
          <cell r="D177">
            <v>4000</v>
          </cell>
        </row>
        <row r="178">
          <cell r="D178">
            <v>3000</v>
          </cell>
        </row>
        <row r="179">
          <cell r="D179">
            <v>3000</v>
          </cell>
        </row>
        <row r="180">
          <cell r="D180">
            <v>2600</v>
          </cell>
        </row>
        <row r="181">
          <cell r="D181">
            <v>4500</v>
          </cell>
        </row>
        <row r="182">
          <cell r="D182">
            <v>3000</v>
          </cell>
        </row>
        <row r="183">
          <cell r="D183">
            <v>3500</v>
          </cell>
        </row>
        <row r="184">
          <cell r="D184">
            <v>4500</v>
          </cell>
        </row>
        <row r="185">
          <cell r="D185">
            <v>1200</v>
          </cell>
        </row>
        <row r="186">
          <cell r="D186">
            <v>8000</v>
          </cell>
        </row>
        <row r="187">
          <cell r="D187">
            <v>6000</v>
          </cell>
        </row>
        <row r="188">
          <cell r="D188">
            <v>10000</v>
          </cell>
        </row>
        <row r="189">
          <cell r="D189">
            <v>8000</v>
          </cell>
        </row>
        <row r="190">
          <cell r="D190">
            <v>8000</v>
          </cell>
        </row>
        <row r="191">
          <cell r="D191">
            <v>5000</v>
          </cell>
        </row>
        <row r="192">
          <cell r="D192">
            <v>3500</v>
          </cell>
        </row>
        <row r="193">
          <cell r="D193">
            <v>5500</v>
          </cell>
        </row>
        <row r="194">
          <cell r="D194">
            <v>7000</v>
          </cell>
        </row>
        <row r="195">
          <cell r="D195">
            <v>350</v>
          </cell>
        </row>
        <row r="196">
          <cell r="D196">
            <v>500</v>
          </cell>
        </row>
        <row r="197">
          <cell r="D197">
            <v>350</v>
          </cell>
        </row>
        <row r="198">
          <cell r="D198">
            <v>500</v>
          </cell>
        </row>
        <row r="199">
          <cell r="D199">
            <v>2500</v>
          </cell>
        </row>
        <row r="200">
          <cell r="D200">
            <v>350</v>
          </cell>
        </row>
        <row r="201">
          <cell r="D201">
            <v>350</v>
          </cell>
        </row>
        <row r="202">
          <cell r="D202">
            <v>350</v>
          </cell>
        </row>
        <row r="203">
          <cell r="D203">
            <v>350</v>
          </cell>
        </row>
        <row r="204">
          <cell r="D204">
            <v>350</v>
          </cell>
        </row>
        <row r="205">
          <cell r="D205">
            <v>350</v>
          </cell>
        </row>
        <row r="206">
          <cell r="D206">
            <v>500</v>
          </cell>
        </row>
        <row r="207">
          <cell r="D207">
            <v>300</v>
          </cell>
        </row>
        <row r="208">
          <cell r="D208">
            <v>300</v>
          </cell>
        </row>
        <row r="209">
          <cell r="D209">
            <v>1000</v>
          </cell>
        </row>
        <row r="210">
          <cell r="D210">
            <v>250</v>
          </cell>
        </row>
        <row r="211">
          <cell r="D211">
            <v>250</v>
          </cell>
        </row>
        <row r="212">
          <cell r="D212">
            <v>250</v>
          </cell>
        </row>
        <row r="213">
          <cell r="D213">
            <v>250</v>
          </cell>
        </row>
        <row r="214">
          <cell r="D214">
            <v>250</v>
          </cell>
        </row>
        <row r="215">
          <cell r="D215">
            <v>250</v>
          </cell>
        </row>
        <row r="216">
          <cell r="D216">
            <v>250</v>
          </cell>
        </row>
        <row r="217">
          <cell r="D217">
            <v>200</v>
          </cell>
        </row>
        <row r="218">
          <cell r="D218">
            <v>350</v>
          </cell>
        </row>
        <row r="219">
          <cell r="D219">
            <v>600</v>
          </cell>
        </row>
        <row r="220">
          <cell r="D220">
            <v>350</v>
          </cell>
        </row>
        <row r="221">
          <cell r="D221">
            <v>720</v>
          </cell>
        </row>
        <row r="222">
          <cell r="D222">
            <v>6100</v>
          </cell>
        </row>
        <row r="223">
          <cell r="D223">
            <v>450</v>
          </cell>
        </row>
        <row r="224">
          <cell r="D224">
            <v>5000</v>
          </cell>
        </row>
        <row r="225">
          <cell r="D225">
            <v>4880</v>
          </cell>
        </row>
        <row r="226">
          <cell r="D226">
            <v>30500</v>
          </cell>
        </row>
        <row r="227">
          <cell r="D227">
            <v>40000</v>
          </cell>
        </row>
        <row r="228">
          <cell r="D228">
            <v>122000</v>
          </cell>
        </row>
        <row r="229">
          <cell r="D229">
            <v>120000</v>
          </cell>
        </row>
        <row r="230">
          <cell r="D230">
            <v>120000</v>
          </cell>
        </row>
        <row r="231">
          <cell r="D231">
            <v>120000</v>
          </cell>
        </row>
        <row r="232">
          <cell r="D232">
            <v>150000</v>
          </cell>
        </row>
        <row r="233">
          <cell r="D233">
            <v>50000</v>
          </cell>
        </row>
        <row r="234">
          <cell r="D234">
            <v>50000</v>
          </cell>
        </row>
        <row r="235">
          <cell r="D235">
            <v>50000</v>
          </cell>
        </row>
        <row r="236">
          <cell r="D236">
            <v>50000</v>
          </cell>
        </row>
        <row r="237">
          <cell r="D237">
            <v>50000</v>
          </cell>
        </row>
        <row r="238">
          <cell r="D238">
            <v>50000</v>
          </cell>
        </row>
        <row r="239">
          <cell r="D239">
            <v>6100</v>
          </cell>
        </row>
        <row r="240">
          <cell r="D240">
            <v>61000</v>
          </cell>
        </row>
        <row r="241">
          <cell r="D241">
            <v>73200</v>
          </cell>
        </row>
        <row r="242">
          <cell r="D242">
            <v>2000</v>
          </cell>
        </row>
        <row r="243">
          <cell r="D243">
            <v>2000</v>
          </cell>
        </row>
        <row r="244">
          <cell r="D244">
            <v>2000</v>
          </cell>
        </row>
        <row r="245">
          <cell r="D245">
            <v>2000</v>
          </cell>
        </row>
        <row r="246">
          <cell r="D246">
            <v>2000</v>
          </cell>
        </row>
        <row r="247">
          <cell r="D247">
            <v>42700</v>
          </cell>
        </row>
        <row r="248">
          <cell r="D248">
            <v>42700</v>
          </cell>
        </row>
        <row r="249">
          <cell r="D249">
            <v>42700</v>
          </cell>
        </row>
        <row r="250">
          <cell r="D250">
            <v>42700</v>
          </cell>
        </row>
        <row r="251">
          <cell r="D251">
            <v>42700</v>
          </cell>
        </row>
        <row r="252">
          <cell r="D252">
            <v>30500</v>
          </cell>
        </row>
        <row r="253">
          <cell r="D253">
            <v>30500</v>
          </cell>
        </row>
        <row r="254">
          <cell r="D254">
            <v>30500</v>
          </cell>
        </row>
        <row r="255">
          <cell r="D255">
            <v>30500</v>
          </cell>
        </row>
        <row r="256">
          <cell r="D256">
            <v>30500</v>
          </cell>
        </row>
        <row r="257">
          <cell r="D257">
            <v>30500</v>
          </cell>
        </row>
        <row r="258">
          <cell r="D258">
            <v>15000</v>
          </cell>
        </row>
        <row r="259">
          <cell r="D259">
            <v>2000</v>
          </cell>
        </row>
        <row r="260">
          <cell r="D260">
            <v>100</v>
          </cell>
        </row>
        <row r="261">
          <cell r="D261">
            <v>25000</v>
          </cell>
        </row>
        <row r="262">
          <cell r="D262">
            <v>1000</v>
          </cell>
        </row>
        <row r="263">
          <cell r="D263">
            <v>1000</v>
          </cell>
        </row>
        <row r="264">
          <cell r="D264">
            <v>25000</v>
          </cell>
        </row>
        <row r="265">
          <cell r="D265">
            <v>15500</v>
          </cell>
        </row>
        <row r="266">
          <cell r="D266">
            <v>25500</v>
          </cell>
        </row>
        <row r="267">
          <cell r="D267">
            <v>30500</v>
          </cell>
        </row>
        <row r="268">
          <cell r="D268">
            <v>3500</v>
          </cell>
        </row>
        <row r="269">
          <cell r="D269">
            <v>1220</v>
          </cell>
        </row>
        <row r="270">
          <cell r="D270">
            <v>155500</v>
          </cell>
        </row>
        <row r="271">
          <cell r="D271">
            <v>8250</v>
          </cell>
        </row>
        <row r="272">
          <cell r="D272">
            <v>2350</v>
          </cell>
        </row>
        <row r="273">
          <cell r="D273">
            <v>2350</v>
          </cell>
        </row>
        <row r="274">
          <cell r="D274">
            <v>4575</v>
          </cell>
        </row>
        <row r="275">
          <cell r="D275">
            <v>2440</v>
          </cell>
        </row>
        <row r="276">
          <cell r="D276">
            <v>2440</v>
          </cell>
        </row>
        <row r="277">
          <cell r="D277">
            <v>2440</v>
          </cell>
        </row>
        <row r="278">
          <cell r="D278">
            <v>2440</v>
          </cell>
        </row>
        <row r="279">
          <cell r="D279">
            <v>2440</v>
          </cell>
        </row>
        <row r="280">
          <cell r="D280">
            <v>2440</v>
          </cell>
        </row>
        <row r="281">
          <cell r="D281">
            <v>2440</v>
          </cell>
        </row>
        <row r="282">
          <cell r="D282">
            <v>2440</v>
          </cell>
        </row>
        <row r="283">
          <cell r="D283">
            <v>35500</v>
          </cell>
        </row>
        <row r="284">
          <cell r="D284">
            <v>54900</v>
          </cell>
        </row>
        <row r="285">
          <cell r="D285">
            <v>2440</v>
          </cell>
        </row>
        <row r="286">
          <cell r="D286">
            <v>54900</v>
          </cell>
        </row>
        <row r="287">
          <cell r="D287">
            <v>2440</v>
          </cell>
        </row>
        <row r="288">
          <cell r="D288">
            <v>3550</v>
          </cell>
        </row>
        <row r="289">
          <cell r="D289">
            <v>427000</v>
          </cell>
        </row>
        <row r="290">
          <cell r="D290">
            <v>3050</v>
          </cell>
        </row>
        <row r="291">
          <cell r="D291">
            <v>7320</v>
          </cell>
        </row>
        <row r="292">
          <cell r="D292">
            <v>36600</v>
          </cell>
        </row>
        <row r="293">
          <cell r="D293">
            <v>2440</v>
          </cell>
        </row>
        <row r="294">
          <cell r="D294">
            <v>2440</v>
          </cell>
        </row>
        <row r="295">
          <cell r="D295">
            <v>2440</v>
          </cell>
        </row>
        <row r="296">
          <cell r="D296">
            <v>2440</v>
          </cell>
        </row>
        <row r="297">
          <cell r="D297">
            <v>2440</v>
          </cell>
        </row>
        <row r="298">
          <cell r="D298">
            <v>1220</v>
          </cell>
        </row>
        <row r="299">
          <cell r="D299">
            <v>244000</v>
          </cell>
        </row>
        <row r="300">
          <cell r="D300">
            <v>2440</v>
          </cell>
        </row>
        <row r="301">
          <cell r="D301">
            <v>2440</v>
          </cell>
        </row>
        <row r="302">
          <cell r="D302">
            <v>3660</v>
          </cell>
        </row>
        <row r="303">
          <cell r="D303">
            <v>9760</v>
          </cell>
        </row>
        <row r="304">
          <cell r="D304">
            <v>1220</v>
          </cell>
        </row>
        <row r="305">
          <cell r="D305">
            <v>3660</v>
          </cell>
        </row>
        <row r="306">
          <cell r="D306">
            <v>3050</v>
          </cell>
        </row>
        <row r="307">
          <cell r="D307">
            <v>2196</v>
          </cell>
        </row>
        <row r="308">
          <cell r="D308">
            <v>2440</v>
          </cell>
        </row>
        <row r="309">
          <cell r="D309">
            <v>4880</v>
          </cell>
        </row>
        <row r="310">
          <cell r="D310">
            <v>4880</v>
          </cell>
        </row>
        <row r="311">
          <cell r="D311">
            <v>2440</v>
          </cell>
        </row>
        <row r="312">
          <cell r="D312">
            <v>2440</v>
          </cell>
        </row>
        <row r="313">
          <cell r="D313">
            <v>6344</v>
          </cell>
        </row>
        <row r="314">
          <cell r="D314">
            <v>4880</v>
          </cell>
        </row>
        <row r="315">
          <cell r="D315">
            <v>2440</v>
          </cell>
        </row>
        <row r="316">
          <cell r="D316">
            <v>2440</v>
          </cell>
        </row>
        <row r="317">
          <cell r="D317">
            <v>18300</v>
          </cell>
        </row>
        <row r="318">
          <cell r="D318">
            <v>4880</v>
          </cell>
        </row>
        <row r="319">
          <cell r="D319">
            <v>2440</v>
          </cell>
        </row>
        <row r="320">
          <cell r="D320">
            <v>2440</v>
          </cell>
        </row>
        <row r="321">
          <cell r="D321">
            <v>61000</v>
          </cell>
        </row>
        <row r="322">
          <cell r="D322">
            <v>3660000</v>
          </cell>
        </row>
        <row r="323">
          <cell r="D323">
            <v>54900</v>
          </cell>
        </row>
        <row r="324">
          <cell r="D324">
            <v>54900</v>
          </cell>
        </row>
        <row r="325">
          <cell r="D325">
            <v>12200</v>
          </cell>
        </row>
        <row r="326">
          <cell r="D326">
            <v>5734000</v>
          </cell>
        </row>
        <row r="327">
          <cell r="D327">
            <v>610000</v>
          </cell>
        </row>
        <row r="328">
          <cell r="D328">
            <v>610000</v>
          </cell>
        </row>
        <row r="329">
          <cell r="D329">
            <v>610000</v>
          </cell>
        </row>
        <row r="330">
          <cell r="D330">
            <v>610000</v>
          </cell>
        </row>
        <row r="331">
          <cell r="D331">
            <v>12200</v>
          </cell>
        </row>
        <row r="332">
          <cell r="D332">
            <v>30500</v>
          </cell>
        </row>
        <row r="333">
          <cell r="D333">
            <v>18300</v>
          </cell>
        </row>
        <row r="334">
          <cell r="D334">
            <v>305000</v>
          </cell>
        </row>
        <row r="335">
          <cell r="D335">
            <v>305000</v>
          </cell>
        </row>
        <row r="336">
          <cell r="D336">
            <v>305000</v>
          </cell>
        </row>
        <row r="337">
          <cell r="D337">
            <v>305000</v>
          </cell>
        </row>
        <row r="338">
          <cell r="D338">
            <v>305000</v>
          </cell>
        </row>
        <row r="339">
          <cell r="D339">
            <v>183000</v>
          </cell>
        </row>
        <row r="340">
          <cell r="D340">
            <v>54900</v>
          </cell>
        </row>
        <row r="341">
          <cell r="D341">
            <v>54900</v>
          </cell>
        </row>
        <row r="342">
          <cell r="D342">
            <v>54900</v>
          </cell>
        </row>
        <row r="343">
          <cell r="D343">
            <v>14880</v>
          </cell>
        </row>
        <row r="344">
          <cell r="D344">
            <v>12200</v>
          </cell>
        </row>
        <row r="345">
          <cell r="D345">
            <v>12200</v>
          </cell>
        </row>
        <row r="346">
          <cell r="D346">
            <v>146400</v>
          </cell>
        </row>
        <row r="347">
          <cell r="D347">
            <v>12200</v>
          </cell>
        </row>
        <row r="348">
          <cell r="D348">
            <v>610</v>
          </cell>
        </row>
        <row r="349">
          <cell r="D349">
            <v>1220</v>
          </cell>
        </row>
        <row r="350">
          <cell r="D350">
            <v>4270</v>
          </cell>
        </row>
        <row r="351">
          <cell r="D351">
            <v>122000</v>
          </cell>
        </row>
        <row r="352">
          <cell r="D352">
            <v>61000</v>
          </cell>
        </row>
        <row r="353">
          <cell r="D353">
            <v>61000</v>
          </cell>
        </row>
        <row r="354">
          <cell r="D354">
            <v>61000</v>
          </cell>
        </row>
        <row r="355">
          <cell r="D355">
            <v>61000</v>
          </cell>
        </row>
        <row r="356">
          <cell r="D356">
            <v>61000</v>
          </cell>
        </row>
        <row r="357">
          <cell r="D357">
            <v>61000</v>
          </cell>
        </row>
        <row r="358">
          <cell r="D358">
            <v>61000</v>
          </cell>
        </row>
        <row r="359">
          <cell r="D359">
            <v>61000</v>
          </cell>
        </row>
        <row r="360">
          <cell r="D360">
            <v>61000</v>
          </cell>
        </row>
        <row r="361">
          <cell r="D361">
            <v>61000</v>
          </cell>
        </row>
        <row r="362">
          <cell r="D362">
            <v>61000</v>
          </cell>
        </row>
        <row r="363">
          <cell r="D363">
            <v>30500</v>
          </cell>
        </row>
        <row r="364">
          <cell r="D364">
            <v>30500</v>
          </cell>
        </row>
        <row r="365">
          <cell r="D365">
            <v>54900</v>
          </cell>
        </row>
        <row r="366">
          <cell r="D366">
            <v>54900</v>
          </cell>
        </row>
        <row r="367">
          <cell r="D367">
            <v>12200</v>
          </cell>
        </row>
        <row r="368">
          <cell r="D368">
            <v>12200</v>
          </cell>
        </row>
        <row r="369">
          <cell r="D369">
            <v>36600</v>
          </cell>
        </row>
        <row r="370">
          <cell r="D370">
            <v>36600</v>
          </cell>
        </row>
        <row r="371">
          <cell r="D371">
            <v>36600</v>
          </cell>
        </row>
        <row r="372">
          <cell r="D372">
            <v>4575</v>
          </cell>
        </row>
        <row r="373">
          <cell r="D373">
            <v>11163</v>
          </cell>
        </row>
        <row r="374">
          <cell r="D374">
            <v>3660</v>
          </cell>
        </row>
        <row r="375">
          <cell r="D375">
            <v>12200</v>
          </cell>
        </row>
        <row r="376">
          <cell r="D376">
            <v>4880</v>
          </cell>
        </row>
        <row r="377">
          <cell r="D377">
            <v>1220</v>
          </cell>
        </row>
        <row r="378">
          <cell r="D378">
            <v>6100</v>
          </cell>
        </row>
        <row r="379">
          <cell r="D379">
            <v>30500</v>
          </cell>
        </row>
        <row r="380">
          <cell r="D380">
            <v>30500</v>
          </cell>
        </row>
        <row r="381">
          <cell r="D381">
            <v>30500</v>
          </cell>
        </row>
        <row r="382">
          <cell r="D382">
            <v>122000</v>
          </cell>
        </row>
        <row r="383">
          <cell r="D383">
            <v>30500</v>
          </cell>
        </row>
        <row r="384">
          <cell r="D384">
            <v>30500</v>
          </cell>
        </row>
        <row r="385">
          <cell r="D385">
            <v>36600</v>
          </cell>
        </row>
        <row r="386">
          <cell r="D386">
            <v>54900</v>
          </cell>
        </row>
        <row r="387">
          <cell r="D387">
            <v>366000</v>
          </cell>
        </row>
        <row r="388">
          <cell r="D388">
            <v>14640</v>
          </cell>
        </row>
        <row r="389">
          <cell r="D389">
            <v>12200</v>
          </cell>
        </row>
        <row r="390">
          <cell r="D390">
            <v>3355000</v>
          </cell>
        </row>
        <row r="391">
          <cell r="D391">
            <v>6100</v>
          </cell>
        </row>
        <row r="392">
          <cell r="D392">
            <v>6100</v>
          </cell>
        </row>
        <row r="393">
          <cell r="D393">
            <v>12200</v>
          </cell>
        </row>
        <row r="394">
          <cell r="D394">
            <v>122000</v>
          </cell>
        </row>
        <row r="395">
          <cell r="D395">
            <v>24400</v>
          </cell>
        </row>
        <row r="396">
          <cell r="D396">
            <v>122000</v>
          </cell>
        </row>
        <row r="397">
          <cell r="D397">
            <v>30500</v>
          </cell>
        </row>
        <row r="398">
          <cell r="D398">
            <v>30500</v>
          </cell>
        </row>
        <row r="399">
          <cell r="D399">
            <v>30500</v>
          </cell>
        </row>
        <row r="400">
          <cell r="D400">
            <v>54900</v>
          </cell>
        </row>
        <row r="401">
          <cell r="D401">
            <v>85400</v>
          </cell>
        </row>
        <row r="402">
          <cell r="D402">
            <v>610000</v>
          </cell>
        </row>
        <row r="403">
          <cell r="D403">
            <v>122000</v>
          </cell>
        </row>
        <row r="404">
          <cell r="D404">
            <v>305000</v>
          </cell>
        </row>
        <row r="405">
          <cell r="D405">
            <v>48800</v>
          </cell>
        </row>
        <row r="406">
          <cell r="D406">
            <v>48800</v>
          </cell>
        </row>
        <row r="407">
          <cell r="D407">
            <v>122000</v>
          </cell>
        </row>
        <row r="408">
          <cell r="D408">
            <v>122000</v>
          </cell>
        </row>
        <row r="409">
          <cell r="D409">
            <v>30500</v>
          </cell>
        </row>
        <row r="410">
          <cell r="D410">
            <v>36600</v>
          </cell>
        </row>
        <row r="411">
          <cell r="D411">
            <v>36600</v>
          </cell>
        </row>
        <row r="412">
          <cell r="D412">
            <v>36600</v>
          </cell>
        </row>
        <row r="413">
          <cell r="D413">
            <v>183000</v>
          </cell>
        </row>
        <row r="414">
          <cell r="D414">
            <v>24400</v>
          </cell>
        </row>
        <row r="415">
          <cell r="D415">
            <v>73200</v>
          </cell>
        </row>
        <row r="416">
          <cell r="D416">
            <v>24400</v>
          </cell>
        </row>
        <row r="417">
          <cell r="D417">
            <v>24400</v>
          </cell>
        </row>
        <row r="418">
          <cell r="D418">
            <v>61000</v>
          </cell>
        </row>
        <row r="419">
          <cell r="D419">
            <v>61000</v>
          </cell>
        </row>
        <row r="420">
          <cell r="D420">
            <v>61000</v>
          </cell>
        </row>
        <row r="421">
          <cell r="D421">
            <v>12200</v>
          </cell>
        </row>
        <row r="422">
          <cell r="D422">
            <v>12200</v>
          </cell>
        </row>
        <row r="423">
          <cell r="D423">
            <v>12200</v>
          </cell>
        </row>
        <row r="424">
          <cell r="D424">
            <v>36600</v>
          </cell>
        </row>
        <row r="425">
          <cell r="D425">
            <v>36600</v>
          </cell>
        </row>
        <row r="426">
          <cell r="D426">
            <v>12200</v>
          </cell>
        </row>
        <row r="427">
          <cell r="D427">
            <v>36600</v>
          </cell>
        </row>
        <row r="428">
          <cell r="D428">
            <v>48800</v>
          </cell>
        </row>
        <row r="429">
          <cell r="D429">
            <v>1464000</v>
          </cell>
        </row>
        <row r="430">
          <cell r="D430">
            <v>122000</v>
          </cell>
        </row>
        <row r="431">
          <cell r="D431">
            <v>366000</v>
          </cell>
        </row>
        <row r="432">
          <cell r="D432">
            <v>244000</v>
          </cell>
        </row>
        <row r="433">
          <cell r="D433">
            <v>244000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СВОД"/>
      <sheetName val="СПЕЦИФИКАЦИЯ"/>
      <sheetName val="Коррект_специф"/>
      <sheetName val="Лист4"/>
    </sheetNames>
    <sheetDataSet>
      <sheetData sheetId="0"/>
      <sheetData sheetId="1"/>
      <sheetData sheetId="2"/>
      <sheetData sheetId="3">
        <row r="4">
          <cell r="D4">
            <v>157080</v>
          </cell>
        </row>
        <row r="5">
          <cell r="D5">
            <v>193746</v>
          </cell>
        </row>
        <row r="6">
          <cell r="D6">
            <v>2194.5</v>
          </cell>
        </row>
        <row r="7">
          <cell r="D7">
            <v>267750</v>
          </cell>
        </row>
        <row r="8">
          <cell r="D8">
            <v>63000</v>
          </cell>
        </row>
        <row r="9">
          <cell r="D9">
            <v>1550</v>
          </cell>
        </row>
        <row r="10">
          <cell r="D10">
            <v>19950</v>
          </cell>
        </row>
        <row r="11">
          <cell r="D11">
            <v>47250</v>
          </cell>
        </row>
        <row r="12">
          <cell r="D12">
            <v>15645</v>
          </cell>
        </row>
        <row r="13">
          <cell r="D13">
            <v>735000</v>
          </cell>
        </row>
        <row r="14">
          <cell r="D14">
            <v>735000</v>
          </cell>
        </row>
        <row r="15">
          <cell r="D15">
            <v>155400</v>
          </cell>
        </row>
        <row r="16">
          <cell r="D16">
            <v>304500</v>
          </cell>
        </row>
        <row r="17">
          <cell r="D17">
            <v>52500</v>
          </cell>
        </row>
        <row r="18">
          <cell r="D18">
            <v>787500</v>
          </cell>
        </row>
        <row r="19">
          <cell r="D19">
            <v>131250</v>
          </cell>
        </row>
        <row r="20">
          <cell r="D20">
            <v>178500</v>
          </cell>
        </row>
        <row r="21">
          <cell r="D21">
            <v>210000</v>
          </cell>
        </row>
        <row r="22">
          <cell r="D22">
            <v>210000</v>
          </cell>
        </row>
        <row r="23">
          <cell r="D23">
            <v>231000</v>
          </cell>
        </row>
        <row r="24">
          <cell r="D24">
            <v>525000</v>
          </cell>
        </row>
        <row r="25">
          <cell r="D25">
            <v>892500</v>
          </cell>
        </row>
        <row r="26">
          <cell r="D26">
            <v>70350</v>
          </cell>
        </row>
        <row r="27">
          <cell r="D27">
            <v>65750</v>
          </cell>
        </row>
        <row r="28">
          <cell r="D28">
            <v>105000</v>
          </cell>
        </row>
        <row r="29">
          <cell r="D29">
            <v>1050000</v>
          </cell>
        </row>
        <row r="30">
          <cell r="D30">
            <v>105000</v>
          </cell>
        </row>
        <row r="31">
          <cell r="D31">
            <v>105000</v>
          </cell>
        </row>
        <row r="32">
          <cell r="D32">
            <v>110000</v>
          </cell>
        </row>
        <row r="33">
          <cell r="D33">
            <v>63000</v>
          </cell>
        </row>
        <row r="34">
          <cell r="D34">
            <v>105000</v>
          </cell>
        </row>
        <row r="35">
          <cell r="D35">
            <v>89250</v>
          </cell>
        </row>
        <row r="36">
          <cell r="D36">
            <v>682500</v>
          </cell>
        </row>
        <row r="37">
          <cell r="D37">
            <v>17325</v>
          </cell>
        </row>
        <row r="38">
          <cell r="D38">
            <v>21000</v>
          </cell>
        </row>
        <row r="39">
          <cell r="D39">
            <v>21000</v>
          </cell>
        </row>
        <row r="40">
          <cell r="D40">
            <v>21000</v>
          </cell>
        </row>
        <row r="41">
          <cell r="D41">
            <v>21000</v>
          </cell>
        </row>
        <row r="42">
          <cell r="D42">
            <v>1207500</v>
          </cell>
        </row>
        <row r="43">
          <cell r="D43">
            <v>682500</v>
          </cell>
        </row>
        <row r="44">
          <cell r="D44">
            <v>682500</v>
          </cell>
        </row>
        <row r="45">
          <cell r="D45">
            <v>682500</v>
          </cell>
        </row>
        <row r="46">
          <cell r="D46">
            <v>2310000</v>
          </cell>
        </row>
        <row r="47">
          <cell r="D47">
            <v>630000</v>
          </cell>
        </row>
        <row r="48">
          <cell r="D48">
            <v>103950</v>
          </cell>
        </row>
        <row r="49">
          <cell r="D49">
            <v>103950</v>
          </cell>
        </row>
        <row r="50">
          <cell r="D50">
            <v>168000</v>
          </cell>
        </row>
        <row r="51">
          <cell r="D51">
            <v>103950</v>
          </cell>
        </row>
        <row r="52">
          <cell r="D52">
            <v>103950</v>
          </cell>
        </row>
        <row r="53">
          <cell r="D53">
            <v>1050000</v>
          </cell>
        </row>
        <row r="54">
          <cell r="D54">
            <v>103950</v>
          </cell>
        </row>
        <row r="55">
          <cell r="D55">
            <v>178500</v>
          </cell>
        </row>
        <row r="56">
          <cell r="D56">
            <v>11550</v>
          </cell>
        </row>
        <row r="57">
          <cell r="D57">
            <v>25725</v>
          </cell>
        </row>
        <row r="58">
          <cell r="D58">
            <v>27725</v>
          </cell>
        </row>
        <row r="59">
          <cell r="D59">
            <v>735000</v>
          </cell>
        </row>
        <row r="60">
          <cell r="D60">
            <v>1155000</v>
          </cell>
        </row>
        <row r="61">
          <cell r="D61">
            <v>246750</v>
          </cell>
        </row>
        <row r="62">
          <cell r="D62">
            <v>131250</v>
          </cell>
        </row>
        <row r="63">
          <cell r="D63">
            <v>509250</v>
          </cell>
        </row>
        <row r="64">
          <cell r="D64">
            <v>52500</v>
          </cell>
        </row>
        <row r="65">
          <cell r="D65">
            <v>1470</v>
          </cell>
        </row>
        <row r="66">
          <cell r="D66">
            <v>12600</v>
          </cell>
        </row>
        <row r="67">
          <cell r="D67">
            <v>26250</v>
          </cell>
        </row>
        <row r="68">
          <cell r="D68">
            <v>10500000</v>
          </cell>
        </row>
        <row r="69">
          <cell r="D69">
            <v>15000000</v>
          </cell>
        </row>
        <row r="70">
          <cell r="D70">
            <v>6300000</v>
          </cell>
        </row>
        <row r="71">
          <cell r="D71">
            <v>393750</v>
          </cell>
        </row>
        <row r="72">
          <cell r="D72">
            <v>36750</v>
          </cell>
        </row>
        <row r="73">
          <cell r="D73">
            <v>703500</v>
          </cell>
        </row>
        <row r="74">
          <cell r="D74">
            <v>6300</v>
          </cell>
        </row>
        <row r="75">
          <cell r="D75">
            <v>12600</v>
          </cell>
        </row>
        <row r="76">
          <cell r="D76">
            <v>12000</v>
          </cell>
        </row>
        <row r="77">
          <cell r="D77">
            <v>12600</v>
          </cell>
        </row>
        <row r="78">
          <cell r="D78">
            <v>13000</v>
          </cell>
        </row>
        <row r="79">
          <cell r="D79">
            <v>393750</v>
          </cell>
        </row>
        <row r="80">
          <cell r="D80">
            <v>1050000</v>
          </cell>
        </row>
        <row r="81">
          <cell r="D81">
            <v>108150</v>
          </cell>
        </row>
        <row r="82">
          <cell r="D82">
            <v>63000</v>
          </cell>
        </row>
        <row r="83">
          <cell r="D83">
            <v>36750</v>
          </cell>
        </row>
        <row r="84">
          <cell r="D84">
            <v>7770</v>
          </cell>
        </row>
        <row r="85">
          <cell r="D85">
            <v>51450</v>
          </cell>
        </row>
        <row r="86">
          <cell r="D86">
            <v>163800</v>
          </cell>
        </row>
        <row r="87">
          <cell r="D87">
            <v>157500</v>
          </cell>
        </row>
        <row r="88">
          <cell r="D88">
            <v>23100</v>
          </cell>
        </row>
        <row r="89">
          <cell r="D89">
            <v>7875</v>
          </cell>
        </row>
        <row r="90">
          <cell r="D90">
            <v>31500</v>
          </cell>
        </row>
        <row r="91">
          <cell r="D91">
            <v>31500</v>
          </cell>
        </row>
        <row r="92">
          <cell r="D92">
            <v>126000</v>
          </cell>
        </row>
        <row r="93">
          <cell r="D93">
            <v>367500</v>
          </cell>
        </row>
        <row r="94">
          <cell r="D94">
            <v>273000</v>
          </cell>
        </row>
        <row r="95">
          <cell r="D95">
            <v>22050</v>
          </cell>
        </row>
        <row r="96">
          <cell r="D96">
            <v>2310</v>
          </cell>
        </row>
        <row r="97">
          <cell r="D97">
            <v>105000</v>
          </cell>
        </row>
        <row r="98">
          <cell r="D98">
            <v>112000</v>
          </cell>
        </row>
        <row r="99">
          <cell r="D99">
            <v>110000</v>
          </cell>
        </row>
        <row r="100">
          <cell r="D100">
            <v>346500</v>
          </cell>
        </row>
        <row r="101">
          <cell r="D101">
            <v>792750</v>
          </cell>
        </row>
        <row r="102">
          <cell r="D102">
            <v>231000</v>
          </cell>
        </row>
        <row r="103">
          <cell r="D103">
            <v>126000</v>
          </cell>
        </row>
        <row r="104">
          <cell r="D104">
            <v>94500</v>
          </cell>
        </row>
        <row r="105">
          <cell r="D105">
            <v>105000</v>
          </cell>
        </row>
        <row r="106">
          <cell r="D106">
            <v>14962.5</v>
          </cell>
        </row>
        <row r="107">
          <cell r="D107">
            <v>420</v>
          </cell>
        </row>
        <row r="108">
          <cell r="D108">
            <v>4147.5</v>
          </cell>
        </row>
        <row r="109">
          <cell r="D109">
            <v>1732.5</v>
          </cell>
        </row>
        <row r="110">
          <cell r="D110">
            <v>1732.5</v>
          </cell>
        </row>
        <row r="111">
          <cell r="D111">
            <v>2415000</v>
          </cell>
        </row>
        <row r="112">
          <cell r="D112">
            <v>4200</v>
          </cell>
        </row>
        <row r="113">
          <cell r="D113">
            <v>787.5</v>
          </cell>
        </row>
        <row r="114">
          <cell r="D114">
            <v>4725</v>
          </cell>
        </row>
        <row r="115">
          <cell r="D115">
            <v>14700</v>
          </cell>
        </row>
        <row r="116">
          <cell r="D116">
            <v>262.5</v>
          </cell>
        </row>
        <row r="117">
          <cell r="D117">
            <v>2100</v>
          </cell>
        </row>
        <row r="118">
          <cell r="D118">
            <v>9450</v>
          </cell>
        </row>
        <row r="119">
          <cell r="D119">
            <v>7350</v>
          </cell>
        </row>
        <row r="120">
          <cell r="D120">
            <v>1522.5</v>
          </cell>
        </row>
        <row r="121">
          <cell r="D121">
            <v>5145</v>
          </cell>
        </row>
        <row r="122">
          <cell r="D122">
            <v>84</v>
          </cell>
        </row>
        <row r="123">
          <cell r="D123">
            <v>17850</v>
          </cell>
        </row>
        <row r="124">
          <cell r="D124">
            <v>17850</v>
          </cell>
        </row>
        <row r="125">
          <cell r="D125">
            <v>68250</v>
          </cell>
        </row>
        <row r="126">
          <cell r="D126">
            <v>73500</v>
          </cell>
        </row>
        <row r="127">
          <cell r="D127">
            <v>420000</v>
          </cell>
        </row>
        <row r="128">
          <cell r="D128">
            <v>6300</v>
          </cell>
        </row>
        <row r="129">
          <cell r="D129">
            <v>6000</v>
          </cell>
        </row>
        <row r="130">
          <cell r="D130">
            <v>1995</v>
          </cell>
        </row>
        <row r="131">
          <cell r="D131">
            <v>6300</v>
          </cell>
        </row>
        <row r="132">
          <cell r="D132">
            <v>29400</v>
          </cell>
        </row>
        <row r="133">
          <cell r="D133">
            <v>29400</v>
          </cell>
        </row>
        <row r="134">
          <cell r="D134">
            <v>29400</v>
          </cell>
        </row>
        <row r="135">
          <cell r="D135">
            <v>29400</v>
          </cell>
        </row>
        <row r="136">
          <cell r="D136">
            <v>16275</v>
          </cell>
        </row>
        <row r="137">
          <cell r="D137">
            <v>38850</v>
          </cell>
        </row>
        <row r="138">
          <cell r="D138">
            <v>84000</v>
          </cell>
        </row>
        <row r="139">
          <cell r="D139">
            <v>6300</v>
          </cell>
        </row>
        <row r="140">
          <cell r="D140">
            <v>17850</v>
          </cell>
        </row>
        <row r="141">
          <cell r="D141">
            <v>42000</v>
          </cell>
        </row>
        <row r="142">
          <cell r="D142">
            <v>2572.5</v>
          </cell>
        </row>
        <row r="143">
          <cell r="D143">
            <v>4725</v>
          </cell>
        </row>
        <row r="144">
          <cell r="D144">
            <v>6300</v>
          </cell>
        </row>
        <row r="145">
          <cell r="D145">
            <v>31500</v>
          </cell>
        </row>
        <row r="146">
          <cell r="D146">
            <v>17850</v>
          </cell>
        </row>
        <row r="147">
          <cell r="D147">
            <v>58800</v>
          </cell>
        </row>
        <row r="148">
          <cell r="D148">
            <v>6300</v>
          </cell>
        </row>
        <row r="149">
          <cell r="D149">
            <v>26250</v>
          </cell>
        </row>
        <row r="150">
          <cell r="D150">
            <v>630</v>
          </cell>
        </row>
        <row r="151">
          <cell r="D151">
            <v>1155</v>
          </cell>
        </row>
        <row r="152">
          <cell r="D152">
            <v>194.25</v>
          </cell>
        </row>
        <row r="153">
          <cell r="D153">
            <v>472.5</v>
          </cell>
        </row>
        <row r="154">
          <cell r="D154">
            <v>630</v>
          </cell>
        </row>
        <row r="155">
          <cell r="D155">
            <v>525</v>
          </cell>
        </row>
        <row r="156">
          <cell r="D156">
            <v>525</v>
          </cell>
        </row>
        <row r="157">
          <cell r="D157">
            <v>840</v>
          </cell>
        </row>
        <row r="158">
          <cell r="D158">
            <v>241.5</v>
          </cell>
        </row>
        <row r="159">
          <cell r="D159">
            <v>210</v>
          </cell>
        </row>
        <row r="160">
          <cell r="D160">
            <v>420</v>
          </cell>
        </row>
        <row r="161">
          <cell r="D161">
            <v>840</v>
          </cell>
        </row>
        <row r="162">
          <cell r="D162">
            <v>840</v>
          </cell>
        </row>
        <row r="163">
          <cell r="D163">
            <v>525</v>
          </cell>
        </row>
        <row r="164">
          <cell r="D164">
            <v>787.5</v>
          </cell>
        </row>
        <row r="165">
          <cell r="D165">
            <v>871.5</v>
          </cell>
        </row>
        <row r="166">
          <cell r="D166">
            <v>367.5</v>
          </cell>
        </row>
        <row r="167">
          <cell r="D167">
            <v>231</v>
          </cell>
        </row>
        <row r="168">
          <cell r="D168">
            <v>283.5</v>
          </cell>
        </row>
        <row r="169">
          <cell r="D169">
            <v>577.5</v>
          </cell>
        </row>
        <row r="170">
          <cell r="D170">
            <v>262.5</v>
          </cell>
        </row>
        <row r="171">
          <cell r="D171">
            <v>525</v>
          </cell>
        </row>
        <row r="172">
          <cell r="D172">
            <v>934.5</v>
          </cell>
        </row>
        <row r="173">
          <cell r="D173">
            <v>14175</v>
          </cell>
        </row>
        <row r="174">
          <cell r="D174">
            <v>2992.5</v>
          </cell>
        </row>
        <row r="175">
          <cell r="D175">
            <v>4200</v>
          </cell>
        </row>
        <row r="176">
          <cell r="D176">
            <v>4200</v>
          </cell>
        </row>
        <row r="177">
          <cell r="D177">
            <v>3045</v>
          </cell>
        </row>
        <row r="178">
          <cell r="D178">
            <v>2625</v>
          </cell>
        </row>
        <row r="179">
          <cell r="D179">
            <v>3465</v>
          </cell>
        </row>
        <row r="180">
          <cell r="D180">
            <v>4200</v>
          </cell>
        </row>
        <row r="181">
          <cell r="D181">
            <v>3150</v>
          </cell>
        </row>
        <row r="182">
          <cell r="D182">
            <v>3255</v>
          </cell>
        </row>
        <row r="183">
          <cell r="D183">
            <v>4935</v>
          </cell>
        </row>
        <row r="184">
          <cell r="D184">
            <v>1260</v>
          </cell>
        </row>
        <row r="185">
          <cell r="D185">
            <v>8190</v>
          </cell>
        </row>
        <row r="186">
          <cell r="D186">
            <v>8190</v>
          </cell>
        </row>
        <row r="187">
          <cell r="D187">
            <v>11550</v>
          </cell>
        </row>
        <row r="188">
          <cell r="D188">
            <v>8925</v>
          </cell>
        </row>
        <row r="189">
          <cell r="D189">
            <v>8925</v>
          </cell>
        </row>
        <row r="190">
          <cell r="D190">
            <v>5775</v>
          </cell>
        </row>
        <row r="191">
          <cell r="D191">
            <v>3465</v>
          </cell>
        </row>
        <row r="192">
          <cell r="D192">
            <v>6300</v>
          </cell>
        </row>
        <row r="193">
          <cell r="D193">
            <v>7350</v>
          </cell>
        </row>
        <row r="194">
          <cell r="D194">
            <v>420</v>
          </cell>
        </row>
        <row r="195">
          <cell r="D195">
            <v>420</v>
          </cell>
        </row>
        <row r="196">
          <cell r="D196">
            <v>420</v>
          </cell>
        </row>
        <row r="197">
          <cell r="D197">
            <v>420</v>
          </cell>
        </row>
        <row r="198">
          <cell r="D198">
            <v>1890</v>
          </cell>
        </row>
        <row r="199">
          <cell r="D199">
            <v>367.5</v>
          </cell>
        </row>
        <row r="200">
          <cell r="D200">
            <v>380</v>
          </cell>
        </row>
        <row r="201">
          <cell r="D201">
            <v>400</v>
          </cell>
        </row>
        <row r="202">
          <cell r="D202">
            <v>630</v>
          </cell>
        </row>
        <row r="203">
          <cell r="D203">
            <v>472.5</v>
          </cell>
        </row>
        <row r="204">
          <cell r="D204">
            <v>336</v>
          </cell>
        </row>
        <row r="205">
          <cell r="D205">
            <v>350</v>
          </cell>
        </row>
        <row r="206">
          <cell r="D206">
            <v>345</v>
          </cell>
        </row>
        <row r="207">
          <cell r="D207">
            <v>304.5</v>
          </cell>
        </row>
        <row r="208">
          <cell r="D208">
            <v>504</v>
          </cell>
        </row>
        <row r="209">
          <cell r="D209">
            <v>315</v>
          </cell>
        </row>
        <row r="210">
          <cell r="D210">
            <v>283.5</v>
          </cell>
        </row>
        <row r="211">
          <cell r="D211">
            <v>367.5</v>
          </cell>
        </row>
        <row r="212">
          <cell r="D212">
            <v>400</v>
          </cell>
        </row>
        <row r="213">
          <cell r="D213">
            <v>270</v>
          </cell>
        </row>
        <row r="214">
          <cell r="D214">
            <v>262.5</v>
          </cell>
        </row>
        <row r="215">
          <cell r="D215">
            <v>262.5</v>
          </cell>
        </row>
        <row r="216">
          <cell r="D216">
            <v>178.5</v>
          </cell>
        </row>
        <row r="217">
          <cell r="D217">
            <v>420</v>
          </cell>
        </row>
        <row r="218">
          <cell r="D218">
            <v>420</v>
          </cell>
        </row>
        <row r="219">
          <cell r="D219">
            <v>294</v>
          </cell>
        </row>
        <row r="220">
          <cell r="D220">
            <v>735</v>
          </cell>
        </row>
        <row r="221">
          <cell r="D221">
            <v>3150</v>
          </cell>
        </row>
        <row r="222">
          <cell r="D222">
            <v>525</v>
          </cell>
        </row>
        <row r="223">
          <cell r="D223">
            <v>4830</v>
          </cell>
        </row>
        <row r="224">
          <cell r="D224">
            <v>4200</v>
          </cell>
        </row>
        <row r="225">
          <cell r="D225">
            <v>19425</v>
          </cell>
        </row>
        <row r="226">
          <cell r="D226">
            <v>36750</v>
          </cell>
        </row>
        <row r="227">
          <cell r="D227">
            <v>105000</v>
          </cell>
        </row>
        <row r="228">
          <cell r="D228">
            <v>105000</v>
          </cell>
        </row>
        <row r="229">
          <cell r="D229">
            <v>152250</v>
          </cell>
        </row>
        <row r="230">
          <cell r="D230">
            <v>47250</v>
          </cell>
        </row>
        <row r="231">
          <cell r="D231">
            <v>105000</v>
          </cell>
        </row>
        <row r="232">
          <cell r="D232">
            <v>36750</v>
          </cell>
        </row>
        <row r="233">
          <cell r="D233">
            <v>35000</v>
          </cell>
        </row>
        <row r="234">
          <cell r="D234">
            <v>37500</v>
          </cell>
        </row>
        <row r="235">
          <cell r="D235">
            <v>35650</v>
          </cell>
        </row>
        <row r="236">
          <cell r="D236">
            <v>35650</v>
          </cell>
        </row>
        <row r="237">
          <cell r="D237">
            <v>35650</v>
          </cell>
        </row>
        <row r="238">
          <cell r="D238">
            <v>6195</v>
          </cell>
        </row>
        <row r="239">
          <cell r="D239">
            <v>52500</v>
          </cell>
        </row>
        <row r="240">
          <cell r="D240">
            <v>51000</v>
          </cell>
        </row>
        <row r="241">
          <cell r="D241">
            <v>1500</v>
          </cell>
        </row>
        <row r="242">
          <cell r="D242">
            <v>2000</v>
          </cell>
        </row>
        <row r="243">
          <cell r="D243">
            <v>1627.5</v>
          </cell>
        </row>
        <row r="244">
          <cell r="D244">
            <v>1627.5</v>
          </cell>
        </row>
        <row r="245">
          <cell r="D245">
            <v>1627.5</v>
          </cell>
        </row>
        <row r="246">
          <cell r="D246">
            <v>49350</v>
          </cell>
        </row>
        <row r="247">
          <cell r="D247">
            <v>26250</v>
          </cell>
        </row>
        <row r="248">
          <cell r="D248">
            <v>61950</v>
          </cell>
        </row>
        <row r="249">
          <cell r="D249">
            <v>42000</v>
          </cell>
        </row>
        <row r="250">
          <cell r="D250">
            <v>26250</v>
          </cell>
        </row>
        <row r="251">
          <cell r="D251">
            <v>26250</v>
          </cell>
        </row>
        <row r="252">
          <cell r="D252">
            <v>37800</v>
          </cell>
        </row>
        <row r="253">
          <cell r="D253">
            <v>63000</v>
          </cell>
        </row>
        <row r="254">
          <cell r="D254">
            <v>16800</v>
          </cell>
        </row>
        <row r="255">
          <cell r="D255">
            <v>17000</v>
          </cell>
        </row>
        <row r="256">
          <cell r="D256">
            <v>17500</v>
          </cell>
        </row>
        <row r="257">
          <cell r="D257">
            <v>9975</v>
          </cell>
        </row>
        <row r="258">
          <cell r="D258">
            <v>2100</v>
          </cell>
        </row>
        <row r="259">
          <cell r="D259">
            <v>84</v>
          </cell>
        </row>
        <row r="260">
          <cell r="D260">
            <v>26250</v>
          </cell>
        </row>
        <row r="261">
          <cell r="D261">
            <v>630</v>
          </cell>
        </row>
        <row r="262">
          <cell r="D262">
            <v>735</v>
          </cell>
        </row>
        <row r="263">
          <cell r="D263">
            <v>15750</v>
          </cell>
        </row>
        <row r="264">
          <cell r="D264">
            <v>8925</v>
          </cell>
        </row>
        <row r="265">
          <cell r="D265">
            <v>22050</v>
          </cell>
        </row>
        <row r="266">
          <cell r="D266">
            <v>31500</v>
          </cell>
        </row>
        <row r="267">
          <cell r="D267">
            <v>3150</v>
          </cell>
        </row>
        <row r="268">
          <cell r="D268">
            <v>1155</v>
          </cell>
        </row>
        <row r="269">
          <cell r="D269">
            <v>105000</v>
          </cell>
        </row>
        <row r="270">
          <cell r="D270">
            <v>9450</v>
          </cell>
        </row>
        <row r="271">
          <cell r="D271">
            <v>2625</v>
          </cell>
        </row>
        <row r="272">
          <cell r="D272">
            <v>2625</v>
          </cell>
        </row>
        <row r="273">
          <cell r="D273">
            <v>17850</v>
          </cell>
        </row>
        <row r="274">
          <cell r="D274">
            <v>6300</v>
          </cell>
        </row>
        <row r="275">
          <cell r="D275">
            <v>525</v>
          </cell>
        </row>
        <row r="276">
          <cell r="D276">
            <v>2730</v>
          </cell>
        </row>
        <row r="277">
          <cell r="D277">
            <v>525</v>
          </cell>
        </row>
        <row r="278">
          <cell r="D278">
            <v>1890</v>
          </cell>
        </row>
        <row r="279">
          <cell r="D279">
            <v>682.5</v>
          </cell>
        </row>
        <row r="280">
          <cell r="D280">
            <v>900</v>
          </cell>
        </row>
        <row r="281">
          <cell r="D281">
            <v>1100</v>
          </cell>
        </row>
        <row r="282">
          <cell r="D282">
            <v>31500</v>
          </cell>
        </row>
        <row r="283">
          <cell r="D283">
            <v>30400</v>
          </cell>
        </row>
        <row r="284">
          <cell r="D284">
            <v>6300</v>
          </cell>
        </row>
        <row r="285">
          <cell r="D285">
            <v>29650</v>
          </cell>
        </row>
        <row r="286">
          <cell r="D286">
            <v>3150</v>
          </cell>
        </row>
        <row r="287">
          <cell r="D287">
            <v>3000</v>
          </cell>
        </row>
        <row r="288">
          <cell r="D288">
            <v>262500</v>
          </cell>
        </row>
        <row r="289">
          <cell r="D289">
            <v>6300</v>
          </cell>
        </row>
        <row r="290">
          <cell r="D290">
            <v>6000</v>
          </cell>
        </row>
        <row r="291">
          <cell r="D291">
            <v>31500</v>
          </cell>
        </row>
        <row r="292">
          <cell r="D292">
            <v>1500</v>
          </cell>
        </row>
        <row r="293">
          <cell r="D293">
            <v>1785</v>
          </cell>
        </row>
        <row r="294">
          <cell r="D294">
            <v>1785</v>
          </cell>
        </row>
        <row r="295">
          <cell r="D295">
            <v>3000</v>
          </cell>
        </row>
        <row r="296">
          <cell r="D296">
            <v>1890</v>
          </cell>
        </row>
        <row r="297">
          <cell r="D297">
            <v>1365</v>
          </cell>
        </row>
        <row r="298">
          <cell r="D298">
            <v>168000</v>
          </cell>
        </row>
        <row r="299">
          <cell r="D299">
            <v>1260</v>
          </cell>
        </row>
        <row r="300">
          <cell r="D300">
            <v>2625</v>
          </cell>
        </row>
        <row r="301">
          <cell r="D301">
            <v>3570</v>
          </cell>
        </row>
        <row r="302">
          <cell r="D302">
            <v>7350</v>
          </cell>
        </row>
        <row r="303">
          <cell r="D303">
            <v>1050</v>
          </cell>
        </row>
        <row r="304">
          <cell r="D304">
            <v>3465</v>
          </cell>
        </row>
        <row r="305">
          <cell r="D305">
            <v>2625</v>
          </cell>
        </row>
        <row r="306">
          <cell r="D306">
            <v>2100</v>
          </cell>
        </row>
        <row r="307">
          <cell r="D307">
            <v>1680</v>
          </cell>
        </row>
        <row r="308">
          <cell r="D308">
            <v>4200</v>
          </cell>
        </row>
        <row r="309">
          <cell r="D309">
            <v>4725</v>
          </cell>
        </row>
        <row r="310">
          <cell r="D310">
            <v>1575</v>
          </cell>
        </row>
        <row r="311">
          <cell r="D311">
            <v>2100</v>
          </cell>
        </row>
        <row r="312">
          <cell r="D312">
            <v>5250</v>
          </cell>
        </row>
        <row r="313">
          <cell r="D313">
            <v>3675</v>
          </cell>
        </row>
        <row r="314">
          <cell r="D314">
            <v>2625</v>
          </cell>
        </row>
        <row r="315">
          <cell r="D315">
            <v>1575</v>
          </cell>
        </row>
        <row r="316">
          <cell r="D316">
            <v>21000</v>
          </cell>
        </row>
        <row r="317">
          <cell r="D317">
            <v>3150</v>
          </cell>
        </row>
        <row r="318">
          <cell r="D318">
            <v>1627.5</v>
          </cell>
        </row>
        <row r="319">
          <cell r="D319">
            <v>2415</v>
          </cell>
        </row>
        <row r="320">
          <cell r="D320">
            <v>52500</v>
          </cell>
        </row>
        <row r="321">
          <cell r="D321">
            <v>3150000</v>
          </cell>
        </row>
        <row r="322">
          <cell r="D322">
            <v>31500</v>
          </cell>
        </row>
        <row r="323">
          <cell r="D323">
            <v>36750</v>
          </cell>
        </row>
        <row r="324">
          <cell r="D324">
            <v>12600</v>
          </cell>
        </row>
        <row r="325">
          <cell r="D325">
            <v>5250000</v>
          </cell>
        </row>
        <row r="326">
          <cell r="D326">
            <v>577500</v>
          </cell>
        </row>
        <row r="327">
          <cell r="D327">
            <v>462000</v>
          </cell>
        </row>
        <row r="328">
          <cell r="D328">
            <v>700000</v>
          </cell>
        </row>
        <row r="329">
          <cell r="D329">
            <v>750000</v>
          </cell>
        </row>
        <row r="330">
          <cell r="D330">
            <v>630</v>
          </cell>
        </row>
        <row r="331">
          <cell r="D331">
            <v>26250</v>
          </cell>
        </row>
        <row r="332">
          <cell r="D332">
            <v>18900</v>
          </cell>
        </row>
        <row r="333">
          <cell r="D333">
            <v>262500</v>
          </cell>
        </row>
        <row r="334">
          <cell r="D334">
            <v>262500</v>
          </cell>
        </row>
        <row r="335">
          <cell r="D335">
            <v>262500</v>
          </cell>
        </row>
        <row r="336">
          <cell r="D336">
            <v>262500</v>
          </cell>
        </row>
        <row r="337">
          <cell r="D337">
            <v>262500</v>
          </cell>
        </row>
        <row r="338">
          <cell r="D338">
            <v>162750</v>
          </cell>
        </row>
        <row r="339">
          <cell r="D339">
            <v>57750</v>
          </cell>
        </row>
        <row r="340">
          <cell r="D340">
            <v>18900</v>
          </cell>
        </row>
        <row r="341">
          <cell r="D341">
            <v>99750</v>
          </cell>
        </row>
        <row r="342">
          <cell r="D342">
            <v>11550</v>
          </cell>
        </row>
        <row r="343">
          <cell r="D343">
            <v>8925</v>
          </cell>
        </row>
        <row r="344">
          <cell r="D344">
            <v>11550</v>
          </cell>
        </row>
        <row r="345">
          <cell r="D345">
            <v>63000</v>
          </cell>
        </row>
        <row r="346">
          <cell r="D346">
            <v>6300</v>
          </cell>
        </row>
        <row r="347">
          <cell r="D347">
            <v>304.5</v>
          </cell>
        </row>
        <row r="348">
          <cell r="D348">
            <v>350</v>
          </cell>
        </row>
        <row r="349">
          <cell r="D349">
            <v>3150</v>
          </cell>
        </row>
        <row r="350">
          <cell r="D350">
            <v>65100</v>
          </cell>
        </row>
        <row r="351">
          <cell r="D351">
            <v>36750</v>
          </cell>
        </row>
        <row r="352">
          <cell r="D352">
            <v>47250</v>
          </cell>
        </row>
        <row r="353">
          <cell r="D353">
            <v>26250</v>
          </cell>
        </row>
        <row r="354">
          <cell r="D354">
            <v>25000</v>
          </cell>
        </row>
        <row r="355">
          <cell r="D355">
            <v>42000</v>
          </cell>
        </row>
        <row r="356">
          <cell r="D356">
            <v>18900</v>
          </cell>
        </row>
        <row r="357">
          <cell r="D357">
            <v>57750</v>
          </cell>
        </row>
        <row r="358">
          <cell r="D358">
            <v>78750</v>
          </cell>
        </row>
        <row r="359">
          <cell r="D359">
            <v>18900</v>
          </cell>
        </row>
        <row r="360">
          <cell r="D360">
            <v>26250</v>
          </cell>
        </row>
        <row r="361">
          <cell r="D361">
            <v>47250</v>
          </cell>
        </row>
        <row r="362">
          <cell r="D362">
            <v>26250</v>
          </cell>
        </row>
        <row r="363">
          <cell r="D363">
            <v>17850</v>
          </cell>
        </row>
        <row r="364">
          <cell r="D364">
            <v>47250</v>
          </cell>
        </row>
        <row r="365">
          <cell r="D365">
            <v>16800</v>
          </cell>
        </row>
        <row r="366">
          <cell r="D366">
            <v>7665</v>
          </cell>
        </row>
        <row r="367">
          <cell r="D367">
            <v>12600</v>
          </cell>
        </row>
        <row r="368">
          <cell r="D368">
            <v>26250</v>
          </cell>
        </row>
        <row r="369">
          <cell r="D369">
            <v>26250</v>
          </cell>
        </row>
        <row r="370">
          <cell r="D370">
            <v>26250</v>
          </cell>
        </row>
        <row r="371">
          <cell r="D371">
            <v>3360</v>
          </cell>
        </row>
        <row r="372">
          <cell r="D372">
            <v>8400</v>
          </cell>
        </row>
        <row r="373">
          <cell r="D373">
            <v>1995</v>
          </cell>
        </row>
        <row r="374">
          <cell r="D374">
            <v>12600</v>
          </cell>
        </row>
        <row r="375">
          <cell r="D375">
            <v>3045</v>
          </cell>
        </row>
        <row r="376">
          <cell r="D376">
            <v>790</v>
          </cell>
        </row>
        <row r="377">
          <cell r="D377">
            <v>6300</v>
          </cell>
        </row>
        <row r="378">
          <cell r="D378">
            <v>22050</v>
          </cell>
        </row>
        <row r="379">
          <cell r="D379">
            <v>16800</v>
          </cell>
        </row>
        <row r="380">
          <cell r="D380">
            <v>42000</v>
          </cell>
        </row>
        <row r="381">
          <cell r="D381">
            <v>105000</v>
          </cell>
        </row>
        <row r="382">
          <cell r="D382">
            <v>26250</v>
          </cell>
        </row>
        <row r="383">
          <cell r="D383">
            <v>15750</v>
          </cell>
        </row>
        <row r="384">
          <cell r="D384">
            <v>17500</v>
          </cell>
        </row>
        <row r="385">
          <cell r="D385">
            <v>47250</v>
          </cell>
        </row>
        <row r="386">
          <cell r="D386">
            <v>315000</v>
          </cell>
        </row>
        <row r="387">
          <cell r="D387">
            <v>10500</v>
          </cell>
        </row>
        <row r="388">
          <cell r="D388">
            <v>7350</v>
          </cell>
        </row>
        <row r="389">
          <cell r="D389">
            <v>3000000</v>
          </cell>
        </row>
        <row r="390">
          <cell r="D390">
            <v>2000</v>
          </cell>
        </row>
        <row r="391">
          <cell r="D391">
            <v>5000</v>
          </cell>
        </row>
        <row r="392">
          <cell r="D392">
            <v>12000</v>
          </cell>
        </row>
        <row r="393">
          <cell r="D393">
            <v>105000</v>
          </cell>
        </row>
        <row r="394">
          <cell r="D394">
            <v>26250</v>
          </cell>
        </row>
        <row r="395">
          <cell r="D395">
            <v>73500</v>
          </cell>
        </row>
        <row r="396">
          <cell r="D396">
            <v>31500</v>
          </cell>
        </row>
        <row r="397">
          <cell r="D397">
            <v>26250</v>
          </cell>
        </row>
        <row r="398">
          <cell r="D398">
            <v>26250</v>
          </cell>
        </row>
        <row r="399">
          <cell r="D399">
            <v>52500</v>
          </cell>
        </row>
        <row r="400">
          <cell r="D400">
            <v>84000</v>
          </cell>
        </row>
        <row r="401">
          <cell r="D401">
            <v>393750</v>
          </cell>
        </row>
        <row r="402">
          <cell r="D402">
            <v>84000</v>
          </cell>
        </row>
        <row r="403">
          <cell r="D403">
            <v>220500</v>
          </cell>
        </row>
        <row r="404">
          <cell r="D404">
            <v>52500</v>
          </cell>
        </row>
        <row r="405">
          <cell r="D405">
            <v>36750</v>
          </cell>
        </row>
        <row r="406">
          <cell r="D406">
            <v>89250</v>
          </cell>
        </row>
        <row r="407">
          <cell r="D407">
            <v>73500</v>
          </cell>
        </row>
        <row r="408">
          <cell r="D408">
            <v>21000</v>
          </cell>
        </row>
        <row r="409">
          <cell r="D409">
            <v>21000</v>
          </cell>
        </row>
        <row r="410">
          <cell r="D410">
            <v>18000</v>
          </cell>
        </row>
        <row r="411">
          <cell r="D411">
            <v>26250</v>
          </cell>
        </row>
        <row r="412">
          <cell r="D412">
            <v>168000</v>
          </cell>
        </row>
        <row r="413">
          <cell r="D413">
            <v>30450</v>
          </cell>
        </row>
        <row r="414">
          <cell r="D414">
            <v>55650</v>
          </cell>
        </row>
        <row r="415">
          <cell r="D415">
            <v>26250</v>
          </cell>
        </row>
        <row r="416">
          <cell r="D416">
            <v>31500</v>
          </cell>
        </row>
        <row r="417">
          <cell r="D417">
            <v>63000</v>
          </cell>
        </row>
        <row r="418">
          <cell r="D418">
            <v>52500</v>
          </cell>
        </row>
        <row r="419">
          <cell r="D419">
            <v>55000</v>
          </cell>
        </row>
        <row r="420">
          <cell r="D420">
            <v>16800</v>
          </cell>
        </row>
        <row r="421">
          <cell r="D421">
            <v>26250</v>
          </cell>
        </row>
        <row r="422">
          <cell r="D422">
            <v>16275</v>
          </cell>
        </row>
        <row r="423">
          <cell r="D423">
            <v>35000</v>
          </cell>
        </row>
        <row r="424">
          <cell r="D424">
            <v>31500</v>
          </cell>
        </row>
        <row r="425">
          <cell r="D425">
            <v>16800</v>
          </cell>
        </row>
        <row r="426">
          <cell r="D426">
            <v>26250</v>
          </cell>
        </row>
        <row r="427">
          <cell r="D427">
            <v>52500</v>
          </cell>
        </row>
        <row r="428">
          <cell r="D428">
            <v>1050000</v>
          </cell>
        </row>
        <row r="429">
          <cell r="D429">
            <v>120000</v>
          </cell>
        </row>
        <row r="430">
          <cell r="D430">
            <v>288750</v>
          </cell>
        </row>
        <row r="431">
          <cell r="D431">
            <v>315000</v>
          </cell>
        </row>
        <row r="432">
          <cell r="D432">
            <v>199500</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449"/>
  <sheetViews>
    <sheetView tabSelected="1" zoomScale="85" zoomScaleNormal="85" zoomScaleSheetLayoutView="110" workbookViewId="0">
      <selection activeCell="A10" sqref="A10:XFD10"/>
    </sheetView>
  </sheetViews>
  <sheetFormatPr defaultColWidth="9" defaultRowHeight="15" x14ac:dyDescent="0.25"/>
  <cols>
    <col min="1" max="1" width="7.85546875" customWidth="1"/>
    <col min="2" max="2" width="65.85546875" customWidth="1"/>
    <col min="3" max="3" width="18" customWidth="1"/>
    <col min="4" max="4" width="15" style="1" customWidth="1"/>
    <col min="5" max="6" width="16.140625" style="1" customWidth="1"/>
    <col min="7" max="7" width="17.5703125" style="11" customWidth="1"/>
    <col min="8" max="23" width="22" style="1" hidden="1" customWidth="1"/>
    <col min="24" max="24" width="1.140625" style="1" hidden="1" customWidth="1"/>
    <col min="25" max="25" width="16" style="1" hidden="1" customWidth="1"/>
    <col min="26" max="26" width="17.85546875" style="12" customWidth="1"/>
    <col min="27" max="27" width="45.140625" customWidth="1"/>
    <col min="28" max="28" width="18.7109375" customWidth="1"/>
    <col min="29" max="1021" width="9.140625" customWidth="1"/>
  </cols>
  <sheetData>
    <row r="1" spans="1:28" ht="15" customHeight="1" x14ac:dyDescent="0.25">
      <c r="A1" s="2" t="s">
        <v>21</v>
      </c>
      <c r="B1" s="2"/>
      <c r="C1" s="2"/>
      <c r="D1" s="3"/>
      <c r="E1" s="3"/>
      <c r="F1" s="3"/>
      <c r="G1" s="9"/>
      <c r="H1" s="3"/>
      <c r="I1" s="3"/>
      <c r="J1" s="3"/>
      <c r="K1" s="3"/>
      <c r="L1" s="3"/>
      <c r="M1" s="3"/>
      <c r="N1" s="3"/>
      <c r="O1" s="3"/>
      <c r="P1" s="3"/>
      <c r="Q1" s="3"/>
      <c r="R1" s="3"/>
      <c r="S1" s="3"/>
      <c r="T1" s="3"/>
      <c r="U1" s="3"/>
      <c r="V1" s="3"/>
      <c r="W1" s="3"/>
      <c r="X1" s="3"/>
      <c r="Y1" s="3"/>
    </row>
    <row r="2" spans="1:28" ht="15" customHeight="1" x14ac:dyDescent="0.25">
      <c r="A2" s="2"/>
      <c r="B2" s="43" t="s">
        <v>504</v>
      </c>
      <c r="C2" s="2"/>
      <c r="D2" s="4"/>
      <c r="E2" s="4"/>
      <c r="F2" s="4"/>
      <c r="G2" s="10"/>
      <c r="H2" s="4"/>
      <c r="I2" s="4"/>
      <c r="J2" s="4"/>
      <c r="K2" s="4"/>
      <c r="L2" s="4"/>
      <c r="M2" s="4"/>
      <c r="N2" s="4"/>
      <c r="O2" s="4"/>
      <c r="P2" s="4"/>
      <c r="Q2" s="4"/>
      <c r="R2" s="4"/>
      <c r="S2" s="4"/>
      <c r="T2" s="4"/>
      <c r="U2" s="4"/>
      <c r="V2" s="4"/>
      <c r="W2" s="4"/>
      <c r="X2" s="4"/>
      <c r="Y2" s="4"/>
    </row>
    <row r="3" spans="1:28" ht="41.1" customHeight="1" x14ac:dyDescent="0.3">
      <c r="A3" s="40" t="s">
        <v>23</v>
      </c>
      <c r="B3" s="40"/>
      <c r="C3" s="40"/>
      <c r="D3" s="40"/>
      <c r="E3" s="40"/>
      <c r="F3" s="40"/>
      <c r="G3" s="40"/>
      <c r="H3" s="40"/>
      <c r="I3" s="40"/>
      <c r="J3" s="40"/>
      <c r="K3" s="40"/>
      <c r="L3" s="40"/>
      <c r="M3" s="40"/>
      <c r="N3" s="40"/>
      <c r="O3" s="40"/>
      <c r="P3" s="40"/>
      <c r="Q3" s="40"/>
      <c r="R3" s="40"/>
      <c r="S3" s="40"/>
      <c r="T3" s="40"/>
      <c r="U3" s="40"/>
      <c r="V3" s="40"/>
      <c r="W3" s="40"/>
      <c r="X3" s="40"/>
      <c r="Y3" s="40"/>
      <c r="Z3" s="40"/>
    </row>
    <row r="4" spans="1:28" ht="15" customHeight="1" x14ac:dyDescent="0.25">
      <c r="A4" s="2"/>
      <c r="B4" s="6" t="s">
        <v>497</v>
      </c>
      <c r="C4" s="2"/>
      <c r="D4" s="4"/>
      <c r="E4" s="4"/>
      <c r="F4" s="4"/>
      <c r="G4" s="10"/>
      <c r="H4" s="4"/>
      <c r="I4" s="4"/>
      <c r="J4" s="4"/>
      <c r="K4" s="4"/>
      <c r="L4" s="4"/>
      <c r="M4" s="4"/>
      <c r="N4" s="4"/>
      <c r="O4" s="4"/>
      <c r="P4" s="4"/>
      <c r="Q4" s="4"/>
      <c r="R4" s="4"/>
      <c r="S4" s="4"/>
      <c r="T4" s="4"/>
      <c r="U4" s="4"/>
      <c r="V4" s="4"/>
      <c r="W4" s="4"/>
      <c r="X4" s="4"/>
      <c r="Y4" s="4"/>
    </row>
    <row r="5" spans="1:28" ht="15.75" thickBot="1" x14ac:dyDescent="0.3">
      <c r="A5" s="2"/>
      <c r="B5" s="2"/>
      <c r="C5" s="2"/>
      <c r="D5" s="4"/>
      <c r="E5" s="4"/>
      <c r="F5" s="4"/>
      <c r="G5" s="10"/>
      <c r="H5" s="4"/>
      <c r="I5" s="4"/>
      <c r="J5" s="4"/>
      <c r="K5" s="4"/>
      <c r="L5" s="4"/>
      <c r="M5" s="4"/>
      <c r="N5" s="4"/>
      <c r="O5" s="4"/>
      <c r="P5" s="4"/>
      <c r="Q5" s="4"/>
      <c r="R5" s="4"/>
      <c r="S5" s="4"/>
      <c r="T5" s="4"/>
      <c r="U5" s="4"/>
      <c r="V5" s="4"/>
      <c r="W5" s="4"/>
      <c r="X5" s="4"/>
      <c r="Y5" s="4"/>
    </row>
    <row r="6" spans="1:28" ht="51" customHeight="1" thickBot="1" x14ac:dyDescent="0.3">
      <c r="A6" s="41" t="s">
        <v>24</v>
      </c>
      <c r="B6" s="41"/>
      <c r="C6" s="42" t="s">
        <v>473</v>
      </c>
      <c r="D6" s="42"/>
      <c r="E6" s="42"/>
      <c r="F6" s="42"/>
      <c r="G6" s="42"/>
      <c r="H6" s="42"/>
      <c r="I6" s="42"/>
      <c r="J6" s="42"/>
      <c r="K6" s="42"/>
      <c r="L6" s="42"/>
      <c r="M6" s="42"/>
      <c r="N6" s="42"/>
      <c r="O6" s="42"/>
      <c r="P6" s="42"/>
      <c r="Q6" s="42"/>
      <c r="R6" s="42"/>
      <c r="S6" s="42"/>
      <c r="T6" s="42"/>
      <c r="U6" s="42"/>
      <c r="V6" s="42"/>
      <c r="W6" s="42"/>
      <c r="X6" s="42"/>
      <c r="Y6" s="42"/>
      <c r="Z6" s="42"/>
    </row>
    <row r="7" spans="1:28" ht="60" customHeight="1" thickBot="1" x14ac:dyDescent="0.3">
      <c r="A7" s="32" t="s">
        <v>25</v>
      </c>
      <c r="B7" s="32"/>
      <c r="C7" s="38" t="s">
        <v>33</v>
      </c>
      <c r="D7" s="38"/>
      <c r="E7" s="38"/>
      <c r="F7" s="38"/>
      <c r="G7" s="38"/>
      <c r="H7" s="38"/>
      <c r="I7" s="38"/>
      <c r="J7" s="38"/>
      <c r="K7" s="38"/>
      <c r="L7" s="38"/>
      <c r="M7" s="38"/>
      <c r="N7" s="38"/>
      <c r="O7" s="38"/>
      <c r="P7" s="38"/>
      <c r="Q7" s="38"/>
      <c r="R7" s="38"/>
      <c r="S7" s="38"/>
      <c r="T7" s="38"/>
      <c r="U7" s="38"/>
      <c r="V7" s="38"/>
      <c r="W7" s="38"/>
      <c r="X7" s="38"/>
      <c r="Y7" s="38"/>
      <c r="Z7" s="38"/>
    </row>
    <row r="8" spans="1:28" ht="29.25" customHeight="1" thickBot="1" x14ac:dyDescent="0.3">
      <c r="A8" s="32" t="s">
        <v>26</v>
      </c>
      <c r="B8" s="32"/>
      <c r="C8" s="38" t="s">
        <v>474</v>
      </c>
      <c r="D8" s="38"/>
      <c r="E8" s="38"/>
      <c r="F8" s="38"/>
      <c r="G8" s="38"/>
      <c r="H8" s="38"/>
      <c r="I8" s="38"/>
      <c r="J8" s="38"/>
      <c r="K8" s="38"/>
      <c r="L8" s="38"/>
      <c r="M8" s="38"/>
      <c r="N8" s="38"/>
      <c r="O8" s="38"/>
      <c r="P8" s="38"/>
      <c r="Q8" s="38"/>
      <c r="R8" s="38"/>
      <c r="S8" s="38"/>
      <c r="T8" s="38"/>
      <c r="U8" s="38"/>
      <c r="V8" s="38"/>
      <c r="W8" s="38"/>
      <c r="X8" s="38"/>
      <c r="Y8" s="38"/>
      <c r="Z8" s="38"/>
      <c r="AA8" s="22"/>
    </row>
    <row r="9" spans="1:28" ht="90.75" customHeight="1" thickBot="1" x14ac:dyDescent="0.3">
      <c r="A9" s="32" t="s">
        <v>27</v>
      </c>
      <c r="B9" s="32"/>
      <c r="C9" s="39" t="s">
        <v>498</v>
      </c>
      <c r="D9" s="39"/>
      <c r="E9" s="39"/>
      <c r="F9" s="39"/>
      <c r="G9" s="39"/>
      <c r="H9" s="39"/>
      <c r="I9" s="39"/>
      <c r="J9" s="39"/>
      <c r="K9" s="39"/>
      <c r="L9" s="39"/>
      <c r="M9" s="39"/>
      <c r="N9" s="39"/>
      <c r="O9" s="39"/>
      <c r="P9" s="39"/>
      <c r="Q9" s="39"/>
      <c r="R9" s="39"/>
      <c r="S9" s="39"/>
      <c r="T9" s="39"/>
      <c r="U9" s="39"/>
      <c r="V9" s="39"/>
      <c r="W9" s="39"/>
      <c r="X9" s="39"/>
      <c r="Y9" s="39"/>
      <c r="Z9" s="39"/>
      <c r="AA9" s="23"/>
    </row>
    <row r="10" spans="1:28" ht="42.75" customHeight="1" thickBot="1" x14ac:dyDescent="0.3">
      <c r="A10" s="32" t="s">
        <v>28</v>
      </c>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spans="1:28" ht="83.25" customHeight="1" thickBot="1" x14ac:dyDescent="0.3">
      <c r="A11" s="32" t="s">
        <v>0</v>
      </c>
      <c r="B11" s="32" t="s">
        <v>1</v>
      </c>
      <c r="C11" s="32" t="s">
        <v>34</v>
      </c>
      <c r="D11" s="24" t="s">
        <v>499</v>
      </c>
      <c r="E11" s="24" t="s">
        <v>500</v>
      </c>
      <c r="F11" s="24" t="s">
        <v>501</v>
      </c>
      <c r="G11" s="25" t="s">
        <v>502</v>
      </c>
      <c r="H11" s="24" t="s">
        <v>2</v>
      </c>
      <c r="I11" s="24" t="s">
        <v>3</v>
      </c>
      <c r="J11" s="24" t="s">
        <v>4</v>
      </c>
      <c r="K11" s="24" t="s">
        <v>5</v>
      </c>
      <c r="L11" s="24" t="s">
        <v>6</v>
      </c>
      <c r="M11" s="24" t="s">
        <v>7</v>
      </c>
      <c r="N11" s="24" t="s">
        <v>8</v>
      </c>
      <c r="O11" s="24" t="s">
        <v>9</v>
      </c>
      <c r="P11" s="24" t="s">
        <v>10</v>
      </c>
      <c r="Q11" s="24" t="s">
        <v>11</v>
      </c>
      <c r="R11" s="24" t="s">
        <v>12</v>
      </c>
      <c r="S11" s="24" t="s">
        <v>13</v>
      </c>
      <c r="T11" s="24" t="s">
        <v>14</v>
      </c>
      <c r="U11" s="24" t="s">
        <v>15</v>
      </c>
      <c r="V11" s="24" t="s">
        <v>16</v>
      </c>
      <c r="W11" s="24" t="s">
        <v>17</v>
      </c>
      <c r="X11" s="24" t="s">
        <v>18</v>
      </c>
      <c r="Y11" s="37" t="s">
        <v>22</v>
      </c>
      <c r="Z11" s="37" t="s">
        <v>475</v>
      </c>
    </row>
    <row r="12" spans="1:28" ht="71.25" customHeight="1" thickBot="1" x14ac:dyDescent="0.3">
      <c r="A12" s="32"/>
      <c r="B12" s="32"/>
      <c r="C12" s="32"/>
      <c r="D12" s="26" t="s">
        <v>503</v>
      </c>
      <c r="E12" s="26" t="s">
        <v>503</v>
      </c>
      <c r="F12" s="26" t="s">
        <v>503</v>
      </c>
      <c r="G12" s="26" t="s">
        <v>503</v>
      </c>
      <c r="H12" s="24" t="s">
        <v>19</v>
      </c>
      <c r="I12" s="24" t="s">
        <v>19</v>
      </c>
      <c r="J12" s="24" t="s">
        <v>19</v>
      </c>
      <c r="K12" s="24" t="s">
        <v>19</v>
      </c>
      <c r="L12" s="24" t="s">
        <v>19</v>
      </c>
      <c r="M12" s="24" t="s">
        <v>19</v>
      </c>
      <c r="N12" s="24" t="s">
        <v>19</v>
      </c>
      <c r="O12" s="24" t="s">
        <v>19</v>
      </c>
      <c r="P12" s="24" t="s">
        <v>19</v>
      </c>
      <c r="Q12" s="24" t="s">
        <v>19</v>
      </c>
      <c r="R12" s="24" t="s">
        <v>19</v>
      </c>
      <c r="S12" s="24" t="s">
        <v>19</v>
      </c>
      <c r="T12" s="24" t="s">
        <v>19</v>
      </c>
      <c r="U12" s="24" t="s">
        <v>19</v>
      </c>
      <c r="V12" s="24" t="s">
        <v>19</v>
      </c>
      <c r="W12" s="24" t="s">
        <v>19</v>
      </c>
      <c r="X12" s="24" t="s">
        <v>19</v>
      </c>
      <c r="Y12" s="37"/>
      <c r="Z12" s="37"/>
      <c r="AA12" s="27"/>
    </row>
    <row r="13" spans="1:28" ht="30.75" thickBot="1" x14ac:dyDescent="0.3">
      <c r="A13" s="14">
        <v>1</v>
      </c>
      <c r="B13" s="13" t="s">
        <v>35</v>
      </c>
      <c r="C13" s="13" t="s">
        <v>36</v>
      </c>
      <c r="D13" s="15">
        <f>[1]Лист4!D4</f>
        <v>126000</v>
      </c>
      <c r="E13" s="15">
        <f>[2]Лист4!D5</f>
        <v>152500</v>
      </c>
      <c r="F13" s="15">
        <f>[3]Лист4!D5</f>
        <v>178120</v>
      </c>
      <c r="G13" s="16">
        <f>[4]Лист4!D4</f>
        <v>157080</v>
      </c>
      <c r="H13" s="15"/>
      <c r="I13" s="15"/>
      <c r="J13" s="15"/>
      <c r="K13" s="15"/>
      <c r="L13" s="15"/>
      <c r="M13" s="15"/>
      <c r="N13" s="15"/>
      <c r="O13" s="15"/>
      <c r="P13" s="15"/>
      <c r="Q13" s="15"/>
      <c r="R13" s="15"/>
      <c r="S13" s="15"/>
      <c r="T13" s="15"/>
      <c r="U13" s="15"/>
      <c r="V13" s="15"/>
      <c r="W13" s="15"/>
      <c r="X13" s="15"/>
      <c r="Y13" s="15"/>
      <c r="Z13" s="15">
        <f>MIN(D13:G13)</f>
        <v>126000</v>
      </c>
      <c r="AA13" s="20"/>
      <c r="AB13" s="21"/>
    </row>
    <row r="14" spans="1:28" ht="60.75" thickBot="1" x14ac:dyDescent="0.3">
      <c r="A14" s="14">
        <v>2</v>
      </c>
      <c r="B14" s="13" t="s">
        <v>37</v>
      </c>
      <c r="C14" s="13" t="s">
        <v>38</v>
      </c>
      <c r="D14" s="15">
        <f>[1]Лист4!D5</f>
        <v>157500</v>
      </c>
      <c r="E14" s="15">
        <f>[2]Лист4!D6</f>
        <v>231800</v>
      </c>
      <c r="F14" s="15">
        <f>[3]Лист4!D6</f>
        <v>183000</v>
      </c>
      <c r="G14" s="16">
        <f>[4]Лист4!D5</f>
        <v>193746</v>
      </c>
      <c r="H14" s="15"/>
      <c r="I14" s="15"/>
      <c r="J14" s="15"/>
      <c r="K14" s="15"/>
      <c r="L14" s="15"/>
      <c r="M14" s="15"/>
      <c r="N14" s="15"/>
      <c r="O14" s="15"/>
      <c r="P14" s="15"/>
      <c r="Q14" s="15"/>
      <c r="R14" s="15"/>
      <c r="S14" s="15"/>
      <c r="T14" s="15"/>
      <c r="U14" s="15"/>
      <c r="V14" s="15"/>
      <c r="W14" s="15"/>
      <c r="X14" s="15"/>
      <c r="Y14" s="15"/>
      <c r="Z14" s="15">
        <f t="shared" ref="Z14:Z77" si="0">MIN(D14:G14)</f>
        <v>157500</v>
      </c>
      <c r="AA14" s="20"/>
      <c r="AB14" s="21"/>
    </row>
    <row r="15" spans="1:28" ht="60.75" thickBot="1" x14ac:dyDescent="0.3">
      <c r="A15" s="14">
        <v>3</v>
      </c>
      <c r="B15" s="13" t="s">
        <v>39</v>
      </c>
      <c r="C15" s="13" t="s">
        <v>38</v>
      </c>
      <c r="D15" s="15">
        <f>[1]Лист4!D6</f>
        <v>2100</v>
      </c>
      <c r="E15" s="15">
        <f>[2]Лист4!D7</f>
        <v>2196</v>
      </c>
      <c r="F15" s="15">
        <f>[3]Лист4!D7</f>
        <v>1220</v>
      </c>
      <c r="G15" s="16">
        <f>[4]Лист4!D6</f>
        <v>2194.5</v>
      </c>
      <c r="H15" s="15"/>
      <c r="I15" s="15"/>
      <c r="J15" s="15"/>
      <c r="K15" s="15"/>
      <c r="L15" s="15"/>
      <c r="M15" s="15"/>
      <c r="N15" s="15"/>
      <c r="O15" s="15"/>
      <c r="P15" s="15"/>
      <c r="Q15" s="15"/>
      <c r="R15" s="15"/>
      <c r="S15" s="15"/>
      <c r="T15" s="15"/>
      <c r="U15" s="15"/>
      <c r="V15" s="15"/>
      <c r="W15" s="15"/>
      <c r="X15" s="15"/>
      <c r="Y15" s="15"/>
      <c r="Z15" s="15">
        <f t="shared" si="0"/>
        <v>1220</v>
      </c>
      <c r="AA15" s="20"/>
      <c r="AB15" s="21"/>
    </row>
    <row r="16" spans="1:28" ht="45.75" thickBot="1" x14ac:dyDescent="0.3">
      <c r="A16" s="14">
        <v>4</v>
      </c>
      <c r="B16" s="13" t="s">
        <v>481</v>
      </c>
      <c r="C16" s="13" t="s">
        <v>38</v>
      </c>
      <c r="D16" s="15">
        <f>[1]Лист4!D7</f>
        <v>210000</v>
      </c>
      <c r="E16" s="15">
        <f>[2]Лист4!D8</f>
        <v>250100</v>
      </c>
      <c r="F16" s="15">
        <f>[3]Лист4!D8</f>
        <v>292800</v>
      </c>
      <c r="G16" s="16">
        <f>[4]Лист4!D7</f>
        <v>267750</v>
      </c>
      <c r="H16" s="15"/>
      <c r="I16" s="15"/>
      <c r="J16" s="15"/>
      <c r="K16" s="15"/>
      <c r="L16" s="15"/>
      <c r="M16" s="15"/>
      <c r="N16" s="15"/>
      <c r="O16" s="15"/>
      <c r="P16" s="15"/>
      <c r="Q16" s="15"/>
      <c r="R16" s="15"/>
      <c r="S16" s="15"/>
      <c r="T16" s="15"/>
      <c r="U16" s="15"/>
      <c r="V16" s="15"/>
      <c r="W16" s="15"/>
      <c r="X16" s="15"/>
      <c r="Y16" s="15"/>
      <c r="Z16" s="15">
        <f t="shared" si="0"/>
        <v>210000</v>
      </c>
      <c r="AA16" s="20"/>
      <c r="AB16" s="21"/>
    </row>
    <row r="17" spans="1:28" ht="60.75" thickBot="1" x14ac:dyDescent="0.3">
      <c r="A17" s="14">
        <v>5</v>
      </c>
      <c r="B17" s="13" t="s">
        <v>40</v>
      </c>
      <c r="C17" s="13" t="s">
        <v>41</v>
      </c>
      <c r="D17" s="15">
        <f>[1]Лист4!D8</f>
        <v>52500</v>
      </c>
      <c r="E17" s="15">
        <f>[2]Лист4!D9</f>
        <v>70760</v>
      </c>
      <c r="F17" s="15">
        <f>[3]Лист4!D9</f>
        <v>61000</v>
      </c>
      <c r="G17" s="16">
        <f>[4]Лист4!D8</f>
        <v>63000</v>
      </c>
      <c r="H17" s="15"/>
      <c r="I17" s="15"/>
      <c r="J17" s="15"/>
      <c r="K17" s="15"/>
      <c r="L17" s="15"/>
      <c r="M17" s="15"/>
      <c r="N17" s="15"/>
      <c r="O17" s="15"/>
      <c r="P17" s="15"/>
      <c r="Q17" s="15"/>
      <c r="R17" s="15"/>
      <c r="S17" s="15"/>
      <c r="T17" s="15"/>
      <c r="U17" s="15"/>
      <c r="V17" s="15"/>
      <c r="W17" s="15"/>
      <c r="X17" s="15"/>
      <c r="Y17" s="15"/>
      <c r="Z17" s="15">
        <f t="shared" si="0"/>
        <v>52500</v>
      </c>
      <c r="AA17" s="20"/>
      <c r="AB17" s="21"/>
    </row>
    <row r="18" spans="1:28" ht="60.75" customHeight="1" thickBot="1" x14ac:dyDescent="0.3">
      <c r="A18" s="14">
        <v>6</v>
      </c>
      <c r="B18" s="13" t="s">
        <v>42</v>
      </c>
      <c r="C18" s="13" t="s">
        <v>43</v>
      </c>
      <c r="D18" s="15">
        <f>[1]Лист4!D9</f>
        <v>1575</v>
      </c>
      <c r="E18" s="15">
        <f>[2]Лист4!D10</f>
        <v>2074</v>
      </c>
      <c r="F18" s="15">
        <f>[3]Лист4!D10</f>
        <v>1220</v>
      </c>
      <c r="G18" s="16">
        <f>[4]Лист4!D9</f>
        <v>1550</v>
      </c>
      <c r="H18" s="15"/>
      <c r="I18" s="15"/>
      <c r="J18" s="15"/>
      <c r="K18" s="15"/>
      <c r="L18" s="15"/>
      <c r="M18" s="15"/>
      <c r="N18" s="15"/>
      <c r="O18" s="15"/>
      <c r="P18" s="15"/>
      <c r="Q18" s="15"/>
      <c r="R18" s="15"/>
      <c r="S18" s="15"/>
      <c r="T18" s="15"/>
      <c r="U18" s="15"/>
      <c r="V18" s="15"/>
      <c r="W18" s="15"/>
      <c r="X18" s="15"/>
      <c r="Y18" s="15"/>
      <c r="Z18" s="15">
        <f t="shared" si="0"/>
        <v>1220</v>
      </c>
      <c r="AA18" s="20"/>
      <c r="AB18" s="21"/>
    </row>
    <row r="19" spans="1:28" ht="63" customHeight="1" thickBot="1" x14ac:dyDescent="0.3">
      <c r="A19" s="14">
        <v>7</v>
      </c>
      <c r="B19" s="13" t="s">
        <v>44</v>
      </c>
      <c r="C19" s="13" t="s">
        <v>29</v>
      </c>
      <c r="D19" s="15">
        <f>[1]Лист4!D10</f>
        <v>15120</v>
      </c>
      <c r="E19" s="15">
        <f>[2]Лист4!D11</f>
        <v>18300</v>
      </c>
      <c r="F19" s="15">
        <f>[3]Лист4!D11</f>
        <v>12200</v>
      </c>
      <c r="G19" s="16">
        <f>[4]Лист4!D10</f>
        <v>19950</v>
      </c>
      <c r="H19" s="15"/>
      <c r="I19" s="15"/>
      <c r="J19" s="15"/>
      <c r="K19" s="15"/>
      <c r="L19" s="15"/>
      <c r="M19" s="15"/>
      <c r="N19" s="15"/>
      <c r="O19" s="15"/>
      <c r="P19" s="15"/>
      <c r="Q19" s="15"/>
      <c r="R19" s="15"/>
      <c r="S19" s="15"/>
      <c r="T19" s="15"/>
      <c r="U19" s="15"/>
      <c r="V19" s="15"/>
      <c r="W19" s="15"/>
      <c r="X19" s="15"/>
      <c r="Y19" s="15"/>
      <c r="Z19" s="15">
        <f t="shared" si="0"/>
        <v>12200</v>
      </c>
      <c r="AA19" s="20"/>
      <c r="AB19" s="21"/>
    </row>
    <row r="20" spans="1:28" ht="63" customHeight="1" thickBot="1" x14ac:dyDescent="0.3">
      <c r="A20" s="14">
        <v>8</v>
      </c>
      <c r="B20" s="13" t="s">
        <v>45</v>
      </c>
      <c r="C20" s="13" t="s">
        <v>29</v>
      </c>
      <c r="D20" s="15">
        <f>[1]Лист4!D11</f>
        <v>42000</v>
      </c>
      <c r="E20" s="15">
        <f>[2]Лист4!D12</f>
        <v>48800</v>
      </c>
      <c r="F20" s="15">
        <f>[3]Лист4!D12</f>
        <v>42700</v>
      </c>
      <c r="G20" s="16">
        <f>[4]Лист4!D11</f>
        <v>47250</v>
      </c>
      <c r="H20" s="15"/>
      <c r="I20" s="15"/>
      <c r="J20" s="15"/>
      <c r="K20" s="15"/>
      <c r="L20" s="15"/>
      <c r="M20" s="15"/>
      <c r="N20" s="15"/>
      <c r="O20" s="15"/>
      <c r="P20" s="15"/>
      <c r="Q20" s="15"/>
      <c r="R20" s="15"/>
      <c r="S20" s="15"/>
      <c r="T20" s="15"/>
      <c r="U20" s="15"/>
      <c r="V20" s="15"/>
      <c r="W20" s="15"/>
      <c r="X20" s="15"/>
      <c r="Y20" s="15"/>
      <c r="Z20" s="15">
        <f t="shared" si="0"/>
        <v>42000</v>
      </c>
      <c r="AA20" s="20"/>
      <c r="AB20" s="21"/>
    </row>
    <row r="21" spans="1:28" ht="75.75" thickBot="1" x14ac:dyDescent="0.3">
      <c r="A21" s="14">
        <v>9</v>
      </c>
      <c r="B21" s="13" t="s">
        <v>46</v>
      </c>
      <c r="C21" s="13" t="s">
        <v>29</v>
      </c>
      <c r="D21" s="15">
        <f>[1]Лист4!D12</f>
        <v>15750</v>
      </c>
      <c r="E21" s="15">
        <f>[2]Лист4!D13</f>
        <v>21106</v>
      </c>
      <c r="F21" s="15">
        <f>[3]Лист4!D13</f>
        <v>12200</v>
      </c>
      <c r="G21" s="16">
        <f>[4]Лист4!D12</f>
        <v>15645</v>
      </c>
      <c r="H21" s="15"/>
      <c r="I21" s="15"/>
      <c r="J21" s="15"/>
      <c r="K21" s="15"/>
      <c r="L21" s="15"/>
      <c r="M21" s="15"/>
      <c r="N21" s="15"/>
      <c r="O21" s="15"/>
      <c r="P21" s="15"/>
      <c r="Q21" s="15"/>
      <c r="R21" s="15"/>
      <c r="S21" s="15"/>
      <c r="T21" s="15"/>
      <c r="U21" s="15"/>
      <c r="V21" s="15"/>
      <c r="W21" s="15"/>
      <c r="X21" s="15"/>
      <c r="Y21" s="15"/>
      <c r="Z21" s="15">
        <f t="shared" si="0"/>
        <v>12200</v>
      </c>
      <c r="AA21" s="20"/>
      <c r="AB21" s="21"/>
    </row>
    <row r="22" spans="1:28" ht="45.75" thickBot="1" x14ac:dyDescent="0.3">
      <c r="A22" s="14">
        <v>10</v>
      </c>
      <c r="B22" s="13" t="s">
        <v>482</v>
      </c>
      <c r="C22" s="13" t="s">
        <v>41</v>
      </c>
      <c r="D22" s="15">
        <f>[1]Лист4!D13</f>
        <v>504000</v>
      </c>
      <c r="E22" s="15">
        <f>[2]Лист4!D14</f>
        <v>610000</v>
      </c>
      <c r="F22" s="15">
        <f>[3]Лист4!D14</f>
        <v>549000</v>
      </c>
      <c r="G22" s="16">
        <f>[4]Лист4!D13</f>
        <v>735000</v>
      </c>
      <c r="H22" s="15"/>
      <c r="I22" s="15"/>
      <c r="J22" s="15"/>
      <c r="K22" s="15"/>
      <c r="L22" s="15"/>
      <c r="M22" s="15"/>
      <c r="N22" s="15"/>
      <c r="O22" s="15"/>
      <c r="P22" s="15"/>
      <c r="Q22" s="15"/>
      <c r="R22" s="15"/>
      <c r="S22" s="15"/>
      <c r="T22" s="15"/>
      <c r="U22" s="15"/>
      <c r="V22" s="15"/>
      <c r="W22" s="15"/>
      <c r="X22" s="15"/>
      <c r="Y22" s="15"/>
      <c r="Z22" s="15">
        <f t="shared" si="0"/>
        <v>504000</v>
      </c>
      <c r="AA22" s="20"/>
      <c r="AB22" s="21"/>
    </row>
    <row r="23" spans="1:28" ht="15.75" thickBot="1" x14ac:dyDescent="0.3">
      <c r="A23" s="14">
        <v>11</v>
      </c>
      <c r="B23" s="13" t="s">
        <v>483</v>
      </c>
      <c r="C23" s="13" t="s">
        <v>41</v>
      </c>
      <c r="D23" s="15">
        <f>[1]Лист4!D14</f>
        <v>646800</v>
      </c>
      <c r="E23" s="15">
        <f>[2]Лист4!D15</f>
        <v>786900</v>
      </c>
      <c r="F23" s="15">
        <f>[3]Лист4!D15</f>
        <v>732000</v>
      </c>
      <c r="G23" s="16">
        <f>[4]Лист4!D14</f>
        <v>735000</v>
      </c>
      <c r="H23" s="15"/>
      <c r="I23" s="15"/>
      <c r="J23" s="15"/>
      <c r="K23" s="15"/>
      <c r="L23" s="15"/>
      <c r="M23" s="15"/>
      <c r="N23" s="15"/>
      <c r="O23" s="15"/>
      <c r="P23" s="15"/>
      <c r="Q23" s="15"/>
      <c r="R23" s="15"/>
      <c r="S23" s="15"/>
      <c r="T23" s="15"/>
      <c r="U23" s="15"/>
      <c r="V23" s="15"/>
      <c r="W23" s="15"/>
      <c r="X23" s="15"/>
      <c r="Y23" s="15"/>
      <c r="Z23" s="15">
        <f t="shared" si="0"/>
        <v>646800</v>
      </c>
      <c r="AA23" s="20"/>
      <c r="AB23" s="21"/>
    </row>
    <row r="24" spans="1:28" ht="63" customHeight="1" thickBot="1" x14ac:dyDescent="0.3">
      <c r="A24" s="14">
        <v>12</v>
      </c>
      <c r="B24" s="13" t="s">
        <v>47</v>
      </c>
      <c r="C24" s="13" t="s">
        <v>48</v>
      </c>
      <c r="D24" s="15">
        <f>[1]Лист4!D15</f>
        <v>149100</v>
      </c>
      <c r="E24" s="15">
        <f>[2]Лист4!D16</f>
        <v>176900</v>
      </c>
      <c r="F24" s="15">
        <f>[3]Лист4!D16</f>
        <v>170800</v>
      </c>
      <c r="G24" s="16">
        <f>[4]Лист4!D15</f>
        <v>155400</v>
      </c>
      <c r="H24" s="15"/>
      <c r="I24" s="15"/>
      <c r="J24" s="15"/>
      <c r="K24" s="15"/>
      <c r="L24" s="15"/>
      <c r="M24" s="15"/>
      <c r="N24" s="15"/>
      <c r="O24" s="15"/>
      <c r="P24" s="15"/>
      <c r="Q24" s="15"/>
      <c r="R24" s="15"/>
      <c r="S24" s="15"/>
      <c r="T24" s="15"/>
      <c r="U24" s="15"/>
      <c r="V24" s="15"/>
      <c r="W24" s="15"/>
      <c r="X24" s="15"/>
      <c r="Y24" s="15"/>
      <c r="Z24" s="15">
        <f t="shared" si="0"/>
        <v>149100</v>
      </c>
      <c r="AA24" s="20"/>
      <c r="AB24" s="21"/>
    </row>
    <row r="25" spans="1:28" ht="63" customHeight="1" thickBot="1" x14ac:dyDescent="0.3">
      <c r="A25" s="14">
        <v>13</v>
      </c>
      <c r="B25" s="13" t="s">
        <v>49</v>
      </c>
      <c r="C25" s="13" t="s">
        <v>50</v>
      </c>
      <c r="D25" s="15">
        <f>[1]Лист4!D16</f>
        <v>294000</v>
      </c>
      <c r="E25" s="15">
        <f>[2]Лист4!D17</f>
        <v>366000</v>
      </c>
      <c r="F25" s="15">
        <f>[3]Лист4!D17</f>
        <v>451400</v>
      </c>
      <c r="G25" s="16">
        <f>[4]Лист4!D16</f>
        <v>304500</v>
      </c>
      <c r="H25" s="15"/>
      <c r="I25" s="15"/>
      <c r="J25" s="15"/>
      <c r="K25" s="15"/>
      <c r="L25" s="15"/>
      <c r="M25" s="15"/>
      <c r="N25" s="15"/>
      <c r="O25" s="15"/>
      <c r="P25" s="15"/>
      <c r="Q25" s="15"/>
      <c r="R25" s="15"/>
      <c r="S25" s="15"/>
      <c r="T25" s="15"/>
      <c r="U25" s="15"/>
      <c r="V25" s="15"/>
      <c r="W25" s="15"/>
      <c r="X25" s="15"/>
      <c r="Y25" s="15"/>
      <c r="Z25" s="15">
        <f t="shared" si="0"/>
        <v>294000</v>
      </c>
      <c r="AA25" s="20"/>
      <c r="AB25" s="21"/>
    </row>
    <row r="26" spans="1:28" ht="63" customHeight="1" thickBot="1" x14ac:dyDescent="0.3">
      <c r="A26" s="14">
        <v>14</v>
      </c>
      <c r="B26" s="13" t="s">
        <v>51</v>
      </c>
      <c r="C26" s="13" t="s">
        <v>52</v>
      </c>
      <c r="D26" s="15">
        <f>[1]Лист4!D17</f>
        <v>42000</v>
      </c>
      <c r="E26" s="15">
        <f>[2]Лист4!D18</f>
        <v>54900</v>
      </c>
      <c r="F26" s="15">
        <f>[3]Лист4!D18</f>
        <v>48800</v>
      </c>
      <c r="G26" s="16">
        <f>[4]Лист4!D17</f>
        <v>52500</v>
      </c>
      <c r="H26" s="15"/>
      <c r="I26" s="15"/>
      <c r="J26" s="15"/>
      <c r="K26" s="15"/>
      <c r="L26" s="15"/>
      <c r="M26" s="15"/>
      <c r="N26" s="15"/>
      <c r="O26" s="15"/>
      <c r="P26" s="15"/>
      <c r="Q26" s="15"/>
      <c r="R26" s="15"/>
      <c r="S26" s="15"/>
      <c r="T26" s="15"/>
      <c r="U26" s="15"/>
      <c r="V26" s="15"/>
      <c r="W26" s="15"/>
      <c r="X26" s="15"/>
      <c r="Y26" s="15"/>
      <c r="Z26" s="15">
        <f t="shared" si="0"/>
        <v>42000</v>
      </c>
      <c r="AA26" s="20"/>
      <c r="AB26" s="21"/>
    </row>
    <row r="27" spans="1:28" ht="63" customHeight="1" thickBot="1" x14ac:dyDescent="0.3">
      <c r="A27" s="14">
        <v>15</v>
      </c>
      <c r="B27" s="13" t="s">
        <v>53</v>
      </c>
      <c r="C27" s="13" t="s">
        <v>54</v>
      </c>
      <c r="D27" s="15">
        <f>[1]Лист4!D18</f>
        <v>630000</v>
      </c>
      <c r="E27" s="15">
        <f>[2]Лист4!D19</f>
        <v>793000</v>
      </c>
      <c r="F27" s="15">
        <f>[3]Лист4!D19</f>
        <v>732000</v>
      </c>
      <c r="G27" s="16">
        <f>[4]Лист4!D18</f>
        <v>787500</v>
      </c>
      <c r="H27" s="15"/>
      <c r="I27" s="15"/>
      <c r="J27" s="15"/>
      <c r="K27" s="15"/>
      <c r="L27" s="15"/>
      <c r="M27" s="15"/>
      <c r="N27" s="15"/>
      <c r="O27" s="15"/>
      <c r="P27" s="15"/>
      <c r="Q27" s="15"/>
      <c r="R27" s="15"/>
      <c r="S27" s="15"/>
      <c r="T27" s="15"/>
      <c r="U27" s="15"/>
      <c r="V27" s="15"/>
      <c r="W27" s="15"/>
      <c r="X27" s="15"/>
      <c r="Y27" s="15"/>
      <c r="Z27" s="15">
        <f t="shared" si="0"/>
        <v>630000</v>
      </c>
      <c r="AA27" s="20"/>
      <c r="AB27" s="21"/>
    </row>
    <row r="28" spans="1:28" ht="63" customHeight="1" thickBot="1" x14ac:dyDescent="0.3">
      <c r="A28" s="14">
        <v>16</v>
      </c>
      <c r="B28" s="13" t="s">
        <v>55</v>
      </c>
      <c r="C28" s="13" t="s">
        <v>36</v>
      </c>
      <c r="D28" s="15">
        <f>[1]Лист4!D19</f>
        <v>105000</v>
      </c>
      <c r="E28" s="15">
        <f>[2]Лист4!D20</f>
        <v>122000</v>
      </c>
      <c r="F28" s="15">
        <f>[3]Лист4!D20</f>
        <v>134200</v>
      </c>
      <c r="G28" s="16">
        <f>[4]Лист4!D19</f>
        <v>131250</v>
      </c>
      <c r="H28" s="15"/>
      <c r="I28" s="15"/>
      <c r="J28" s="15"/>
      <c r="K28" s="15"/>
      <c r="L28" s="15"/>
      <c r="M28" s="15"/>
      <c r="N28" s="15"/>
      <c r="O28" s="15"/>
      <c r="P28" s="15"/>
      <c r="Q28" s="15"/>
      <c r="R28" s="15"/>
      <c r="S28" s="15"/>
      <c r="T28" s="15"/>
      <c r="U28" s="15"/>
      <c r="V28" s="15"/>
      <c r="W28" s="15"/>
      <c r="X28" s="15"/>
      <c r="Y28" s="15"/>
      <c r="Z28" s="15">
        <f t="shared" si="0"/>
        <v>105000</v>
      </c>
      <c r="AA28" s="20"/>
      <c r="AB28" s="21"/>
    </row>
    <row r="29" spans="1:28" ht="63" customHeight="1" thickBot="1" x14ac:dyDescent="0.3">
      <c r="A29" s="14">
        <v>17</v>
      </c>
      <c r="B29" s="13" t="s">
        <v>56</v>
      </c>
      <c r="C29" s="13" t="s">
        <v>36</v>
      </c>
      <c r="D29" s="15">
        <f>[1]Лист4!D20</f>
        <v>173250</v>
      </c>
      <c r="E29" s="15">
        <f>[2]Лист4!D21</f>
        <v>213500</v>
      </c>
      <c r="F29" s="15">
        <f>[3]Лист4!D21</f>
        <v>134200</v>
      </c>
      <c r="G29" s="16">
        <f>[4]Лист4!D20</f>
        <v>178500</v>
      </c>
      <c r="H29" s="15"/>
      <c r="I29" s="15"/>
      <c r="J29" s="15"/>
      <c r="K29" s="15"/>
      <c r="L29" s="15"/>
      <c r="M29" s="15"/>
      <c r="N29" s="15"/>
      <c r="O29" s="15"/>
      <c r="P29" s="15"/>
      <c r="Q29" s="15"/>
      <c r="R29" s="15"/>
      <c r="S29" s="15"/>
      <c r="T29" s="15"/>
      <c r="U29" s="15"/>
      <c r="V29" s="15"/>
      <c r="W29" s="15"/>
      <c r="X29" s="15"/>
      <c r="Y29" s="15"/>
      <c r="Z29" s="15">
        <f t="shared" si="0"/>
        <v>134200</v>
      </c>
      <c r="AA29" s="20"/>
      <c r="AB29" s="21"/>
    </row>
    <row r="30" spans="1:28" ht="63" customHeight="1" thickBot="1" x14ac:dyDescent="0.3">
      <c r="A30" s="14">
        <v>18</v>
      </c>
      <c r="B30" s="13" t="s">
        <v>57</v>
      </c>
      <c r="C30" s="13" t="s">
        <v>36</v>
      </c>
      <c r="D30" s="15">
        <f>[1]Лист4!D21</f>
        <v>173250</v>
      </c>
      <c r="E30" s="15">
        <f>[2]Лист4!D22</f>
        <v>219600</v>
      </c>
      <c r="F30" s="15">
        <f>[3]Лист4!D22</f>
        <v>134200</v>
      </c>
      <c r="G30" s="16">
        <f>[4]Лист4!D21</f>
        <v>210000</v>
      </c>
      <c r="H30" s="15"/>
      <c r="I30" s="15"/>
      <c r="J30" s="15"/>
      <c r="K30" s="15"/>
      <c r="L30" s="15"/>
      <c r="M30" s="15"/>
      <c r="N30" s="15"/>
      <c r="O30" s="15"/>
      <c r="P30" s="15"/>
      <c r="Q30" s="15"/>
      <c r="R30" s="15"/>
      <c r="S30" s="15"/>
      <c r="T30" s="15"/>
      <c r="U30" s="15"/>
      <c r="V30" s="15"/>
      <c r="W30" s="15"/>
      <c r="X30" s="15"/>
      <c r="Y30" s="15"/>
      <c r="Z30" s="15">
        <f t="shared" si="0"/>
        <v>134200</v>
      </c>
      <c r="AA30" s="20"/>
      <c r="AB30" s="21"/>
    </row>
    <row r="31" spans="1:28" ht="63" customHeight="1" thickBot="1" x14ac:dyDescent="0.3">
      <c r="A31" s="14">
        <v>19</v>
      </c>
      <c r="B31" s="13" t="s">
        <v>58</v>
      </c>
      <c r="C31" s="13" t="s">
        <v>36</v>
      </c>
      <c r="D31" s="15">
        <f>[1]Лист4!D22</f>
        <v>168000</v>
      </c>
      <c r="E31" s="15">
        <f>[2]Лист4!D23</f>
        <v>225700</v>
      </c>
      <c r="F31" s="15">
        <f>[3]Лист4!D23</f>
        <v>183000</v>
      </c>
      <c r="G31" s="16">
        <f>[4]Лист4!D22</f>
        <v>210000</v>
      </c>
      <c r="H31" s="15"/>
      <c r="I31" s="15"/>
      <c r="J31" s="15"/>
      <c r="K31" s="15"/>
      <c r="L31" s="15"/>
      <c r="M31" s="15"/>
      <c r="N31" s="15"/>
      <c r="O31" s="15"/>
      <c r="P31" s="15"/>
      <c r="Q31" s="15"/>
      <c r="R31" s="15"/>
      <c r="S31" s="15"/>
      <c r="T31" s="15"/>
      <c r="U31" s="15"/>
      <c r="V31" s="15"/>
      <c r="W31" s="15"/>
      <c r="X31" s="15"/>
      <c r="Y31" s="15"/>
      <c r="Z31" s="15">
        <f t="shared" si="0"/>
        <v>168000</v>
      </c>
      <c r="AA31" s="20"/>
      <c r="AB31" s="21"/>
    </row>
    <row r="32" spans="1:28" ht="63" customHeight="1" thickBot="1" x14ac:dyDescent="0.3">
      <c r="A32" s="14">
        <v>20</v>
      </c>
      <c r="B32" s="13" t="s">
        <v>59</v>
      </c>
      <c r="C32" s="13" t="s">
        <v>36</v>
      </c>
      <c r="D32" s="15">
        <f>[1]Лист4!D23</f>
        <v>194250</v>
      </c>
      <c r="E32" s="15">
        <f>[2]Лист4!D24</f>
        <v>244000</v>
      </c>
      <c r="F32" s="15">
        <f>[3]Лист4!D24</f>
        <v>231800</v>
      </c>
      <c r="G32" s="16">
        <f>[4]Лист4!D23</f>
        <v>231000</v>
      </c>
      <c r="H32" s="15"/>
      <c r="I32" s="15"/>
      <c r="J32" s="15"/>
      <c r="K32" s="15"/>
      <c r="L32" s="15"/>
      <c r="M32" s="15"/>
      <c r="N32" s="15"/>
      <c r="O32" s="15"/>
      <c r="P32" s="15"/>
      <c r="Q32" s="15"/>
      <c r="R32" s="15"/>
      <c r="S32" s="15"/>
      <c r="T32" s="15"/>
      <c r="U32" s="15"/>
      <c r="V32" s="15"/>
      <c r="W32" s="15"/>
      <c r="X32" s="15"/>
      <c r="Y32" s="15"/>
      <c r="Z32" s="15">
        <f t="shared" si="0"/>
        <v>194250</v>
      </c>
      <c r="AA32" s="20"/>
      <c r="AB32" s="21"/>
    </row>
    <row r="33" spans="1:28" ht="63" customHeight="1" thickBot="1" x14ac:dyDescent="0.3">
      <c r="A33" s="14">
        <v>21</v>
      </c>
      <c r="B33" s="13" t="s">
        <v>60</v>
      </c>
      <c r="C33" s="13" t="s">
        <v>36</v>
      </c>
      <c r="D33" s="15">
        <f>[1]Лист4!D24</f>
        <v>420000</v>
      </c>
      <c r="E33" s="15">
        <f>[2]Лист4!D25</f>
        <v>549000</v>
      </c>
      <c r="F33" s="15">
        <f>[3]Лист4!D25</f>
        <v>549000</v>
      </c>
      <c r="G33" s="16">
        <f>[4]Лист4!D24</f>
        <v>525000</v>
      </c>
      <c r="H33" s="15"/>
      <c r="I33" s="15"/>
      <c r="J33" s="15"/>
      <c r="K33" s="15"/>
      <c r="L33" s="15"/>
      <c r="M33" s="15"/>
      <c r="N33" s="15"/>
      <c r="O33" s="15"/>
      <c r="P33" s="15"/>
      <c r="Q33" s="15"/>
      <c r="R33" s="15"/>
      <c r="S33" s="15"/>
      <c r="T33" s="15"/>
      <c r="U33" s="15"/>
      <c r="V33" s="15"/>
      <c r="W33" s="15"/>
      <c r="X33" s="15"/>
      <c r="Y33" s="15"/>
      <c r="Z33" s="15">
        <f t="shared" si="0"/>
        <v>420000</v>
      </c>
      <c r="AA33" s="20"/>
      <c r="AB33" s="21"/>
    </row>
    <row r="34" spans="1:28" ht="63" customHeight="1" thickBot="1" x14ac:dyDescent="0.3">
      <c r="A34" s="14">
        <v>22</v>
      </c>
      <c r="B34" s="13" t="s">
        <v>61</v>
      </c>
      <c r="C34" s="13" t="s">
        <v>36</v>
      </c>
      <c r="D34" s="15">
        <f>[1]Лист4!D25</f>
        <v>735000</v>
      </c>
      <c r="E34" s="15">
        <f>[2]Лист4!D26</f>
        <v>915000</v>
      </c>
      <c r="F34" s="15">
        <f>[3]Лист4!D26</f>
        <v>854000</v>
      </c>
      <c r="G34" s="16">
        <f>[4]Лист4!D25</f>
        <v>892500</v>
      </c>
      <c r="H34" s="15"/>
      <c r="I34" s="15"/>
      <c r="J34" s="15"/>
      <c r="K34" s="15"/>
      <c r="L34" s="15"/>
      <c r="M34" s="15"/>
      <c r="N34" s="15"/>
      <c r="O34" s="15"/>
      <c r="P34" s="15"/>
      <c r="Q34" s="15"/>
      <c r="R34" s="15"/>
      <c r="S34" s="15"/>
      <c r="T34" s="15"/>
      <c r="U34" s="15"/>
      <c r="V34" s="15"/>
      <c r="W34" s="15"/>
      <c r="X34" s="15"/>
      <c r="Y34" s="15"/>
      <c r="Z34" s="15">
        <f t="shared" si="0"/>
        <v>735000</v>
      </c>
      <c r="AA34" s="20"/>
      <c r="AB34" s="21"/>
    </row>
    <row r="35" spans="1:28" ht="63" customHeight="1" thickBot="1" x14ac:dyDescent="0.3">
      <c r="A35" s="14">
        <v>23</v>
      </c>
      <c r="B35" s="13" t="s">
        <v>62</v>
      </c>
      <c r="C35" s="13" t="s">
        <v>36</v>
      </c>
      <c r="D35" s="15">
        <f>[1]Лист4!D26</f>
        <v>57750</v>
      </c>
      <c r="E35" s="15">
        <f>[2]Лист4!D27</f>
        <v>77470</v>
      </c>
      <c r="F35" s="15">
        <f>[3]Лист4!D27</f>
        <v>73200</v>
      </c>
      <c r="G35" s="16">
        <f>[4]Лист4!D26</f>
        <v>70350</v>
      </c>
      <c r="H35" s="15"/>
      <c r="I35" s="15"/>
      <c r="J35" s="15"/>
      <c r="K35" s="15"/>
      <c r="L35" s="15"/>
      <c r="M35" s="15"/>
      <c r="N35" s="15"/>
      <c r="O35" s="15"/>
      <c r="P35" s="15"/>
      <c r="Q35" s="15"/>
      <c r="R35" s="15"/>
      <c r="S35" s="15"/>
      <c r="T35" s="15"/>
      <c r="U35" s="15"/>
      <c r="V35" s="15"/>
      <c r="W35" s="15"/>
      <c r="X35" s="15"/>
      <c r="Y35" s="15"/>
      <c r="Z35" s="15">
        <f t="shared" si="0"/>
        <v>57750</v>
      </c>
      <c r="AA35" s="20"/>
      <c r="AB35" s="21"/>
    </row>
    <row r="36" spans="1:28" ht="63" customHeight="1" thickBot="1" x14ac:dyDescent="0.3">
      <c r="A36" s="14">
        <v>24</v>
      </c>
      <c r="B36" s="13" t="s">
        <v>63</v>
      </c>
      <c r="C36" s="13" t="s">
        <v>36</v>
      </c>
      <c r="D36" s="15">
        <f>[1]Лист4!D27</f>
        <v>57750</v>
      </c>
      <c r="E36" s="15">
        <f>[2]Лист4!D28</f>
        <v>85400</v>
      </c>
      <c r="F36" s="15">
        <f>[3]Лист4!D28</f>
        <v>73200</v>
      </c>
      <c r="G36" s="16">
        <f>[4]Лист4!D27</f>
        <v>65750</v>
      </c>
      <c r="H36" s="15"/>
      <c r="I36" s="15"/>
      <c r="J36" s="15"/>
      <c r="K36" s="15"/>
      <c r="L36" s="15"/>
      <c r="M36" s="15"/>
      <c r="N36" s="15"/>
      <c r="O36" s="15"/>
      <c r="P36" s="15"/>
      <c r="Q36" s="15"/>
      <c r="R36" s="15"/>
      <c r="S36" s="15"/>
      <c r="T36" s="15"/>
      <c r="U36" s="15"/>
      <c r="V36" s="15"/>
      <c r="W36" s="15"/>
      <c r="X36" s="15"/>
      <c r="Y36" s="15"/>
      <c r="Z36" s="15">
        <f t="shared" si="0"/>
        <v>57750</v>
      </c>
      <c r="AA36" s="20"/>
      <c r="AB36" s="21"/>
    </row>
    <row r="37" spans="1:28" ht="63" customHeight="1" thickBot="1" x14ac:dyDescent="0.3">
      <c r="A37" s="14">
        <v>25</v>
      </c>
      <c r="B37" s="13" t="s">
        <v>64</v>
      </c>
      <c r="C37" s="13" t="s">
        <v>36</v>
      </c>
      <c r="D37" s="15">
        <f>[1]Лист4!D28</f>
        <v>84000</v>
      </c>
      <c r="E37" s="15">
        <f>[2]Лист4!D29</f>
        <v>103700</v>
      </c>
      <c r="F37" s="15">
        <f>[3]Лист4!D29</f>
        <v>73200</v>
      </c>
      <c r="G37" s="16">
        <f>[4]Лист4!D28</f>
        <v>105000</v>
      </c>
      <c r="H37" s="15"/>
      <c r="I37" s="15"/>
      <c r="J37" s="15"/>
      <c r="K37" s="15"/>
      <c r="L37" s="15"/>
      <c r="M37" s="15"/>
      <c r="N37" s="15"/>
      <c r="O37" s="15"/>
      <c r="P37" s="15"/>
      <c r="Q37" s="15"/>
      <c r="R37" s="15"/>
      <c r="S37" s="15"/>
      <c r="T37" s="15"/>
      <c r="U37" s="15"/>
      <c r="V37" s="15"/>
      <c r="W37" s="15"/>
      <c r="X37" s="15"/>
      <c r="Y37" s="15"/>
      <c r="Z37" s="15">
        <f t="shared" si="0"/>
        <v>73200</v>
      </c>
      <c r="AA37" s="20"/>
      <c r="AB37" s="21"/>
    </row>
    <row r="38" spans="1:28" ht="63" customHeight="1" thickBot="1" x14ac:dyDescent="0.3">
      <c r="A38" s="14">
        <v>26</v>
      </c>
      <c r="B38" s="13" t="s">
        <v>65</v>
      </c>
      <c r="C38" s="13" t="s">
        <v>36</v>
      </c>
      <c r="D38" s="15">
        <f>[1]Лист4!D29</f>
        <v>892500</v>
      </c>
      <c r="E38" s="15">
        <f>[2]Лист4!D30</f>
        <v>1085800</v>
      </c>
      <c r="F38" s="15">
        <f>[3]Лист4!D30</f>
        <v>1037000</v>
      </c>
      <c r="G38" s="16">
        <f>[4]Лист4!D29</f>
        <v>1050000</v>
      </c>
      <c r="H38" s="15"/>
      <c r="I38" s="15"/>
      <c r="J38" s="15"/>
      <c r="K38" s="15"/>
      <c r="L38" s="15"/>
      <c r="M38" s="15"/>
      <c r="N38" s="15"/>
      <c r="O38" s="15"/>
      <c r="P38" s="15"/>
      <c r="Q38" s="15"/>
      <c r="R38" s="15"/>
      <c r="S38" s="15"/>
      <c r="T38" s="15"/>
      <c r="U38" s="15"/>
      <c r="V38" s="15"/>
      <c r="W38" s="15"/>
      <c r="X38" s="15"/>
      <c r="Y38" s="15"/>
      <c r="Z38" s="15">
        <f t="shared" si="0"/>
        <v>892500</v>
      </c>
      <c r="AA38" s="20"/>
      <c r="AB38" s="21"/>
    </row>
    <row r="39" spans="1:28" ht="63" customHeight="1" thickBot="1" x14ac:dyDescent="0.3">
      <c r="A39" s="14">
        <v>27</v>
      </c>
      <c r="B39" s="13" t="s">
        <v>66</v>
      </c>
      <c r="C39" s="13" t="s">
        <v>36</v>
      </c>
      <c r="D39" s="15">
        <f>[1]Лист4!D30</f>
        <v>84000</v>
      </c>
      <c r="E39" s="15">
        <f>[2]Лист4!D31</f>
        <v>97600</v>
      </c>
      <c r="F39" s="15">
        <f>[3]Лист4!D31</f>
        <v>91500</v>
      </c>
      <c r="G39" s="16">
        <f>[4]Лист4!D30</f>
        <v>105000</v>
      </c>
      <c r="H39" s="15"/>
      <c r="I39" s="15"/>
      <c r="J39" s="15"/>
      <c r="K39" s="15"/>
      <c r="L39" s="15"/>
      <c r="M39" s="15"/>
      <c r="N39" s="15"/>
      <c r="O39" s="15"/>
      <c r="P39" s="15"/>
      <c r="Q39" s="15"/>
      <c r="R39" s="15"/>
      <c r="S39" s="15"/>
      <c r="T39" s="15"/>
      <c r="U39" s="15"/>
      <c r="V39" s="15"/>
      <c r="W39" s="15"/>
      <c r="X39" s="15"/>
      <c r="Y39" s="15"/>
      <c r="Z39" s="15">
        <f t="shared" si="0"/>
        <v>84000</v>
      </c>
      <c r="AA39" s="20"/>
      <c r="AB39" s="21"/>
    </row>
    <row r="40" spans="1:28" ht="63" customHeight="1" thickBot="1" x14ac:dyDescent="0.3">
      <c r="A40" s="14">
        <v>28</v>
      </c>
      <c r="B40" s="13" t="s">
        <v>67</v>
      </c>
      <c r="C40" s="13" t="s">
        <v>36</v>
      </c>
      <c r="D40" s="15">
        <f>[1]Лист4!D31</f>
        <v>94500</v>
      </c>
      <c r="E40" s="15">
        <f>[2]Лист4!D32</f>
        <v>122000</v>
      </c>
      <c r="F40" s="15">
        <f>[3]Лист4!D32</f>
        <v>91500</v>
      </c>
      <c r="G40" s="16">
        <f>[4]Лист4!D31</f>
        <v>105000</v>
      </c>
      <c r="H40" s="15"/>
      <c r="I40" s="15"/>
      <c r="J40" s="15"/>
      <c r="K40" s="15"/>
      <c r="L40" s="15"/>
      <c r="M40" s="15"/>
      <c r="N40" s="15"/>
      <c r="O40" s="15"/>
      <c r="P40" s="15"/>
      <c r="Q40" s="15"/>
      <c r="R40" s="15"/>
      <c r="S40" s="15"/>
      <c r="T40" s="15"/>
      <c r="U40" s="15"/>
      <c r="V40" s="15"/>
      <c r="W40" s="15"/>
      <c r="X40" s="15"/>
      <c r="Y40" s="15"/>
      <c r="Z40" s="15">
        <f t="shared" si="0"/>
        <v>91500</v>
      </c>
      <c r="AA40" s="20"/>
      <c r="AB40" s="21"/>
    </row>
    <row r="41" spans="1:28" ht="63" customHeight="1" thickBot="1" x14ac:dyDescent="0.3">
      <c r="A41" s="14">
        <v>29</v>
      </c>
      <c r="B41" s="13" t="s">
        <v>68</v>
      </c>
      <c r="C41" s="13" t="s">
        <v>36</v>
      </c>
      <c r="D41" s="15">
        <f>[1]Лист4!D32</f>
        <v>94500</v>
      </c>
      <c r="E41" s="15">
        <f>[2]Лист4!D33</f>
        <v>128100</v>
      </c>
      <c r="F41" s="15">
        <f>[3]Лист4!D33</f>
        <v>91500</v>
      </c>
      <c r="G41" s="16">
        <f>[4]Лист4!D32</f>
        <v>110000</v>
      </c>
      <c r="H41" s="15"/>
      <c r="I41" s="15"/>
      <c r="J41" s="15"/>
      <c r="K41" s="15"/>
      <c r="L41" s="15"/>
      <c r="M41" s="15"/>
      <c r="N41" s="15"/>
      <c r="O41" s="15"/>
      <c r="P41" s="15"/>
      <c r="Q41" s="15"/>
      <c r="R41" s="15"/>
      <c r="S41" s="15"/>
      <c r="T41" s="15"/>
      <c r="U41" s="15"/>
      <c r="V41" s="15"/>
      <c r="W41" s="15"/>
      <c r="X41" s="15"/>
      <c r="Y41" s="15"/>
      <c r="Z41" s="15">
        <f t="shared" si="0"/>
        <v>91500</v>
      </c>
      <c r="AA41" s="20"/>
      <c r="AB41" s="21"/>
    </row>
    <row r="42" spans="1:28" ht="63" customHeight="1" thickBot="1" x14ac:dyDescent="0.3">
      <c r="A42" s="14">
        <v>30</v>
      </c>
      <c r="B42" s="13" t="s">
        <v>69</v>
      </c>
      <c r="C42" s="13" t="s">
        <v>48</v>
      </c>
      <c r="D42" s="15">
        <f>[1]Лист4!D33</f>
        <v>52500</v>
      </c>
      <c r="E42" s="15">
        <f>[2]Лист4!D34</f>
        <v>61000</v>
      </c>
      <c r="F42" s="15">
        <f>[3]Лист4!D34</f>
        <v>54900</v>
      </c>
      <c r="G42" s="16">
        <f>[4]Лист4!D33</f>
        <v>63000</v>
      </c>
      <c r="H42" s="15"/>
      <c r="I42" s="15"/>
      <c r="J42" s="15"/>
      <c r="K42" s="15"/>
      <c r="L42" s="15"/>
      <c r="M42" s="15"/>
      <c r="N42" s="15"/>
      <c r="O42" s="15"/>
      <c r="P42" s="15"/>
      <c r="Q42" s="15"/>
      <c r="R42" s="15"/>
      <c r="S42" s="15"/>
      <c r="T42" s="15"/>
      <c r="U42" s="15"/>
      <c r="V42" s="15"/>
      <c r="W42" s="15"/>
      <c r="X42" s="15"/>
      <c r="Y42" s="15"/>
      <c r="Z42" s="15">
        <f t="shared" si="0"/>
        <v>52500</v>
      </c>
      <c r="AA42" s="20"/>
      <c r="AB42" s="21"/>
    </row>
    <row r="43" spans="1:28" ht="63" customHeight="1" thickBot="1" x14ac:dyDescent="0.3">
      <c r="A43" s="14">
        <v>31</v>
      </c>
      <c r="B43" s="13" t="s">
        <v>70</v>
      </c>
      <c r="C43" s="13" t="s">
        <v>71</v>
      </c>
      <c r="D43" s="15">
        <f>[1]Лист4!D34</f>
        <v>86100</v>
      </c>
      <c r="E43" s="15">
        <f>[2]Лист4!D35</f>
        <v>103700</v>
      </c>
      <c r="F43" s="15">
        <f>[3]Лист4!D35</f>
        <v>109800</v>
      </c>
      <c r="G43" s="16">
        <f>[4]Лист4!D34</f>
        <v>105000</v>
      </c>
      <c r="H43" s="15"/>
      <c r="I43" s="15"/>
      <c r="J43" s="15"/>
      <c r="K43" s="15"/>
      <c r="L43" s="15"/>
      <c r="M43" s="15"/>
      <c r="N43" s="15"/>
      <c r="O43" s="15"/>
      <c r="P43" s="15"/>
      <c r="Q43" s="15"/>
      <c r="R43" s="15"/>
      <c r="S43" s="15"/>
      <c r="T43" s="15"/>
      <c r="U43" s="15"/>
      <c r="V43" s="15"/>
      <c r="W43" s="15"/>
      <c r="X43" s="15"/>
      <c r="Y43" s="15"/>
      <c r="Z43" s="15">
        <f t="shared" si="0"/>
        <v>86100</v>
      </c>
      <c r="AA43" s="20"/>
      <c r="AB43" s="21"/>
    </row>
    <row r="44" spans="1:28" ht="63" customHeight="1" thickBot="1" x14ac:dyDescent="0.3">
      <c r="A44" s="14">
        <v>32</v>
      </c>
      <c r="B44" s="13" t="s">
        <v>72</v>
      </c>
      <c r="C44" s="13" t="s">
        <v>50</v>
      </c>
      <c r="D44" s="15">
        <f>[1]Лист4!D35</f>
        <v>73500</v>
      </c>
      <c r="E44" s="15">
        <f>[2]Лист4!D36</f>
        <v>97600</v>
      </c>
      <c r="F44" s="15">
        <f>[3]Лист4!D36</f>
        <v>103700</v>
      </c>
      <c r="G44" s="16">
        <f>[4]Лист4!D35</f>
        <v>89250</v>
      </c>
      <c r="H44" s="15"/>
      <c r="I44" s="15"/>
      <c r="J44" s="15"/>
      <c r="K44" s="15"/>
      <c r="L44" s="15"/>
      <c r="M44" s="15"/>
      <c r="N44" s="15"/>
      <c r="O44" s="15"/>
      <c r="P44" s="15"/>
      <c r="Q44" s="15"/>
      <c r="R44" s="15"/>
      <c r="S44" s="15"/>
      <c r="T44" s="15"/>
      <c r="U44" s="15"/>
      <c r="V44" s="15"/>
      <c r="W44" s="15"/>
      <c r="X44" s="15"/>
      <c r="Y44" s="15"/>
      <c r="Z44" s="15">
        <f t="shared" si="0"/>
        <v>73500</v>
      </c>
      <c r="AA44" s="20"/>
      <c r="AB44" s="21"/>
    </row>
    <row r="45" spans="1:28" ht="63" customHeight="1" thickBot="1" x14ac:dyDescent="0.3">
      <c r="A45" s="14">
        <v>33</v>
      </c>
      <c r="B45" s="13" t="s">
        <v>73</v>
      </c>
      <c r="C45" s="13" t="s">
        <v>48</v>
      </c>
      <c r="D45" s="15">
        <f>[1]Лист4!D36</f>
        <v>630000</v>
      </c>
      <c r="E45" s="15">
        <f>[2]Лист4!D37</f>
        <v>793000</v>
      </c>
      <c r="F45" s="15">
        <f>[3]Лист4!D37</f>
        <v>732000</v>
      </c>
      <c r="G45" s="16">
        <f>[4]Лист4!D36</f>
        <v>682500</v>
      </c>
      <c r="H45" s="15"/>
      <c r="I45" s="15"/>
      <c r="J45" s="15"/>
      <c r="K45" s="15"/>
      <c r="L45" s="15"/>
      <c r="M45" s="15"/>
      <c r="N45" s="15"/>
      <c r="O45" s="15"/>
      <c r="P45" s="15"/>
      <c r="Q45" s="15"/>
      <c r="R45" s="15"/>
      <c r="S45" s="15"/>
      <c r="T45" s="15"/>
      <c r="U45" s="15"/>
      <c r="V45" s="15"/>
      <c r="W45" s="15"/>
      <c r="X45" s="15"/>
      <c r="Y45" s="15"/>
      <c r="Z45" s="15">
        <f t="shared" si="0"/>
        <v>630000</v>
      </c>
      <c r="AA45" s="20"/>
      <c r="AB45" s="21"/>
    </row>
    <row r="46" spans="1:28" ht="63" customHeight="1" thickBot="1" x14ac:dyDescent="0.3">
      <c r="A46" s="14">
        <v>34</v>
      </c>
      <c r="B46" s="13" t="s">
        <v>74</v>
      </c>
      <c r="C46" s="13" t="s">
        <v>38</v>
      </c>
      <c r="D46" s="15">
        <f>[1]Лист4!D37</f>
        <v>17955</v>
      </c>
      <c r="E46" s="15">
        <f>[2]Лист4!D38</f>
        <v>20740</v>
      </c>
      <c r="F46" s="15">
        <f>[3]Лист4!D38</f>
        <v>18300</v>
      </c>
      <c r="G46" s="16">
        <f>[4]Лист4!D37</f>
        <v>17325</v>
      </c>
      <c r="H46" s="15"/>
      <c r="I46" s="15"/>
      <c r="J46" s="15"/>
      <c r="K46" s="15"/>
      <c r="L46" s="15"/>
      <c r="M46" s="15"/>
      <c r="N46" s="15"/>
      <c r="O46" s="15"/>
      <c r="P46" s="15"/>
      <c r="Q46" s="15"/>
      <c r="R46" s="15"/>
      <c r="S46" s="15"/>
      <c r="T46" s="15"/>
      <c r="U46" s="15"/>
      <c r="V46" s="15"/>
      <c r="W46" s="15"/>
      <c r="X46" s="15"/>
      <c r="Y46" s="15"/>
      <c r="Z46" s="15">
        <f t="shared" si="0"/>
        <v>17325</v>
      </c>
      <c r="AA46" s="20"/>
      <c r="AB46" s="21"/>
    </row>
    <row r="47" spans="1:28" ht="63" customHeight="1" thickBot="1" x14ac:dyDescent="0.3">
      <c r="A47" s="14">
        <v>35</v>
      </c>
      <c r="B47" s="13" t="s">
        <v>75</v>
      </c>
      <c r="C47" s="13" t="s">
        <v>38</v>
      </c>
      <c r="D47" s="15">
        <f>[1]Лист4!D38</f>
        <v>20097</v>
      </c>
      <c r="E47" s="15">
        <f>[2]Лист4!D39</f>
        <v>24400</v>
      </c>
      <c r="F47" s="15">
        <f>[3]Лист4!D39</f>
        <v>18300</v>
      </c>
      <c r="G47" s="16">
        <f>[4]Лист4!D38</f>
        <v>21000</v>
      </c>
      <c r="H47" s="15"/>
      <c r="I47" s="15"/>
      <c r="J47" s="15"/>
      <c r="K47" s="15"/>
      <c r="L47" s="15"/>
      <c r="M47" s="15"/>
      <c r="N47" s="15"/>
      <c r="O47" s="15"/>
      <c r="P47" s="15"/>
      <c r="Q47" s="15"/>
      <c r="R47" s="15"/>
      <c r="S47" s="15"/>
      <c r="T47" s="15"/>
      <c r="U47" s="15"/>
      <c r="V47" s="15"/>
      <c r="W47" s="15"/>
      <c r="X47" s="15"/>
      <c r="Y47" s="15"/>
      <c r="Z47" s="15">
        <f t="shared" si="0"/>
        <v>18300</v>
      </c>
      <c r="AA47" s="20"/>
      <c r="AB47" s="21"/>
    </row>
    <row r="48" spans="1:28" ht="63" customHeight="1" thickBot="1" x14ac:dyDescent="0.3">
      <c r="A48" s="14">
        <v>36</v>
      </c>
      <c r="B48" s="13" t="s">
        <v>76</v>
      </c>
      <c r="C48" s="13" t="s">
        <v>38</v>
      </c>
      <c r="D48" s="15">
        <f>[1]Лист4!D39</f>
        <v>20538</v>
      </c>
      <c r="E48" s="15">
        <f>[2]Лист4!D40</f>
        <v>24400</v>
      </c>
      <c r="F48" s="15">
        <f>[3]Лист4!D40</f>
        <v>18300</v>
      </c>
      <c r="G48" s="16">
        <f>[4]Лист4!D39</f>
        <v>21000</v>
      </c>
      <c r="H48" s="15"/>
      <c r="I48" s="15"/>
      <c r="J48" s="15"/>
      <c r="K48" s="15"/>
      <c r="L48" s="15"/>
      <c r="M48" s="15"/>
      <c r="N48" s="15"/>
      <c r="O48" s="15"/>
      <c r="P48" s="15"/>
      <c r="Q48" s="15"/>
      <c r="R48" s="15"/>
      <c r="S48" s="15"/>
      <c r="T48" s="15"/>
      <c r="U48" s="15"/>
      <c r="V48" s="15"/>
      <c r="W48" s="15"/>
      <c r="X48" s="15"/>
      <c r="Y48" s="15"/>
      <c r="Z48" s="15">
        <f t="shared" si="0"/>
        <v>18300</v>
      </c>
      <c r="AA48" s="20"/>
      <c r="AB48" s="21"/>
    </row>
    <row r="49" spans="1:28" ht="63" customHeight="1" thickBot="1" x14ac:dyDescent="0.3">
      <c r="A49" s="14">
        <v>37</v>
      </c>
      <c r="B49" s="13" t="s">
        <v>77</v>
      </c>
      <c r="C49" s="13" t="s">
        <v>38</v>
      </c>
      <c r="D49" s="15">
        <f>[1]Лист4!D40</f>
        <v>22176</v>
      </c>
      <c r="E49" s="15">
        <f>[2]Лист4!D41</f>
        <v>30500</v>
      </c>
      <c r="F49" s="15">
        <f>[3]Лист4!D41</f>
        <v>18300</v>
      </c>
      <c r="G49" s="16">
        <f>[4]Лист4!D40</f>
        <v>21000</v>
      </c>
      <c r="H49" s="15"/>
      <c r="I49" s="15"/>
      <c r="J49" s="15"/>
      <c r="K49" s="15"/>
      <c r="L49" s="15"/>
      <c r="M49" s="15"/>
      <c r="N49" s="15"/>
      <c r="O49" s="15"/>
      <c r="P49" s="15"/>
      <c r="Q49" s="15"/>
      <c r="R49" s="15"/>
      <c r="S49" s="15"/>
      <c r="T49" s="15"/>
      <c r="U49" s="15"/>
      <c r="V49" s="15"/>
      <c r="W49" s="15"/>
      <c r="X49" s="15"/>
      <c r="Y49" s="15"/>
      <c r="Z49" s="15">
        <f t="shared" si="0"/>
        <v>18300</v>
      </c>
      <c r="AA49" s="20"/>
      <c r="AB49" s="21"/>
    </row>
    <row r="50" spans="1:28" ht="63" customHeight="1" thickBot="1" x14ac:dyDescent="0.3">
      <c r="A50" s="14">
        <v>38</v>
      </c>
      <c r="B50" s="13" t="s">
        <v>78</v>
      </c>
      <c r="C50" s="13" t="s">
        <v>38</v>
      </c>
      <c r="D50" s="15">
        <f>[1]Лист4!D41</f>
        <v>23284.799999999999</v>
      </c>
      <c r="E50" s="15">
        <f>[2]Лист4!D42</f>
        <v>31110</v>
      </c>
      <c r="F50" s="15">
        <f>[3]Лист4!D42</f>
        <v>18300</v>
      </c>
      <c r="G50" s="16">
        <f>[4]Лист4!D41</f>
        <v>21000</v>
      </c>
      <c r="H50" s="15"/>
      <c r="I50" s="15"/>
      <c r="J50" s="15"/>
      <c r="K50" s="15"/>
      <c r="L50" s="15"/>
      <c r="M50" s="15"/>
      <c r="N50" s="15"/>
      <c r="O50" s="15"/>
      <c r="P50" s="15"/>
      <c r="Q50" s="15"/>
      <c r="R50" s="15"/>
      <c r="S50" s="15"/>
      <c r="T50" s="15"/>
      <c r="U50" s="15"/>
      <c r="V50" s="15"/>
      <c r="W50" s="15"/>
      <c r="X50" s="15"/>
      <c r="Y50" s="15"/>
      <c r="Z50" s="15">
        <f t="shared" si="0"/>
        <v>18300</v>
      </c>
      <c r="AA50" s="20"/>
      <c r="AB50" s="21"/>
    </row>
    <row r="51" spans="1:28" ht="63" customHeight="1" thickBot="1" x14ac:dyDescent="0.3">
      <c r="A51" s="14">
        <v>39</v>
      </c>
      <c r="B51" s="13" t="s">
        <v>79</v>
      </c>
      <c r="C51" s="13" t="s">
        <v>50</v>
      </c>
      <c r="D51" s="15">
        <f>[1]Лист4!D42</f>
        <v>1207500</v>
      </c>
      <c r="E51" s="15">
        <f>[2]Лист4!D43</f>
        <v>1464000</v>
      </c>
      <c r="F51" s="15">
        <f>[3]Лист4!D43</f>
        <v>1342000</v>
      </c>
      <c r="G51" s="16">
        <f>[4]Лист4!D42</f>
        <v>1207500</v>
      </c>
      <c r="H51" s="15"/>
      <c r="I51" s="15"/>
      <c r="J51" s="15"/>
      <c r="K51" s="15"/>
      <c r="L51" s="15"/>
      <c r="M51" s="15"/>
      <c r="N51" s="15"/>
      <c r="O51" s="15"/>
      <c r="P51" s="15"/>
      <c r="Q51" s="15"/>
      <c r="R51" s="15"/>
      <c r="S51" s="15"/>
      <c r="T51" s="15"/>
      <c r="U51" s="15"/>
      <c r="V51" s="15"/>
      <c r="W51" s="15"/>
      <c r="X51" s="15"/>
      <c r="Y51" s="15"/>
      <c r="Z51" s="15">
        <f t="shared" si="0"/>
        <v>1207500</v>
      </c>
      <c r="AA51" s="20"/>
      <c r="AB51" s="21"/>
    </row>
    <row r="52" spans="1:28" ht="63" customHeight="1" thickBot="1" x14ac:dyDescent="0.3">
      <c r="A52" s="14">
        <v>40</v>
      </c>
      <c r="B52" s="13" t="s">
        <v>80</v>
      </c>
      <c r="C52" s="13" t="s">
        <v>36</v>
      </c>
      <c r="D52" s="15">
        <f>[1]Лист4!D43</f>
        <v>630000</v>
      </c>
      <c r="E52" s="15">
        <f>[2]Лист4!D44</f>
        <v>768600</v>
      </c>
      <c r="F52" s="15">
        <f>[3]Лист4!D44</f>
        <v>805200</v>
      </c>
      <c r="G52" s="16">
        <f>[4]Лист4!D43</f>
        <v>682500</v>
      </c>
      <c r="H52" s="15"/>
      <c r="I52" s="15"/>
      <c r="J52" s="15"/>
      <c r="K52" s="15"/>
      <c r="L52" s="15"/>
      <c r="M52" s="15"/>
      <c r="N52" s="15"/>
      <c r="O52" s="15"/>
      <c r="P52" s="15"/>
      <c r="Q52" s="15"/>
      <c r="R52" s="15"/>
      <c r="S52" s="15"/>
      <c r="T52" s="15"/>
      <c r="U52" s="15"/>
      <c r="V52" s="15"/>
      <c r="W52" s="15"/>
      <c r="X52" s="15"/>
      <c r="Y52" s="15"/>
      <c r="Z52" s="15">
        <f t="shared" si="0"/>
        <v>630000</v>
      </c>
      <c r="AA52" s="20"/>
      <c r="AB52" s="21"/>
    </row>
    <row r="53" spans="1:28" ht="63" customHeight="1" thickBot="1" x14ac:dyDescent="0.3">
      <c r="A53" s="14">
        <v>41</v>
      </c>
      <c r="B53" s="13" t="s">
        <v>81</v>
      </c>
      <c r="C53" s="13" t="s">
        <v>36</v>
      </c>
      <c r="D53" s="15">
        <f>[1]Лист4!D44</f>
        <v>630000</v>
      </c>
      <c r="E53" s="15">
        <f>[2]Лист4!D45</f>
        <v>768600</v>
      </c>
      <c r="F53" s="15">
        <f>[3]Лист4!D45</f>
        <v>805200</v>
      </c>
      <c r="G53" s="16">
        <f>[4]Лист4!D44</f>
        <v>682500</v>
      </c>
      <c r="H53" s="15"/>
      <c r="I53" s="15"/>
      <c r="J53" s="15"/>
      <c r="K53" s="15"/>
      <c r="L53" s="15"/>
      <c r="M53" s="15"/>
      <c r="N53" s="15"/>
      <c r="O53" s="15"/>
      <c r="P53" s="15"/>
      <c r="Q53" s="15"/>
      <c r="R53" s="15"/>
      <c r="S53" s="15"/>
      <c r="T53" s="15"/>
      <c r="U53" s="15"/>
      <c r="V53" s="15"/>
      <c r="W53" s="15"/>
      <c r="X53" s="15"/>
      <c r="Y53" s="15"/>
      <c r="Z53" s="15">
        <f t="shared" si="0"/>
        <v>630000</v>
      </c>
      <c r="AA53" s="20"/>
      <c r="AB53" s="21"/>
    </row>
    <row r="54" spans="1:28" ht="63" customHeight="1" thickBot="1" x14ac:dyDescent="0.3">
      <c r="A54" s="14">
        <v>42</v>
      </c>
      <c r="B54" s="13" t="s">
        <v>82</v>
      </c>
      <c r="C54" s="13" t="s">
        <v>36</v>
      </c>
      <c r="D54" s="15">
        <f>[1]Лист4!D45</f>
        <v>630000</v>
      </c>
      <c r="E54" s="15">
        <f>[2]Лист4!D46</f>
        <v>768600</v>
      </c>
      <c r="F54" s="15">
        <f>[3]Лист4!D46</f>
        <v>805200</v>
      </c>
      <c r="G54" s="16">
        <f>[4]Лист4!D45</f>
        <v>682500</v>
      </c>
      <c r="H54" s="15"/>
      <c r="I54" s="15"/>
      <c r="J54" s="15"/>
      <c r="K54" s="15"/>
      <c r="L54" s="15"/>
      <c r="M54" s="15"/>
      <c r="N54" s="15"/>
      <c r="O54" s="15"/>
      <c r="P54" s="15"/>
      <c r="Q54" s="15"/>
      <c r="R54" s="15"/>
      <c r="S54" s="15"/>
      <c r="T54" s="15"/>
      <c r="U54" s="15"/>
      <c r="V54" s="15"/>
      <c r="W54" s="15"/>
      <c r="X54" s="15"/>
      <c r="Y54" s="15"/>
      <c r="Z54" s="15">
        <f t="shared" si="0"/>
        <v>630000</v>
      </c>
      <c r="AA54" s="20"/>
      <c r="AB54" s="21"/>
    </row>
    <row r="55" spans="1:28" ht="63" customHeight="1" thickBot="1" x14ac:dyDescent="0.3">
      <c r="A55" s="14">
        <v>43</v>
      </c>
      <c r="B55" s="13" t="s">
        <v>83</v>
      </c>
      <c r="C55" s="13" t="s">
        <v>36</v>
      </c>
      <c r="D55" s="15">
        <f>[1]Лист4!D46</f>
        <v>2100000</v>
      </c>
      <c r="E55" s="15">
        <f>[2]Лист4!D47</f>
        <v>2562000</v>
      </c>
      <c r="F55" s="15">
        <f>[3]Лист4!D47</f>
        <v>2440000</v>
      </c>
      <c r="G55" s="16">
        <f>[4]Лист4!D46</f>
        <v>2310000</v>
      </c>
      <c r="H55" s="15"/>
      <c r="I55" s="15"/>
      <c r="J55" s="15"/>
      <c r="K55" s="15"/>
      <c r="L55" s="15"/>
      <c r="M55" s="15"/>
      <c r="N55" s="15"/>
      <c r="O55" s="15"/>
      <c r="P55" s="15"/>
      <c r="Q55" s="15"/>
      <c r="R55" s="15"/>
      <c r="S55" s="15"/>
      <c r="T55" s="15"/>
      <c r="U55" s="15"/>
      <c r="V55" s="15"/>
      <c r="W55" s="15"/>
      <c r="X55" s="15"/>
      <c r="Y55" s="15"/>
      <c r="Z55" s="15">
        <f t="shared" si="0"/>
        <v>2100000</v>
      </c>
      <c r="AA55" s="20"/>
      <c r="AB55" s="21"/>
    </row>
    <row r="56" spans="1:28" ht="63" customHeight="1" thickBot="1" x14ac:dyDescent="0.3">
      <c r="A56" s="14">
        <v>44</v>
      </c>
      <c r="B56" s="13" t="s">
        <v>84</v>
      </c>
      <c r="C56" s="13" t="s">
        <v>48</v>
      </c>
      <c r="D56" s="15">
        <f>[1]Лист4!D47</f>
        <v>525000</v>
      </c>
      <c r="E56" s="15">
        <f>[2]Лист4!D48</f>
        <v>671000</v>
      </c>
      <c r="F56" s="15">
        <f>[3]Лист4!D48</f>
        <v>610000</v>
      </c>
      <c r="G56" s="16">
        <f>[4]Лист4!D47</f>
        <v>630000</v>
      </c>
      <c r="H56" s="15"/>
      <c r="I56" s="15"/>
      <c r="J56" s="15"/>
      <c r="K56" s="15"/>
      <c r="L56" s="15"/>
      <c r="M56" s="15"/>
      <c r="N56" s="15"/>
      <c r="O56" s="15"/>
      <c r="P56" s="15"/>
      <c r="Q56" s="15"/>
      <c r="R56" s="15"/>
      <c r="S56" s="15"/>
      <c r="T56" s="15"/>
      <c r="U56" s="15"/>
      <c r="V56" s="15"/>
      <c r="W56" s="15"/>
      <c r="X56" s="15"/>
      <c r="Y56" s="15"/>
      <c r="Z56" s="15">
        <f t="shared" si="0"/>
        <v>525000</v>
      </c>
      <c r="AA56" s="20"/>
      <c r="AB56" s="21"/>
    </row>
    <row r="57" spans="1:28" ht="63" customHeight="1" thickBot="1" x14ac:dyDescent="0.3">
      <c r="A57" s="14">
        <v>45</v>
      </c>
      <c r="B57" s="13" t="s">
        <v>85</v>
      </c>
      <c r="C57" s="13" t="s">
        <v>48</v>
      </c>
      <c r="D57" s="15">
        <f>[1]Лист4!D48</f>
        <v>84000</v>
      </c>
      <c r="E57" s="15">
        <f>[2]Лист4!D49</f>
        <v>109800</v>
      </c>
      <c r="F57" s="15">
        <f>[3]Лист4!D49</f>
        <v>103700</v>
      </c>
      <c r="G57" s="16">
        <f>[4]Лист4!D48</f>
        <v>103950</v>
      </c>
      <c r="H57" s="15"/>
      <c r="I57" s="15"/>
      <c r="J57" s="15"/>
      <c r="K57" s="15"/>
      <c r="L57" s="15"/>
      <c r="M57" s="15"/>
      <c r="N57" s="15"/>
      <c r="O57" s="15"/>
      <c r="P57" s="15"/>
      <c r="Q57" s="15"/>
      <c r="R57" s="15"/>
      <c r="S57" s="15"/>
      <c r="T57" s="15"/>
      <c r="U57" s="15"/>
      <c r="V57" s="15"/>
      <c r="W57" s="15"/>
      <c r="X57" s="15"/>
      <c r="Y57" s="15"/>
      <c r="Z57" s="15">
        <f t="shared" si="0"/>
        <v>84000</v>
      </c>
      <c r="AA57" s="20"/>
      <c r="AB57" s="21"/>
    </row>
    <row r="58" spans="1:28" ht="63" customHeight="1" thickBot="1" x14ac:dyDescent="0.3">
      <c r="A58" s="14">
        <v>46</v>
      </c>
      <c r="B58" s="13" t="s">
        <v>86</v>
      </c>
      <c r="C58" s="13" t="s">
        <v>48</v>
      </c>
      <c r="D58" s="15">
        <f>[1]Лист4!D49</f>
        <v>84000</v>
      </c>
      <c r="E58" s="15">
        <f>[2]Лист4!D50</f>
        <v>109800</v>
      </c>
      <c r="F58" s="15">
        <f>[3]Лист4!D50</f>
        <v>103700</v>
      </c>
      <c r="G58" s="16">
        <f>[4]Лист4!D49</f>
        <v>103950</v>
      </c>
      <c r="H58" s="15"/>
      <c r="I58" s="15"/>
      <c r="J58" s="15"/>
      <c r="K58" s="15"/>
      <c r="L58" s="15"/>
      <c r="M58" s="15"/>
      <c r="N58" s="15"/>
      <c r="O58" s="15"/>
      <c r="P58" s="15"/>
      <c r="Q58" s="15"/>
      <c r="R58" s="15"/>
      <c r="S58" s="15"/>
      <c r="T58" s="15"/>
      <c r="U58" s="15"/>
      <c r="V58" s="15"/>
      <c r="W58" s="15"/>
      <c r="X58" s="15"/>
      <c r="Y58" s="15"/>
      <c r="Z58" s="15">
        <f t="shared" si="0"/>
        <v>84000</v>
      </c>
      <c r="AA58" s="20"/>
      <c r="AB58" s="21"/>
    </row>
    <row r="59" spans="1:28" ht="63" customHeight="1" thickBot="1" x14ac:dyDescent="0.3">
      <c r="A59" s="14">
        <v>47</v>
      </c>
      <c r="B59" s="13" t="s">
        <v>87</v>
      </c>
      <c r="C59" s="13" t="s">
        <v>48</v>
      </c>
      <c r="D59" s="15">
        <f>[1]Лист4!D50</f>
        <v>157500</v>
      </c>
      <c r="E59" s="15">
        <f>[2]Лист4!D51</f>
        <v>207400</v>
      </c>
      <c r="F59" s="15">
        <f>[3]Лист4!D51</f>
        <v>183000</v>
      </c>
      <c r="G59" s="16">
        <f>[4]Лист4!D50</f>
        <v>168000</v>
      </c>
      <c r="H59" s="15"/>
      <c r="I59" s="15"/>
      <c r="J59" s="15"/>
      <c r="K59" s="15"/>
      <c r="L59" s="15"/>
      <c r="M59" s="15"/>
      <c r="N59" s="15"/>
      <c r="O59" s="15"/>
      <c r="P59" s="15"/>
      <c r="Q59" s="15"/>
      <c r="R59" s="15"/>
      <c r="S59" s="15"/>
      <c r="T59" s="15"/>
      <c r="U59" s="15"/>
      <c r="V59" s="15"/>
      <c r="W59" s="15"/>
      <c r="X59" s="15"/>
      <c r="Y59" s="15"/>
      <c r="Z59" s="15">
        <f t="shared" si="0"/>
        <v>157500</v>
      </c>
      <c r="AA59" s="20"/>
      <c r="AB59" s="21"/>
    </row>
    <row r="60" spans="1:28" ht="63" customHeight="1" thickBot="1" x14ac:dyDescent="0.3">
      <c r="A60" s="14">
        <v>48</v>
      </c>
      <c r="B60" s="13" t="s">
        <v>88</v>
      </c>
      <c r="C60" s="13" t="s">
        <v>48</v>
      </c>
      <c r="D60" s="15">
        <f>[1]Лист4!D51</f>
        <v>84000</v>
      </c>
      <c r="E60" s="15">
        <f>[2]Лист4!D52</f>
        <v>109800</v>
      </c>
      <c r="F60" s="15">
        <f>[3]Лист4!D52</f>
        <v>103700</v>
      </c>
      <c r="G60" s="16">
        <f>[4]Лист4!D51</f>
        <v>103950</v>
      </c>
      <c r="H60" s="15"/>
      <c r="I60" s="15"/>
      <c r="J60" s="15"/>
      <c r="K60" s="15"/>
      <c r="L60" s="15"/>
      <c r="M60" s="15"/>
      <c r="N60" s="15"/>
      <c r="O60" s="15"/>
      <c r="P60" s="15"/>
      <c r="Q60" s="15"/>
      <c r="R60" s="15"/>
      <c r="S60" s="15"/>
      <c r="T60" s="15"/>
      <c r="U60" s="15"/>
      <c r="V60" s="15"/>
      <c r="W60" s="15"/>
      <c r="X60" s="15"/>
      <c r="Y60" s="15"/>
      <c r="Z60" s="15">
        <f t="shared" si="0"/>
        <v>84000</v>
      </c>
      <c r="AA60" s="20"/>
      <c r="AB60" s="21"/>
    </row>
    <row r="61" spans="1:28" ht="63" customHeight="1" thickBot="1" x14ac:dyDescent="0.3">
      <c r="A61" s="14">
        <v>49</v>
      </c>
      <c r="B61" s="13" t="s">
        <v>89</v>
      </c>
      <c r="C61" s="13" t="s">
        <v>48</v>
      </c>
      <c r="D61" s="15">
        <f>[1]Лист4!D52</f>
        <v>84000</v>
      </c>
      <c r="E61" s="15">
        <f>[2]Лист4!D53</f>
        <v>109800</v>
      </c>
      <c r="F61" s="15">
        <f>[3]Лист4!D53</f>
        <v>103700</v>
      </c>
      <c r="G61" s="16">
        <f>[4]Лист4!D52</f>
        <v>103950</v>
      </c>
      <c r="H61" s="15"/>
      <c r="I61" s="15"/>
      <c r="J61" s="15"/>
      <c r="K61" s="15"/>
      <c r="L61" s="15"/>
      <c r="M61" s="15"/>
      <c r="N61" s="15"/>
      <c r="O61" s="15"/>
      <c r="P61" s="15"/>
      <c r="Q61" s="15"/>
      <c r="R61" s="15"/>
      <c r="S61" s="15"/>
      <c r="T61" s="15"/>
      <c r="U61" s="15"/>
      <c r="V61" s="15"/>
      <c r="W61" s="15"/>
      <c r="X61" s="15"/>
      <c r="Y61" s="15"/>
      <c r="Z61" s="15">
        <f t="shared" si="0"/>
        <v>84000</v>
      </c>
      <c r="AA61" s="20"/>
      <c r="AB61" s="21"/>
    </row>
    <row r="62" spans="1:28" ht="63" customHeight="1" thickBot="1" x14ac:dyDescent="0.3">
      <c r="A62" s="14">
        <v>50</v>
      </c>
      <c r="B62" s="13" t="s">
        <v>90</v>
      </c>
      <c r="C62" s="13" t="s">
        <v>54</v>
      </c>
      <c r="D62" s="15">
        <f>[1]Лист4!D53</f>
        <v>840000</v>
      </c>
      <c r="E62" s="15">
        <f>[2]Лист4!D54</f>
        <v>1098000</v>
      </c>
      <c r="F62" s="15">
        <f>[3]Лист4!D54</f>
        <v>976000</v>
      </c>
      <c r="G62" s="16">
        <f>[4]Лист4!D53</f>
        <v>1050000</v>
      </c>
      <c r="H62" s="15"/>
      <c r="I62" s="15"/>
      <c r="J62" s="15"/>
      <c r="K62" s="15"/>
      <c r="L62" s="15"/>
      <c r="M62" s="15"/>
      <c r="N62" s="15"/>
      <c r="O62" s="15"/>
      <c r="P62" s="15"/>
      <c r="Q62" s="15"/>
      <c r="R62" s="15"/>
      <c r="S62" s="15"/>
      <c r="T62" s="15"/>
      <c r="U62" s="15"/>
      <c r="V62" s="15"/>
      <c r="W62" s="15"/>
      <c r="X62" s="15"/>
      <c r="Y62" s="15"/>
      <c r="Z62" s="15">
        <f t="shared" si="0"/>
        <v>840000</v>
      </c>
      <c r="AA62" s="20"/>
      <c r="AB62" s="21"/>
    </row>
    <row r="63" spans="1:28" ht="63" customHeight="1" thickBot="1" x14ac:dyDescent="0.3">
      <c r="A63" s="14">
        <v>51</v>
      </c>
      <c r="B63" s="13" t="s">
        <v>91</v>
      </c>
      <c r="C63" s="13" t="s">
        <v>48</v>
      </c>
      <c r="D63" s="15">
        <f>[1]Лист4!D54</f>
        <v>84000</v>
      </c>
      <c r="E63" s="15">
        <f>[2]Лист4!D55</f>
        <v>109800</v>
      </c>
      <c r="F63" s="15">
        <f>[3]Лист4!D55</f>
        <v>103700</v>
      </c>
      <c r="G63" s="16">
        <f>[4]Лист4!D54</f>
        <v>103950</v>
      </c>
      <c r="H63" s="15"/>
      <c r="I63" s="15"/>
      <c r="J63" s="15"/>
      <c r="K63" s="15"/>
      <c r="L63" s="15"/>
      <c r="M63" s="15"/>
      <c r="N63" s="15"/>
      <c r="O63" s="15"/>
      <c r="P63" s="15"/>
      <c r="Q63" s="15"/>
      <c r="R63" s="15"/>
      <c r="S63" s="15"/>
      <c r="T63" s="15"/>
      <c r="U63" s="15"/>
      <c r="V63" s="15"/>
      <c r="W63" s="15"/>
      <c r="X63" s="15"/>
      <c r="Y63" s="15"/>
      <c r="Z63" s="15">
        <f t="shared" si="0"/>
        <v>84000</v>
      </c>
      <c r="AA63" s="20"/>
      <c r="AB63" s="21"/>
    </row>
    <row r="64" spans="1:28" ht="63" customHeight="1" thickBot="1" x14ac:dyDescent="0.3">
      <c r="A64" s="14">
        <v>52</v>
      </c>
      <c r="B64" s="13" t="s">
        <v>92</v>
      </c>
      <c r="C64" s="13" t="s">
        <v>48</v>
      </c>
      <c r="D64" s="15">
        <f>[1]Лист4!D55</f>
        <v>157500</v>
      </c>
      <c r="E64" s="15">
        <f>[2]Лист4!D56</f>
        <v>195200</v>
      </c>
      <c r="F64" s="15">
        <f>[3]Лист4!D56</f>
        <v>183000</v>
      </c>
      <c r="G64" s="16">
        <f>[4]Лист4!D55</f>
        <v>178500</v>
      </c>
      <c r="H64" s="15"/>
      <c r="I64" s="15"/>
      <c r="J64" s="15"/>
      <c r="K64" s="15"/>
      <c r="L64" s="15"/>
      <c r="M64" s="15"/>
      <c r="N64" s="15"/>
      <c r="O64" s="15"/>
      <c r="P64" s="15"/>
      <c r="Q64" s="15"/>
      <c r="R64" s="15"/>
      <c r="S64" s="15"/>
      <c r="T64" s="15"/>
      <c r="U64" s="15"/>
      <c r="V64" s="15"/>
      <c r="W64" s="15"/>
      <c r="X64" s="15"/>
      <c r="Y64" s="15"/>
      <c r="Z64" s="15">
        <f t="shared" si="0"/>
        <v>157500</v>
      </c>
      <c r="AA64" s="20"/>
      <c r="AB64" s="21"/>
    </row>
    <row r="65" spans="1:28" ht="63" customHeight="1" thickBot="1" x14ac:dyDescent="0.3">
      <c r="A65" s="14">
        <v>53</v>
      </c>
      <c r="B65" s="13" t="s">
        <v>93</v>
      </c>
      <c r="C65" s="13" t="s">
        <v>94</v>
      </c>
      <c r="D65" s="15">
        <f>[1]Лист4!D56</f>
        <v>12600</v>
      </c>
      <c r="E65" s="15">
        <f>[2]Лист4!D57</f>
        <v>14640</v>
      </c>
      <c r="F65" s="15">
        <f>[3]Лист4!D57</f>
        <v>18300</v>
      </c>
      <c r="G65" s="16">
        <f>[4]Лист4!D56</f>
        <v>11550</v>
      </c>
      <c r="H65" s="15"/>
      <c r="I65" s="15"/>
      <c r="J65" s="15"/>
      <c r="K65" s="15"/>
      <c r="L65" s="15"/>
      <c r="M65" s="15"/>
      <c r="N65" s="15"/>
      <c r="O65" s="15"/>
      <c r="P65" s="15"/>
      <c r="Q65" s="15"/>
      <c r="R65" s="15"/>
      <c r="S65" s="15"/>
      <c r="T65" s="15"/>
      <c r="U65" s="15"/>
      <c r="V65" s="15"/>
      <c r="W65" s="15"/>
      <c r="X65" s="15"/>
      <c r="Y65" s="15"/>
      <c r="Z65" s="15">
        <f t="shared" si="0"/>
        <v>11550</v>
      </c>
      <c r="AA65" s="20"/>
      <c r="AB65" s="21"/>
    </row>
    <row r="66" spans="1:28" ht="63" customHeight="1" thickBot="1" x14ac:dyDescent="0.3">
      <c r="A66" s="14">
        <v>54</v>
      </c>
      <c r="B66" s="13" t="s">
        <v>95</v>
      </c>
      <c r="C66" s="13" t="s">
        <v>94</v>
      </c>
      <c r="D66" s="15">
        <f>[1]Лист4!D57</f>
        <v>26250</v>
      </c>
      <c r="E66" s="15">
        <f>[2]Лист4!D58</f>
        <v>30500</v>
      </c>
      <c r="F66" s="15">
        <f>[3]Лист4!D58</f>
        <v>18300</v>
      </c>
      <c r="G66" s="16">
        <f>[4]Лист4!D57</f>
        <v>25725</v>
      </c>
      <c r="H66" s="15"/>
      <c r="I66" s="15"/>
      <c r="J66" s="15"/>
      <c r="K66" s="15"/>
      <c r="L66" s="15"/>
      <c r="M66" s="15"/>
      <c r="N66" s="15"/>
      <c r="O66" s="15"/>
      <c r="P66" s="15"/>
      <c r="Q66" s="15"/>
      <c r="R66" s="15"/>
      <c r="S66" s="15"/>
      <c r="T66" s="15"/>
      <c r="U66" s="15"/>
      <c r="V66" s="15"/>
      <c r="W66" s="15"/>
      <c r="X66" s="15"/>
      <c r="Y66" s="15"/>
      <c r="Z66" s="15">
        <f t="shared" si="0"/>
        <v>18300</v>
      </c>
      <c r="AA66" s="20"/>
      <c r="AB66" s="21"/>
    </row>
    <row r="67" spans="1:28" ht="63" customHeight="1" thickBot="1" x14ac:dyDescent="0.3">
      <c r="A67" s="14">
        <v>55</v>
      </c>
      <c r="B67" s="13" t="s">
        <v>96</v>
      </c>
      <c r="C67" s="13" t="s">
        <v>94</v>
      </c>
      <c r="D67" s="15">
        <f>[1]Лист4!D58</f>
        <v>26250</v>
      </c>
      <c r="E67" s="15">
        <f>[2]Лист4!D59</f>
        <v>30500</v>
      </c>
      <c r="F67" s="15">
        <f>[3]Лист4!D59</f>
        <v>18300</v>
      </c>
      <c r="G67" s="16">
        <f>[4]Лист4!D58</f>
        <v>27725</v>
      </c>
      <c r="H67" s="15"/>
      <c r="I67" s="15"/>
      <c r="J67" s="15"/>
      <c r="K67" s="15"/>
      <c r="L67" s="15"/>
      <c r="M67" s="15"/>
      <c r="N67" s="15"/>
      <c r="O67" s="15"/>
      <c r="P67" s="15"/>
      <c r="Q67" s="15"/>
      <c r="R67" s="15"/>
      <c r="S67" s="15"/>
      <c r="T67" s="15"/>
      <c r="U67" s="15"/>
      <c r="V67" s="15"/>
      <c r="W67" s="15"/>
      <c r="X67" s="15"/>
      <c r="Y67" s="15"/>
      <c r="Z67" s="15">
        <f t="shared" si="0"/>
        <v>18300</v>
      </c>
      <c r="AA67" s="20"/>
      <c r="AB67" s="21"/>
    </row>
    <row r="68" spans="1:28" ht="75.75" thickBot="1" x14ac:dyDescent="0.3">
      <c r="A68" s="14">
        <v>56</v>
      </c>
      <c r="B68" s="13" t="s">
        <v>97</v>
      </c>
      <c r="C68" s="13" t="s">
        <v>98</v>
      </c>
      <c r="D68" s="15">
        <f>[1]Лист4!D59</f>
        <v>630000</v>
      </c>
      <c r="E68" s="15">
        <f>[2]Лист4!D60</f>
        <v>793000</v>
      </c>
      <c r="F68" s="15">
        <f>[3]Лист4!D60</f>
        <v>732000</v>
      </c>
      <c r="G68" s="16">
        <f>[4]Лист4!D59</f>
        <v>735000</v>
      </c>
      <c r="H68" s="15"/>
      <c r="I68" s="15"/>
      <c r="J68" s="15"/>
      <c r="K68" s="15"/>
      <c r="L68" s="15"/>
      <c r="M68" s="15"/>
      <c r="N68" s="15"/>
      <c r="O68" s="15"/>
      <c r="P68" s="15"/>
      <c r="Q68" s="15"/>
      <c r="R68" s="15"/>
      <c r="S68" s="15"/>
      <c r="T68" s="15"/>
      <c r="U68" s="15"/>
      <c r="V68" s="15"/>
      <c r="W68" s="15"/>
      <c r="X68" s="15"/>
      <c r="Y68" s="15"/>
      <c r="Z68" s="15">
        <f t="shared" si="0"/>
        <v>630000</v>
      </c>
      <c r="AA68" s="20"/>
      <c r="AB68" s="21"/>
    </row>
    <row r="69" spans="1:28" ht="63" customHeight="1" thickBot="1" x14ac:dyDescent="0.3">
      <c r="A69" s="14">
        <v>57</v>
      </c>
      <c r="B69" s="13" t="s">
        <v>99</v>
      </c>
      <c r="C69" s="13" t="s">
        <v>98</v>
      </c>
      <c r="D69" s="15">
        <f>[1]Лист4!D60</f>
        <v>1050000</v>
      </c>
      <c r="E69" s="15">
        <f>[2]Лист4!D61</f>
        <v>1342000</v>
      </c>
      <c r="F69" s="15">
        <f>[3]Лист4!D61</f>
        <v>1220000</v>
      </c>
      <c r="G69" s="16">
        <f>[4]Лист4!D60</f>
        <v>1155000</v>
      </c>
      <c r="H69" s="15"/>
      <c r="I69" s="15"/>
      <c r="J69" s="15"/>
      <c r="K69" s="15"/>
      <c r="L69" s="15"/>
      <c r="M69" s="15"/>
      <c r="N69" s="15"/>
      <c r="O69" s="15"/>
      <c r="P69" s="15"/>
      <c r="Q69" s="15"/>
      <c r="R69" s="15"/>
      <c r="S69" s="15"/>
      <c r="T69" s="15"/>
      <c r="U69" s="15"/>
      <c r="V69" s="15"/>
      <c r="W69" s="15"/>
      <c r="X69" s="15"/>
      <c r="Y69" s="15"/>
      <c r="Z69" s="15">
        <f t="shared" si="0"/>
        <v>1050000</v>
      </c>
      <c r="AA69" s="20"/>
      <c r="AB69" s="21"/>
    </row>
    <row r="70" spans="1:28" ht="63" customHeight="1" thickBot="1" x14ac:dyDescent="0.3">
      <c r="A70" s="14">
        <v>58</v>
      </c>
      <c r="B70" s="13" t="s">
        <v>100</v>
      </c>
      <c r="C70" s="13" t="s">
        <v>98</v>
      </c>
      <c r="D70" s="15">
        <f>[1]Лист4!D61</f>
        <v>236250</v>
      </c>
      <c r="E70" s="15">
        <f>[2]Лист4!D62</f>
        <v>317200</v>
      </c>
      <c r="F70" s="15">
        <f>[3]Лист4!D62</f>
        <v>305000</v>
      </c>
      <c r="G70" s="16">
        <f>[4]Лист4!D61</f>
        <v>246750</v>
      </c>
      <c r="H70" s="15"/>
      <c r="I70" s="15"/>
      <c r="J70" s="15"/>
      <c r="K70" s="15"/>
      <c r="L70" s="15"/>
      <c r="M70" s="15"/>
      <c r="N70" s="15"/>
      <c r="O70" s="15"/>
      <c r="P70" s="15"/>
      <c r="Q70" s="15"/>
      <c r="R70" s="15"/>
      <c r="S70" s="15"/>
      <c r="T70" s="15"/>
      <c r="U70" s="15"/>
      <c r="V70" s="15"/>
      <c r="W70" s="15"/>
      <c r="X70" s="15"/>
      <c r="Y70" s="15"/>
      <c r="Z70" s="15">
        <f t="shared" si="0"/>
        <v>236250</v>
      </c>
      <c r="AA70" s="20"/>
      <c r="AB70" s="21"/>
    </row>
    <row r="71" spans="1:28" ht="63" customHeight="1" thickBot="1" x14ac:dyDescent="0.3">
      <c r="A71" s="14">
        <v>59</v>
      </c>
      <c r="B71" s="13" t="s">
        <v>101</v>
      </c>
      <c r="C71" s="13" t="s">
        <v>48</v>
      </c>
      <c r="D71" s="15">
        <f>[1]Лист4!D62</f>
        <v>126000</v>
      </c>
      <c r="E71" s="15">
        <f>[2]Лист4!D63</f>
        <v>170800</v>
      </c>
      <c r="F71" s="15">
        <f>[3]Лист4!D63</f>
        <v>103700</v>
      </c>
      <c r="G71" s="16">
        <f>[4]Лист4!D62</f>
        <v>131250</v>
      </c>
      <c r="H71" s="15"/>
      <c r="I71" s="15"/>
      <c r="J71" s="15"/>
      <c r="K71" s="15"/>
      <c r="L71" s="15"/>
      <c r="M71" s="15"/>
      <c r="N71" s="15"/>
      <c r="O71" s="15"/>
      <c r="P71" s="15"/>
      <c r="Q71" s="15"/>
      <c r="R71" s="15"/>
      <c r="S71" s="15"/>
      <c r="T71" s="15"/>
      <c r="U71" s="15"/>
      <c r="V71" s="15"/>
      <c r="W71" s="15"/>
      <c r="X71" s="15"/>
      <c r="Y71" s="15"/>
      <c r="Z71" s="15">
        <f t="shared" si="0"/>
        <v>103700</v>
      </c>
      <c r="AA71" s="20"/>
      <c r="AB71" s="21"/>
    </row>
    <row r="72" spans="1:28" ht="63" customHeight="1" thickBot="1" x14ac:dyDescent="0.3">
      <c r="A72" s="14">
        <v>60</v>
      </c>
      <c r="B72" s="13" t="s">
        <v>102</v>
      </c>
      <c r="C72" s="13" t="s">
        <v>30</v>
      </c>
      <c r="D72" s="15">
        <f>[1]Лист4!D63</f>
        <v>404250</v>
      </c>
      <c r="E72" s="15">
        <f>[2]Лист4!D64</f>
        <v>549000</v>
      </c>
      <c r="F72" s="15">
        <f>[3]Лист4!D64</f>
        <v>524600</v>
      </c>
      <c r="G72" s="16">
        <f>[4]Лист4!D63</f>
        <v>509250</v>
      </c>
      <c r="H72" s="15"/>
      <c r="I72" s="15"/>
      <c r="J72" s="15"/>
      <c r="K72" s="15"/>
      <c r="L72" s="15"/>
      <c r="M72" s="15"/>
      <c r="N72" s="15"/>
      <c r="O72" s="15"/>
      <c r="P72" s="15"/>
      <c r="Q72" s="15"/>
      <c r="R72" s="15"/>
      <c r="S72" s="15"/>
      <c r="T72" s="15"/>
      <c r="U72" s="15"/>
      <c r="V72" s="15"/>
      <c r="W72" s="15"/>
      <c r="X72" s="15"/>
      <c r="Y72" s="15"/>
      <c r="Z72" s="15">
        <f t="shared" si="0"/>
        <v>404250</v>
      </c>
      <c r="AA72" s="20"/>
      <c r="AB72" s="21"/>
    </row>
    <row r="73" spans="1:28" ht="63" customHeight="1" thickBot="1" x14ac:dyDescent="0.3">
      <c r="A73" s="14">
        <v>61</v>
      </c>
      <c r="B73" s="13" t="s">
        <v>103</v>
      </c>
      <c r="C73" s="13" t="s">
        <v>30</v>
      </c>
      <c r="D73" s="15">
        <f>[1]Лист4!D64</f>
        <v>42000</v>
      </c>
      <c r="E73" s="15">
        <f>[2]Лист4!D65</f>
        <v>54900</v>
      </c>
      <c r="F73" s="15">
        <f>[3]Лист4!D65</f>
        <v>48800</v>
      </c>
      <c r="G73" s="16">
        <f>[4]Лист4!D64</f>
        <v>52500</v>
      </c>
      <c r="H73" s="15"/>
      <c r="I73" s="15"/>
      <c r="J73" s="15"/>
      <c r="K73" s="15"/>
      <c r="L73" s="15"/>
      <c r="M73" s="15"/>
      <c r="N73" s="15"/>
      <c r="O73" s="15"/>
      <c r="P73" s="15"/>
      <c r="Q73" s="15"/>
      <c r="R73" s="15"/>
      <c r="S73" s="15"/>
      <c r="T73" s="15"/>
      <c r="U73" s="15"/>
      <c r="V73" s="15"/>
      <c r="W73" s="15"/>
      <c r="X73" s="15"/>
      <c r="Y73" s="15"/>
      <c r="Z73" s="15">
        <f t="shared" si="0"/>
        <v>42000</v>
      </c>
      <c r="AA73" s="20"/>
      <c r="AB73" s="21"/>
    </row>
    <row r="74" spans="1:28" ht="63" customHeight="1" thickBot="1" x14ac:dyDescent="0.3">
      <c r="A74" s="14">
        <v>62</v>
      </c>
      <c r="B74" s="13" t="s">
        <v>104</v>
      </c>
      <c r="C74" s="13" t="s">
        <v>30</v>
      </c>
      <c r="D74" s="15">
        <f>[1]Лист4!D65</f>
        <v>1575</v>
      </c>
      <c r="E74" s="15">
        <f>[2]Лист4!D66</f>
        <v>2074</v>
      </c>
      <c r="F74" s="15">
        <f>[3]Лист4!D66</f>
        <v>3050</v>
      </c>
      <c r="G74" s="16">
        <f>[4]Лист4!D65</f>
        <v>1470</v>
      </c>
      <c r="H74" s="15"/>
      <c r="I74" s="15"/>
      <c r="J74" s="15"/>
      <c r="K74" s="15"/>
      <c r="L74" s="15"/>
      <c r="M74" s="15"/>
      <c r="N74" s="15"/>
      <c r="O74" s="15"/>
      <c r="P74" s="15"/>
      <c r="Q74" s="15"/>
      <c r="R74" s="15"/>
      <c r="S74" s="15"/>
      <c r="T74" s="15"/>
      <c r="U74" s="15"/>
      <c r="V74" s="15"/>
      <c r="W74" s="15"/>
      <c r="X74" s="15"/>
      <c r="Y74" s="15"/>
      <c r="Z74" s="15">
        <f t="shared" si="0"/>
        <v>1470</v>
      </c>
      <c r="AA74" s="20"/>
      <c r="AB74" s="21"/>
    </row>
    <row r="75" spans="1:28" ht="63" customHeight="1" thickBot="1" x14ac:dyDescent="0.3">
      <c r="A75" s="14">
        <v>63</v>
      </c>
      <c r="B75" s="13" t="s">
        <v>105</v>
      </c>
      <c r="C75" s="13" t="s">
        <v>106</v>
      </c>
      <c r="D75" s="15">
        <f>[1]Лист4!D66</f>
        <v>10500</v>
      </c>
      <c r="E75" s="15">
        <f>[2]Лист4!D67</f>
        <v>14030</v>
      </c>
      <c r="F75" s="15">
        <f>[3]Лист4!D67</f>
        <v>12200</v>
      </c>
      <c r="G75" s="16">
        <f>[4]Лист4!D66</f>
        <v>12600</v>
      </c>
      <c r="H75" s="15"/>
      <c r="I75" s="15"/>
      <c r="J75" s="15"/>
      <c r="K75" s="15"/>
      <c r="L75" s="15"/>
      <c r="M75" s="15"/>
      <c r="N75" s="15"/>
      <c r="O75" s="15"/>
      <c r="P75" s="15"/>
      <c r="Q75" s="15"/>
      <c r="R75" s="15"/>
      <c r="S75" s="15"/>
      <c r="T75" s="15"/>
      <c r="U75" s="15"/>
      <c r="V75" s="15"/>
      <c r="W75" s="15"/>
      <c r="X75" s="15"/>
      <c r="Y75" s="15"/>
      <c r="Z75" s="15">
        <f t="shared" si="0"/>
        <v>10500</v>
      </c>
      <c r="AA75" s="20"/>
      <c r="AB75" s="21"/>
    </row>
    <row r="76" spans="1:28" ht="63" customHeight="1" thickBot="1" x14ac:dyDescent="0.3">
      <c r="A76" s="14">
        <v>64</v>
      </c>
      <c r="B76" s="13" t="s">
        <v>107</v>
      </c>
      <c r="C76" s="13" t="s">
        <v>29</v>
      </c>
      <c r="D76" s="15">
        <f>[1]Лист4!D67</f>
        <v>23940</v>
      </c>
      <c r="E76" s="15">
        <f>[2]Лист4!D68</f>
        <v>30500</v>
      </c>
      <c r="F76" s="15">
        <f>[3]Лист4!D68</f>
        <v>24400</v>
      </c>
      <c r="G76" s="16">
        <f>[4]Лист4!D67</f>
        <v>26250</v>
      </c>
      <c r="H76" s="15"/>
      <c r="I76" s="15"/>
      <c r="J76" s="15"/>
      <c r="K76" s="15"/>
      <c r="L76" s="15"/>
      <c r="M76" s="15"/>
      <c r="N76" s="15"/>
      <c r="O76" s="15"/>
      <c r="P76" s="15"/>
      <c r="Q76" s="15"/>
      <c r="R76" s="15"/>
      <c r="S76" s="15"/>
      <c r="T76" s="15"/>
      <c r="U76" s="15"/>
      <c r="V76" s="15"/>
      <c r="W76" s="15"/>
      <c r="X76" s="15"/>
      <c r="Y76" s="15"/>
      <c r="Z76" s="15">
        <f t="shared" si="0"/>
        <v>23940</v>
      </c>
      <c r="AA76" s="20"/>
      <c r="AB76" s="21"/>
    </row>
    <row r="77" spans="1:28" ht="180.75" thickBot="1" x14ac:dyDescent="0.3">
      <c r="A77" s="14">
        <v>65</v>
      </c>
      <c r="B77" s="13" t="s">
        <v>108</v>
      </c>
      <c r="C77" s="13" t="s">
        <v>41</v>
      </c>
      <c r="D77" s="15">
        <f>[1]Лист4!D68</f>
        <v>8400000</v>
      </c>
      <c r="E77" s="15">
        <f>[2]Лист4!D69</f>
        <v>10980000</v>
      </c>
      <c r="F77" s="15">
        <f>[3]Лист4!D69</f>
        <v>9760000</v>
      </c>
      <c r="G77" s="16">
        <f>[4]Лист4!D68</f>
        <v>10500000</v>
      </c>
      <c r="H77" s="15"/>
      <c r="I77" s="15"/>
      <c r="J77" s="15"/>
      <c r="K77" s="15"/>
      <c r="L77" s="15"/>
      <c r="M77" s="15"/>
      <c r="N77" s="15"/>
      <c r="O77" s="15"/>
      <c r="P77" s="15"/>
      <c r="Q77" s="15"/>
      <c r="R77" s="15"/>
      <c r="S77" s="15"/>
      <c r="T77" s="15"/>
      <c r="U77" s="15"/>
      <c r="V77" s="15"/>
      <c r="W77" s="15"/>
      <c r="X77" s="15"/>
      <c r="Y77" s="15"/>
      <c r="Z77" s="15">
        <f t="shared" si="0"/>
        <v>8400000</v>
      </c>
      <c r="AA77" s="20"/>
      <c r="AB77" s="21"/>
    </row>
    <row r="78" spans="1:28" ht="180.75" thickBot="1" x14ac:dyDescent="0.3">
      <c r="A78" s="14">
        <v>66</v>
      </c>
      <c r="B78" s="13" t="s">
        <v>109</v>
      </c>
      <c r="C78" s="13" t="s">
        <v>41</v>
      </c>
      <c r="D78" s="15">
        <f>[1]Лист4!D69</f>
        <v>12600000</v>
      </c>
      <c r="E78" s="15">
        <f>[2]Лист4!D70</f>
        <v>15860000</v>
      </c>
      <c r="F78" s="15">
        <f>[3]Лист4!D70</f>
        <v>18300000</v>
      </c>
      <c r="G78" s="16">
        <f>[4]Лист4!D69</f>
        <v>15000000</v>
      </c>
      <c r="H78" s="15"/>
      <c r="I78" s="15"/>
      <c r="J78" s="15"/>
      <c r="K78" s="15"/>
      <c r="L78" s="15"/>
      <c r="M78" s="15"/>
      <c r="N78" s="15"/>
      <c r="O78" s="15"/>
      <c r="P78" s="15"/>
      <c r="Q78" s="15"/>
      <c r="R78" s="15"/>
      <c r="S78" s="15"/>
      <c r="T78" s="15"/>
      <c r="U78" s="15"/>
      <c r="V78" s="15"/>
      <c r="W78" s="15"/>
      <c r="X78" s="15"/>
      <c r="Y78" s="15"/>
      <c r="Z78" s="15">
        <f t="shared" ref="Z78:Z141" si="1">MIN(D78:G78)</f>
        <v>12600000</v>
      </c>
      <c r="AA78" s="20"/>
      <c r="AB78" s="21"/>
    </row>
    <row r="79" spans="1:28" ht="135.75" thickBot="1" x14ac:dyDescent="0.3">
      <c r="A79" s="14">
        <v>67</v>
      </c>
      <c r="B79" s="13" t="s">
        <v>110</v>
      </c>
      <c r="C79" s="13" t="s">
        <v>41</v>
      </c>
      <c r="D79" s="15">
        <f>[1]Лист4!D70</f>
        <v>5250000</v>
      </c>
      <c r="E79" s="15">
        <f>[2]Лист4!D71</f>
        <v>6710000</v>
      </c>
      <c r="F79" s="15">
        <f>[3]Лист4!D71</f>
        <v>6100000</v>
      </c>
      <c r="G79" s="16">
        <f>[4]Лист4!D70</f>
        <v>6300000</v>
      </c>
      <c r="H79" s="15"/>
      <c r="I79" s="15"/>
      <c r="J79" s="15"/>
      <c r="K79" s="15"/>
      <c r="L79" s="15"/>
      <c r="M79" s="15"/>
      <c r="N79" s="15"/>
      <c r="O79" s="15"/>
      <c r="P79" s="15"/>
      <c r="Q79" s="15"/>
      <c r="R79" s="15"/>
      <c r="S79" s="15"/>
      <c r="T79" s="15"/>
      <c r="U79" s="15"/>
      <c r="V79" s="15"/>
      <c r="W79" s="15"/>
      <c r="X79" s="15"/>
      <c r="Y79" s="15"/>
      <c r="Z79" s="15">
        <f t="shared" si="1"/>
        <v>5250000</v>
      </c>
      <c r="AA79" s="20"/>
      <c r="AB79" s="21"/>
    </row>
    <row r="80" spans="1:28" ht="135.75" thickBot="1" x14ac:dyDescent="0.3">
      <c r="A80" s="14">
        <v>68</v>
      </c>
      <c r="B80" s="13" t="s">
        <v>111</v>
      </c>
      <c r="C80" s="13" t="s">
        <v>41</v>
      </c>
      <c r="D80" s="15">
        <f>[1]Лист4!D71</f>
        <v>315000</v>
      </c>
      <c r="E80" s="15">
        <f>[2]Лист4!D72</f>
        <v>488000</v>
      </c>
      <c r="F80" s="15">
        <f>[3]Лист4!D72</f>
        <v>366000</v>
      </c>
      <c r="G80" s="16">
        <f>[4]Лист4!D71</f>
        <v>393750</v>
      </c>
      <c r="H80" s="15"/>
      <c r="I80" s="15"/>
      <c r="J80" s="15"/>
      <c r="K80" s="15"/>
      <c r="L80" s="15"/>
      <c r="M80" s="15"/>
      <c r="N80" s="15"/>
      <c r="O80" s="15"/>
      <c r="P80" s="15"/>
      <c r="Q80" s="15"/>
      <c r="R80" s="15"/>
      <c r="S80" s="15"/>
      <c r="T80" s="15"/>
      <c r="U80" s="15"/>
      <c r="V80" s="15"/>
      <c r="W80" s="15"/>
      <c r="X80" s="15"/>
      <c r="Y80" s="15"/>
      <c r="Z80" s="15">
        <f t="shared" si="1"/>
        <v>315000</v>
      </c>
      <c r="AA80" s="20"/>
      <c r="AB80" s="21"/>
    </row>
    <row r="81" spans="1:28" ht="90.75" thickBot="1" x14ac:dyDescent="0.3">
      <c r="A81" s="14">
        <v>69</v>
      </c>
      <c r="B81" s="13" t="s">
        <v>112</v>
      </c>
      <c r="C81" s="13" t="s">
        <v>29</v>
      </c>
      <c r="D81" s="15">
        <f>[1]Лист4!D72</f>
        <v>31500</v>
      </c>
      <c r="E81" s="15">
        <f>[2]Лист4!D73</f>
        <v>36600</v>
      </c>
      <c r="F81" s="15">
        <f>[3]Лист4!D73</f>
        <v>32940</v>
      </c>
      <c r="G81" s="16">
        <f>[4]Лист4!D72</f>
        <v>36750</v>
      </c>
      <c r="H81" s="15"/>
      <c r="I81" s="15"/>
      <c r="J81" s="15"/>
      <c r="K81" s="15"/>
      <c r="L81" s="15"/>
      <c r="M81" s="15"/>
      <c r="N81" s="15"/>
      <c r="O81" s="15"/>
      <c r="P81" s="15"/>
      <c r="Q81" s="15"/>
      <c r="R81" s="15"/>
      <c r="S81" s="15"/>
      <c r="T81" s="15"/>
      <c r="U81" s="15"/>
      <c r="V81" s="15"/>
      <c r="W81" s="15"/>
      <c r="X81" s="15"/>
      <c r="Y81" s="15"/>
      <c r="Z81" s="15">
        <f t="shared" si="1"/>
        <v>31500</v>
      </c>
      <c r="AA81" s="20"/>
      <c r="AB81" s="21"/>
    </row>
    <row r="82" spans="1:28" ht="30.75" thickBot="1" x14ac:dyDescent="0.3">
      <c r="A82" s="14">
        <v>70</v>
      </c>
      <c r="B82" s="13" t="s">
        <v>484</v>
      </c>
      <c r="C82" s="13" t="s">
        <v>41</v>
      </c>
      <c r="D82" s="15">
        <f>[1]Лист4!D73</f>
        <v>672000</v>
      </c>
      <c r="E82" s="15">
        <f>[2]Лист4!D74</f>
        <v>841800</v>
      </c>
      <c r="F82" s="15">
        <f>[3]Лист4!D74</f>
        <v>854000</v>
      </c>
      <c r="G82" s="16">
        <f>[4]Лист4!D73</f>
        <v>703500</v>
      </c>
      <c r="H82" s="15"/>
      <c r="I82" s="15"/>
      <c r="J82" s="15"/>
      <c r="K82" s="15"/>
      <c r="L82" s="15"/>
      <c r="M82" s="15"/>
      <c r="N82" s="15"/>
      <c r="O82" s="15"/>
      <c r="P82" s="15"/>
      <c r="Q82" s="15"/>
      <c r="R82" s="15"/>
      <c r="S82" s="15"/>
      <c r="T82" s="15"/>
      <c r="U82" s="15"/>
      <c r="V82" s="15"/>
      <c r="W82" s="15"/>
      <c r="X82" s="15"/>
      <c r="Y82" s="15"/>
      <c r="Z82" s="15">
        <f t="shared" si="1"/>
        <v>672000</v>
      </c>
      <c r="AA82" s="20"/>
      <c r="AB82" s="21"/>
    </row>
    <row r="83" spans="1:28" ht="75.75" thickBot="1" x14ac:dyDescent="0.3">
      <c r="A83" s="14">
        <v>71</v>
      </c>
      <c r="B83" s="13" t="s">
        <v>113</v>
      </c>
      <c r="C83" s="13" t="s">
        <v>41</v>
      </c>
      <c r="D83" s="15">
        <f>[1]Лист4!D74</f>
        <v>5250</v>
      </c>
      <c r="E83" s="15">
        <f>[2]Лист4!D75</f>
        <v>7320</v>
      </c>
      <c r="F83" s="15">
        <f>[3]Лист4!D75</f>
        <v>6100</v>
      </c>
      <c r="G83" s="16">
        <f>[4]Лист4!D74</f>
        <v>6300</v>
      </c>
      <c r="H83" s="15"/>
      <c r="I83" s="15"/>
      <c r="J83" s="15"/>
      <c r="K83" s="15"/>
      <c r="L83" s="15"/>
      <c r="M83" s="15"/>
      <c r="N83" s="15"/>
      <c r="O83" s="15"/>
      <c r="P83" s="15"/>
      <c r="Q83" s="15"/>
      <c r="R83" s="15"/>
      <c r="S83" s="15"/>
      <c r="T83" s="15"/>
      <c r="U83" s="15"/>
      <c r="V83" s="15"/>
      <c r="W83" s="15"/>
      <c r="X83" s="15"/>
      <c r="Y83" s="15"/>
      <c r="Z83" s="15">
        <f t="shared" si="1"/>
        <v>5250</v>
      </c>
      <c r="AA83" s="20"/>
      <c r="AB83" s="21"/>
    </row>
    <row r="84" spans="1:28" ht="105.75" thickBot="1" x14ac:dyDescent="0.3">
      <c r="A84" s="14">
        <v>72</v>
      </c>
      <c r="B84" s="13" t="s">
        <v>114</v>
      </c>
      <c r="C84" s="13" t="s">
        <v>115</v>
      </c>
      <c r="D84" s="15">
        <f>[1]Лист4!D75</f>
        <v>10500</v>
      </c>
      <c r="E84" s="15">
        <f>[2]Лист4!D76</f>
        <v>15860</v>
      </c>
      <c r="F84" s="15">
        <f>[3]Лист4!D76</f>
        <v>12200</v>
      </c>
      <c r="G84" s="16">
        <f>[4]Лист4!D75</f>
        <v>12600</v>
      </c>
      <c r="H84" s="15"/>
      <c r="I84" s="15"/>
      <c r="J84" s="15"/>
      <c r="K84" s="15"/>
      <c r="L84" s="15"/>
      <c r="M84" s="15"/>
      <c r="N84" s="15"/>
      <c r="O84" s="15"/>
      <c r="P84" s="15"/>
      <c r="Q84" s="15"/>
      <c r="R84" s="15"/>
      <c r="S84" s="15"/>
      <c r="T84" s="15"/>
      <c r="U84" s="15"/>
      <c r="V84" s="15"/>
      <c r="W84" s="15"/>
      <c r="X84" s="15"/>
      <c r="Y84" s="15"/>
      <c r="Z84" s="15">
        <f t="shared" si="1"/>
        <v>10500</v>
      </c>
      <c r="AA84" s="20"/>
      <c r="AB84" s="21"/>
    </row>
    <row r="85" spans="1:28" ht="63" customHeight="1" thickBot="1" x14ac:dyDescent="0.3">
      <c r="A85" s="14">
        <v>73</v>
      </c>
      <c r="B85" s="13" t="s">
        <v>116</v>
      </c>
      <c r="C85" s="13" t="s">
        <v>115</v>
      </c>
      <c r="D85" s="15">
        <f>[1]Лист4!D76</f>
        <v>10500</v>
      </c>
      <c r="E85" s="15">
        <f>[2]Лист4!D77</f>
        <v>12200</v>
      </c>
      <c r="F85" s="15">
        <f>[3]Лист4!D77</f>
        <v>12200</v>
      </c>
      <c r="G85" s="16">
        <f>[4]Лист4!D76</f>
        <v>12000</v>
      </c>
      <c r="H85" s="15"/>
      <c r="I85" s="15"/>
      <c r="J85" s="15"/>
      <c r="K85" s="15"/>
      <c r="L85" s="15"/>
      <c r="M85" s="15"/>
      <c r="N85" s="15"/>
      <c r="O85" s="15"/>
      <c r="P85" s="15"/>
      <c r="Q85" s="15"/>
      <c r="R85" s="15"/>
      <c r="S85" s="15"/>
      <c r="T85" s="15"/>
      <c r="U85" s="15"/>
      <c r="V85" s="15"/>
      <c r="W85" s="15"/>
      <c r="X85" s="15"/>
      <c r="Y85" s="15"/>
      <c r="Z85" s="15">
        <f t="shared" si="1"/>
        <v>10500</v>
      </c>
      <c r="AA85" s="20"/>
      <c r="AB85" s="21"/>
    </row>
    <row r="86" spans="1:28" ht="63" customHeight="1" thickBot="1" x14ac:dyDescent="0.3">
      <c r="A86" s="14">
        <v>74</v>
      </c>
      <c r="B86" s="13" t="s">
        <v>117</v>
      </c>
      <c r="C86" s="13" t="s">
        <v>115</v>
      </c>
      <c r="D86" s="15">
        <f>[1]Лист4!D77</f>
        <v>10500</v>
      </c>
      <c r="E86" s="15">
        <f>[2]Лист4!D78</f>
        <v>12200</v>
      </c>
      <c r="F86" s="15">
        <f>[3]Лист4!D78</f>
        <v>12200</v>
      </c>
      <c r="G86" s="16">
        <f>[4]Лист4!D77</f>
        <v>12600</v>
      </c>
      <c r="H86" s="15"/>
      <c r="I86" s="15"/>
      <c r="J86" s="15"/>
      <c r="K86" s="15"/>
      <c r="L86" s="15"/>
      <c r="M86" s="15"/>
      <c r="N86" s="15"/>
      <c r="O86" s="15"/>
      <c r="P86" s="15"/>
      <c r="Q86" s="15"/>
      <c r="R86" s="15"/>
      <c r="S86" s="15"/>
      <c r="T86" s="15"/>
      <c r="U86" s="15"/>
      <c r="V86" s="15"/>
      <c r="W86" s="15"/>
      <c r="X86" s="15"/>
      <c r="Y86" s="15"/>
      <c r="Z86" s="15">
        <f t="shared" si="1"/>
        <v>10500</v>
      </c>
      <c r="AA86" s="20"/>
      <c r="AB86" s="21"/>
    </row>
    <row r="87" spans="1:28" ht="90.75" thickBot="1" x14ac:dyDescent="0.3">
      <c r="A87" s="14">
        <v>75</v>
      </c>
      <c r="B87" s="13" t="s">
        <v>118</v>
      </c>
      <c r="C87" s="13" t="s">
        <v>115</v>
      </c>
      <c r="D87" s="15">
        <f>[1]Лист4!D78</f>
        <v>10500</v>
      </c>
      <c r="E87" s="15">
        <f>[2]Лист4!D79</f>
        <v>14091</v>
      </c>
      <c r="F87" s="15">
        <f>[3]Лист4!D79</f>
        <v>12200</v>
      </c>
      <c r="G87" s="16">
        <f>[4]Лист4!D78</f>
        <v>13000</v>
      </c>
      <c r="H87" s="15"/>
      <c r="I87" s="15"/>
      <c r="J87" s="15"/>
      <c r="K87" s="15"/>
      <c r="L87" s="15"/>
      <c r="M87" s="15"/>
      <c r="N87" s="15"/>
      <c r="O87" s="15"/>
      <c r="P87" s="15"/>
      <c r="Q87" s="15"/>
      <c r="R87" s="15"/>
      <c r="S87" s="15"/>
      <c r="T87" s="15"/>
      <c r="U87" s="15"/>
      <c r="V87" s="15"/>
      <c r="W87" s="15"/>
      <c r="X87" s="15"/>
      <c r="Y87" s="15"/>
      <c r="Z87" s="15">
        <f t="shared" si="1"/>
        <v>10500</v>
      </c>
      <c r="AA87" s="20"/>
      <c r="AB87" s="21"/>
    </row>
    <row r="88" spans="1:28" ht="180.75" thickBot="1" x14ac:dyDescent="0.3">
      <c r="A88" s="14">
        <v>76</v>
      </c>
      <c r="B88" s="13" t="s">
        <v>119</v>
      </c>
      <c r="C88" s="13" t="s">
        <v>29</v>
      </c>
      <c r="D88" s="15">
        <f>[1]Лист4!D79</f>
        <v>315000</v>
      </c>
      <c r="E88" s="15">
        <f>[2]Лист4!D80</f>
        <v>488000</v>
      </c>
      <c r="F88" s="15">
        <f>[3]Лист4!D80</f>
        <v>427000</v>
      </c>
      <c r="G88" s="16">
        <f>[4]Лист4!D79</f>
        <v>393750</v>
      </c>
      <c r="H88" s="15"/>
      <c r="I88" s="15"/>
      <c r="J88" s="15"/>
      <c r="K88" s="15"/>
      <c r="L88" s="15"/>
      <c r="M88" s="15"/>
      <c r="N88" s="15"/>
      <c r="O88" s="15"/>
      <c r="P88" s="15"/>
      <c r="Q88" s="15"/>
      <c r="R88" s="15"/>
      <c r="S88" s="15"/>
      <c r="T88" s="15"/>
      <c r="U88" s="15"/>
      <c r="V88" s="15"/>
      <c r="W88" s="15"/>
      <c r="X88" s="15"/>
      <c r="Y88" s="15"/>
      <c r="Z88" s="15">
        <f t="shared" si="1"/>
        <v>315000</v>
      </c>
      <c r="AA88" s="20"/>
      <c r="AB88" s="21"/>
    </row>
    <row r="89" spans="1:28" ht="225.75" thickBot="1" x14ac:dyDescent="0.3">
      <c r="A89" s="14">
        <v>77</v>
      </c>
      <c r="B89" s="13" t="s">
        <v>120</v>
      </c>
      <c r="C89" s="13" t="s">
        <v>29</v>
      </c>
      <c r="D89" s="15">
        <f>[1]Лист4!D80</f>
        <v>945000</v>
      </c>
      <c r="E89" s="15">
        <f>[2]Лист4!D81</f>
        <v>1220000</v>
      </c>
      <c r="F89" s="15">
        <f>[3]Лист4!D81</f>
        <v>1220000</v>
      </c>
      <c r="G89" s="16">
        <f>[4]Лист4!D80</f>
        <v>1050000</v>
      </c>
      <c r="H89" s="15"/>
      <c r="I89" s="15"/>
      <c r="J89" s="15"/>
      <c r="K89" s="15"/>
      <c r="L89" s="15"/>
      <c r="M89" s="15"/>
      <c r="N89" s="15"/>
      <c r="O89" s="15"/>
      <c r="P89" s="15"/>
      <c r="Q89" s="15"/>
      <c r="R89" s="15"/>
      <c r="S89" s="15"/>
      <c r="T89" s="15"/>
      <c r="U89" s="15"/>
      <c r="V89" s="15"/>
      <c r="W89" s="15"/>
      <c r="X89" s="15"/>
      <c r="Y89" s="15"/>
      <c r="Z89" s="15">
        <f t="shared" si="1"/>
        <v>945000</v>
      </c>
      <c r="AA89" s="20"/>
      <c r="AB89" s="21"/>
    </row>
    <row r="90" spans="1:28" ht="165.75" thickBot="1" x14ac:dyDescent="0.3">
      <c r="A90" s="14">
        <v>78</v>
      </c>
      <c r="B90" s="13" t="s">
        <v>121</v>
      </c>
      <c r="C90" s="13" t="s">
        <v>29</v>
      </c>
      <c r="D90" s="15">
        <f>[1]Лист4!D81</f>
        <v>105000</v>
      </c>
      <c r="E90" s="15">
        <f>[2]Лист4!D82</f>
        <v>122000</v>
      </c>
      <c r="F90" s="15">
        <f>[3]Лист4!D82</f>
        <v>146400</v>
      </c>
      <c r="G90" s="16">
        <f>[4]Лист4!D81</f>
        <v>108150</v>
      </c>
      <c r="H90" s="15"/>
      <c r="I90" s="15"/>
      <c r="J90" s="15"/>
      <c r="K90" s="15"/>
      <c r="L90" s="15"/>
      <c r="M90" s="15"/>
      <c r="N90" s="15"/>
      <c r="O90" s="15"/>
      <c r="P90" s="15"/>
      <c r="Q90" s="15"/>
      <c r="R90" s="15"/>
      <c r="S90" s="15"/>
      <c r="T90" s="15"/>
      <c r="U90" s="15"/>
      <c r="V90" s="15"/>
      <c r="W90" s="15"/>
      <c r="X90" s="15"/>
      <c r="Y90" s="15"/>
      <c r="Z90" s="15">
        <f t="shared" si="1"/>
        <v>105000</v>
      </c>
      <c r="AA90" s="20"/>
      <c r="AB90" s="21"/>
    </row>
    <row r="91" spans="1:28" ht="165.75" thickBot="1" x14ac:dyDescent="0.3">
      <c r="A91" s="14">
        <v>79</v>
      </c>
      <c r="B91" s="13" t="s">
        <v>122</v>
      </c>
      <c r="C91" s="13" t="s">
        <v>29</v>
      </c>
      <c r="D91" s="15">
        <f>[1]Лист4!D82</f>
        <v>52500</v>
      </c>
      <c r="E91" s="15">
        <f>[2]Лист4!D83</f>
        <v>79300</v>
      </c>
      <c r="F91" s="15">
        <f>[3]Лист4!D83</f>
        <v>97600</v>
      </c>
      <c r="G91" s="16">
        <f>[4]Лист4!D82</f>
        <v>63000</v>
      </c>
      <c r="H91" s="15"/>
      <c r="I91" s="15"/>
      <c r="J91" s="15"/>
      <c r="K91" s="15"/>
      <c r="L91" s="15"/>
      <c r="M91" s="15"/>
      <c r="N91" s="15"/>
      <c r="O91" s="15"/>
      <c r="P91" s="15"/>
      <c r="Q91" s="15"/>
      <c r="R91" s="15"/>
      <c r="S91" s="15"/>
      <c r="T91" s="15"/>
      <c r="U91" s="15"/>
      <c r="V91" s="15"/>
      <c r="W91" s="15"/>
      <c r="X91" s="15"/>
      <c r="Y91" s="15"/>
      <c r="Z91" s="15">
        <f t="shared" si="1"/>
        <v>52500</v>
      </c>
      <c r="AA91" s="20"/>
      <c r="AB91" s="21"/>
    </row>
    <row r="92" spans="1:28" ht="330.75" thickBot="1" x14ac:dyDescent="0.3">
      <c r="A92" s="14">
        <v>80</v>
      </c>
      <c r="B92" s="13" t="s">
        <v>123</v>
      </c>
      <c r="C92" s="13" t="s">
        <v>29</v>
      </c>
      <c r="D92" s="15">
        <f>[1]Лист4!D83</f>
        <v>31500</v>
      </c>
      <c r="E92" s="15">
        <f>[2]Лист4!D84</f>
        <v>36600</v>
      </c>
      <c r="F92" s="15">
        <f>[3]Лист4!D84</f>
        <v>48800</v>
      </c>
      <c r="G92" s="16">
        <f>[4]Лист4!D83</f>
        <v>36750</v>
      </c>
      <c r="H92" s="15"/>
      <c r="I92" s="15"/>
      <c r="J92" s="15"/>
      <c r="K92" s="15"/>
      <c r="L92" s="15"/>
      <c r="M92" s="15"/>
      <c r="N92" s="15"/>
      <c r="O92" s="15"/>
      <c r="P92" s="15"/>
      <c r="Q92" s="15"/>
      <c r="R92" s="15"/>
      <c r="S92" s="15"/>
      <c r="T92" s="15"/>
      <c r="U92" s="15"/>
      <c r="V92" s="15"/>
      <c r="W92" s="15"/>
      <c r="X92" s="15"/>
      <c r="Y92" s="15"/>
      <c r="Z92" s="15">
        <f t="shared" si="1"/>
        <v>31500</v>
      </c>
      <c r="AA92" s="20"/>
      <c r="AB92" s="21"/>
    </row>
    <row r="93" spans="1:28" ht="63" customHeight="1" thickBot="1" x14ac:dyDescent="0.3">
      <c r="A93" s="14">
        <v>81</v>
      </c>
      <c r="B93" s="13" t="s">
        <v>124</v>
      </c>
      <c r="C93" s="13" t="s">
        <v>29</v>
      </c>
      <c r="D93" s="15">
        <f>[1]Лист4!D84</f>
        <v>7875</v>
      </c>
      <c r="E93" s="15">
        <f>[2]Лист4!D85</f>
        <v>10980</v>
      </c>
      <c r="F93" s="15">
        <f>[3]Лист4!D85</f>
        <v>12200</v>
      </c>
      <c r="G93" s="16">
        <f>[4]Лист4!D84</f>
        <v>7770</v>
      </c>
      <c r="H93" s="15"/>
      <c r="I93" s="15"/>
      <c r="J93" s="15"/>
      <c r="K93" s="15"/>
      <c r="L93" s="15"/>
      <c r="M93" s="15"/>
      <c r="N93" s="15"/>
      <c r="O93" s="15"/>
      <c r="P93" s="15"/>
      <c r="Q93" s="15"/>
      <c r="R93" s="15"/>
      <c r="S93" s="15"/>
      <c r="T93" s="15"/>
      <c r="U93" s="15"/>
      <c r="V93" s="15"/>
      <c r="W93" s="15"/>
      <c r="X93" s="15"/>
      <c r="Y93" s="15"/>
      <c r="Z93" s="15">
        <f t="shared" si="1"/>
        <v>7770</v>
      </c>
      <c r="AA93" s="20"/>
      <c r="AB93" s="21"/>
    </row>
    <row r="94" spans="1:28" ht="63" customHeight="1" thickBot="1" x14ac:dyDescent="0.3">
      <c r="A94" s="14">
        <v>82</v>
      </c>
      <c r="B94" s="13" t="s">
        <v>125</v>
      </c>
      <c r="C94" s="13" t="s">
        <v>36</v>
      </c>
      <c r="D94" s="15">
        <f>[1]Лист4!D85</f>
        <v>50400</v>
      </c>
      <c r="E94" s="15">
        <f>[2]Лист4!D86</f>
        <v>61000</v>
      </c>
      <c r="F94" s="15">
        <f>[3]Лист4!D86</f>
        <v>97600</v>
      </c>
      <c r="G94" s="16">
        <f>[4]Лист4!D85</f>
        <v>51450</v>
      </c>
      <c r="H94" s="15"/>
      <c r="I94" s="15"/>
      <c r="J94" s="15"/>
      <c r="K94" s="15"/>
      <c r="L94" s="15"/>
      <c r="M94" s="15"/>
      <c r="N94" s="15"/>
      <c r="O94" s="15"/>
      <c r="P94" s="15"/>
      <c r="Q94" s="15"/>
      <c r="R94" s="15"/>
      <c r="S94" s="15"/>
      <c r="T94" s="15"/>
      <c r="U94" s="15"/>
      <c r="V94" s="15"/>
      <c r="W94" s="15"/>
      <c r="X94" s="15"/>
      <c r="Y94" s="15"/>
      <c r="Z94" s="15">
        <f t="shared" si="1"/>
        <v>50400</v>
      </c>
      <c r="AA94" s="20"/>
      <c r="AB94" s="21"/>
    </row>
    <row r="95" spans="1:28" ht="105.75" thickBot="1" x14ac:dyDescent="0.3">
      <c r="A95" s="14">
        <v>83</v>
      </c>
      <c r="B95" s="13" t="s">
        <v>126</v>
      </c>
      <c r="C95" s="13" t="s">
        <v>30</v>
      </c>
      <c r="D95" s="15">
        <f>[1]Лист4!D86</f>
        <v>157500</v>
      </c>
      <c r="E95" s="15">
        <f>[2]Лист4!D87</f>
        <v>189100</v>
      </c>
      <c r="F95" s="15">
        <f>[3]Лист4!D87</f>
        <v>183000</v>
      </c>
      <c r="G95" s="16">
        <f>[4]Лист4!D86</f>
        <v>163800</v>
      </c>
      <c r="H95" s="15"/>
      <c r="I95" s="15"/>
      <c r="J95" s="15"/>
      <c r="K95" s="15"/>
      <c r="L95" s="15"/>
      <c r="M95" s="15"/>
      <c r="N95" s="15"/>
      <c r="O95" s="15"/>
      <c r="P95" s="15"/>
      <c r="Q95" s="15"/>
      <c r="R95" s="15"/>
      <c r="S95" s="15"/>
      <c r="T95" s="15"/>
      <c r="U95" s="15"/>
      <c r="V95" s="15"/>
      <c r="W95" s="15"/>
      <c r="X95" s="15"/>
      <c r="Y95" s="15"/>
      <c r="Z95" s="15">
        <f t="shared" si="1"/>
        <v>157500</v>
      </c>
      <c r="AA95" s="20"/>
      <c r="AB95" s="21"/>
    </row>
    <row r="96" spans="1:28" ht="63" customHeight="1" thickBot="1" x14ac:dyDescent="0.3">
      <c r="A96" s="14">
        <v>84</v>
      </c>
      <c r="B96" s="13" t="s">
        <v>127</v>
      </c>
      <c r="C96" s="13" t="s">
        <v>30</v>
      </c>
      <c r="D96" s="15">
        <f>[1]Лист4!D87</f>
        <v>126000</v>
      </c>
      <c r="E96" s="15">
        <f>[2]Лист4!D88</f>
        <v>244000</v>
      </c>
      <c r="F96" s="15">
        <f>[3]Лист4!D88</f>
        <v>122000</v>
      </c>
      <c r="G96" s="16">
        <f>[4]Лист4!D87</f>
        <v>157500</v>
      </c>
      <c r="H96" s="15"/>
      <c r="I96" s="15"/>
      <c r="J96" s="15"/>
      <c r="K96" s="15"/>
      <c r="L96" s="15"/>
      <c r="M96" s="15"/>
      <c r="N96" s="15"/>
      <c r="O96" s="15"/>
      <c r="P96" s="15"/>
      <c r="Q96" s="15"/>
      <c r="R96" s="15"/>
      <c r="S96" s="15"/>
      <c r="T96" s="15"/>
      <c r="U96" s="15"/>
      <c r="V96" s="15"/>
      <c r="W96" s="15"/>
      <c r="X96" s="15"/>
      <c r="Y96" s="15"/>
      <c r="Z96" s="15">
        <f t="shared" si="1"/>
        <v>122000</v>
      </c>
      <c r="AA96" s="20"/>
      <c r="AB96" s="21"/>
    </row>
    <row r="97" spans="1:28" ht="75.75" thickBot="1" x14ac:dyDescent="0.3">
      <c r="A97" s="14">
        <v>85</v>
      </c>
      <c r="B97" s="13" t="s">
        <v>128</v>
      </c>
      <c r="C97" s="13" t="s">
        <v>94</v>
      </c>
      <c r="D97" s="15">
        <f>[1]Лист4!D88</f>
        <v>18900</v>
      </c>
      <c r="E97" s="15">
        <f>[2]Лист4!D89</f>
        <v>30500</v>
      </c>
      <c r="F97" s="15">
        <f>[3]Лист4!D89</f>
        <v>24400</v>
      </c>
      <c r="G97" s="16">
        <f>[4]Лист4!D88</f>
        <v>23100</v>
      </c>
      <c r="H97" s="15"/>
      <c r="I97" s="15"/>
      <c r="J97" s="15"/>
      <c r="K97" s="15"/>
      <c r="L97" s="15"/>
      <c r="M97" s="15"/>
      <c r="N97" s="15"/>
      <c r="O97" s="15"/>
      <c r="P97" s="15"/>
      <c r="Q97" s="15"/>
      <c r="R97" s="15"/>
      <c r="S97" s="15"/>
      <c r="T97" s="15"/>
      <c r="U97" s="15"/>
      <c r="V97" s="15"/>
      <c r="W97" s="15"/>
      <c r="X97" s="15"/>
      <c r="Y97" s="15"/>
      <c r="Z97" s="15">
        <f t="shared" si="1"/>
        <v>18900</v>
      </c>
      <c r="AA97" s="20"/>
      <c r="AB97" s="21"/>
    </row>
    <row r="98" spans="1:28" ht="90.75" thickBot="1" x14ac:dyDescent="0.3">
      <c r="A98" s="14">
        <v>86</v>
      </c>
      <c r="B98" s="13" t="s">
        <v>129</v>
      </c>
      <c r="C98" s="13" t="s">
        <v>29</v>
      </c>
      <c r="D98" s="15">
        <f>[1]Лист4!D89</f>
        <v>6300</v>
      </c>
      <c r="E98" s="15">
        <f>[2]Лист4!D90</f>
        <v>7320</v>
      </c>
      <c r="F98" s="15">
        <f>[3]Лист4!D90</f>
        <v>7930</v>
      </c>
      <c r="G98" s="16">
        <f>[4]Лист4!D89</f>
        <v>7875</v>
      </c>
      <c r="H98" s="15"/>
      <c r="I98" s="15"/>
      <c r="J98" s="15"/>
      <c r="K98" s="15"/>
      <c r="L98" s="15"/>
      <c r="M98" s="15"/>
      <c r="N98" s="15"/>
      <c r="O98" s="15"/>
      <c r="P98" s="15"/>
      <c r="Q98" s="15"/>
      <c r="R98" s="15"/>
      <c r="S98" s="15"/>
      <c r="T98" s="15"/>
      <c r="U98" s="15"/>
      <c r="V98" s="15"/>
      <c r="W98" s="15"/>
      <c r="X98" s="15"/>
      <c r="Y98" s="15"/>
      <c r="Z98" s="15">
        <f t="shared" si="1"/>
        <v>6300</v>
      </c>
      <c r="AA98" s="20"/>
      <c r="AB98" s="21"/>
    </row>
    <row r="99" spans="1:28" ht="90.75" thickBot="1" x14ac:dyDescent="0.3">
      <c r="A99" s="14">
        <v>87</v>
      </c>
      <c r="B99" s="13" t="s">
        <v>130</v>
      </c>
      <c r="C99" s="13" t="s">
        <v>94</v>
      </c>
      <c r="D99" s="15">
        <f>[1]Лист4!D90</f>
        <v>26250</v>
      </c>
      <c r="E99" s="15">
        <f>[2]Лист4!D91</f>
        <v>42700</v>
      </c>
      <c r="F99" s="15">
        <f>[3]Лист4!D91</f>
        <v>30500</v>
      </c>
      <c r="G99" s="16">
        <f>[4]Лист4!D90</f>
        <v>31500</v>
      </c>
      <c r="H99" s="15"/>
      <c r="I99" s="15"/>
      <c r="J99" s="15"/>
      <c r="K99" s="15"/>
      <c r="L99" s="15"/>
      <c r="M99" s="15"/>
      <c r="N99" s="15"/>
      <c r="O99" s="15"/>
      <c r="P99" s="15"/>
      <c r="Q99" s="15"/>
      <c r="R99" s="15"/>
      <c r="S99" s="15"/>
      <c r="T99" s="15"/>
      <c r="U99" s="15"/>
      <c r="V99" s="15"/>
      <c r="W99" s="15"/>
      <c r="X99" s="15"/>
      <c r="Y99" s="15"/>
      <c r="Z99" s="15">
        <f t="shared" si="1"/>
        <v>26250</v>
      </c>
      <c r="AA99" s="20"/>
      <c r="AB99" s="21"/>
    </row>
    <row r="100" spans="1:28" ht="75.75" thickBot="1" x14ac:dyDescent="0.3">
      <c r="A100" s="14">
        <v>88</v>
      </c>
      <c r="B100" s="13" t="s">
        <v>131</v>
      </c>
      <c r="C100" s="13" t="s">
        <v>94</v>
      </c>
      <c r="D100" s="15">
        <f>[1]Лист4!D91</f>
        <v>26250</v>
      </c>
      <c r="E100" s="15">
        <f>[2]Лист4!D92</f>
        <v>42700</v>
      </c>
      <c r="F100" s="15">
        <f>[3]Лист4!D92</f>
        <v>30500</v>
      </c>
      <c r="G100" s="16">
        <f>[4]Лист4!D91</f>
        <v>31500</v>
      </c>
      <c r="H100" s="15"/>
      <c r="I100" s="15"/>
      <c r="J100" s="15"/>
      <c r="K100" s="15"/>
      <c r="L100" s="15"/>
      <c r="M100" s="15"/>
      <c r="N100" s="15"/>
      <c r="O100" s="15"/>
      <c r="P100" s="15"/>
      <c r="Q100" s="15"/>
      <c r="R100" s="15"/>
      <c r="S100" s="15"/>
      <c r="T100" s="15"/>
      <c r="U100" s="15"/>
      <c r="V100" s="15"/>
      <c r="W100" s="15"/>
      <c r="X100" s="15"/>
      <c r="Y100" s="15"/>
      <c r="Z100" s="15">
        <f t="shared" si="1"/>
        <v>26250</v>
      </c>
      <c r="AA100" s="20"/>
      <c r="AB100" s="21"/>
    </row>
    <row r="101" spans="1:28" ht="90.75" thickBot="1" x14ac:dyDescent="0.3">
      <c r="A101" s="14">
        <v>89</v>
      </c>
      <c r="B101" s="13" t="s">
        <v>132</v>
      </c>
      <c r="C101" s="13" t="s">
        <v>30</v>
      </c>
      <c r="D101" s="15">
        <f>[1]Лист4!D92</f>
        <v>105000</v>
      </c>
      <c r="E101" s="15">
        <f>[2]Лист4!D93</f>
        <v>146400</v>
      </c>
      <c r="F101" s="15">
        <f>[3]Лист4!D93</f>
        <v>109800</v>
      </c>
      <c r="G101" s="16">
        <f>[4]Лист4!D92</f>
        <v>126000</v>
      </c>
      <c r="H101" s="15"/>
      <c r="I101" s="15"/>
      <c r="J101" s="15"/>
      <c r="K101" s="15"/>
      <c r="L101" s="15"/>
      <c r="M101" s="15"/>
      <c r="N101" s="15"/>
      <c r="O101" s="15"/>
      <c r="P101" s="15"/>
      <c r="Q101" s="15"/>
      <c r="R101" s="15"/>
      <c r="S101" s="15"/>
      <c r="T101" s="15"/>
      <c r="U101" s="15"/>
      <c r="V101" s="15"/>
      <c r="W101" s="15"/>
      <c r="X101" s="15"/>
      <c r="Y101" s="15"/>
      <c r="Z101" s="15">
        <f t="shared" si="1"/>
        <v>105000</v>
      </c>
      <c r="AA101" s="20"/>
      <c r="AB101" s="21"/>
    </row>
    <row r="102" spans="1:28" ht="90.75" thickBot="1" x14ac:dyDescent="0.3">
      <c r="A102" s="14">
        <v>90</v>
      </c>
      <c r="B102" s="13" t="s">
        <v>133</v>
      </c>
      <c r="C102" s="13" t="s">
        <v>94</v>
      </c>
      <c r="D102" s="15">
        <f>[1]Лист4!D93</f>
        <v>315000</v>
      </c>
      <c r="E102" s="15">
        <f>[2]Лист4!D94</f>
        <v>463600</v>
      </c>
      <c r="F102" s="15">
        <f>[3]Лист4!D94</f>
        <v>427000</v>
      </c>
      <c r="G102" s="16">
        <f>[4]Лист4!D93</f>
        <v>367500</v>
      </c>
      <c r="H102" s="15"/>
      <c r="I102" s="15"/>
      <c r="J102" s="15"/>
      <c r="K102" s="15"/>
      <c r="L102" s="15"/>
      <c r="M102" s="15"/>
      <c r="N102" s="15"/>
      <c r="O102" s="15"/>
      <c r="P102" s="15"/>
      <c r="Q102" s="15"/>
      <c r="R102" s="15"/>
      <c r="S102" s="15"/>
      <c r="T102" s="15"/>
      <c r="U102" s="15"/>
      <c r="V102" s="15"/>
      <c r="W102" s="15"/>
      <c r="X102" s="15"/>
      <c r="Y102" s="15"/>
      <c r="Z102" s="15">
        <f t="shared" si="1"/>
        <v>315000</v>
      </c>
      <c r="AA102" s="20"/>
      <c r="AB102" s="21"/>
    </row>
    <row r="103" spans="1:28" ht="90.75" thickBot="1" x14ac:dyDescent="0.3">
      <c r="A103" s="14">
        <v>91</v>
      </c>
      <c r="B103" s="13" t="s">
        <v>134</v>
      </c>
      <c r="C103" s="13" t="s">
        <v>94</v>
      </c>
      <c r="D103" s="15">
        <f>[1]Лист4!D94</f>
        <v>262500</v>
      </c>
      <c r="E103" s="15">
        <f>[2]Лист4!D95</f>
        <v>353800</v>
      </c>
      <c r="F103" s="15">
        <f>[3]Лист4!D95</f>
        <v>305000</v>
      </c>
      <c r="G103" s="16">
        <f>[4]Лист4!D94</f>
        <v>273000</v>
      </c>
      <c r="H103" s="15"/>
      <c r="I103" s="15"/>
      <c r="J103" s="15"/>
      <c r="K103" s="15"/>
      <c r="L103" s="15"/>
      <c r="M103" s="15"/>
      <c r="N103" s="15"/>
      <c r="O103" s="15"/>
      <c r="P103" s="15"/>
      <c r="Q103" s="15"/>
      <c r="R103" s="15"/>
      <c r="S103" s="15"/>
      <c r="T103" s="15"/>
      <c r="U103" s="15"/>
      <c r="V103" s="15"/>
      <c r="W103" s="15"/>
      <c r="X103" s="15"/>
      <c r="Y103" s="15"/>
      <c r="Z103" s="15">
        <f t="shared" si="1"/>
        <v>262500</v>
      </c>
      <c r="AA103" s="20"/>
      <c r="AB103" s="21"/>
    </row>
    <row r="104" spans="1:28" ht="63" customHeight="1" thickBot="1" x14ac:dyDescent="0.3">
      <c r="A104" s="14">
        <v>92</v>
      </c>
      <c r="B104" s="13" t="s">
        <v>135</v>
      </c>
      <c r="C104" s="13" t="s">
        <v>94</v>
      </c>
      <c r="D104" s="15">
        <f>[1]Лист4!D95</f>
        <v>17850</v>
      </c>
      <c r="E104" s="15">
        <f>[2]Лист4!D96</f>
        <v>24400</v>
      </c>
      <c r="F104" s="15">
        <f>[3]Лист4!D96</f>
        <v>18300</v>
      </c>
      <c r="G104" s="16">
        <f>[4]Лист4!D95</f>
        <v>22050</v>
      </c>
      <c r="H104" s="15"/>
      <c r="I104" s="15"/>
      <c r="J104" s="15"/>
      <c r="K104" s="15"/>
      <c r="L104" s="15"/>
      <c r="M104" s="15"/>
      <c r="N104" s="15"/>
      <c r="O104" s="15"/>
      <c r="P104" s="15"/>
      <c r="Q104" s="15"/>
      <c r="R104" s="15"/>
      <c r="S104" s="15"/>
      <c r="T104" s="15"/>
      <c r="U104" s="15"/>
      <c r="V104" s="15"/>
      <c r="W104" s="15"/>
      <c r="X104" s="15"/>
      <c r="Y104" s="15"/>
      <c r="Z104" s="15">
        <f t="shared" si="1"/>
        <v>17850</v>
      </c>
      <c r="AA104" s="20"/>
      <c r="AB104" s="21"/>
    </row>
    <row r="105" spans="1:28" ht="105.75" thickBot="1" x14ac:dyDescent="0.3">
      <c r="A105" s="14">
        <v>93</v>
      </c>
      <c r="B105" s="13" t="s">
        <v>136</v>
      </c>
      <c r="C105" s="13" t="s">
        <v>29</v>
      </c>
      <c r="D105" s="15">
        <f>[1]Лист4!D96</f>
        <v>2362.5</v>
      </c>
      <c r="E105" s="15">
        <f>[2]Лист4!D97</f>
        <v>3172</v>
      </c>
      <c r="F105" s="15">
        <f>[3]Лист4!D97</f>
        <v>3050</v>
      </c>
      <c r="G105" s="16">
        <f>[4]Лист4!D96</f>
        <v>2310</v>
      </c>
      <c r="H105" s="15"/>
      <c r="I105" s="15"/>
      <c r="J105" s="15"/>
      <c r="K105" s="15"/>
      <c r="L105" s="15"/>
      <c r="M105" s="15"/>
      <c r="N105" s="15"/>
      <c r="O105" s="15"/>
      <c r="P105" s="15"/>
      <c r="Q105" s="15"/>
      <c r="R105" s="15"/>
      <c r="S105" s="15"/>
      <c r="T105" s="15"/>
      <c r="U105" s="15"/>
      <c r="V105" s="15"/>
      <c r="W105" s="15"/>
      <c r="X105" s="15"/>
      <c r="Y105" s="15"/>
      <c r="Z105" s="15">
        <f t="shared" si="1"/>
        <v>2310</v>
      </c>
      <c r="AA105" s="20"/>
      <c r="AB105" s="21"/>
    </row>
    <row r="106" spans="1:28" ht="63" customHeight="1" thickBot="1" x14ac:dyDescent="0.3">
      <c r="A106" s="14">
        <v>94</v>
      </c>
      <c r="B106" s="13" t="s">
        <v>137</v>
      </c>
      <c r="C106" s="13" t="s">
        <v>36</v>
      </c>
      <c r="D106" s="15">
        <f>[1]Лист4!D97</f>
        <v>100800</v>
      </c>
      <c r="E106" s="15">
        <f>[2]Лист4!D98</f>
        <v>146400</v>
      </c>
      <c r="F106" s="15">
        <f>[3]Лист4!D98</f>
        <v>183000</v>
      </c>
      <c r="G106" s="16">
        <f>[4]Лист4!D97</f>
        <v>105000</v>
      </c>
      <c r="H106" s="15"/>
      <c r="I106" s="15"/>
      <c r="J106" s="15"/>
      <c r="K106" s="15"/>
      <c r="L106" s="15"/>
      <c r="M106" s="15"/>
      <c r="N106" s="15"/>
      <c r="O106" s="15"/>
      <c r="P106" s="15"/>
      <c r="Q106" s="15"/>
      <c r="R106" s="15"/>
      <c r="S106" s="15"/>
      <c r="T106" s="15"/>
      <c r="U106" s="15"/>
      <c r="V106" s="15"/>
      <c r="W106" s="15"/>
      <c r="X106" s="15"/>
      <c r="Y106" s="15"/>
      <c r="Z106" s="15">
        <f t="shared" si="1"/>
        <v>100800</v>
      </c>
      <c r="AA106" s="20"/>
      <c r="AB106" s="21"/>
    </row>
    <row r="107" spans="1:28" ht="63" customHeight="1" thickBot="1" x14ac:dyDescent="0.3">
      <c r="A107" s="14">
        <v>95</v>
      </c>
      <c r="B107" s="13" t="s">
        <v>138</v>
      </c>
      <c r="C107" s="13" t="s">
        <v>36</v>
      </c>
      <c r="D107" s="15">
        <f>[1]Лист4!D98</f>
        <v>100800</v>
      </c>
      <c r="E107" s="15">
        <f>[2]Лист4!D99</f>
        <v>128100</v>
      </c>
      <c r="F107" s="15">
        <f>[3]Лист4!D99</f>
        <v>183000</v>
      </c>
      <c r="G107" s="16">
        <f>[4]Лист4!D98</f>
        <v>112000</v>
      </c>
      <c r="H107" s="15"/>
      <c r="I107" s="15"/>
      <c r="J107" s="15"/>
      <c r="K107" s="15"/>
      <c r="L107" s="15"/>
      <c r="M107" s="15"/>
      <c r="N107" s="15"/>
      <c r="O107" s="15"/>
      <c r="P107" s="15"/>
      <c r="Q107" s="15"/>
      <c r="R107" s="15"/>
      <c r="S107" s="15"/>
      <c r="T107" s="15"/>
      <c r="U107" s="15"/>
      <c r="V107" s="15"/>
      <c r="W107" s="15"/>
      <c r="X107" s="15"/>
      <c r="Y107" s="15"/>
      <c r="Z107" s="15">
        <f t="shared" si="1"/>
        <v>100800</v>
      </c>
      <c r="AA107" s="20"/>
      <c r="AB107" s="21"/>
    </row>
    <row r="108" spans="1:28" ht="63" customHeight="1" thickBot="1" x14ac:dyDescent="0.3">
      <c r="A108" s="14">
        <v>96</v>
      </c>
      <c r="B108" s="13" t="s">
        <v>139</v>
      </c>
      <c r="C108" s="13" t="s">
        <v>36</v>
      </c>
      <c r="D108" s="15">
        <f>[1]Лист4!D99</f>
        <v>100800</v>
      </c>
      <c r="E108" s="15">
        <f>[2]Лист4!D100</f>
        <v>128100</v>
      </c>
      <c r="F108" s="15">
        <f>[3]Лист4!D100</f>
        <v>183000</v>
      </c>
      <c r="G108" s="16">
        <f>[4]Лист4!D99</f>
        <v>110000</v>
      </c>
      <c r="H108" s="15"/>
      <c r="I108" s="15"/>
      <c r="J108" s="15"/>
      <c r="K108" s="15"/>
      <c r="L108" s="15"/>
      <c r="M108" s="15"/>
      <c r="N108" s="15"/>
      <c r="O108" s="15"/>
      <c r="P108" s="15"/>
      <c r="Q108" s="15"/>
      <c r="R108" s="15"/>
      <c r="S108" s="15"/>
      <c r="T108" s="15"/>
      <c r="U108" s="15"/>
      <c r="V108" s="15"/>
      <c r="W108" s="15"/>
      <c r="X108" s="15"/>
      <c r="Y108" s="15"/>
      <c r="Z108" s="15">
        <f t="shared" si="1"/>
        <v>100800</v>
      </c>
      <c r="AA108" s="20"/>
      <c r="AB108" s="21"/>
    </row>
    <row r="109" spans="1:28" ht="63" customHeight="1" thickBot="1" x14ac:dyDescent="0.3">
      <c r="A109" s="14">
        <v>97</v>
      </c>
      <c r="B109" s="13" t="s">
        <v>140</v>
      </c>
      <c r="C109" s="13" t="s">
        <v>36</v>
      </c>
      <c r="D109" s="15">
        <f>[1]Лист4!D100</f>
        <v>277200</v>
      </c>
      <c r="E109" s="15">
        <f>[2]Лист4!D101</f>
        <v>366000</v>
      </c>
      <c r="F109" s="15">
        <f>[3]Лист4!D101</f>
        <v>183000</v>
      </c>
      <c r="G109" s="16">
        <f>[4]Лист4!D100</f>
        <v>346500</v>
      </c>
      <c r="H109" s="15"/>
      <c r="I109" s="15"/>
      <c r="J109" s="15"/>
      <c r="K109" s="15"/>
      <c r="L109" s="15"/>
      <c r="M109" s="15"/>
      <c r="N109" s="15"/>
      <c r="O109" s="15"/>
      <c r="P109" s="15"/>
      <c r="Q109" s="15"/>
      <c r="R109" s="15"/>
      <c r="S109" s="15"/>
      <c r="T109" s="15"/>
      <c r="U109" s="15"/>
      <c r="V109" s="15"/>
      <c r="W109" s="15"/>
      <c r="X109" s="15"/>
      <c r="Y109" s="15"/>
      <c r="Z109" s="15">
        <f t="shared" si="1"/>
        <v>183000</v>
      </c>
      <c r="AA109" s="20"/>
      <c r="AB109" s="21"/>
    </row>
    <row r="110" spans="1:28" ht="63" customHeight="1" thickBot="1" x14ac:dyDescent="0.3">
      <c r="A110" s="14">
        <v>98</v>
      </c>
      <c r="B110" s="13" t="s">
        <v>141</v>
      </c>
      <c r="C110" s="13" t="s">
        <v>36</v>
      </c>
      <c r="D110" s="15">
        <f>[1]Лист4!D101</f>
        <v>630000</v>
      </c>
      <c r="E110" s="15">
        <f>[2]Лист4!D102</f>
        <v>793000</v>
      </c>
      <c r="F110" s="15">
        <f>[3]Лист4!D102</f>
        <v>854000</v>
      </c>
      <c r="G110" s="16">
        <f>[4]Лист4!D101</f>
        <v>792750</v>
      </c>
      <c r="H110" s="15"/>
      <c r="I110" s="15"/>
      <c r="J110" s="15"/>
      <c r="K110" s="15"/>
      <c r="L110" s="15"/>
      <c r="M110" s="15"/>
      <c r="N110" s="15"/>
      <c r="O110" s="15"/>
      <c r="P110" s="15"/>
      <c r="Q110" s="15"/>
      <c r="R110" s="15"/>
      <c r="S110" s="15"/>
      <c r="T110" s="15"/>
      <c r="U110" s="15"/>
      <c r="V110" s="15"/>
      <c r="W110" s="15"/>
      <c r="X110" s="15"/>
      <c r="Y110" s="15"/>
      <c r="Z110" s="15">
        <f t="shared" si="1"/>
        <v>630000</v>
      </c>
      <c r="AA110" s="20"/>
      <c r="AB110" s="21"/>
    </row>
    <row r="111" spans="1:28" ht="63" customHeight="1" thickBot="1" x14ac:dyDescent="0.3">
      <c r="A111" s="14">
        <v>99</v>
      </c>
      <c r="B111" s="13" t="s">
        <v>142</v>
      </c>
      <c r="C111" s="13" t="s">
        <v>36</v>
      </c>
      <c r="D111" s="15">
        <f>[1]Лист4!D102</f>
        <v>189000</v>
      </c>
      <c r="E111" s="15">
        <f>[2]Лист4!D103</f>
        <v>244000</v>
      </c>
      <c r="F111" s="15">
        <f>[3]Лист4!D103</f>
        <v>183000</v>
      </c>
      <c r="G111" s="16">
        <f>[4]Лист4!D102</f>
        <v>231000</v>
      </c>
      <c r="H111" s="15"/>
      <c r="I111" s="15"/>
      <c r="J111" s="15"/>
      <c r="K111" s="15"/>
      <c r="L111" s="15"/>
      <c r="M111" s="15"/>
      <c r="N111" s="15"/>
      <c r="O111" s="15"/>
      <c r="P111" s="15"/>
      <c r="Q111" s="15"/>
      <c r="R111" s="15"/>
      <c r="S111" s="15"/>
      <c r="T111" s="15"/>
      <c r="U111" s="15"/>
      <c r="V111" s="15"/>
      <c r="W111" s="15"/>
      <c r="X111" s="15"/>
      <c r="Y111" s="15"/>
      <c r="Z111" s="15">
        <f t="shared" si="1"/>
        <v>183000</v>
      </c>
      <c r="AA111" s="20"/>
      <c r="AB111" s="21"/>
    </row>
    <row r="112" spans="1:28" ht="63" customHeight="1" thickBot="1" x14ac:dyDescent="0.3">
      <c r="A112" s="14">
        <v>100</v>
      </c>
      <c r="B112" s="13" t="s">
        <v>143</v>
      </c>
      <c r="C112" s="13" t="s">
        <v>36</v>
      </c>
      <c r="D112" s="15">
        <f>[1]Лист4!D103</f>
        <v>100800</v>
      </c>
      <c r="E112" s="15">
        <f>[2]Лист4!D104</f>
        <v>122000</v>
      </c>
      <c r="F112" s="15">
        <f>[3]Лист4!D104</f>
        <v>183000</v>
      </c>
      <c r="G112" s="16">
        <f>[4]Лист4!D103</f>
        <v>126000</v>
      </c>
      <c r="H112" s="15"/>
      <c r="I112" s="15"/>
      <c r="J112" s="15"/>
      <c r="K112" s="15"/>
      <c r="L112" s="15"/>
      <c r="M112" s="15"/>
      <c r="N112" s="15"/>
      <c r="O112" s="15"/>
      <c r="P112" s="15"/>
      <c r="Q112" s="15"/>
      <c r="R112" s="15"/>
      <c r="S112" s="15"/>
      <c r="T112" s="15"/>
      <c r="U112" s="15"/>
      <c r="V112" s="15"/>
      <c r="W112" s="15"/>
      <c r="X112" s="15"/>
      <c r="Y112" s="15"/>
      <c r="Z112" s="15">
        <f t="shared" si="1"/>
        <v>100800</v>
      </c>
      <c r="AA112" s="20"/>
      <c r="AB112" s="21"/>
    </row>
    <row r="113" spans="1:28" ht="63" customHeight="1" thickBot="1" x14ac:dyDescent="0.3">
      <c r="A113" s="14">
        <v>101</v>
      </c>
      <c r="B113" s="13" t="s">
        <v>144</v>
      </c>
      <c r="C113" s="13" t="s">
        <v>36</v>
      </c>
      <c r="D113" s="15">
        <f>[1]Лист4!D104</f>
        <v>75600</v>
      </c>
      <c r="E113" s="15">
        <f>[2]Лист4!D105</f>
        <v>103700</v>
      </c>
      <c r="F113" s="15">
        <f>[3]Лист4!D105</f>
        <v>85400</v>
      </c>
      <c r="G113" s="16">
        <f>[4]Лист4!D104</f>
        <v>94500</v>
      </c>
      <c r="H113" s="15"/>
      <c r="I113" s="15"/>
      <c r="J113" s="15"/>
      <c r="K113" s="15"/>
      <c r="L113" s="15"/>
      <c r="M113" s="15"/>
      <c r="N113" s="15"/>
      <c r="O113" s="15"/>
      <c r="P113" s="15"/>
      <c r="Q113" s="15"/>
      <c r="R113" s="15"/>
      <c r="S113" s="15"/>
      <c r="T113" s="15"/>
      <c r="U113" s="15"/>
      <c r="V113" s="15"/>
      <c r="W113" s="15"/>
      <c r="X113" s="15"/>
      <c r="Y113" s="15"/>
      <c r="Z113" s="15">
        <f t="shared" si="1"/>
        <v>75600</v>
      </c>
      <c r="AA113" s="20"/>
      <c r="AB113" s="21"/>
    </row>
    <row r="114" spans="1:28" ht="63" customHeight="1" thickBot="1" x14ac:dyDescent="0.3">
      <c r="A114" s="14">
        <v>102</v>
      </c>
      <c r="B114" s="13" t="s">
        <v>145</v>
      </c>
      <c r="C114" s="13" t="s">
        <v>36</v>
      </c>
      <c r="D114" s="15">
        <f>[1]Лист4!D105</f>
        <v>94500</v>
      </c>
      <c r="E114" s="15">
        <f>[2]Лист4!D106</f>
        <v>134200</v>
      </c>
      <c r="F114" s="15">
        <f>[3]Лист4!D106</f>
        <v>122000</v>
      </c>
      <c r="G114" s="16">
        <f>[4]Лист4!D105</f>
        <v>105000</v>
      </c>
      <c r="H114" s="15"/>
      <c r="I114" s="15"/>
      <c r="J114" s="15"/>
      <c r="K114" s="15"/>
      <c r="L114" s="15"/>
      <c r="M114" s="15"/>
      <c r="N114" s="15"/>
      <c r="O114" s="15"/>
      <c r="P114" s="15"/>
      <c r="Q114" s="15"/>
      <c r="R114" s="15"/>
      <c r="S114" s="15"/>
      <c r="T114" s="15"/>
      <c r="U114" s="15"/>
      <c r="V114" s="15"/>
      <c r="W114" s="15"/>
      <c r="X114" s="15"/>
      <c r="Y114" s="15"/>
      <c r="Z114" s="15">
        <f t="shared" si="1"/>
        <v>94500</v>
      </c>
      <c r="AA114" s="20"/>
      <c r="AB114" s="21"/>
    </row>
    <row r="115" spans="1:28" ht="63" customHeight="1" thickBot="1" x14ac:dyDescent="0.3">
      <c r="A115" s="14">
        <v>103</v>
      </c>
      <c r="B115" s="13" t="s">
        <v>146</v>
      </c>
      <c r="C115" s="13" t="s">
        <v>147</v>
      </c>
      <c r="D115" s="15">
        <f>[1]Лист4!D106</f>
        <v>15120</v>
      </c>
      <c r="E115" s="15">
        <f>[2]Лист4!D107</f>
        <v>20130</v>
      </c>
      <c r="F115" s="15">
        <f>[3]Лист4!D107</f>
        <v>12200</v>
      </c>
      <c r="G115" s="16">
        <f>[4]Лист4!D106</f>
        <v>14962.5</v>
      </c>
      <c r="H115" s="15"/>
      <c r="I115" s="15"/>
      <c r="J115" s="15"/>
      <c r="K115" s="15"/>
      <c r="L115" s="15"/>
      <c r="M115" s="15"/>
      <c r="N115" s="15"/>
      <c r="O115" s="15"/>
      <c r="P115" s="15"/>
      <c r="Q115" s="15"/>
      <c r="R115" s="15"/>
      <c r="S115" s="15"/>
      <c r="T115" s="15"/>
      <c r="U115" s="15"/>
      <c r="V115" s="15"/>
      <c r="W115" s="15"/>
      <c r="X115" s="15"/>
      <c r="Y115" s="15"/>
      <c r="Z115" s="15">
        <f t="shared" si="1"/>
        <v>12200</v>
      </c>
      <c r="AA115" s="20"/>
      <c r="AB115" s="21"/>
    </row>
    <row r="116" spans="1:28" ht="63" customHeight="1" thickBot="1" x14ac:dyDescent="0.3">
      <c r="A116" s="14">
        <v>104</v>
      </c>
      <c r="B116" s="13" t="s">
        <v>148</v>
      </c>
      <c r="C116" s="13" t="s">
        <v>149</v>
      </c>
      <c r="D116" s="15">
        <f>[1]Лист4!D107</f>
        <v>340.2</v>
      </c>
      <c r="E116" s="15">
        <f>[2]Лист4!D108</f>
        <v>463.59999999999997</v>
      </c>
      <c r="F116" s="15">
        <f>[3]Лист4!D108</f>
        <v>427</v>
      </c>
      <c r="G116" s="16">
        <f>[4]Лист4!D107</f>
        <v>420</v>
      </c>
      <c r="H116" s="15"/>
      <c r="I116" s="15"/>
      <c r="J116" s="15"/>
      <c r="K116" s="15"/>
      <c r="L116" s="15"/>
      <c r="M116" s="15"/>
      <c r="N116" s="15"/>
      <c r="O116" s="15"/>
      <c r="P116" s="15"/>
      <c r="Q116" s="15"/>
      <c r="R116" s="15"/>
      <c r="S116" s="15"/>
      <c r="T116" s="15"/>
      <c r="U116" s="15"/>
      <c r="V116" s="15"/>
      <c r="W116" s="15"/>
      <c r="X116" s="15"/>
      <c r="Y116" s="15"/>
      <c r="Z116" s="15">
        <f t="shared" si="1"/>
        <v>340.2</v>
      </c>
      <c r="AA116" s="20"/>
      <c r="AB116" s="21"/>
    </row>
    <row r="117" spans="1:28" ht="63" customHeight="1" thickBot="1" x14ac:dyDescent="0.3">
      <c r="A117" s="14">
        <v>105</v>
      </c>
      <c r="B117" s="13" t="s">
        <v>150</v>
      </c>
      <c r="C117" s="13" t="s">
        <v>151</v>
      </c>
      <c r="D117" s="15">
        <f>[1]Лист4!D108</f>
        <v>4032</v>
      </c>
      <c r="E117" s="15">
        <f>[2]Лист4!D109</f>
        <v>5490</v>
      </c>
      <c r="F117" s="15">
        <f>[3]Лист4!D109</f>
        <v>6100</v>
      </c>
      <c r="G117" s="16">
        <f>[4]Лист4!D108</f>
        <v>4147.5</v>
      </c>
      <c r="H117" s="15"/>
      <c r="I117" s="15"/>
      <c r="J117" s="15"/>
      <c r="K117" s="15"/>
      <c r="L117" s="15"/>
      <c r="M117" s="15"/>
      <c r="N117" s="15"/>
      <c r="O117" s="15"/>
      <c r="P117" s="15"/>
      <c r="Q117" s="15"/>
      <c r="R117" s="15"/>
      <c r="S117" s="15"/>
      <c r="T117" s="15"/>
      <c r="U117" s="15"/>
      <c r="V117" s="15"/>
      <c r="W117" s="15"/>
      <c r="X117" s="15"/>
      <c r="Y117" s="15"/>
      <c r="Z117" s="15">
        <f t="shared" si="1"/>
        <v>4032</v>
      </c>
      <c r="AA117" s="20"/>
      <c r="AB117" s="21"/>
    </row>
    <row r="118" spans="1:28" ht="63" customHeight="1" thickBot="1" x14ac:dyDescent="0.3">
      <c r="A118" s="14">
        <v>106</v>
      </c>
      <c r="B118" s="13" t="s">
        <v>152</v>
      </c>
      <c r="C118" s="13" t="s">
        <v>31</v>
      </c>
      <c r="D118" s="15">
        <f>[1]Лист4!D109</f>
        <v>1764</v>
      </c>
      <c r="E118" s="15">
        <f>[2]Лист4!D110</f>
        <v>2440</v>
      </c>
      <c r="F118" s="15">
        <f>[3]Лист4!D110</f>
        <v>2318</v>
      </c>
      <c r="G118" s="16">
        <f>[4]Лист4!D109</f>
        <v>1732.5</v>
      </c>
      <c r="H118" s="15"/>
      <c r="I118" s="15"/>
      <c r="J118" s="15"/>
      <c r="K118" s="15"/>
      <c r="L118" s="15"/>
      <c r="M118" s="15"/>
      <c r="N118" s="15"/>
      <c r="O118" s="15"/>
      <c r="P118" s="15"/>
      <c r="Q118" s="15"/>
      <c r="R118" s="15"/>
      <c r="S118" s="15"/>
      <c r="T118" s="15"/>
      <c r="U118" s="15"/>
      <c r="V118" s="15"/>
      <c r="W118" s="15"/>
      <c r="X118" s="15"/>
      <c r="Y118" s="15"/>
      <c r="Z118" s="15">
        <f t="shared" si="1"/>
        <v>1732.5</v>
      </c>
      <c r="AA118" s="20"/>
      <c r="AB118" s="21"/>
    </row>
    <row r="119" spans="1:28" ht="63" customHeight="1" thickBot="1" x14ac:dyDescent="0.3">
      <c r="A119" s="14">
        <v>107</v>
      </c>
      <c r="B119" s="13" t="s">
        <v>153</v>
      </c>
      <c r="C119" s="13" t="s">
        <v>151</v>
      </c>
      <c r="D119" s="15">
        <f>[1]Лист4!D110</f>
        <v>1827</v>
      </c>
      <c r="E119" s="15">
        <f>[2]Лист4!D111</f>
        <v>2684</v>
      </c>
      <c r="F119" s="15">
        <f>[3]Лист4!D111</f>
        <v>2440</v>
      </c>
      <c r="G119" s="16">
        <f>[4]Лист4!D110</f>
        <v>1732.5</v>
      </c>
      <c r="H119" s="15"/>
      <c r="I119" s="15"/>
      <c r="J119" s="15"/>
      <c r="K119" s="15"/>
      <c r="L119" s="15"/>
      <c r="M119" s="15"/>
      <c r="N119" s="15"/>
      <c r="O119" s="15"/>
      <c r="P119" s="15"/>
      <c r="Q119" s="15"/>
      <c r="R119" s="15"/>
      <c r="S119" s="15"/>
      <c r="T119" s="15"/>
      <c r="U119" s="15"/>
      <c r="V119" s="15"/>
      <c r="W119" s="15"/>
      <c r="X119" s="15"/>
      <c r="Y119" s="15"/>
      <c r="Z119" s="15">
        <f t="shared" si="1"/>
        <v>1732.5</v>
      </c>
      <c r="AA119" s="20"/>
      <c r="AB119" s="21"/>
    </row>
    <row r="120" spans="1:28" ht="165.75" thickBot="1" x14ac:dyDescent="0.3">
      <c r="A120" s="14">
        <v>108</v>
      </c>
      <c r="B120" s="13" t="s">
        <v>154</v>
      </c>
      <c r="C120" s="13" t="s">
        <v>30</v>
      </c>
      <c r="D120" s="15">
        <f>[1]Лист4!D111</f>
        <v>1968750</v>
      </c>
      <c r="E120" s="15">
        <f>[2]Лист4!D112</f>
        <v>2379000</v>
      </c>
      <c r="F120" s="15">
        <f>[3]Лист4!D112</f>
        <v>2500000</v>
      </c>
      <c r="G120" s="16">
        <f>[4]Лист4!D111</f>
        <v>2415000</v>
      </c>
      <c r="H120" s="15"/>
      <c r="I120" s="15"/>
      <c r="J120" s="15"/>
      <c r="K120" s="15"/>
      <c r="L120" s="15"/>
      <c r="M120" s="15"/>
      <c r="N120" s="15"/>
      <c r="O120" s="15"/>
      <c r="P120" s="15"/>
      <c r="Q120" s="15"/>
      <c r="R120" s="15"/>
      <c r="S120" s="15"/>
      <c r="T120" s="15"/>
      <c r="U120" s="15"/>
      <c r="V120" s="15"/>
      <c r="W120" s="15"/>
      <c r="X120" s="15"/>
      <c r="Y120" s="15"/>
      <c r="Z120" s="15">
        <f t="shared" si="1"/>
        <v>1968750</v>
      </c>
      <c r="AA120" s="20"/>
      <c r="AB120" s="21"/>
    </row>
    <row r="121" spans="1:28" ht="63" customHeight="1" thickBot="1" x14ac:dyDescent="0.3">
      <c r="A121" s="14">
        <v>109</v>
      </c>
      <c r="B121" s="13" t="s">
        <v>155</v>
      </c>
      <c r="C121" s="13" t="s">
        <v>151</v>
      </c>
      <c r="D121" s="15">
        <f>[1]Лист4!D112</f>
        <v>3402</v>
      </c>
      <c r="E121" s="15">
        <f>[2]Лист4!D113</f>
        <v>4880</v>
      </c>
      <c r="F121" s="15">
        <f>[3]Лист4!D113</f>
        <v>3660</v>
      </c>
      <c r="G121" s="16">
        <f>[4]Лист4!D112</f>
        <v>4200</v>
      </c>
      <c r="H121" s="15"/>
      <c r="I121" s="15"/>
      <c r="J121" s="15"/>
      <c r="K121" s="15"/>
      <c r="L121" s="15"/>
      <c r="M121" s="15"/>
      <c r="N121" s="15"/>
      <c r="O121" s="15"/>
      <c r="P121" s="15"/>
      <c r="Q121" s="15"/>
      <c r="R121" s="15"/>
      <c r="S121" s="15"/>
      <c r="T121" s="15"/>
      <c r="U121" s="15"/>
      <c r="V121" s="15"/>
      <c r="W121" s="15"/>
      <c r="X121" s="15"/>
      <c r="Y121" s="15"/>
      <c r="Z121" s="15">
        <f t="shared" si="1"/>
        <v>3402</v>
      </c>
      <c r="AA121" s="20"/>
      <c r="AB121" s="21"/>
    </row>
    <row r="122" spans="1:28" ht="63" customHeight="1" thickBot="1" x14ac:dyDescent="0.3">
      <c r="A122" s="14">
        <v>110</v>
      </c>
      <c r="B122" s="13" t="s">
        <v>156</v>
      </c>
      <c r="C122" s="13" t="s">
        <v>149</v>
      </c>
      <c r="D122" s="15">
        <f>[1]Лист4!D113</f>
        <v>630</v>
      </c>
      <c r="E122" s="15">
        <f>[2]Лист4!D114</f>
        <v>976</v>
      </c>
      <c r="F122" s="15">
        <f>[3]Лист4!D114</f>
        <v>732</v>
      </c>
      <c r="G122" s="16">
        <f>[4]Лист4!D113</f>
        <v>787.5</v>
      </c>
      <c r="H122" s="15"/>
      <c r="I122" s="15"/>
      <c r="J122" s="15"/>
      <c r="K122" s="15"/>
      <c r="L122" s="15"/>
      <c r="M122" s="15"/>
      <c r="N122" s="15"/>
      <c r="O122" s="15"/>
      <c r="P122" s="15"/>
      <c r="Q122" s="15"/>
      <c r="R122" s="15"/>
      <c r="S122" s="15"/>
      <c r="T122" s="15"/>
      <c r="U122" s="15"/>
      <c r="V122" s="15"/>
      <c r="W122" s="15"/>
      <c r="X122" s="15"/>
      <c r="Y122" s="15"/>
      <c r="Z122" s="15">
        <f t="shared" si="1"/>
        <v>630</v>
      </c>
      <c r="AA122" s="20"/>
      <c r="AB122" s="21"/>
    </row>
    <row r="123" spans="1:28" ht="63" customHeight="1" thickBot="1" x14ac:dyDescent="0.3">
      <c r="A123" s="14">
        <v>111</v>
      </c>
      <c r="B123" s="13" t="s">
        <v>157</v>
      </c>
      <c r="C123" s="13" t="s">
        <v>115</v>
      </c>
      <c r="D123" s="15">
        <f>[1]Лист4!D114</f>
        <v>5250</v>
      </c>
      <c r="E123" s="15">
        <f>[2]Лист4!D115</f>
        <v>6710</v>
      </c>
      <c r="F123" s="15">
        <f>[3]Лист4!D115</f>
        <v>6100</v>
      </c>
      <c r="G123" s="16">
        <f>[4]Лист4!D114</f>
        <v>4725</v>
      </c>
      <c r="H123" s="15"/>
      <c r="I123" s="15"/>
      <c r="J123" s="15"/>
      <c r="K123" s="15"/>
      <c r="L123" s="15"/>
      <c r="M123" s="15"/>
      <c r="N123" s="15"/>
      <c r="O123" s="15"/>
      <c r="P123" s="15"/>
      <c r="Q123" s="15"/>
      <c r="R123" s="15"/>
      <c r="S123" s="15"/>
      <c r="T123" s="15"/>
      <c r="U123" s="15"/>
      <c r="V123" s="15"/>
      <c r="W123" s="15"/>
      <c r="X123" s="15"/>
      <c r="Y123" s="15"/>
      <c r="Z123" s="15">
        <f t="shared" si="1"/>
        <v>4725</v>
      </c>
      <c r="AA123" s="20"/>
      <c r="AB123" s="21"/>
    </row>
    <row r="124" spans="1:28" ht="63" customHeight="1" thickBot="1" x14ac:dyDescent="0.3">
      <c r="A124" s="14">
        <v>112</v>
      </c>
      <c r="B124" s="13" t="s">
        <v>158</v>
      </c>
      <c r="C124" s="13" t="s">
        <v>30</v>
      </c>
      <c r="D124" s="15">
        <f>[1]Лист4!D115</f>
        <v>12600</v>
      </c>
      <c r="E124" s="15">
        <f>[2]Лист4!D116</f>
        <v>17080</v>
      </c>
      <c r="F124" s="15">
        <f>[3]Лист4!D116</f>
        <v>12200</v>
      </c>
      <c r="G124" s="16">
        <f>[4]Лист4!D115</f>
        <v>14700</v>
      </c>
      <c r="H124" s="15"/>
      <c r="I124" s="15"/>
      <c r="J124" s="15"/>
      <c r="K124" s="15"/>
      <c r="L124" s="15"/>
      <c r="M124" s="15"/>
      <c r="N124" s="15"/>
      <c r="O124" s="15"/>
      <c r="P124" s="15"/>
      <c r="Q124" s="15"/>
      <c r="R124" s="15"/>
      <c r="S124" s="15"/>
      <c r="T124" s="15"/>
      <c r="U124" s="15"/>
      <c r="V124" s="15"/>
      <c r="W124" s="15"/>
      <c r="X124" s="15"/>
      <c r="Y124" s="15"/>
      <c r="Z124" s="15">
        <f t="shared" si="1"/>
        <v>12200</v>
      </c>
      <c r="AA124" s="20"/>
      <c r="AB124" s="21"/>
    </row>
    <row r="125" spans="1:28" ht="63" customHeight="1" thickBot="1" x14ac:dyDescent="0.3">
      <c r="A125" s="14">
        <v>113</v>
      </c>
      <c r="B125" s="13" t="s">
        <v>159</v>
      </c>
      <c r="C125" s="13" t="s">
        <v>30</v>
      </c>
      <c r="D125" s="15">
        <f>[1]Лист4!D116</f>
        <v>126</v>
      </c>
      <c r="E125" s="15">
        <f>[2]Лист4!D117</f>
        <v>158.6</v>
      </c>
      <c r="F125" s="15">
        <f>[3]Лист4!D117</f>
        <v>183</v>
      </c>
      <c r="G125" s="16">
        <f>[4]Лист4!D116</f>
        <v>262.5</v>
      </c>
      <c r="H125" s="15"/>
      <c r="I125" s="15"/>
      <c r="J125" s="15"/>
      <c r="K125" s="15"/>
      <c r="L125" s="15"/>
      <c r="M125" s="15"/>
      <c r="N125" s="15"/>
      <c r="O125" s="15"/>
      <c r="P125" s="15"/>
      <c r="Q125" s="15"/>
      <c r="R125" s="15"/>
      <c r="S125" s="15"/>
      <c r="T125" s="15"/>
      <c r="U125" s="15"/>
      <c r="V125" s="15"/>
      <c r="W125" s="15"/>
      <c r="X125" s="15"/>
      <c r="Y125" s="15"/>
      <c r="Z125" s="15">
        <f t="shared" si="1"/>
        <v>126</v>
      </c>
      <c r="AA125" s="20"/>
      <c r="AB125" s="21"/>
    </row>
    <row r="126" spans="1:28" ht="63" customHeight="1" thickBot="1" x14ac:dyDescent="0.3">
      <c r="A126" s="14">
        <v>114</v>
      </c>
      <c r="B126" s="13" t="s">
        <v>160</v>
      </c>
      <c r="C126" s="13" t="s">
        <v>30</v>
      </c>
      <c r="D126" s="15">
        <f>[1]Лист4!D117</f>
        <v>1800</v>
      </c>
      <c r="E126" s="15">
        <f>[2]Лист4!D118</f>
        <v>2684</v>
      </c>
      <c r="F126" s="15">
        <f>[3]Лист4!D118</f>
        <v>2440</v>
      </c>
      <c r="G126" s="16">
        <f>[4]Лист4!D117</f>
        <v>2100</v>
      </c>
      <c r="H126" s="15"/>
      <c r="I126" s="15"/>
      <c r="J126" s="15"/>
      <c r="K126" s="15"/>
      <c r="L126" s="15"/>
      <c r="M126" s="15"/>
      <c r="N126" s="15"/>
      <c r="O126" s="15"/>
      <c r="P126" s="15"/>
      <c r="Q126" s="15"/>
      <c r="R126" s="15"/>
      <c r="S126" s="15"/>
      <c r="T126" s="15"/>
      <c r="U126" s="15"/>
      <c r="V126" s="15"/>
      <c r="W126" s="15"/>
      <c r="X126" s="15"/>
      <c r="Y126" s="15"/>
      <c r="Z126" s="15">
        <f t="shared" si="1"/>
        <v>1800</v>
      </c>
      <c r="AA126" s="20"/>
      <c r="AB126" s="21"/>
    </row>
    <row r="127" spans="1:28" ht="63" customHeight="1" thickBot="1" x14ac:dyDescent="0.3">
      <c r="A127" s="14">
        <v>115</v>
      </c>
      <c r="B127" s="13" t="s">
        <v>161</v>
      </c>
      <c r="C127" s="13" t="s">
        <v>30</v>
      </c>
      <c r="D127" s="15">
        <f>[1]Лист4!D118</f>
        <v>8820</v>
      </c>
      <c r="E127" s="15">
        <f>[2]Лист4!D119</f>
        <v>11834</v>
      </c>
      <c r="F127" s="15">
        <f>[3]Лист4!D119</f>
        <v>9150</v>
      </c>
      <c r="G127" s="16">
        <f>[4]Лист4!D118</f>
        <v>9450</v>
      </c>
      <c r="H127" s="15"/>
      <c r="I127" s="15"/>
      <c r="J127" s="15"/>
      <c r="K127" s="15"/>
      <c r="L127" s="15"/>
      <c r="M127" s="15"/>
      <c r="N127" s="15"/>
      <c r="O127" s="15"/>
      <c r="P127" s="15"/>
      <c r="Q127" s="15"/>
      <c r="R127" s="15"/>
      <c r="S127" s="15"/>
      <c r="T127" s="15"/>
      <c r="U127" s="15"/>
      <c r="V127" s="15"/>
      <c r="W127" s="15"/>
      <c r="X127" s="15"/>
      <c r="Y127" s="15"/>
      <c r="Z127" s="15">
        <f t="shared" si="1"/>
        <v>8820</v>
      </c>
      <c r="AA127" s="20"/>
      <c r="AB127" s="21"/>
    </row>
    <row r="128" spans="1:28" ht="63" customHeight="1" thickBot="1" x14ac:dyDescent="0.3">
      <c r="A128" s="14">
        <v>116</v>
      </c>
      <c r="B128" s="13" t="s">
        <v>162</v>
      </c>
      <c r="C128" s="13" t="s">
        <v>30</v>
      </c>
      <c r="D128" s="15">
        <f>[1]Лист4!D119</f>
        <v>6300</v>
      </c>
      <c r="E128" s="15">
        <f>[2]Лист4!D120</f>
        <v>8540</v>
      </c>
      <c r="F128" s="15">
        <f>[3]Лист4!D120</f>
        <v>6100</v>
      </c>
      <c r="G128" s="16">
        <f>[4]Лист4!D119</f>
        <v>7350</v>
      </c>
      <c r="H128" s="15"/>
      <c r="I128" s="15"/>
      <c r="J128" s="15"/>
      <c r="K128" s="15"/>
      <c r="L128" s="15"/>
      <c r="M128" s="15"/>
      <c r="N128" s="15"/>
      <c r="O128" s="15"/>
      <c r="P128" s="15"/>
      <c r="Q128" s="15"/>
      <c r="R128" s="15"/>
      <c r="S128" s="15"/>
      <c r="T128" s="15"/>
      <c r="U128" s="15"/>
      <c r="V128" s="15"/>
      <c r="W128" s="15"/>
      <c r="X128" s="15"/>
      <c r="Y128" s="15"/>
      <c r="Z128" s="15">
        <f t="shared" si="1"/>
        <v>6100</v>
      </c>
      <c r="AA128" s="20"/>
      <c r="AB128" s="21"/>
    </row>
    <row r="129" spans="1:28" ht="63" customHeight="1" thickBot="1" x14ac:dyDescent="0.3">
      <c r="A129" s="14">
        <v>117</v>
      </c>
      <c r="B129" s="13" t="s">
        <v>163</v>
      </c>
      <c r="C129" s="13" t="s">
        <v>30</v>
      </c>
      <c r="D129" s="15">
        <f>[1]Лист4!D120</f>
        <v>1575</v>
      </c>
      <c r="E129" s="15">
        <f>[2]Лист4!D121</f>
        <v>2074</v>
      </c>
      <c r="F129" s="15">
        <f>[3]Лист4!D121</f>
        <v>6100</v>
      </c>
      <c r="G129" s="16">
        <f>[4]Лист4!D120</f>
        <v>1522.5</v>
      </c>
      <c r="H129" s="15"/>
      <c r="I129" s="15"/>
      <c r="J129" s="15"/>
      <c r="K129" s="15"/>
      <c r="L129" s="15"/>
      <c r="M129" s="15"/>
      <c r="N129" s="15"/>
      <c r="O129" s="15"/>
      <c r="P129" s="15"/>
      <c r="Q129" s="15"/>
      <c r="R129" s="15"/>
      <c r="S129" s="15"/>
      <c r="T129" s="15"/>
      <c r="U129" s="15"/>
      <c r="V129" s="15"/>
      <c r="W129" s="15"/>
      <c r="X129" s="15"/>
      <c r="Y129" s="15"/>
      <c r="Z129" s="15">
        <f t="shared" si="1"/>
        <v>1522.5</v>
      </c>
      <c r="AA129" s="20"/>
      <c r="AB129" s="21"/>
    </row>
    <row r="130" spans="1:28" ht="63" customHeight="1" thickBot="1" x14ac:dyDescent="0.3">
      <c r="A130" s="14">
        <v>118</v>
      </c>
      <c r="B130" s="13" t="s">
        <v>164</v>
      </c>
      <c r="C130" s="13" t="s">
        <v>115</v>
      </c>
      <c r="D130" s="15">
        <f>[1]Лист4!D121</f>
        <v>5250</v>
      </c>
      <c r="E130" s="15">
        <f>[2]Лист4!D122</f>
        <v>6954</v>
      </c>
      <c r="F130" s="15">
        <f>[3]Лист4!D122</f>
        <v>6100</v>
      </c>
      <c r="G130" s="16">
        <f>[4]Лист4!D121</f>
        <v>5145</v>
      </c>
      <c r="H130" s="15"/>
      <c r="I130" s="15"/>
      <c r="J130" s="15"/>
      <c r="K130" s="15"/>
      <c r="L130" s="15"/>
      <c r="M130" s="15"/>
      <c r="N130" s="15"/>
      <c r="O130" s="15"/>
      <c r="P130" s="15"/>
      <c r="Q130" s="15"/>
      <c r="R130" s="15"/>
      <c r="S130" s="15"/>
      <c r="T130" s="15"/>
      <c r="U130" s="15"/>
      <c r="V130" s="15"/>
      <c r="W130" s="15"/>
      <c r="X130" s="15"/>
      <c r="Y130" s="15"/>
      <c r="Z130" s="15">
        <f t="shared" si="1"/>
        <v>5145</v>
      </c>
      <c r="AA130" s="20"/>
      <c r="AB130" s="21"/>
    </row>
    <row r="131" spans="1:28" ht="63" customHeight="1" thickBot="1" x14ac:dyDescent="0.3">
      <c r="A131" s="14">
        <v>119</v>
      </c>
      <c r="B131" s="13" t="s">
        <v>165</v>
      </c>
      <c r="C131" s="13" t="s">
        <v>149</v>
      </c>
      <c r="D131" s="15">
        <f>[1]Лист4!D122</f>
        <v>88.2</v>
      </c>
      <c r="E131" s="15">
        <f>[2]Лист4!D123</f>
        <v>122</v>
      </c>
      <c r="F131" s="15">
        <f>[3]Лист4!D123</f>
        <v>61</v>
      </c>
      <c r="G131" s="16">
        <f>[4]Лист4!D122</f>
        <v>84</v>
      </c>
      <c r="H131" s="15"/>
      <c r="I131" s="15"/>
      <c r="J131" s="15"/>
      <c r="K131" s="15"/>
      <c r="L131" s="15"/>
      <c r="M131" s="15"/>
      <c r="N131" s="15"/>
      <c r="O131" s="15"/>
      <c r="P131" s="15"/>
      <c r="Q131" s="15"/>
      <c r="R131" s="15"/>
      <c r="S131" s="15"/>
      <c r="T131" s="15"/>
      <c r="U131" s="15"/>
      <c r="V131" s="15"/>
      <c r="W131" s="15"/>
      <c r="X131" s="15"/>
      <c r="Y131" s="15"/>
      <c r="Z131" s="15">
        <f t="shared" si="1"/>
        <v>61</v>
      </c>
      <c r="AA131" s="20"/>
      <c r="AB131" s="21"/>
    </row>
    <row r="132" spans="1:28" ht="75.75" thickBot="1" x14ac:dyDescent="0.3">
      <c r="A132" s="14">
        <v>120</v>
      </c>
      <c r="B132" s="13" t="s">
        <v>166</v>
      </c>
      <c r="C132" s="13" t="s">
        <v>30</v>
      </c>
      <c r="D132" s="15">
        <f>[1]Лист4!D123</f>
        <v>15750</v>
      </c>
      <c r="E132" s="15">
        <f>[2]Лист4!D124</f>
        <v>19520</v>
      </c>
      <c r="F132" s="15">
        <f>[3]Лист4!D124</f>
        <v>12200</v>
      </c>
      <c r="G132" s="16">
        <f>[4]Лист4!D123</f>
        <v>17850</v>
      </c>
      <c r="H132" s="15"/>
      <c r="I132" s="15"/>
      <c r="J132" s="15"/>
      <c r="K132" s="15"/>
      <c r="L132" s="15"/>
      <c r="M132" s="15"/>
      <c r="N132" s="15"/>
      <c r="O132" s="15"/>
      <c r="P132" s="15"/>
      <c r="Q132" s="15"/>
      <c r="R132" s="15"/>
      <c r="S132" s="15"/>
      <c r="T132" s="15"/>
      <c r="U132" s="15"/>
      <c r="V132" s="15"/>
      <c r="W132" s="15"/>
      <c r="X132" s="15"/>
      <c r="Y132" s="15"/>
      <c r="Z132" s="15">
        <f t="shared" si="1"/>
        <v>12200</v>
      </c>
      <c r="AA132" s="20"/>
      <c r="AB132" s="21"/>
    </row>
    <row r="133" spans="1:28" ht="90.75" thickBot="1" x14ac:dyDescent="0.3">
      <c r="A133" s="14">
        <v>121</v>
      </c>
      <c r="B133" s="13" t="s">
        <v>167</v>
      </c>
      <c r="C133" s="13" t="s">
        <v>115</v>
      </c>
      <c r="D133" s="15">
        <f>[1]Лист4!D124</f>
        <v>10500</v>
      </c>
      <c r="E133" s="15">
        <f>[2]Лист4!D125</f>
        <v>18300</v>
      </c>
      <c r="F133" s="15">
        <f>[3]Лист4!D125</f>
        <v>12200</v>
      </c>
      <c r="G133" s="16">
        <f>[4]Лист4!D124</f>
        <v>17850</v>
      </c>
      <c r="H133" s="15"/>
      <c r="I133" s="15"/>
      <c r="J133" s="15"/>
      <c r="K133" s="15"/>
      <c r="L133" s="15"/>
      <c r="M133" s="15"/>
      <c r="N133" s="15"/>
      <c r="O133" s="15"/>
      <c r="P133" s="15"/>
      <c r="Q133" s="15"/>
      <c r="R133" s="15"/>
      <c r="S133" s="15"/>
      <c r="T133" s="15"/>
      <c r="U133" s="15"/>
      <c r="V133" s="15"/>
      <c r="W133" s="15"/>
      <c r="X133" s="15"/>
      <c r="Y133" s="15"/>
      <c r="Z133" s="15">
        <f t="shared" si="1"/>
        <v>10500</v>
      </c>
      <c r="AA133" s="20"/>
      <c r="AB133" s="21"/>
    </row>
    <row r="134" spans="1:28" ht="63" customHeight="1" thickBot="1" x14ac:dyDescent="0.3">
      <c r="A134" s="14">
        <v>122</v>
      </c>
      <c r="B134" s="13" t="s">
        <v>168</v>
      </c>
      <c r="C134" s="13" t="s">
        <v>169</v>
      </c>
      <c r="D134" s="15">
        <f>[1]Лист4!D125</f>
        <v>52500</v>
      </c>
      <c r="E134" s="15">
        <f>[2]Лист4!D126</f>
        <v>85400</v>
      </c>
      <c r="F134" s="15">
        <f>[3]Лист4!D126</f>
        <v>97600</v>
      </c>
      <c r="G134" s="16">
        <f>[4]Лист4!D125</f>
        <v>68250</v>
      </c>
      <c r="H134" s="15"/>
      <c r="I134" s="15"/>
      <c r="J134" s="15"/>
      <c r="K134" s="15"/>
      <c r="L134" s="15"/>
      <c r="M134" s="15"/>
      <c r="N134" s="15"/>
      <c r="O134" s="15"/>
      <c r="P134" s="15"/>
      <c r="Q134" s="15"/>
      <c r="R134" s="15"/>
      <c r="S134" s="15"/>
      <c r="T134" s="15"/>
      <c r="U134" s="15"/>
      <c r="V134" s="15"/>
      <c r="W134" s="15"/>
      <c r="X134" s="15"/>
      <c r="Y134" s="15"/>
      <c r="Z134" s="15">
        <f t="shared" si="1"/>
        <v>52500</v>
      </c>
      <c r="AA134" s="20"/>
      <c r="AB134" s="21"/>
    </row>
    <row r="135" spans="1:28" ht="63" customHeight="1" thickBot="1" x14ac:dyDescent="0.3">
      <c r="A135" s="14">
        <v>123</v>
      </c>
      <c r="B135" s="13" t="s">
        <v>170</v>
      </c>
      <c r="C135" s="13" t="s">
        <v>169</v>
      </c>
      <c r="D135" s="15">
        <f>[1]Лист4!D126</f>
        <v>63000</v>
      </c>
      <c r="E135" s="15">
        <f>[2]Лист4!D127</f>
        <v>122000</v>
      </c>
      <c r="F135" s="15">
        <f>[3]Лист4!D127</f>
        <v>97600</v>
      </c>
      <c r="G135" s="16">
        <f>[4]Лист4!D126</f>
        <v>73500</v>
      </c>
      <c r="H135" s="15"/>
      <c r="I135" s="15"/>
      <c r="J135" s="15"/>
      <c r="K135" s="15"/>
      <c r="L135" s="15"/>
      <c r="M135" s="15"/>
      <c r="N135" s="15"/>
      <c r="O135" s="15"/>
      <c r="P135" s="15"/>
      <c r="Q135" s="15"/>
      <c r="R135" s="15"/>
      <c r="S135" s="15"/>
      <c r="T135" s="15"/>
      <c r="U135" s="15"/>
      <c r="V135" s="15"/>
      <c r="W135" s="15"/>
      <c r="X135" s="15"/>
      <c r="Y135" s="15"/>
      <c r="Z135" s="15">
        <f t="shared" si="1"/>
        <v>63000</v>
      </c>
      <c r="AA135" s="20"/>
      <c r="AB135" s="21"/>
    </row>
    <row r="136" spans="1:28" ht="63" customHeight="1" thickBot="1" x14ac:dyDescent="0.3">
      <c r="A136" s="14">
        <v>124</v>
      </c>
      <c r="B136" s="13" t="s">
        <v>171</v>
      </c>
      <c r="C136" s="13" t="s">
        <v>169</v>
      </c>
      <c r="D136" s="15">
        <f>[1]Лист4!D127</f>
        <v>367500</v>
      </c>
      <c r="E136" s="15">
        <f>[2]Лист4!D128</f>
        <v>610000</v>
      </c>
      <c r="F136" s="15">
        <f>[3]Лист4!D128</f>
        <v>1220000</v>
      </c>
      <c r="G136" s="16">
        <f>[4]Лист4!D127</f>
        <v>420000</v>
      </c>
      <c r="H136" s="15"/>
      <c r="I136" s="15"/>
      <c r="J136" s="15"/>
      <c r="K136" s="15"/>
      <c r="L136" s="15"/>
      <c r="M136" s="15"/>
      <c r="N136" s="15"/>
      <c r="O136" s="15"/>
      <c r="P136" s="15"/>
      <c r="Q136" s="15"/>
      <c r="R136" s="15"/>
      <c r="S136" s="15"/>
      <c r="T136" s="15"/>
      <c r="U136" s="15"/>
      <c r="V136" s="15"/>
      <c r="W136" s="15"/>
      <c r="X136" s="15"/>
      <c r="Y136" s="15"/>
      <c r="Z136" s="15">
        <f t="shared" si="1"/>
        <v>367500</v>
      </c>
      <c r="AA136" s="20"/>
      <c r="AB136" s="21"/>
    </row>
    <row r="137" spans="1:28" ht="63" customHeight="1" thickBot="1" x14ac:dyDescent="0.3">
      <c r="A137" s="14">
        <v>125</v>
      </c>
      <c r="B137" s="13" t="s">
        <v>172</v>
      </c>
      <c r="C137" s="13" t="s">
        <v>115</v>
      </c>
      <c r="D137" s="15">
        <f>[1]Лист4!D128</f>
        <v>5250</v>
      </c>
      <c r="E137" s="15">
        <f>[2]Лист4!D129</f>
        <v>8540</v>
      </c>
      <c r="F137" s="15">
        <f>[3]Лист4!D129</f>
        <v>6100</v>
      </c>
      <c r="G137" s="16">
        <f>[4]Лист4!D128</f>
        <v>6300</v>
      </c>
      <c r="H137" s="15"/>
      <c r="I137" s="15"/>
      <c r="J137" s="15"/>
      <c r="K137" s="15"/>
      <c r="L137" s="15"/>
      <c r="M137" s="15"/>
      <c r="N137" s="15"/>
      <c r="O137" s="15"/>
      <c r="P137" s="15"/>
      <c r="Q137" s="15"/>
      <c r="R137" s="15"/>
      <c r="S137" s="15"/>
      <c r="T137" s="15"/>
      <c r="U137" s="15"/>
      <c r="V137" s="15"/>
      <c r="W137" s="15"/>
      <c r="X137" s="15"/>
      <c r="Y137" s="15"/>
      <c r="Z137" s="15">
        <f t="shared" si="1"/>
        <v>5250</v>
      </c>
      <c r="AA137" s="20"/>
      <c r="AB137" s="21"/>
    </row>
    <row r="138" spans="1:28" ht="63" customHeight="1" thickBot="1" x14ac:dyDescent="0.3">
      <c r="A138" s="14">
        <v>126</v>
      </c>
      <c r="B138" s="13" t="s">
        <v>173</v>
      </c>
      <c r="C138" s="13" t="s">
        <v>115</v>
      </c>
      <c r="D138" s="15">
        <f>[1]Лист4!D129</f>
        <v>5250</v>
      </c>
      <c r="E138" s="15">
        <f>[2]Лист4!D130</f>
        <v>6954</v>
      </c>
      <c r="F138" s="15">
        <f>[3]Лист4!D130</f>
        <v>6100</v>
      </c>
      <c r="G138" s="16">
        <f>[4]Лист4!D129</f>
        <v>6000</v>
      </c>
      <c r="H138" s="15"/>
      <c r="I138" s="15"/>
      <c r="J138" s="15"/>
      <c r="K138" s="15"/>
      <c r="L138" s="15"/>
      <c r="M138" s="15"/>
      <c r="N138" s="15"/>
      <c r="O138" s="15"/>
      <c r="P138" s="15"/>
      <c r="Q138" s="15"/>
      <c r="R138" s="15"/>
      <c r="S138" s="15"/>
      <c r="T138" s="15"/>
      <c r="U138" s="15"/>
      <c r="V138" s="15"/>
      <c r="W138" s="15"/>
      <c r="X138" s="15"/>
      <c r="Y138" s="15"/>
      <c r="Z138" s="15">
        <f t="shared" si="1"/>
        <v>5250</v>
      </c>
      <c r="AA138" s="20"/>
      <c r="AB138" s="21"/>
    </row>
    <row r="139" spans="1:28" ht="63" customHeight="1" thickBot="1" x14ac:dyDescent="0.3">
      <c r="A139" s="14">
        <v>127</v>
      </c>
      <c r="B139" s="13" t="s">
        <v>174</v>
      </c>
      <c r="C139" s="13" t="s">
        <v>30</v>
      </c>
      <c r="D139" s="15">
        <f>[1]Лист4!D130</f>
        <v>2100</v>
      </c>
      <c r="E139" s="15">
        <f>[2]Лист4!D131</f>
        <v>2806</v>
      </c>
      <c r="F139" s="15">
        <f>[3]Лист4!D131</f>
        <v>2440</v>
      </c>
      <c r="G139" s="16">
        <f>[4]Лист4!D130</f>
        <v>1995</v>
      </c>
      <c r="H139" s="15"/>
      <c r="I139" s="15"/>
      <c r="J139" s="15"/>
      <c r="K139" s="15"/>
      <c r="L139" s="15"/>
      <c r="M139" s="15"/>
      <c r="N139" s="15"/>
      <c r="O139" s="15"/>
      <c r="P139" s="15"/>
      <c r="Q139" s="15"/>
      <c r="R139" s="15"/>
      <c r="S139" s="15"/>
      <c r="T139" s="15"/>
      <c r="U139" s="15"/>
      <c r="V139" s="15"/>
      <c r="W139" s="15"/>
      <c r="X139" s="15"/>
      <c r="Y139" s="15"/>
      <c r="Z139" s="15">
        <f t="shared" si="1"/>
        <v>1995</v>
      </c>
      <c r="AA139" s="20"/>
      <c r="AB139" s="21"/>
    </row>
    <row r="140" spans="1:28" ht="63" customHeight="1" thickBot="1" x14ac:dyDescent="0.3">
      <c r="A140" s="14">
        <v>128</v>
      </c>
      <c r="B140" s="13" t="s">
        <v>175</v>
      </c>
      <c r="C140" s="13" t="s">
        <v>115</v>
      </c>
      <c r="D140" s="15">
        <f>[1]Лист4!D131</f>
        <v>5250</v>
      </c>
      <c r="E140" s="15">
        <f>[2]Лист4!D132</f>
        <v>6954</v>
      </c>
      <c r="F140" s="15">
        <f>[3]Лист4!D132</f>
        <v>6100</v>
      </c>
      <c r="G140" s="16">
        <f>[4]Лист4!D131</f>
        <v>6300</v>
      </c>
      <c r="H140" s="15"/>
      <c r="I140" s="15"/>
      <c r="J140" s="15"/>
      <c r="K140" s="15"/>
      <c r="L140" s="15"/>
      <c r="M140" s="15"/>
      <c r="N140" s="15"/>
      <c r="O140" s="15"/>
      <c r="P140" s="15"/>
      <c r="Q140" s="15"/>
      <c r="R140" s="15"/>
      <c r="S140" s="15"/>
      <c r="T140" s="15"/>
      <c r="U140" s="15"/>
      <c r="V140" s="15"/>
      <c r="W140" s="15"/>
      <c r="X140" s="15"/>
      <c r="Y140" s="15"/>
      <c r="Z140" s="15">
        <f t="shared" si="1"/>
        <v>5250</v>
      </c>
      <c r="AA140" s="20"/>
      <c r="AB140" s="21"/>
    </row>
    <row r="141" spans="1:28" ht="63" customHeight="1" thickBot="1" x14ac:dyDescent="0.3">
      <c r="A141" s="14">
        <v>129</v>
      </c>
      <c r="B141" s="13" t="s">
        <v>176</v>
      </c>
      <c r="C141" s="13" t="s">
        <v>30</v>
      </c>
      <c r="D141" s="15">
        <f>[1]Лист4!D132</f>
        <v>23625</v>
      </c>
      <c r="E141" s="15">
        <f>[2]Лист4!D133</f>
        <v>32330</v>
      </c>
      <c r="F141" s="15">
        <f>[3]Лист4!D133</f>
        <v>24400</v>
      </c>
      <c r="G141" s="16">
        <f>[4]Лист4!D132</f>
        <v>29400</v>
      </c>
      <c r="H141" s="15"/>
      <c r="I141" s="15"/>
      <c r="J141" s="15"/>
      <c r="K141" s="15"/>
      <c r="L141" s="15"/>
      <c r="M141" s="15"/>
      <c r="N141" s="15"/>
      <c r="O141" s="15"/>
      <c r="P141" s="15"/>
      <c r="Q141" s="15"/>
      <c r="R141" s="15"/>
      <c r="S141" s="15"/>
      <c r="T141" s="15"/>
      <c r="U141" s="15"/>
      <c r="V141" s="15"/>
      <c r="W141" s="15"/>
      <c r="X141" s="15"/>
      <c r="Y141" s="15"/>
      <c r="Z141" s="15">
        <f t="shared" si="1"/>
        <v>23625</v>
      </c>
      <c r="AA141" s="20"/>
      <c r="AB141" s="21"/>
    </row>
    <row r="142" spans="1:28" ht="63" customHeight="1" thickBot="1" x14ac:dyDescent="0.3">
      <c r="A142" s="14">
        <v>130</v>
      </c>
      <c r="B142" s="13" t="s">
        <v>177</v>
      </c>
      <c r="C142" s="13" t="s">
        <v>30</v>
      </c>
      <c r="D142" s="15">
        <f>[1]Лист4!D133</f>
        <v>23625</v>
      </c>
      <c r="E142" s="15">
        <f>[2]Лист4!D134</f>
        <v>32940</v>
      </c>
      <c r="F142" s="15">
        <f>[3]Лист4!D134</f>
        <v>24400</v>
      </c>
      <c r="G142" s="16">
        <f>[4]Лист4!D133</f>
        <v>29400</v>
      </c>
      <c r="H142" s="15"/>
      <c r="I142" s="15"/>
      <c r="J142" s="15"/>
      <c r="K142" s="15"/>
      <c r="L142" s="15"/>
      <c r="M142" s="15"/>
      <c r="N142" s="15"/>
      <c r="O142" s="15"/>
      <c r="P142" s="15"/>
      <c r="Q142" s="15"/>
      <c r="R142" s="15"/>
      <c r="S142" s="15"/>
      <c r="T142" s="15"/>
      <c r="U142" s="15"/>
      <c r="V142" s="15"/>
      <c r="W142" s="15"/>
      <c r="X142" s="15"/>
      <c r="Y142" s="15"/>
      <c r="Z142" s="15">
        <f t="shared" ref="Z142:Z205" si="2">MIN(D142:G142)</f>
        <v>23625</v>
      </c>
      <c r="AA142" s="20"/>
      <c r="AB142" s="21"/>
    </row>
    <row r="143" spans="1:28" ht="63" customHeight="1" thickBot="1" x14ac:dyDescent="0.3">
      <c r="A143" s="14">
        <v>131</v>
      </c>
      <c r="B143" s="13" t="s">
        <v>178</v>
      </c>
      <c r="C143" s="13" t="s">
        <v>30</v>
      </c>
      <c r="D143" s="15">
        <f>[1]Лист4!D134</f>
        <v>23625</v>
      </c>
      <c r="E143" s="15">
        <f>[2]Лист4!D135</f>
        <v>34160</v>
      </c>
      <c r="F143" s="15">
        <f>[3]Лист4!D135</f>
        <v>24400</v>
      </c>
      <c r="G143" s="16">
        <f>[4]Лист4!D134</f>
        <v>29400</v>
      </c>
      <c r="H143" s="15"/>
      <c r="I143" s="15"/>
      <c r="J143" s="15"/>
      <c r="K143" s="15"/>
      <c r="L143" s="15"/>
      <c r="M143" s="15"/>
      <c r="N143" s="15"/>
      <c r="O143" s="15"/>
      <c r="P143" s="15"/>
      <c r="Q143" s="15"/>
      <c r="R143" s="15"/>
      <c r="S143" s="15"/>
      <c r="T143" s="15"/>
      <c r="U143" s="15"/>
      <c r="V143" s="15"/>
      <c r="W143" s="15"/>
      <c r="X143" s="15"/>
      <c r="Y143" s="15"/>
      <c r="Z143" s="15">
        <f t="shared" si="2"/>
        <v>23625</v>
      </c>
      <c r="AA143" s="20"/>
      <c r="AB143" s="21"/>
    </row>
    <row r="144" spans="1:28" ht="63" customHeight="1" thickBot="1" x14ac:dyDescent="0.3">
      <c r="A144" s="14">
        <v>132</v>
      </c>
      <c r="B144" s="13" t="s">
        <v>179</v>
      </c>
      <c r="C144" s="13" t="s">
        <v>30</v>
      </c>
      <c r="D144" s="15">
        <f>[1]Лист4!D135</f>
        <v>23625</v>
      </c>
      <c r="E144" s="15">
        <f>[2]Лист4!D136</f>
        <v>34770</v>
      </c>
      <c r="F144" s="15">
        <f>[3]Лист4!D136</f>
        <v>24400</v>
      </c>
      <c r="G144" s="16">
        <f>[4]Лист4!D135</f>
        <v>29400</v>
      </c>
      <c r="H144" s="15"/>
      <c r="I144" s="15"/>
      <c r="J144" s="15"/>
      <c r="K144" s="15"/>
      <c r="L144" s="15"/>
      <c r="M144" s="15"/>
      <c r="N144" s="15"/>
      <c r="O144" s="15"/>
      <c r="P144" s="15"/>
      <c r="Q144" s="15"/>
      <c r="R144" s="15"/>
      <c r="S144" s="15"/>
      <c r="T144" s="15"/>
      <c r="U144" s="15"/>
      <c r="V144" s="15"/>
      <c r="W144" s="15"/>
      <c r="X144" s="15"/>
      <c r="Y144" s="15"/>
      <c r="Z144" s="15">
        <f t="shared" si="2"/>
        <v>23625</v>
      </c>
      <c r="AA144" s="20"/>
      <c r="AB144" s="21"/>
    </row>
    <row r="145" spans="1:28" ht="63" customHeight="1" thickBot="1" x14ac:dyDescent="0.3">
      <c r="A145" s="14">
        <v>133</v>
      </c>
      <c r="B145" s="13" t="s">
        <v>180</v>
      </c>
      <c r="C145" s="13" t="s">
        <v>30</v>
      </c>
      <c r="D145" s="15">
        <f>[1]Лист4!D136</f>
        <v>15750</v>
      </c>
      <c r="E145" s="15">
        <f>[2]Лист4!D137</f>
        <v>21350</v>
      </c>
      <c r="F145" s="15">
        <f>[3]Лист4!D137</f>
        <v>24400</v>
      </c>
      <c r="G145" s="16">
        <f>[4]Лист4!D136</f>
        <v>16275</v>
      </c>
      <c r="H145" s="15"/>
      <c r="I145" s="15"/>
      <c r="J145" s="15"/>
      <c r="K145" s="15"/>
      <c r="L145" s="15"/>
      <c r="M145" s="15"/>
      <c r="N145" s="15"/>
      <c r="O145" s="15"/>
      <c r="P145" s="15"/>
      <c r="Q145" s="15"/>
      <c r="R145" s="15"/>
      <c r="S145" s="15"/>
      <c r="T145" s="15"/>
      <c r="U145" s="15"/>
      <c r="V145" s="15"/>
      <c r="W145" s="15"/>
      <c r="X145" s="15"/>
      <c r="Y145" s="15"/>
      <c r="Z145" s="15">
        <f t="shared" si="2"/>
        <v>15750</v>
      </c>
      <c r="AA145" s="20"/>
      <c r="AB145" s="21"/>
    </row>
    <row r="146" spans="1:28" ht="75.75" thickBot="1" x14ac:dyDescent="0.3">
      <c r="A146" s="14">
        <v>134</v>
      </c>
      <c r="B146" s="13" t="s">
        <v>181</v>
      </c>
      <c r="C146" s="13" t="s">
        <v>30</v>
      </c>
      <c r="D146" s="15">
        <f>[1]Лист4!D137</f>
        <v>39375</v>
      </c>
      <c r="E146" s="15">
        <f>[2]Лист4!D138</f>
        <v>52460</v>
      </c>
      <c r="F146" s="15">
        <f>[3]Лист4!D138</f>
        <v>24400</v>
      </c>
      <c r="G146" s="16">
        <f>[4]Лист4!D137</f>
        <v>38850</v>
      </c>
      <c r="H146" s="15"/>
      <c r="I146" s="15"/>
      <c r="J146" s="15"/>
      <c r="K146" s="15"/>
      <c r="L146" s="15"/>
      <c r="M146" s="15"/>
      <c r="N146" s="15"/>
      <c r="O146" s="15"/>
      <c r="P146" s="15"/>
      <c r="Q146" s="15"/>
      <c r="R146" s="15"/>
      <c r="S146" s="15"/>
      <c r="T146" s="15"/>
      <c r="U146" s="15"/>
      <c r="V146" s="15"/>
      <c r="W146" s="15"/>
      <c r="X146" s="15"/>
      <c r="Y146" s="15"/>
      <c r="Z146" s="15">
        <f t="shared" si="2"/>
        <v>24400</v>
      </c>
      <c r="AA146" s="20"/>
      <c r="AB146" s="21"/>
    </row>
    <row r="147" spans="1:28" ht="63" customHeight="1" thickBot="1" x14ac:dyDescent="0.3">
      <c r="A147" s="14">
        <v>135</v>
      </c>
      <c r="B147" s="13" t="s">
        <v>182</v>
      </c>
      <c r="C147" s="13" t="s">
        <v>30</v>
      </c>
      <c r="D147" s="15">
        <f>[1]Лист4!D138</f>
        <v>70875</v>
      </c>
      <c r="E147" s="15">
        <f>[2]Лист4!D139</f>
        <v>93940</v>
      </c>
      <c r="F147" s="15">
        <f>[3]Лист4!D139</f>
        <v>91500</v>
      </c>
      <c r="G147" s="16">
        <f>[4]Лист4!D138</f>
        <v>84000</v>
      </c>
      <c r="H147" s="15"/>
      <c r="I147" s="15"/>
      <c r="J147" s="15"/>
      <c r="K147" s="15"/>
      <c r="L147" s="15"/>
      <c r="M147" s="15"/>
      <c r="N147" s="15"/>
      <c r="O147" s="15"/>
      <c r="P147" s="15"/>
      <c r="Q147" s="15"/>
      <c r="R147" s="15"/>
      <c r="S147" s="15"/>
      <c r="T147" s="15"/>
      <c r="U147" s="15"/>
      <c r="V147" s="15"/>
      <c r="W147" s="15"/>
      <c r="X147" s="15"/>
      <c r="Y147" s="15"/>
      <c r="Z147" s="15">
        <f t="shared" si="2"/>
        <v>70875</v>
      </c>
      <c r="AA147" s="20"/>
      <c r="AB147" s="21"/>
    </row>
    <row r="148" spans="1:28" ht="63" customHeight="1" thickBot="1" x14ac:dyDescent="0.3">
      <c r="A148" s="14">
        <v>136</v>
      </c>
      <c r="B148" s="13" t="s">
        <v>183</v>
      </c>
      <c r="C148" s="13" t="s">
        <v>115</v>
      </c>
      <c r="D148" s="15">
        <f>[1]Лист4!D139</f>
        <v>5250</v>
      </c>
      <c r="E148" s="15">
        <f>[2]Лист4!D140</f>
        <v>6954</v>
      </c>
      <c r="F148" s="15">
        <f>[3]Лист4!D140</f>
        <v>7320</v>
      </c>
      <c r="G148" s="16">
        <f>[4]Лист4!D139</f>
        <v>6300</v>
      </c>
      <c r="H148" s="15"/>
      <c r="I148" s="15"/>
      <c r="J148" s="15"/>
      <c r="K148" s="15"/>
      <c r="L148" s="15"/>
      <c r="M148" s="15"/>
      <c r="N148" s="15"/>
      <c r="O148" s="15"/>
      <c r="P148" s="15"/>
      <c r="Q148" s="15"/>
      <c r="R148" s="15"/>
      <c r="S148" s="15"/>
      <c r="T148" s="15"/>
      <c r="U148" s="15"/>
      <c r="V148" s="15"/>
      <c r="W148" s="15"/>
      <c r="X148" s="15"/>
      <c r="Y148" s="15"/>
      <c r="Z148" s="15">
        <f t="shared" si="2"/>
        <v>5250</v>
      </c>
      <c r="AA148" s="20"/>
      <c r="AB148" s="21"/>
    </row>
    <row r="149" spans="1:28" ht="63" customHeight="1" thickBot="1" x14ac:dyDescent="0.3">
      <c r="A149" s="14">
        <v>137</v>
      </c>
      <c r="B149" s="13" t="s">
        <v>184</v>
      </c>
      <c r="C149" s="13" t="s">
        <v>30</v>
      </c>
      <c r="D149" s="15">
        <f>[1]Лист4!D140</f>
        <v>15750</v>
      </c>
      <c r="E149" s="15">
        <f>[2]Лист4!D141</f>
        <v>21960</v>
      </c>
      <c r="F149" s="15">
        <f>[3]Лист4!D141</f>
        <v>12200</v>
      </c>
      <c r="G149" s="16">
        <f>[4]Лист4!D140</f>
        <v>17850</v>
      </c>
      <c r="H149" s="15"/>
      <c r="I149" s="15"/>
      <c r="J149" s="15"/>
      <c r="K149" s="15"/>
      <c r="L149" s="15"/>
      <c r="M149" s="15"/>
      <c r="N149" s="15"/>
      <c r="O149" s="15"/>
      <c r="P149" s="15"/>
      <c r="Q149" s="15"/>
      <c r="R149" s="15"/>
      <c r="S149" s="15"/>
      <c r="T149" s="15"/>
      <c r="U149" s="15"/>
      <c r="V149" s="15"/>
      <c r="W149" s="15"/>
      <c r="X149" s="15"/>
      <c r="Y149" s="15"/>
      <c r="Z149" s="15">
        <f t="shared" si="2"/>
        <v>12200</v>
      </c>
      <c r="AA149" s="20"/>
      <c r="AB149" s="21"/>
    </row>
    <row r="150" spans="1:28" ht="63" customHeight="1" thickBot="1" x14ac:dyDescent="0.3">
      <c r="A150" s="14">
        <v>138</v>
      </c>
      <c r="B150" s="13" t="s">
        <v>185</v>
      </c>
      <c r="C150" s="13" t="s">
        <v>30</v>
      </c>
      <c r="D150" s="15">
        <f>[1]Лист4!D141</f>
        <v>39375</v>
      </c>
      <c r="E150" s="15">
        <f>[2]Лист4!D142</f>
        <v>52826</v>
      </c>
      <c r="F150" s="15">
        <f>[3]Лист4!D142</f>
        <v>12200</v>
      </c>
      <c r="G150" s="16">
        <f>[4]Лист4!D141</f>
        <v>42000</v>
      </c>
      <c r="H150" s="15"/>
      <c r="I150" s="15"/>
      <c r="J150" s="15"/>
      <c r="K150" s="15"/>
      <c r="L150" s="15"/>
      <c r="M150" s="15"/>
      <c r="N150" s="15"/>
      <c r="O150" s="15"/>
      <c r="P150" s="15"/>
      <c r="Q150" s="15"/>
      <c r="R150" s="15"/>
      <c r="S150" s="15"/>
      <c r="T150" s="15"/>
      <c r="U150" s="15"/>
      <c r="V150" s="15"/>
      <c r="W150" s="15"/>
      <c r="X150" s="15"/>
      <c r="Y150" s="15"/>
      <c r="Z150" s="15">
        <f t="shared" si="2"/>
        <v>12200</v>
      </c>
      <c r="AA150" s="20"/>
      <c r="AB150" s="21"/>
    </row>
    <row r="151" spans="1:28" ht="63" customHeight="1" thickBot="1" x14ac:dyDescent="0.3">
      <c r="A151" s="14">
        <v>139</v>
      </c>
      <c r="B151" s="13" t="s">
        <v>186</v>
      </c>
      <c r="C151" s="13" t="s">
        <v>115</v>
      </c>
      <c r="D151" s="15">
        <f>[1]Лист4!D142</f>
        <v>2625</v>
      </c>
      <c r="E151" s="15">
        <f>[2]Лист4!D143</f>
        <v>3538</v>
      </c>
      <c r="F151" s="15">
        <f>[3]Лист4!D143</f>
        <v>1525</v>
      </c>
      <c r="G151" s="16">
        <f>[4]Лист4!D142</f>
        <v>2572.5</v>
      </c>
      <c r="H151" s="15"/>
      <c r="I151" s="15"/>
      <c r="J151" s="15"/>
      <c r="K151" s="15"/>
      <c r="L151" s="15"/>
      <c r="M151" s="15"/>
      <c r="N151" s="15"/>
      <c r="O151" s="15"/>
      <c r="P151" s="15"/>
      <c r="Q151" s="15"/>
      <c r="R151" s="15"/>
      <c r="S151" s="15"/>
      <c r="T151" s="15"/>
      <c r="U151" s="15"/>
      <c r="V151" s="15"/>
      <c r="W151" s="15"/>
      <c r="X151" s="15"/>
      <c r="Y151" s="15"/>
      <c r="Z151" s="15">
        <f t="shared" si="2"/>
        <v>1525</v>
      </c>
      <c r="AA151" s="20"/>
      <c r="AB151" s="21"/>
    </row>
    <row r="152" spans="1:28" ht="75.75" thickBot="1" x14ac:dyDescent="0.3">
      <c r="A152" s="14">
        <v>140</v>
      </c>
      <c r="B152" s="13" t="s">
        <v>187</v>
      </c>
      <c r="C152" s="13" t="s">
        <v>30</v>
      </c>
      <c r="D152" s="15">
        <f>[1]Лист4!D143</f>
        <v>3780</v>
      </c>
      <c r="E152" s="15">
        <f>[2]Лист4!D144</f>
        <v>5124</v>
      </c>
      <c r="F152" s="15">
        <f>[3]Лист4!D144</f>
        <v>5490</v>
      </c>
      <c r="G152" s="16">
        <f>[4]Лист4!D143</f>
        <v>4725</v>
      </c>
      <c r="H152" s="15"/>
      <c r="I152" s="15"/>
      <c r="J152" s="15"/>
      <c r="K152" s="15"/>
      <c r="L152" s="15"/>
      <c r="M152" s="15"/>
      <c r="N152" s="15"/>
      <c r="O152" s="15"/>
      <c r="P152" s="15"/>
      <c r="Q152" s="15"/>
      <c r="R152" s="15"/>
      <c r="S152" s="15"/>
      <c r="T152" s="15"/>
      <c r="U152" s="15"/>
      <c r="V152" s="15"/>
      <c r="W152" s="15"/>
      <c r="X152" s="15"/>
      <c r="Y152" s="15"/>
      <c r="Z152" s="15">
        <f t="shared" si="2"/>
        <v>3780</v>
      </c>
      <c r="AA152" s="20"/>
      <c r="AB152" s="21"/>
    </row>
    <row r="153" spans="1:28" ht="75.75" thickBot="1" x14ac:dyDescent="0.3">
      <c r="A153" s="14">
        <v>141</v>
      </c>
      <c r="B153" s="13" t="s">
        <v>188</v>
      </c>
      <c r="C153" s="13" t="s">
        <v>115</v>
      </c>
      <c r="D153" s="15">
        <f>[1]Лист4!D144</f>
        <v>5250</v>
      </c>
      <c r="E153" s="15">
        <f>[2]Лист4!D145</f>
        <v>6100</v>
      </c>
      <c r="F153" s="15">
        <f>[3]Лист4!D145</f>
        <v>5500</v>
      </c>
      <c r="G153" s="16">
        <f>[4]Лист4!D144</f>
        <v>6300</v>
      </c>
      <c r="H153" s="15"/>
      <c r="I153" s="15"/>
      <c r="J153" s="15"/>
      <c r="K153" s="15"/>
      <c r="L153" s="15"/>
      <c r="M153" s="15"/>
      <c r="N153" s="15"/>
      <c r="O153" s="15"/>
      <c r="P153" s="15"/>
      <c r="Q153" s="15"/>
      <c r="R153" s="15"/>
      <c r="S153" s="15"/>
      <c r="T153" s="15"/>
      <c r="U153" s="15"/>
      <c r="V153" s="15"/>
      <c r="W153" s="15"/>
      <c r="X153" s="15"/>
      <c r="Y153" s="15"/>
      <c r="Z153" s="15">
        <f t="shared" si="2"/>
        <v>5250</v>
      </c>
      <c r="AA153" s="20"/>
      <c r="AB153" s="21"/>
    </row>
    <row r="154" spans="1:28" ht="75.75" thickBot="1" x14ac:dyDescent="0.3">
      <c r="A154" s="14">
        <v>142</v>
      </c>
      <c r="B154" s="13" t="s">
        <v>189</v>
      </c>
      <c r="C154" s="13" t="s">
        <v>94</v>
      </c>
      <c r="D154" s="15">
        <f>[1]Лист4!D145</f>
        <v>26250</v>
      </c>
      <c r="E154" s="15">
        <f>[2]Лист4!D146</f>
        <v>30500</v>
      </c>
      <c r="F154" s="15">
        <f>[3]Лист4!D146</f>
        <v>36600</v>
      </c>
      <c r="G154" s="16">
        <f>[4]Лист4!D145</f>
        <v>31500</v>
      </c>
      <c r="H154" s="15"/>
      <c r="I154" s="15"/>
      <c r="J154" s="15"/>
      <c r="K154" s="15"/>
      <c r="L154" s="15"/>
      <c r="M154" s="15"/>
      <c r="N154" s="15"/>
      <c r="O154" s="15"/>
      <c r="P154" s="15"/>
      <c r="Q154" s="15"/>
      <c r="R154" s="15"/>
      <c r="S154" s="15"/>
      <c r="T154" s="15"/>
      <c r="U154" s="15"/>
      <c r="V154" s="15"/>
      <c r="W154" s="15"/>
      <c r="X154" s="15"/>
      <c r="Y154" s="15"/>
      <c r="Z154" s="15">
        <f t="shared" si="2"/>
        <v>26250</v>
      </c>
      <c r="AA154" s="20"/>
      <c r="AB154" s="21"/>
    </row>
    <row r="155" spans="1:28" ht="63" customHeight="1" thickBot="1" x14ac:dyDescent="0.3">
      <c r="A155" s="14">
        <v>143</v>
      </c>
      <c r="B155" s="13" t="s">
        <v>190</v>
      </c>
      <c r="C155" s="13" t="s">
        <v>30</v>
      </c>
      <c r="D155" s="15">
        <f>[1]Лист4!D146</f>
        <v>15750</v>
      </c>
      <c r="E155" s="15">
        <f>[2]Лист4!D147</f>
        <v>21350</v>
      </c>
      <c r="F155" s="15">
        <f>[3]Лист4!D147</f>
        <v>36600</v>
      </c>
      <c r="G155" s="16">
        <f>[4]Лист4!D146</f>
        <v>17850</v>
      </c>
      <c r="H155" s="15"/>
      <c r="I155" s="15"/>
      <c r="J155" s="15"/>
      <c r="K155" s="15"/>
      <c r="L155" s="15"/>
      <c r="M155" s="15"/>
      <c r="N155" s="15"/>
      <c r="O155" s="15"/>
      <c r="P155" s="15"/>
      <c r="Q155" s="15"/>
      <c r="R155" s="15"/>
      <c r="S155" s="15"/>
      <c r="T155" s="15"/>
      <c r="U155" s="15"/>
      <c r="V155" s="15"/>
      <c r="W155" s="15"/>
      <c r="X155" s="15"/>
      <c r="Y155" s="15"/>
      <c r="Z155" s="15">
        <f t="shared" si="2"/>
        <v>15750</v>
      </c>
      <c r="AA155" s="20"/>
      <c r="AB155" s="21"/>
    </row>
    <row r="156" spans="1:28" ht="63" customHeight="1" thickBot="1" x14ac:dyDescent="0.3">
      <c r="A156" s="14">
        <v>144</v>
      </c>
      <c r="B156" s="13" t="s">
        <v>191</v>
      </c>
      <c r="C156" s="13" t="s">
        <v>30</v>
      </c>
      <c r="D156" s="15">
        <f>[1]Лист4!D147</f>
        <v>47250</v>
      </c>
      <c r="E156" s="15">
        <f>[2]Лист4!D148</f>
        <v>63440</v>
      </c>
      <c r="F156" s="15">
        <f>[3]Лист4!D148</f>
        <v>36600</v>
      </c>
      <c r="G156" s="16">
        <f>[4]Лист4!D147</f>
        <v>58800</v>
      </c>
      <c r="H156" s="15"/>
      <c r="I156" s="15"/>
      <c r="J156" s="15"/>
      <c r="K156" s="15"/>
      <c r="L156" s="15"/>
      <c r="M156" s="15"/>
      <c r="N156" s="15"/>
      <c r="O156" s="15"/>
      <c r="P156" s="15"/>
      <c r="Q156" s="15"/>
      <c r="R156" s="15"/>
      <c r="S156" s="15"/>
      <c r="T156" s="15"/>
      <c r="U156" s="15"/>
      <c r="V156" s="15"/>
      <c r="W156" s="15"/>
      <c r="X156" s="15"/>
      <c r="Y156" s="15"/>
      <c r="Z156" s="15">
        <f t="shared" si="2"/>
        <v>36600</v>
      </c>
      <c r="AA156" s="20"/>
      <c r="AB156" s="21"/>
    </row>
    <row r="157" spans="1:28" ht="75.75" thickBot="1" x14ac:dyDescent="0.3">
      <c r="A157" s="14">
        <v>145</v>
      </c>
      <c r="B157" s="13" t="s">
        <v>192</v>
      </c>
      <c r="C157" s="13" t="s">
        <v>115</v>
      </c>
      <c r="D157" s="15">
        <f>[1]Лист4!D148</f>
        <v>5250</v>
      </c>
      <c r="E157" s="15">
        <f>[2]Лист4!D149</f>
        <v>7320</v>
      </c>
      <c r="F157" s="15">
        <f>[3]Лист4!D149</f>
        <v>7320</v>
      </c>
      <c r="G157" s="16">
        <f>[4]Лист4!D148</f>
        <v>6300</v>
      </c>
      <c r="H157" s="15"/>
      <c r="I157" s="15"/>
      <c r="J157" s="15"/>
      <c r="K157" s="15"/>
      <c r="L157" s="15"/>
      <c r="M157" s="15"/>
      <c r="N157" s="15"/>
      <c r="O157" s="15"/>
      <c r="P157" s="15"/>
      <c r="Q157" s="15"/>
      <c r="R157" s="15"/>
      <c r="S157" s="15"/>
      <c r="T157" s="15"/>
      <c r="U157" s="15"/>
      <c r="V157" s="15"/>
      <c r="W157" s="15"/>
      <c r="X157" s="15"/>
      <c r="Y157" s="15"/>
      <c r="Z157" s="15">
        <f t="shared" si="2"/>
        <v>5250</v>
      </c>
      <c r="AA157" s="20"/>
      <c r="AB157" s="21"/>
    </row>
    <row r="158" spans="1:28" ht="63" customHeight="1" thickBot="1" x14ac:dyDescent="0.3">
      <c r="A158" s="14">
        <v>146</v>
      </c>
      <c r="B158" s="13" t="s">
        <v>193</v>
      </c>
      <c r="C158" s="13" t="s">
        <v>29</v>
      </c>
      <c r="D158" s="15">
        <f>[1]Лист4!D149</f>
        <v>23850.75</v>
      </c>
      <c r="E158" s="15">
        <f>[2]Лист4!D150</f>
        <v>32330</v>
      </c>
      <c r="F158" s="15">
        <f>[3]Лист4!D150</f>
        <v>61000</v>
      </c>
      <c r="G158" s="16">
        <f>[4]Лист4!D149</f>
        <v>26250</v>
      </c>
      <c r="H158" s="15"/>
      <c r="I158" s="15"/>
      <c r="J158" s="15"/>
      <c r="K158" s="15"/>
      <c r="L158" s="15"/>
      <c r="M158" s="15"/>
      <c r="N158" s="15"/>
      <c r="O158" s="15"/>
      <c r="P158" s="15"/>
      <c r="Q158" s="15"/>
      <c r="R158" s="15"/>
      <c r="S158" s="15"/>
      <c r="T158" s="15"/>
      <c r="U158" s="15"/>
      <c r="V158" s="15"/>
      <c r="W158" s="15"/>
      <c r="X158" s="15"/>
      <c r="Y158" s="15"/>
      <c r="Z158" s="15">
        <f t="shared" si="2"/>
        <v>23850.75</v>
      </c>
      <c r="AA158" s="20"/>
      <c r="AB158" s="21"/>
    </row>
    <row r="159" spans="1:28" ht="63" customHeight="1" thickBot="1" x14ac:dyDescent="0.3">
      <c r="A159" s="14">
        <v>147</v>
      </c>
      <c r="B159" s="13" t="s">
        <v>194</v>
      </c>
      <c r="C159" s="13" t="s">
        <v>195</v>
      </c>
      <c r="D159" s="15">
        <f>[1]Лист4!D150</f>
        <v>519.75</v>
      </c>
      <c r="E159" s="15">
        <f>[2]Лист4!D151</f>
        <v>695.4</v>
      </c>
      <c r="F159" s="15">
        <f>[3]Лист4!D151</f>
        <v>732</v>
      </c>
      <c r="G159" s="16">
        <f>[4]Лист4!D150</f>
        <v>630</v>
      </c>
      <c r="H159" s="15"/>
      <c r="I159" s="15"/>
      <c r="J159" s="15"/>
      <c r="K159" s="15"/>
      <c r="L159" s="15"/>
      <c r="M159" s="15"/>
      <c r="N159" s="15"/>
      <c r="O159" s="15"/>
      <c r="P159" s="15"/>
      <c r="Q159" s="15"/>
      <c r="R159" s="15"/>
      <c r="S159" s="15"/>
      <c r="T159" s="15"/>
      <c r="U159" s="15"/>
      <c r="V159" s="15"/>
      <c r="W159" s="15"/>
      <c r="X159" s="15"/>
      <c r="Y159" s="15"/>
      <c r="Z159" s="15">
        <f t="shared" si="2"/>
        <v>519.75</v>
      </c>
      <c r="AA159" s="20"/>
      <c r="AB159" s="21"/>
    </row>
    <row r="160" spans="1:28" ht="63" customHeight="1" thickBot="1" x14ac:dyDescent="0.3">
      <c r="A160" s="14">
        <v>148</v>
      </c>
      <c r="B160" s="13" t="s">
        <v>196</v>
      </c>
      <c r="C160" s="13" t="s">
        <v>195</v>
      </c>
      <c r="D160" s="15">
        <f>[1]Лист4!D151</f>
        <v>1212.75</v>
      </c>
      <c r="E160" s="15">
        <f>[2]Лист4!D152</f>
        <v>1830</v>
      </c>
      <c r="F160" s="15">
        <f>[3]Лист4!D152</f>
        <v>2440</v>
      </c>
      <c r="G160" s="16">
        <f>[4]Лист4!D151</f>
        <v>1155</v>
      </c>
      <c r="H160" s="15"/>
      <c r="I160" s="15"/>
      <c r="J160" s="15"/>
      <c r="K160" s="15"/>
      <c r="L160" s="15"/>
      <c r="M160" s="15"/>
      <c r="N160" s="15"/>
      <c r="O160" s="15"/>
      <c r="P160" s="15"/>
      <c r="Q160" s="15"/>
      <c r="R160" s="15"/>
      <c r="S160" s="15"/>
      <c r="T160" s="15"/>
      <c r="U160" s="15"/>
      <c r="V160" s="15"/>
      <c r="W160" s="15"/>
      <c r="X160" s="15"/>
      <c r="Y160" s="15"/>
      <c r="Z160" s="15">
        <f t="shared" si="2"/>
        <v>1155</v>
      </c>
      <c r="AA160" s="20"/>
      <c r="AB160" s="21"/>
    </row>
    <row r="161" spans="1:28" ht="63" customHeight="1" thickBot="1" x14ac:dyDescent="0.3">
      <c r="A161" s="14">
        <v>149</v>
      </c>
      <c r="B161" s="13" t="s">
        <v>197</v>
      </c>
      <c r="C161" s="13" t="s">
        <v>195</v>
      </c>
      <c r="D161" s="15">
        <f>[1]Лист4!D152</f>
        <v>197.4</v>
      </c>
      <c r="E161" s="15">
        <f>[2]Лист4!D153</f>
        <v>268.39999999999998</v>
      </c>
      <c r="F161" s="15">
        <f>[3]Лист4!D153</f>
        <v>122</v>
      </c>
      <c r="G161" s="16">
        <f>[4]Лист4!D152</f>
        <v>194.25</v>
      </c>
      <c r="H161" s="15"/>
      <c r="I161" s="15"/>
      <c r="J161" s="15"/>
      <c r="K161" s="15"/>
      <c r="L161" s="15"/>
      <c r="M161" s="15"/>
      <c r="N161" s="15"/>
      <c r="O161" s="15"/>
      <c r="P161" s="15"/>
      <c r="Q161" s="15"/>
      <c r="R161" s="15"/>
      <c r="S161" s="15"/>
      <c r="T161" s="15"/>
      <c r="U161" s="15"/>
      <c r="V161" s="15"/>
      <c r="W161" s="15"/>
      <c r="X161" s="15"/>
      <c r="Y161" s="15"/>
      <c r="Z161" s="15">
        <f t="shared" si="2"/>
        <v>122</v>
      </c>
      <c r="AA161" s="20"/>
      <c r="AB161" s="21"/>
    </row>
    <row r="162" spans="1:28" ht="63" customHeight="1" thickBot="1" x14ac:dyDescent="0.3">
      <c r="A162" s="14">
        <v>150</v>
      </c>
      <c r="B162" s="13" t="s">
        <v>198</v>
      </c>
      <c r="C162" s="13" t="s">
        <v>195</v>
      </c>
      <c r="D162" s="15">
        <f>[1]Лист4!D153</f>
        <v>392.7</v>
      </c>
      <c r="E162" s="15">
        <f>[2]Лист4!D154</f>
        <v>549</v>
      </c>
      <c r="F162" s="15">
        <f>[3]Лист4!D154</f>
        <v>488</v>
      </c>
      <c r="G162" s="16">
        <f>[4]Лист4!D153</f>
        <v>472.5</v>
      </c>
      <c r="H162" s="15"/>
      <c r="I162" s="15"/>
      <c r="J162" s="15"/>
      <c r="K162" s="15"/>
      <c r="L162" s="15"/>
      <c r="M162" s="15"/>
      <c r="N162" s="15"/>
      <c r="O162" s="15"/>
      <c r="P162" s="15"/>
      <c r="Q162" s="15"/>
      <c r="R162" s="15"/>
      <c r="S162" s="15"/>
      <c r="T162" s="15"/>
      <c r="U162" s="15"/>
      <c r="V162" s="15"/>
      <c r="W162" s="15"/>
      <c r="X162" s="15"/>
      <c r="Y162" s="15"/>
      <c r="Z162" s="15">
        <f t="shared" si="2"/>
        <v>392.7</v>
      </c>
      <c r="AA162" s="20"/>
      <c r="AB162" s="21"/>
    </row>
    <row r="163" spans="1:28" ht="63" customHeight="1" thickBot="1" x14ac:dyDescent="0.3">
      <c r="A163" s="14">
        <v>151</v>
      </c>
      <c r="B163" s="13" t="s">
        <v>199</v>
      </c>
      <c r="C163" s="13" t="s">
        <v>195</v>
      </c>
      <c r="D163" s="15">
        <f>[1]Лист4!D154</f>
        <v>577.5</v>
      </c>
      <c r="E163" s="15">
        <f>[2]Лист4!D155</f>
        <v>793</v>
      </c>
      <c r="F163" s="15">
        <f>[3]Лист4!D155</f>
        <v>671</v>
      </c>
      <c r="G163" s="16">
        <f>[4]Лист4!D154</f>
        <v>630</v>
      </c>
      <c r="H163" s="15"/>
      <c r="I163" s="15"/>
      <c r="J163" s="15"/>
      <c r="K163" s="15"/>
      <c r="L163" s="15"/>
      <c r="M163" s="15"/>
      <c r="N163" s="15"/>
      <c r="O163" s="15"/>
      <c r="P163" s="15"/>
      <c r="Q163" s="15"/>
      <c r="R163" s="15"/>
      <c r="S163" s="15"/>
      <c r="T163" s="15"/>
      <c r="U163" s="15"/>
      <c r="V163" s="15"/>
      <c r="W163" s="15"/>
      <c r="X163" s="15"/>
      <c r="Y163" s="15"/>
      <c r="Z163" s="15">
        <f t="shared" si="2"/>
        <v>577.5</v>
      </c>
      <c r="AA163" s="20"/>
      <c r="AB163" s="21"/>
    </row>
    <row r="164" spans="1:28" ht="63" customHeight="1" thickBot="1" x14ac:dyDescent="0.3">
      <c r="A164" s="14">
        <v>152</v>
      </c>
      <c r="B164" s="13" t="s">
        <v>200</v>
      </c>
      <c r="C164" s="13" t="s">
        <v>195</v>
      </c>
      <c r="D164" s="15">
        <f>[1]Лист4!D155</f>
        <v>438.90000000000003</v>
      </c>
      <c r="E164" s="15">
        <f>[2]Лист4!D156</f>
        <v>610</v>
      </c>
      <c r="F164" s="15">
        <f>[3]Лист4!D156</f>
        <v>549</v>
      </c>
      <c r="G164" s="16">
        <f>[4]Лист4!D155</f>
        <v>525</v>
      </c>
      <c r="H164" s="15"/>
      <c r="I164" s="15"/>
      <c r="J164" s="15"/>
      <c r="K164" s="15"/>
      <c r="L164" s="15"/>
      <c r="M164" s="15"/>
      <c r="N164" s="15"/>
      <c r="O164" s="15"/>
      <c r="P164" s="15"/>
      <c r="Q164" s="15"/>
      <c r="R164" s="15"/>
      <c r="S164" s="15"/>
      <c r="T164" s="15"/>
      <c r="U164" s="15"/>
      <c r="V164" s="15"/>
      <c r="W164" s="15"/>
      <c r="X164" s="15"/>
      <c r="Y164" s="15"/>
      <c r="Z164" s="15">
        <f t="shared" si="2"/>
        <v>438.90000000000003</v>
      </c>
      <c r="AA164" s="20"/>
      <c r="AB164" s="21"/>
    </row>
    <row r="165" spans="1:28" ht="63" customHeight="1" thickBot="1" x14ac:dyDescent="0.3">
      <c r="A165" s="14">
        <v>153</v>
      </c>
      <c r="B165" s="13" t="s">
        <v>201</v>
      </c>
      <c r="C165" s="13" t="s">
        <v>195</v>
      </c>
      <c r="D165" s="15">
        <f>[1]Лист4!D156</f>
        <v>548.625</v>
      </c>
      <c r="E165" s="15">
        <f>[2]Лист4!D157</f>
        <v>732</v>
      </c>
      <c r="F165" s="15">
        <f>[3]Лист4!D157</f>
        <v>854</v>
      </c>
      <c r="G165" s="16">
        <f>[4]Лист4!D156</f>
        <v>525</v>
      </c>
      <c r="H165" s="15"/>
      <c r="I165" s="15"/>
      <c r="J165" s="15"/>
      <c r="K165" s="15"/>
      <c r="L165" s="15"/>
      <c r="M165" s="15"/>
      <c r="N165" s="15"/>
      <c r="O165" s="15"/>
      <c r="P165" s="15"/>
      <c r="Q165" s="15"/>
      <c r="R165" s="15"/>
      <c r="S165" s="15"/>
      <c r="T165" s="15"/>
      <c r="U165" s="15"/>
      <c r="V165" s="15"/>
      <c r="W165" s="15"/>
      <c r="X165" s="15"/>
      <c r="Y165" s="15"/>
      <c r="Z165" s="15">
        <f t="shared" si="2"/>
        <v>525</v>
      </c>
      <c r="AA165" s="20"/>
      <c r="AB165" s="21"/>
    </row>
    <row r="166" spans="1:28" ht="63" customHeight="1" thickBot="1" x14ac:dyDescent="0.3">
      <c r="A166" s="14">
        <v>154</v>
      </c>
      <c r="B166" s="13" t="s">
        <v>202</v>
      </c>
      <c r="C166" s="13" t="s">
        <v>195</v>
      </c>
      <c r="D166" s="15">
        <f>[1]Лист4!D157</f>
        <v>727.65</v>
      </c>
      <c r="E166" s="15">
        <f>[2]Лист4!D158</f>
        <v>976</v>
      </c>
      <c r="F166" s="15">
        <f>[3]Лист4!D158</f>
        <v>1220</v>
      </c>
      <c r="G166" s="16">
        <f>[4]Лист4!D157</f>
        <v>840</v>
      </c>
      <c r="H166" s="15"/>
      <c r="I166" s="15"/>
      <c r="J166" s="15"/>
      <c r="K166" s="15"/>
      <c r="L166" s="15"/>
      <c r="M166" s="15"/>
      <c r="N166" s="15"/>
      <c r="O166" s="15"/>
      <c r="P166" s="15"/>
      <c r="Q166" s="15"/>
      <c r="R166" s="15"/>
      <c r="S166" s="15"/>
      <c r="T166" s="15"/>
      <c r="U166" s="15"/>
      <c r="V166" s="15"/>
      <c r="W166" s="15"/>
      <c r="X166" s="15"/>
      <c r="Y166" s="15"/>
      <c r="Z166" s="15">
        <f t="shared" si="2"/>
        <v>727.65</v>
      </c>
      <c r="AA166" s="20"/>
      <c r="AB166" s="21"/>
    </row>
    <row r="167" spans="1:28" ht="63" customHeight="1" thickBot="1" x14ac:dyDescent="0.3">
      <c r="A167" s="14">
        <v>155</v>
      </c>
      <c r="B167" s="13" t="s">
        <v>203</v>
      </c>
      <c r="C167" s="13" t="s">
        <v>195</v>
      </c>
      <c r="D167" s="15">
        <f>[1]Лист4!D158</f>
        <v>262.5</v>
      </c>
      <c r="E167" s="15">
        <f>[2]Лист4!D159</f>
        <v>353.8</v>
      </c>
      <c r="F167" s="15">
        <f>[3]Лист4!D159</f>
        <v>244</v>
      </c>
      <c r="G167" s="16">
        <f>[4]Лист4!D158</f>
        <v>241.5</v>
      </c>
      <c r="H167" s="15"/>
      <c r="I167" s="15"/>
      <c r="J167" s="15"/>
      <c r="K167" s="15"/>
      <c r="L167" s="15"/>
      <c r="M167" s="15"/>
      <c r="N167" s="15"/>
      <c r="O167" s="15"/>
      <c r="P167" s="15"/>
      <c r="Q167" s="15"/>
      <c r="R167" s="15"/>
      <c r="S167" s="15"/>
      <c r="T167" s="15"/>
      <c r="U167" s="15"/>
      <c r="V167" s="15"/>
      <c r="W167" s="15"/>
      <c r="X167" s="15"/>
      <c r="Y167" s="15"/>
      <c r="Z167" s="15">
        <f t="shared" si="2"/>
        <v>241.5</v>
      </c>
      <c r="AA167" s="20"/>
      <c r="AB167" s="21"/>
    </row>
    <row r="168" spans="1:28" ht="63" customHeight="1" thickBot="1" x14ac:dyDescent="0.3">
      <c r="A168" s="14">
        <v>156</v>
      </c>
      <c r="B168" s="13" t="s">
        <v>204</v>
      </c>
      <c r="C168" s="13" t="s">
        <v>195</v>
      </c>
      <c r="D168" s="15">
        <f>[1]Лист4!D159</f>
        <v>220.5</v>
      </c>
      <c r="E168" s="15">
        <f>[2]Лист4!D160</f>
        <v>305</v>
      </c>
      <c r="F168" s="15">
        <f>[3]Лист4!D160</f>
        <v>245</v>
      </c>
      <c r="G168" s="16">
        <f>[4]Лист4!D159</f>
        <v>210</v>
      </c>
      <c r="H168" s="15"/>
      <c r="I168" s="15"/>
      <c r="J168" s="15"/>
      <c r="K168" s="15"/>
      <c r="L168" s="15"/>
      <c r="M168" s="15"/>
      <c r="N168" s="15"/>
      <c r="O168" s="15"/>
      <c r="P168" s="15"/>
      <c r="Q168" s="15"/>
      <c r="R168" s="15"/>
      <c r="S168" s="15"/>
      <c r="T168" s="15"/>
      <c r="U168" s="15"/>
      <c r="V168" s="15"/>
      <c r="W168" s="15"/>
      <c r="X168" s="15"/>
      <c r="Y168" s="15"/>
      <c r="Z168" s="15">
        <f t="shared" si="2"/>
        <v>210</v>
      </c>
      <c r="AA168" s="20"/>
      <c r="AB168" s="21"/>
    </row>
    <row r="169" spans="1:28" ht="63" customHeight="1" thickBot="1" x14ac:dyDescent="0.3">
      <c r="A169" s="14">
        <v>157</v>
      </c>
      <c r="B169" s="13" t="s">
        <v>205</v>
      </c>
      <c r="C169" s="13" t="s">
        <v>195</v>
      </c>
      <c r="D169" s="15">
        <f>[1]Лист4!D160</f>
        <v>392.7</v>
      </c>
      <c r="E169" s="15">
        <f>[2]Лист4!D161</f>
        <v>549</v>
      </c>
      <c r="F169" s="15">
        <f>[3]Лист4!D161</f>
        <v>610</v>
      </c>
      <c r="G169" s="16">
        <f>[4]Лист4!D160</f>
        <v>420</v>
      </c>
      <c r="H169" s="15"/>
      <c r="I169" s="15"/>
      <c r="J169" s="15"/>
      <c r="K169" s="15"/>
      <c r="L169" s="15"/>
      <c r="M169" s="15"/>
      <c r="N169" s="15"/>
      <c r="O169" s="15"/>
      <c r="P169" s="15"/>
      <c r="Q169" s="15"/>
      <c r="R169" s="15"/>
      <c r="S169" s="15"/>
      <c r="T169" s="15"/>
      <c r="U169" s="15"/>
      <c r="V169" s="15"/>
      <c r="W169" s="15"/>
      <c r="X169" s="15"/>
      <c r="Y169" s="15"/>
      <c r="Z169" s="15">
        <f t="shared" si="2"/>
        <v>392.7</v>
      </c>
      <c r="AA169" s="20"/>
      <c r="AB169" s="21"/>
    </row>
    <row r="170" spans="1:28" ht="75.75" thickBot="1" x14ac:dyDescent="0.3">
      <c r="A170" s="14">
        <v>158</v>
      </c>
      <c r="B170" s="13" t="s">
        <v>206</v>
      </c>
      <c r="C170" s="13" t="s">
        <v>195</v>
      </c>
      <c r="D170" s="15">
        <f>[1]Лист4!D161</f>
        <v>808.5</v>
      </c>
      <c r="E170" s="15">
        <f>[2]Лист4!D162</f>
        <v>1037</v>
      </c>
      <c r="F170" s="15">
        <f>[3]Лист4!D162</f>
        <v>1830</v>
      </c>
      <c r="G170" s="16">
        <f>[4]Лист4!D161</f>
        <v>840</v>
      </c>
      <c r="H170" s="15"/>
      <c r="I170" s="15"/>
      <c r="J170" s="15"/>
      <c r="K170" s="15"/>
      <c r="L170" s="15"/>
      <c r="M170" s="15"/>
      <c r="N170" s="15"/>
      <c r="O170" s="15"/>
      <c r="P170" s="15"/>
      <c r="Q170" s="15"/>
      <c r="R170" s="15"/>
      <c r="S170" s="15"/>
      <c r="T170" s="15"/>
      <c r="U170" s="15"/>
      <c r="V170" s="15"/>
      <c r="W170" s="15"/>
      <c r="X170" s="15"/>
      <c r="Y170" s="15"/>
      <c r="Z170" s="15">
        <f t="shared" si="2"/>
        <v>808.5</v>
      </c>
      <c r="AA170" s="20"/>
      <c r="AB170" s="21"/>
    </row>
    <row r="171" spans="1:28" ht="63" customHeight="1" thickBot="1" x14ac:dyDescent="0.3">
      <c r="A171" s="14">
        <v>159</v>
      </c>
      <c r="B171" s="13" t="s">
        <v>207</v>
      </c>
      <c r="C171" s="13" t="s">
        <v>195</v>
      </c>
      <c r="D171" s="15">
        <f>[1]Лист4!D162</f>
        <v>796.95</v>
      </c>
      <c r="E171" s="15">
        <f>[2]Лист4!D163</f>
        <v>1098</v>
      </c>
      <c r="F171" s="15">
        <f>[3]Лист4!D163</f>
        <v>1830</v>
      </c>
      <c r="G171" s="16">
        <f>[4]Лист4!D162</f>
        <v>840</v>
      </c>
      <c r="H171" s="15"/>
      <c r="I171" s="15"/>
      <c r="J171" s="15"/>
      <c r="K171" s="15"/>
      <c r="L171" s="15"/>
      <c r="M171" s="15"/>
      <c r="N171" s="15"/>
      <c r="O171" s="15"/>
      <c r="P171" s="15"/>
      <c r="Q171" s="15"/>
      <c r="R171" s="15"/>
      <c r="S171" s="15"/>
      <c r="T171" s="15"/>
      <c r="U171" s="15"/>
      <c r="V171" s="15"/>
      <c r="W171" s="15"/>
      <c r="X171" s="15"/>
      <c r="Y171" s="15"/>
      <c r="Z171" s="15">
        <f t="shared" si="2"/>
        <v>796.95</v>
      </c>
      <c r="AA171" s="20"/>
      <c r="AB171" s="21"/>
    </row>
    <row r="172" spans="1:28" ht="63" customHeight="1" thickBot="1" x14ac:dyDescent="0.3">
      <c r="A172" s="14">
        <v>160</v>
      </c>
      <c r="B172" s="13" t="s">
        <v>208</v>
      </c>
      <c r="C172" s="13" t="s">
        <v>195</v>
      </c>
      <c r="D172" s="15">
        <f>[1]Лист4!D163</f>
        <v>519.75</v>
      </c>
      <c r="E172" s="15">
        <f>[2]Лист4!D164</f>
        <v>732</v>
      </c>
      <c r="F172" s="15">
        <f>[3]Лист4!D164</f>
        <v>610</v>
      </c>
      <c r="G172" s="16">
        <f>[4]Лист4!D163</f>
        <v>525</v>
      </c>
      <c r="H172" s="15"/>
      <c r="I172" s="15"/>
      <c r="J172" s="15"/>
      <c r="K172" s="15"/>
      <c r="L172" s="15"/>
      <c r="M172" s="15"/>
      <c r="N172" s="15"/>
      <c r="O172" s="15"/>
      <c r="P172" s="15"/>
      <c r="Q172" s="15"/>
      <c r="R172" s="15"/>
      <c r="S172" s="15"/>
      <c r="T172" s="15"/>
      <c r="U172" s="15"/>
      <c r="V172" s="15"/>
      <c r="W172" s="15"/>
      <c r="X172" s="15"/>
      <c r="Y172" s="15"/>
      <c r="Z172" s="15">
        <f t="shared" si="2"/>
        <v>519.75</v>
      </c>
      <c r="AA172" s="20"/>
      <c r="AB172" s="21"/>
    </row>
    <row r="173" spans="1:28" ht="63" customHeight="1" thickBot="1" x14ac:dyDescent="0.3">
      <c r="A173" s="14">
        <v>161</v>
      </c>
      <c r="B173" s="13" t="s">
        <v>209</v>
      </c>
      <c r="C173" s="13" t="s">
        <v>195</v>
      </c>
      <c r="D173" s="15">
        <f>[1]Лист4!D164</f>
        <v>635.25</v>
      </c>
      <c r="E173" s="15">
        <f>[2]Лист4!D165</f>
        <v>854</v>
      </c>
      <c r="F173" s="15">
        <f>[3]Лист4!D165</f>
        <v>610</v>
      </c>
      <c r="G173" s="16">
        <f>[4]Лист4!D164</f>
        <v>787.5</v>
      </c>
      <c r="H173" s="15"/>
      <c r="I173" s="15"/>
      <c r="J173" s="15"/>
      <c r="K173" s="15"/>
      <c r="L173" s="15"/>
      <c r="M173" s="15"/>
      <c r="N173" s="15"/>
      <c r="O173" s="15"/>
      <c r="P173" s="15"/>
      <c r="Q173" s="15"/>
      <c r="R173" s="15"/>
      <c r="S173" s="15"/>
      <c r="T173" s="15"/>
      <c r="U173" s="15"/>
      <c r="V173" s="15"/>
      <c r="W173" s="15"/>
      <c r="X173" s="15"/>
      <c r="Y173" s="15"/>
      <c r="Z173" s="15">
        <f t="shared" si="2"/>
        <v>610</v>
      </c>
      <c r="AA173" s="20"/>
      <c r="AB173" s="21"/>
    </row>
    <row r="174" spans="1:28" ht="63" customHeight="1" thickBot="1" x14ac:dyDescent="0.3">
      <c r="A174" s="14">
        <v>162</v>
      </c>
      <c r="B174" s="13" t="s">
        <v>210</v>
      </c>
      <c r="C174" s="13" t="s">
        <v>195</v>
      </c>
      <c r="D174" s="15">
        <f>[1]Лист4!D165</f>
        <v>693</v>
      </c>
      <c r="E174" s="15">
        <f>[2]Лист4!D166</f>
        <v>854</v>
      </c>
      <c r="F174" s="15">
        <f>[3]Лист4!D166</f>
        <v>610</v>
      </c>
      <c r="G174" s="16">
        <f>[4]Лист4!D165</f>
        <v>871.5</v>
      </c>
      <c r="H174" s="15"/>
      <c r="I174" s="15"/>
      <c r="J174" s="15"/>
      <c r="K174" s="15"/>
      <c r="L174" s="15"/>
      <c r="M174" s="15"/>
      <c r="N174" s="15"/>
      <c r="O174" s="15"/>
      <c r="P174" s="15"/>
      <c r="Q174" s="15"/>
      <c r="R174" s="15"/>
      <c r="S174" s="15"/>
      <c r="T174" s="15"/>
      <c r="U174" s="15"/>
      <c r="V174" s="15"/>
      <c r="W174" s="15"/>
      <c r="X174" s="15"/>
      <c r="Y174" s="15"/>
      <c r="Z174" s="15">
        <f t="shared" si="2"/>
        <v>610</v>
      </c>
      <c r="AA174" s="20"/>
      <c r="AB174" s="21"/>
    </row>
    <row r="175" spans="1:28" ht="63" customHeight="1" thickBot="1" x14ac:dyDescent="0.3">
      <c r="A175" s="14">
        <v>163</v>
      </c>
      <c r="B175" s="13" t="s">
        <v>211</v>
      </c>
      <c r="C175" s="13" t="s">
        <v>241</v>
      </c>
      <c r="D175" s="15">
        <f>[1]Лист4!D166</f>
        <v>346.5</v>
      </c>
      <c r="E175" s="15">
        <f>[2]Лист4!D167</f>
        <v>488</v>
      </c>
      <c r="F175" s="15">
        <f>[3]Лист4!D167</f>
        <v>400</v>
      </c>
      <c r="G175" s="16">
        <f>[4]Лист4!D166</f>
        <v>367.5</v>
      </c>
      <c r="H175" s="15"/>
      <c r="I175" s="15"/>
      <c r="J175" s="15"/>
      <c r="K175" s="15"/>
      <c r="L175" s="15"/>
      <c r="M175" s="15"/>
      <c r="N175" s="15"/>
      <c r="O175" s="15"/>
      <c r="P175" s="15"/>
      <c r="Q175" s="15"/>
      <c r="R175" s="15"/>
      <c r="S175" s="15"/>
      <c r="T175" s="15"/>
      <c r="U175" s="15"/>
      <c r="V175" s="15"/>
      <c r="W175" s="15"/>
      <c r="X175" s="15"/>
      <c r="Y175" s="15"/>
      <c r="Z175" s="15">
        <f t="shared" si="2"/>
        <v>346.5</v>
      </c>
      <c r="AA175" s="20"/>
      <c r="AB175" s="21"/>
    </row>
    <row r="176" spans="1:28" ht="63" customHeight="1" thickBot="1" x14ac:dyDescent="0.3">
      <c r="A176" s="14">
        <v>164</v>
      </c>
      <c r="B176" s="13" t="s">
        <v>212</v>
      </c>
      <c r="C176" s="13" t="s">
        <v>241</v>
      </c>
      <c r="D176" s="15">
        <f>[1]Лист4!D167</f>
        <v>242.55</v>
      </c>
      <c r="E176" s="15">
        <f>[2]Лист4!D168</f>
        <v>366</v>
      </c>
      <c r="F176" s="15">
        <f>[3]Лист4!D168</f>
        <v>400</v>
      </c>
      <c r="G176" s="16">
        <f>[4]Лист4!D167</f>
        <v>231</v>
      </c>
      <c r="H176" s="15"/>
      <c r="I176" s="15"/>
      <c r="J176" s="15"/>
      <c r="K176" s="15"/>
      <c r="L176" s="15"/>
      <c r="M176" s="15"/>
      <c r="N176" s="15"/>
      <c r="O176" s="15"/>
      <c r="P176" s="15"/>
      <c r="Q176" s="15"/>
      <c r="R176" s="15"/>
      <c r="S176" s="15"/>
      <c r="T176" s="15"/>
      <c r="U176" s="15"/>
      <c r="V176" s="15"/>
      <c r="W176" s="15"/>
      <c r="X176" s="15"/>
      <c r="Y176" s="15"/>
      <c r="Z176" s="15">
        <f t="shared" si="2"/>
        <v>231</v>
      </c>
      <c r="AA176" s="20"/>
      <c r="AB176" s="21"/>
    </row>
    <row r="177" spans="1:28" ht="63" customHeight="1" thickBot="1" x14ac:dyDescent="0.3">
      <c r="A177" s="14">
        <v>165</v>
      </c>
      <c r="B177" s="13" t="s">
        <v>213</v>
      </c>
      <c r="C177" s="13" t="s">
        <v>241</v>
      </c>
      <c r="D177" s="15">
        <f>[1]Лист4!D168</f>
        <v>231</v>
      </c>
      <c r="E177" s="15">
        <f>[2]Лист4!D169</f>
        <v>317.2</v>
      </c>
      <c r="F177" s="15">
        <f>[3]Лист4!D169</f>
        <v>450</v>
      </c>
      <c r="G177" s="16">
        <f>[4]Лист4!D168</f>
        <v>283.5</v>
      </c>
      <c r="H177" s="15"/>
      <c r="I177" s="15"/>
      <c r="J177" s="15"/>
      <c r="K177" s="15"/>
      <c r="L177" s="15"/>
      <c r="M177" s="15"/>
      <c r="N177" s="15"/>
      <c r="O177" s="15"/>
      <c r="P177" s="15"/>
      <c r="Q177" s="15"/>
      <c r="R177" s="15"/>
      <c r="S177" s="15"/>
      <c r="T177" s="15"/>
      <c r="U177" s="15"/>
      <c r="V177" s="15"/>
      <c r="W177" s="15"/>
      <c r="X177" s="15"/>
      <c r="Y177" s="15"/>
      <c r="Z177" s="15">
        <f t="shared" si="2"/>
        <v>231</v>
      </c>
      <c r="AA177" s="20"/>
      <c r="AB177" s="21"/>
    </row>
    <row r="178" spans="1:28" ht="63" customHeight="1" thickBot="1" x14ac:dyDescent="0.3">
      <c r="A178" s="14">
        <v>166</v>
      </c>
      <c r="B178" s="13" t="s">
        <v>214</v>
      </c>
      <c r="C178" s="13" t="s">
        <v>241</v>
      </c>
      <c r="D178" s="15">
        <f>[1]Лист4!D169</f>
        <v>462</v>
      </c>
      <c r="E178" s="15">
        <f>[2]Лист4!D170</f>
        <v>622.19999999999993</v>
      </c>
      <c r="F178" s="15">
        <f>[3]Лист4!D170</f>
        <v>750</v>
      </c>
      <c r="G178" s="16">
        <f>[4]Лист4!D169</f>
        <v>577.5</v>
      </c>
      <c r="H178" s="15"/>
      <c r="I178" s="15"/>
      <c r="J178" s="15"/>
      <c r="K178" s="15"/>
      <c r="L178" s="15"/>
      <c r="M178" s="15"/>
      <c r="N178" s="15"/>
      <c r="O178" s="15"/>
      <c r="P178" s="15"/>
      <c r="Q178" s="15"/>
      <c r="R178" s="15"/>
      <c r="S178" s="15"/>
      <c r="T178" s="15"/>
      <c r="U178" s="15"/>
      <c r="V178" s="15"/>
      <c r="W178" s="15"/>
      <c r="X178" s="15"/>
      <c r="Y178" s="15"/>
      <c r="Z178" s="15">
        <f t="shared" si="2"/>
        <v>462</v>
      </c>
      <c r="AA178" s="20"/>
      <c r="AB178" s="21"/>
    </row>
    <row r="179" spans="1:28" ht="63" customHeight="1" thickBot="1" x14ac:dyDescent="0.3">
      <c r="A179" s="14">
        <v>167</v>
      </c>
      <c r="B179" s="13" t="s">
        <v>215</v>
      </c>
      <c r="C179" s="13" t="s">
        <v>241</v>
      </c>
      <c r="D179" s="15">
        <f>[1]Лист4!D170</f>
        <v>231</v>
      </c>
      <c r="E179" s="15">
        <f>[2]Лист4!D171</f>
        <v>329.4</v>
      </c>
      <c r="F179" s="15">
        <f>[3]Лист4!D171</f>
        <v>450</v>
      </c>
      <c r="G179" s="16">
        <f>[4]Лист4!D170</f>
        <v>262.5</v>
      </c>
      <c r="H179" s="15"/>
      <c r="I179" s="15"/>
      <c r="J179" s="15"/>
      <c r="K179" s="15"/>
      <c r="L179" s="15"/>
      <c r="M179" s="15"/>
      <c r="N179" s="15"/>
      <c r="O179" s="15"/>
      <c r="P179" s="15"/>
      <c r="Q179" s="15"/>
      <c r="R179" s="15"/>
      <c r="S179" s="15"/>
      <c r="T179" s="15"/>
      <c r="U179" s="15"/>
      <c r="V179" s="15"/>
      <c r="W179" s="15"/>
      <c r="X179" s="15"/>
      <c r="Y179" s="15"/>
      <c r="Z179" s="15">
        <f t="shared" si="2"/>
        <v>231</v>
      </c>
      <c r="AA179" s="20"/>
      <c r="AB179" s="21"/>
    </row>
    <row r="180" spans="1:28" ht="63" customHeight="1" thickBot="1" x14ac:dyDescent="0.3">
      <c r="A180" s="14">
        <v>168</v>
      </c>
      <c r="B180" s="13" t="s">
        <v>216</v>
      </c>
      <c r="C180" s="13" t="s">
        <v>241</v>
      </c>
      <c r="D180" s="15">
        <f>[1]Лист4!D171</f>
        <v>462</v>
      </c>
      <c r="E180" s="15">
        <f>[2]Лист4!D172</f>
        <v>550</v>
      </c>
      <c r="F180" s="15">
        <f>[3]Лист4!D172</f>
        <v>750</v>
      </c>
      <c r="G180" s="16">
        <f>[4]Лист4!D171</f>
        <v>525</v>
      </c>
      <c r="H180" s="15"/>
      <c r="I180" s="15"/>
      <c r="J180" s="15"/>
      <c r="K180" s="15"/>
      <c r="L180" s="15"/>
      <c r="M180" s="15"/>
      <c r="N180" s="15"/>
      <c r="O180" s="15"/>
      <c r="P180" s="15"/>
      <c r="Q180" s="15"/>
      <c r="R180" s="15"/>
      <c r="S180" s="15"/>
      <c r="T180" s="15"/>
      <c r="U180" s="15"/>
      <c r="V180" s="15"/>
      <c r="W180" s="15"/>
      <c r="X180" s="15"/>
      <c r="Y180" s="15"/>
      <c r="Z180" s="15">
        <f t="shared" si="2"/>
        <v>462</v>
      </c>
      <c r="AA180" s="20"/>
      <c r="AB180" s="21"/>
    </row>
    <row r="181" spans="1:28" ht="63" customHeight="1" thickBot="1" x14ac:dyDescent="0.3">
      <c r="A181" s="14">
        <v>169</v>
      </c>
      <c r="B181" s="13" t="s">
        <v>217</v>
      </c>
      <c r="C181" s="13" t="s">
        <v>241</v>
      </c>
      <c r="D181" s="15">
        <f>[1]Лист4!D172</f>
        <v>750.75</v>
      </c>
      <c r="E181" s="15">
        <f>[2]Лист4!D173</f>
        <v>1098</v>
      </c>
      <c r="F181" s="15">
        <f>[3]Лист4!D173</f>
        <v>1200</v>
      </c>
      <c r="G181" s="16">
        <f>[4]Лист4!D172</f>
        <v>934.5</v>
      </c>
      <c r="H181" s="15"/>
      <c r="I181" s="15"/>
      <c r="J181" s="15"/>
      <c r="K181" s="15"/>
      <c r="L181" s="15"/>
      <c r="M181" s="15"/>
      <c r="N181" s="15"/>
      <c r="O181" s="15"/>
      <c r="P181" s="15"/>
      <c r="Q181" s="15"/>
      <c r="R181" s="15"/>
      <c r="S181" s="15"/>
      <c r="T181" s="15"/>
      <c r="U181" s="15"/>
      <c r="V181" s="15"/>
      <c r="W181" s="15"/>
      <c r="X181" s="15"/>
      <c r="Y181" s="15"/>
      <c r="Z181" s="15">
        <f t="shared" si="2"/>
        <v>750.75</v>
      </c>
      <c r="AA181" s="20"/>
      <c r="AB181" s="21"/>
    </row>
    <row r="182" spans="1:28" ht="165.75" thickBot="1" x14ac:dyDescent="0.3">
      <c r="A182" s="14">
        <v>170</v>
      </c>
      <c r="B182" s="13" t="s">
        <v>218</v>
      </c>
      <c r="C182" s="13" t="s">
        <v>219</v>
      </c>
      <c r="D182" s="15">
        <f>[1]Лист4!D173</f>
        <v>12180</v>
      </c>
      <c r="E182" s="15">
        <f>[2]Лист4!D174</f>
        <v>16470</v>
      </c>
      <c r="F182" s="15">
        <f>[3]Лист4!D174</f>
        <v>15000</v>
      </c>
      <c r="G182" s="16">
        <f>[4]Лист4!D173</f>
        <v>14175</v>
      </c>
      <c r="H182" s="15"/>
      <c r="I182" s="15"/>
      <c r="J182" s="15"/>
      <c r="K182" s="15"/>
      <c r="L182" s="15"/>
      <c r="M182" s="15"/>
      <c r="N182" s="15"/>
      <c r="O182" s="15"/>
      <c r="P182" s="15"/>
      <c r="Q182" s="15"/>
      <c r="R182" s="15"/>
      <c r="S182" s="15"/>
      <c r="T182" s="15"/>
      <c r="U182" s="15"/>
      <c r="V182" s="15"/>
      <c r="W182" s="15"/>
      <c r="X182" s="15"/>
      <c r="Y182" s="15"/>
      <c r="Z182" s="15">
        <f t="shared" si="2"/>
        <v>12180</v>
      </c>
      <c r="AA182" s="20"/>
      <c r="AB182" s="21"/>
    </row>
    <row r="183" spans="1:28" ht="90.75" thickBot="1" x14ac:dyDescent="0.3">
      <c r="A183" s="14">
        <v>171</v>
      </c>
      <c r="B183" s="13" t="s">
        <v>220</v>
      </c>
      <c r="C183" s="13" t="s">
        <v>219</v>
      </c>
      <c r="D183" s="15">
        <f>[1]Лист4!D174</f>
        <v>3045</v>
      </c>
      <c r="E183" s="15">
        <f>[2]Лист4!D175</f>
        <v>4514</v>
      </c>
      <c r="F183" s="15">
        <f>[3]Лист4!D175</f>
        <v>3200</v>
      </c>
      <c r="G183" s="16">
        <f>[4]Лист4!D174</f>
        <v>2992.5</v>
      </c>
      <c r="H183" s="15"/>
      <c r="I183" s="15"/>
      <c r="J183" s="15"/>
      <c r="K183" s="15"/>
      <c r="L183" s="15"/>
      <c r="M183" s="15"/>
      <c r="N183" s="15"/>
      <c r="O183" s="15"/>
      <c r="P183" s="15"/>
      <c r="Q183" s="15"/>
      <c r="R183" s="15"/>
      <c r="S183" s="15"/>
      <c r="T183" s="15"/>
      <c r="U183" s="15"/>
      <c r="V183" s="15"/>
      <c r="W183" s="15"/>
      <c r="X183" s="15"/>
      <c r="Y183" s="15"/>
      <c r="Z183" s="15">
        <f t="shared" si="2"/>
        <v>2992.5</v>
      </c>
      <c r="AA183" s="20"/>
      <c r="AB183" s="21"/>
    </row>
    <row r="184" spans="1:28" ht="90.75" thickBot="1" x14ac:dyDescent="0.3">
      <c r="A184" s="14">
        <v>172</v>
      </c>
      <c r="B184" s="13" t="s">
        <v>221</v>
      </c>
      <c r="C184" s="13" t="s">
        <v>219</v>
      </c>
      <c r="D184" s="15">
        <f>[1]Лист4!D175</f>
        <v>3360</v>
      </c>
      <c r="E184" s="15">
        <f>[2]Лист4!D176</f>
        <v>4270</v>
      </c>
      <c r="F184" s="15">
        <f>[3]Лист4!D176</f>
        <v>4500</v>
      </c>
      <c r="G184" s="16">
        <f>[4]Лист4!D175</f>
        <v>4200</v>
      </c>
      <c r="H184" s="15"/>
      <c r="I184" s="15"/>
      <c r="J184" s="15"/>
      <c r="K184" s="15"/>
      <c r="L184" s="15"/>
      <c r="M184" s="15"/>
      <c r="N184" s="15"/>
      <c r="O184" s="15"/>
      <c r="P184" s="15"/>
      <c r="Q184" s="15"/>
      <c r="R184" s="15"/>
      <c r="S184" s="15"/>
      <c r="T184" s="15"/>
      <c r="U184" s="15"/>
      <c r="V184" s="15"/>
      <c r="W184" s="15"/>
      <c r="X184" s="15"/>
      <c r="Y184" s="15"/>
      <c r="Z184" s="15">
        <f t="shared" si="2"/>
        <v>3360</v>
      </c>
      <c r="AA184" s="20"/>
      <c r="AB184" s="21"/>
    </row>
    <row r="185" spans="1:28" ht="135.75" thickBot="1" x14ac:dyDescent="0.3">
      <c r="A185" s="14">
        <v>173</v>
      </c>
      <c r="B185" s="13" t="s">
        <v>222</v>
      </c>
      <c r="C185" s="13" t="s">
        <v>219</v>
      </c>
      <c r="D185" s="15">
        <f>[1]Лист4!D176</f>
        <v>3675</v>
      </c>
      <c r="E185" s="15">
        <f>[2]Лист4!D177</f>
        <v>4880</v>
      </c>
      <c r="F185" s="15">
        <f>[3]Лист4!D177</f>
        <v>4000</v>
      </c>
      <c r="G185" s="16">
        <f>[4]Лист4!D176</f>
        <v>4200</v>
      </c>
      <c r="H185" s="15"/>
      <c r="I185" s="15"/>
      <c r="J185" s="15"/>
      <c r="K185" s="15"/>
      <c r="L185" s="15"/>
      <c r="M185" s="15"/>
      <c r="N185" s="15"/>
      <c r="O185" s="15"/>
      <c r="P185" s="15"/>
      <c r="Q185" s="15"/>
      <c r="R185" s="15"/>
      <c r="S185" s="15"/>
      <c r="T185" s="15"/>
      <c r="U185" s="15"/>
      <c r="V185" s="15"/>
      <c r="W185" s="15"/>
      <c r="X185" s="15"/>
      <c r="Y185" s="15"/>
      <c r="Z185" s="15">
        <f t="shared" si="2"/>
        <v>3675</v>
      </c>
      <c r="AA185" s="20"/>
      <c r="AB185" s="21"/>
    </row>
    <row r="186" spans="1:28" ht="63" customHeight="1" thickBot="1" x14ac:dyDescent="0.3">
      <c r="A186" s="14">
        <v>174</v>
      </c>
      <c r="B186" s="13" t="s">
        <v>223</v>
      </c>
      <c r="C186" s="13" t="s">
        <v>219</v>
      </c>
      <c r="D186" s="15">
        <f>[1]Лист4!D177</f>
        <v>2625</v>
      </c>
      <c r="E186" s="15">
        <f>[2]Лист4!D178</f>
        <v>3660</v>
      </c>
      <c r="F186" s="15">
        <f>[3]Лист4!D178</f>
        <v>3000</v>
      </c>
      <c r="G186" s="16">
        <f>[4]Лист4!D177</f>
        <v>3045</v>
      </c>
      <c r="H186" s="15"/>
      <c r="I186" s="15"/>
      <c r="J186" s="15"/>
      <c r="K186" s="15"/>
      <c r="L186" s="15"/>
      <c r="M186" s="15"/>
      <c r="N186" s="15"/>
      <c r="O186" s="15"/>
      <c r="P186" s="15"/>
      <c r="Q186" s="15"/>
      <c r="R186" s="15"/>
      <c r="S186" s="15"/>
      <c r="T186" s="15"/>
      <c r="U186" s="15"/>
      <c r="V186" s="15"/>
      <c r="W186" s="15"/>
      <c r="X186" s="15"/>
      <c r="Y186" s="15"/>
      <c r="Z186" s="15">
        <f t="shared" si="2"/>
        <v>2625</v>
      </c>
      <c r="AA186" s="20"/>
      <c r="AB186" s="21"/>
    </row>
    <row r="187" spans="1:28" ht="90.75" thickBot="1" x14ac:dyDescent="0.3">
      <c r="A187" s="14">
        <v>175</v>
      </c>
      <c r="B187" s="13" t="s">
        <v>224</v>
      </c>
      <c r="C187" s="13" t="s">
        <v>219</v>
      </c>
      <c r="D187" s="15">
        <f>[1]Лист4!D178</f>
        <v>2730</v>
      </c>
      <c r="E187" s="15">
        <f>[2]Лист4!D179</f>
        <v>3660</v>
      </c>
      <c r="F187" s="15">
        <f>[3]Лист4!D179</f>
        <v>3000</v>
      </c>
      <c r="G187" s="16">
        <f>[4]Лист4!D178</f>
        <v>2625</v>
      </c>
      <c r="H187" s="15"/>
      <c r="I187" s="15"/>
      <c r="J187" s="15"/>
      <c r="K187" s="15"/>
      <c r="L187" s="15"/>
      <c r="M187" s="15"/>
      <c r="N187" s="15"/>
      <c r="O187" s="15"/>
      <c r="P187" s="15"/>
      <c r="Q187" s="15"/>
      <c r="R187" s="15"/>
      <c r="S187" s="15"/>
      <c r="T187" s="15"/>
      <c r="U187" s="15"/>
      <c r="V187" s="15"/>
      <c r="W187" s="15"/>
      <c r="X187" s="15"/>
      <c r="Y187" s="15"/>
      <c r="Z187" s="15">
        <f t="shared" si="2"/>
        <v>2625</v>
      </c>
      <c r="AA187" s="20"/>
      <c r="AB187" s="21"/>
    </row>
    <row r="188" spans="1:28" ht="90.75" thickBot="1" x14ac:dyDescent="0.3">
      <c r="A188" s="14">
        <v>176</v>
      </c>
      <c r="B188" s="13" t="s">
        <v>225</v>
      </c>
      <c r="C188" s="13" t="s">
        <v>219</v>
      </c>
      <c r="D188" s="15">
        <f>[1]Лист4!D179</f>
        <v>2782.5</v>
      </c>
      <c r="E188" s="15">
        <f>[2]Лист4!D180</f>
        <v>3660</v>
      </c>
      <c r="F188" s="15">
        <f>[3]Лист4!D180</f>
        <v>2600</v>
      </c>
      <c r="G188" s="16">
        <f>[4]Лист4!D179</f>
        <v>3465</v>
      </c>
      <c r="H188" s="15"/>
      <c r="I188" s="15"/>
      <c r="J188" s="15"/>
      <c r="K188" s="15"/>
      <c r="L188" s="15"/>
      <c r="M188" s="15"/>
      <c r="N188" s="15"/>
      <c r="O188" s="15"/>
      <c r="P188" s="15"/>
      <c r="Q188" s="15"/>
      <c r="R188" s="15"/>
      <c r="S188" s="15"/>
      <c r="T188" s="15"/>
      <c r="U188" s="15"/>
      <c r="V188" s="15"/>
      <c r="W188" s="15"/>
      <c r="X188" s="15"/>
      <c r="Y188" s="15"/>
      <c r="Z188" s="15">
        <f t="shared" si="2"/>
        <v>2600</v>
      </c>
      <c r="AA188" s="20"/>
      <c r="AB188" s="21"/>
    </row>
    <row r="189" spans="1:28" ht="120.75" thickBot="1" x14ac:dyDescent="0.3">
      <c r="A189" s="14">
        <v>177</v>
      </c>
      <c r="B189" s="13" t="s">
        <v>226</v>
      </c>
      <c r="C189" s="13" t="s">
        <v>219</v>
      </c>
      <c r="D189" s="15">
        <f>[1]Лист4!D180</f>
        <v>3412.5</v>
      </c>
      <c r="E189" s="15">
        <f>[2]Лист4!D181</f>
        <v>4636</v>
      </c>
      <c r="F189" s="15">
        <f>[3]Лист4!D181</f>
        <v>4500</v>
      </c>
      <c r="G189" s="16">
        <f>[4]Лист4!D180</f>
        <v>4200</v>
      </c>
      <c r="H189" s="15"/>
      <c r="I189" s="15"/>
      <c r="J189" s="15"/>
      <c r="K189" s="15"/>
      <c r="L189" s="15"/>
      <c r="M189" s="15"/>
      <c r="N189" s="15"/>
      <c r="O189" s="15"/>
      <c r="P189" s="15"/>
      <c r="Q189" s="15"/>
      <c r="R189" s="15"/>
      <c r="S189" s="15"/>
      <c r="T189" s="15"/>
      <c r="U189" s="15"/>
      <c r="V189" s="15"/>
      <c r="W189" s="15"/>
      <c r="X189" s="15"/>
      <c r="Y189" s="15"/>
      <c r="Z189" s="15">
        <f t="shared" si="2"/>
        <v>3412.5</v>
      </c>
      <c r="AA189" s="20"/>
      <c r="AB189" s="21"/>
    </row>
    <row r="190" spans="1:28" ht="63" customHeight="1" thickBot="1" x14ac:dyDescent="0.3">
      <c r="A190" s="14">
        <v>178</v>
      </c>
      <c r="B190" s="13" t="s">
        <v>227</v>
      </c>
      <c r="C190" s="13" t="s">
        <v>219</v>
      </c>
      <c r="D190" s="15">
        <f>[1]Лист4!D181</f>
        <v>2730</v>
      </c>
      <c r="E190" s="15">
        <f>[2]Лист4!D182</f>
        <v>3660</v>
      </c>
      <c r="F190" s="15">
        <f>[3]Лист4!D182</f>
        <v>3000</v>
      </c>
      <c r="G190" s="16">
        <f>[4]Лист4!D181</f>
        <v>3150</v>
      </c>
      <c r="H190" s="15"/>
      <c r="I190" s="15"/>
      <c r="J190" s="15"/>
      <c r="K190" s="15"/>
      <c r="L190" s="15"/>
      <c r="M190" s="15"/>
      <c r="N190" s="15"/>
      <c r="O190" s="15"/>
      <c r="P190" s="15"/>
      <c r="Q190" s="15"/>
      <c r="R190" s="15"/>
      <c r="S190" s="15"/>
      <c r="T190" s="15"/>
      <c r="U190" s="15"/>
      <c r="V190" s="15"/>
      <c r="W190" s="15"/>
      <c r="X190" s="15"/>
      <c r="Y190" s="15"/>
      <c r="Z190" s="15">
        <f t="shared" si="2"/>
        <v>2730</v>
      </c>
      <c r="AA190" s="20"/>
      <c r="AB190" s="21"/>
    </row>
    <row r="191" spans="1:28" ht="105.75" thickBot="1" x14ac:dyDescent="0.3">
      <c r="A191" s="14">
        <v>179</v>
      </c>
      <c r="B191" s="13" t="s">
        <v>228</v>
      </c>
      <c r="C191" s="13" t="s">
        <v>219</v>
      </c>
      <c r="D191" s="15">
        <f>[1]Лист4!D182</f>
        <v>3202.5</v>
      </c>
      <c r="E191" s="15">
        <f>[2]Лист4!D183</f>
        <v>4270</v>
      </c>
      <c r="F191" s="15">
        <f>[3]Лист4!D183</f>
        <v>3500</v>
      </c>
      <c r="G191" s="16">
        <f>[4]Лист4!D182</f>
        <v>3255</v>
      </c>
      <c r="H191" s="15"/>
      <c r="I191" s="15"/>
      <c r="J191" s="15"/>
      <c r="K191" s="15"/>
      <c r="L191" s="15"/>
      <c r="M191" s="15"/>
      <c r="N191" s="15"/>
      <c r="O191" s="15"/>
      <c r="P191" s="15"/>
      <c r="Q191" s="15"/>
      <c r="R191" s="15"/>
      <c r="S191" s="15"/>
      <c r="T191" s="15"/>
      <c r="U191" s="15"/>
      <c r="V191" s="15"/>
      <c r="W191" s="15"/>
      <c r="X191" s="15"/>
      <c r="Y191" s="15"/>
      <c r="Z191" s="15">
        <f t="shared" si="2"/>
        <v>3202.5</v>
      </c>
      <c r="AA191" s="20"/>
      <c r="AB191" s="21"/>
    </row>
    <row r="192" spans="1:28" ht="90.75" thickBot="1" x14ac:dyDescent="0.3">
      <c r="A192" s="14">
        <v>180</v>
      </c>
      <c r="B192" s="13" t="s">
        <v>229</v>
      </c>
      <c r="C192" s="13" t="s">
        <v>219</v>
      </c>
      <c r="D192" s="15">
        <f>[1]Лист4!D183</f>
        <v>4515</v>
      </c>
      <c r="E192" s="15">
        <f>[2]Лист4!D184</f>
        <v>6100</v>
      </c>
      <c r="F192" s="15">
        <f>[3]Лист4!D184</f>
        <v>4500</v>
      </c>
      <c r="G192" s="16">
        <f>[4]Лист4!D183</f>
        <v>4935</v>
      </c>
      <c r="H192" s="15"/>
      <c r="I192" s="15"/>
      <c r="J192" s="15"/>
      <c r="K192" s="15"/>
      <c r="L192" s="15"/>
      <c r="M192" s="15"/>
      <c r="N192" s="15"/>
      <c r="O192" s="15"/>
      <c r="P192" s="15"/>
      <c r="Q192" s="15"/>
      <c r="R192" s="15"/>
      <c r="S192" s="15"/>
      <c r="T192" s="15"/>
      <c r="U192" s="15"/>
      <c r="V192" s="15"/>
      <c r="W192" s="15"/>
      <c r="X192" s="15"/>
      <c r="Y192" s="15"/>
      <c r="Z192" s="15">
        <f t="shared" si="2"/>
        <v>4500</v>
      </c>
      <c r="AA192" s="20"/>
      <c r="AB192" s="21"/>
    </row>
    <row r="193" spans="1:28" ht="63" customHeight="1" thickBot="1" x14ac:dyDescent="0.3">
      <c r="A193" s="14">
        <v>181</v>
      </c>
      <c r="B193" s="13" t="s">
        <v>230</v>
      </c>
      <c r="C193" s="13" t="s">
        <v>219</v>
      </c>
      <c r="D193" s="15">
        <f>[1]Лист4!D184</f>
        <v>1102.5</v>
      </c>
      <c r="E193" s="15">
        <f>[2]Лист4!D185</f>
        <v>1464</v>
      </c>
      <c r="F193" s="15">
        <f>[3]Лист4!D185</f>
        <v>1200</v>
      </c>
      <c r="G193" s="16">
        <f>[4]Лист4!D184</f>
        <v>1260</v>
      </c>
      <c r="H193" s="15"/>
      <c r="I193" s="15"/>
      <c r="J193" s="15"/>
      <c r="K193" s="15"/>
      <c r="L193" s="15"/>
      <c r="M193" s="15"/>
      <c r="N193" s="15"/>
      <c r="O193" s="15"/>
      <c r="P193" s="15"/>
      <c r="Q193" s="15"/>
      <c r="R193" s="15"/>
      <c r="S193" s="15"/>
      <c r="T193" s="15"/>
      <c r="U193" s="15"/>
      <c r="V193" s="15"/>
      <c r="W193" s="15"/>
      <c r="X193" s="15"/>
      <c r="Y193" s="15"/>
      <c r="Z193" s="15">
        <f t="shared" si="2"/>
        <v>1102.5</v>
      </c>
      <c r="AA193" s="20"/>
      <c r="AB193" s="21"/>
    </row>
    <row r="194" spans="1:28" ht="180.75" thickBot="1" x14ac:dyDescent="0.3">
      <c r="A194" s="14">
        <v>182</v>
      </c>
      <c r="B194" s="13" t="s">
        <v>231</v>
      </c>
      <c r="C194" s="13" t="s">
        <v>219</v>
      </c>
      <c r="D194" s="15">
        <f>[1]Лист4!D185</f>
        <v>7665</v>
      </c>
      <c r="E194" s="15">
        <f>[2]Лист4!D186</f>
        <v>10370</v>
      </c>
      <c r="F194" s="15">
        <f>[3]Лист4!D186</f>
        <v>8000</v>
      </c>
      <c r="G194" s="16">
        <f>[4]Лист4!D185</f>
        <v>8190</v>
      </c>
      <c r="H194" s="15"/>
      <c r="I194" s="15"/>
      <c r="J194" s="15"/>
      <c r="K194" s="15"/>
      <c r="L194" s="15"/>
      <c r="M194" s="15"/>
      <c r="N194" s="15"/>
      <c r="O194" s="15"/>
      <c r="P194" s="15"/>
      <c r="Q194" s="15"/>
      <c r="R194" s="15"/>
      <c r="S194" s="15"/>
      <c r="T194" s="15"/>
      <c r="U194" s="15"/>
      <c r="V194" s="15"/>
      <c r="W194" s="15"/>
      <c r="X194" s="15"/>
      <c r="Y194" s="15"/>
      <c r="Z194" s="15">
        <f t="shared" si="2"/>
        <v>7665</v>
      </c>
      <c r="AA194" s="20"/>
      <c r="AB194" s="21"/>
    </row>
    <row r="195" spans="1:28" ht="105.75" thickBot="1" x14ac:dyDescent="0.3">
      <c r="A195" s="14">
        <v>183</v>
      </c>
      <c r="B195" s="13" t="s">
        <v>232</v>
      </c>
      <c r="C195" s="13" t="s">
        <v>219</v>
      </c>
      <c r="D195" s="15">
        <f>[1]Лист4!D186</f>
        <v>6405</v>
      </c>
      <c r="E195" s="15">
        <f>[2]Лист4!D187</f>
        <v>10980</v>
      </c>
      <c r="F195" s="15">
        <f>[3]Лист4!D187</f>
        <v>6000</v>
      </c>
      <c r="G195" s="16">
        <f>[4]Лист4!D186</f>
        <v>8190</v>
      </c>
      <c r="H195" s="15"/>
      <c r="I195" s="15"/>
      <c r="J195" s="15"/>
      <c r="K195" s="15"/>
      <c r="L195" s="15"/>
      <c r="M195" s="15"/>
      <c r="N195" s="15"/>
      <c r="O195" s="15"/>
      <c r="P195" s="15"/>
      <c r="Q195" s="15"/>
      <c r="R195" s="15"/>
      <c r="S195" s="15"/>
      <c r="T195" s="15"/>
      <c r="U195" s="15"/>
      <c r="V195" s="15"/>
      <c r="W195" s="15"/>
      <c r="X195" s="15"/>
      <c r="Y195" s="15"/>
      <c r="Z195" s="15">
        <f t="shared" si="2"/>
        <v>6000</v>
      </c>
      <c r="AA195" s="20"/>
      <c r="AB195" s="21"/>
    </row>
    <row r="196" spans="1:28" ht="195.75" thickBot="1" x14ac:dyDescent="0.3">
      <c r="A196" s="14">
        <v>184</v>
      </c>
      <c r="B196" s="13" t="s">
        <v>233</v>
      </c>
      <c r="C196" s="13" t="s">
        <v>219</v>
      </c>
      <c r="D196" s="15">
        <f>[1]Лист4!D187</f>
        <v>9870</v>
      </c>
      <c r="E196" s="15">
        <f>[2]Лист4!D188</f>
        <v>13420</v>
      </c>
      <c r="F196" s="15">
        <f>[3]Лист4!D188</f>
        <v>10000</v>
      </c>
      <c r="G196" s="16">
        <f>[4]Лист4!D187</f>
        <v>11550</v>
      </c>
      <c r="H196" s="15"/>
      <c r="I196" s="15"/>
      <c r="J196" s="15"/>
      <c r="K196" s="15"/>
      <c r="L196" s="15"/>
      <c r="M196" s="15"/>
      <c r="N196" s="15"/>
      <c r="O196" s="15"/>
      <c r="P196" s="15"/>
      <c r="Q196" s="15"/>
      <c r="R196" s="15"/>
      <c r="S196" s="15"/>
      <c r="T196" s="15"/>
      <c r="U196" s="15"/>
      <c r="V196" s="15"/>
      <c r="W196" s="15"/>
      <c r="X196" s="15"/>
      <c r="Y196" s="15"/>
      <c r="Z196" s="15">
        <f t="shared" si="2"/>
        <v>9870</v>
      </c>
      <c r="AA196" s="20"/>
      <c r="AB196" s="21"/>
    </row>
    <row r="197" spans="1:28" ht="135.75" thickBot="1" x14ac:dyDescent="0.3">
      <c r="A197" s="14">
        <v>185</v>
      </c>
      <c r="B197" s="13" t="s">
        <v>234</v>
      </c>
      <c r="C197" s="13" t="s">
        <v>219</v>
      </c>
      <c r="D197" s="15">
        <f>[1]Лист4!D188</f>
        <v>7665</v>
      </c>
      <c r="E197" s="15">
        <f>[2]Лист4!D189</f>
        <v>10980</v>
      </c>
      <c r="F197" s="15">
        <f>[3]Лист4!D189</f>
        <v>8000</v>
      </c>
      <c r="G197" s="16">
        <f>[4]Лист4!D188</f>
        <v>8925</v>
      </c>
      <c r="H197" s="15"/>
      <c r="I197" s="15"/>
      <c r="J197" s="15"/>
      <c r="K197" s="15"/>
      <c r="L197" s="15"/>
      <c r="M197" s="15"/>
      <c r="N197" s="15"/>
      <c r="O197" s="15"/>
      <c r="P197" s="15"/>
      <c r="Q197" s="15"/>
      <c r="R197" s="15"/>
      <c r="S197" s="15"/>
      <c r="T197" s="15"/>
      <c r="U197" s="15"/>
      <c r="V197" s="15"/>
      <c r="W197" s="15"/>
      <c r="X197" s="15"/>
      <c r="Y197" s="15"/>
      <c r="Z197" s="15">
        <f t="shared" si="2"/>
        <v>7665</v>
      </c>
      <c r="AA197" s="20"/>
      <c r="AB197" s="21"/>
    </row>
    <row r="198" spans="1:28" ht="210.75" thickBot="1" x14ac:dyDescent="0.3">
      <c r="A198" s="14">
        <v>186</v>
      </c>
      <c r="B198" s="13" t="s">
        <v>235</v>
      </c>
      <c r="C198" s="13" t="s">
        <v>219</v>
      </c>
      <c r="D198" s="15">
        <f>[1]Лист4!D189</f>
        <v>7192.5</v>
      </c>
      <c r="E198" s="15">
        <f>[2]Лист4!D190</f>
        <v>9760</v>
      </c>
      <c r="F198" s="15">
        <f>[3]Лист4!D190</f>
        <v>8000</v>
      </c>
      <c r="G198" s="16">
        <f>[4]Лист4!D189</f>
        <v>8925</v>
      </c>
      <c r="H198" s="15"/>
      <c r="I198" s="15"/>
      <c r="J198" s="15"/>
      <c r="K198" s="15"/>
      <c r="L198" s="15"/>
      <c r="M198" s="15"/>
      <c r="N198" s="15"/>
      <c r="O198" s="15"/>
      <c r="P198" s="15"/>
      <c r="Q198" s="15"/>
      <c r="R198" s="15"/>
      <c r="S198" s="15"/>
      <c r="T198" s="15"/>
      <c r="U198" s="15"/>
      <c r="V198" s="15"/>
      <c r="W198" s="15"/>
      <c r="X198" s="15"/>
      <c r="Y198" s="15"/>
      <c r="Z198" s="15">
        <f t="shared" si="2"/>
        <v>7192.5</v>
      </c>
      <c r="AA198" s="20"/>
      <c r="AB198" s="21"/>
    </row>
    <row r="199" spans="1:28" ht="120.75" thickBot="1" x14ac:dyDescent="0.3">
      <c r="A199" s="14">
        <v>187</v>
      </c>
      <c r="B199" s="13" t="s">
        <v>236</v>
      </c>
      <c r="C199" s="13" t="s">
        <v>219</v>
      </c>
      <c r="D199" s="15">
        <f>[1]Лист4!D190</f>
        <v>5040</v>
      </c>
      <c r="E199" s="15">
        <f>[2]Лист4!D191</f>
        <v>6710</v>
      </c>
      <c r="F199" s="15">
        <f>[3]Лист4!D191</f>
        <v>5000</v>
      </c>
      <c r="G199" s="16">
        <f>[4]Лист4!D190</f>
        <v>5775</v>
      </c>
      <c r="H199" s="15"/>
      <c r="I199" s="15"/>
      <c r="J199" s="15"/>
      <c r="K199" s="15"/>
      <c r="L199" s="15"/>
      <c r="M199" s="15"/>
      <c r="N199" s="15"/>
      <c r="O199" s="15"/>
      <c r="P199" s="15"/>
      <c r="Q199" s="15"/>
      <c r="R199" s="15"/>
      <c r="S199" s="15"/>
      <c r="T199" s="15"/>
      <c r="U199" s="15"/>
      <c r="V199" s="15"/>
      <c r="W199" s="15"/>
      <c r="X199" s="15"/>
      <c r="Y199" s="15"/>
      <c r="Z199" s="15">
        <f t="shared" si="2"/>
        <v>5000</v>
      </c>
      <c r="AA199" s="20"/>
      <c r="AB199" s="21"/>
    </row>
    <row r="200" spans="1:28" ht="165.75" thickBot="1" x14ac:dyDescent="0.3">
      <c r="A200" s="14">
        <v>188</v>
      </c>
      <c r="B200" s="13" t="s">
        <v>237</v>
      </c>
      <c r="C200" s="13" t="s">
        <v>219</v>
      </c>
      <c r="D200" s="15">
        <f>[1]Лист4!D191</f>
        <v>3570</v>
      </c>
      <c r="E200" s="15">
        <f>[2]Лист4!D192</f>
        <v>4758</v>
      </c>
      <c r="F200" s="15">
        <f>[3]Лист4!D192</f>
        <v>3500</v>
      </c>
      <c r="G200" s="16">
        <f>[4]Лист4!D191</f>
        <v>3465</v>
      </c>
      <c r="H200" s="15"/>
      <c r="I200" s="15"/>
      <c r="J200" s="15"/>
      <c r="K200" s="15"/>
      <c r="L200" s="15"/>
      <c r="M200" s="15"/>
      <c r="N200" s="15"/>
      <c r="O200" s="15"/>
      <c r="P200" s="15"/>
      <c r="Q200" s="15"/>
      <c r="R200" s="15"/>
      <c r="S200" s="15"/>
      <c r="T200" s="15"/>
      <c r="U200" s="15"/>
      <c r="V200" s="15"/>
      <c r="W200" s="15"/>
      <c r="X200" s="15"/>
      <c r="Y200" s="15"/>
      <c r="Z200" s="15">
        <f t="shared" si="2"/>
        <v>3465</v>
      </c>
      <c r="AA200" s="20"/>
      <c r="AB200" s="21"/>
    </row>
    <row r="201" spans="1:28" ht="210.75" thickBot="1" x14ac:dyDescent="0.3">
      <c r="A201" s="14">
        <v>189</v>
      </c>
      <c r="B201" s="13" t="s">
        <v>238</v>
      </c>
      <c r="C201" s="13" t="s">
        <v>219</v>
      </c>
      <c r="D201" s="15">
        <f>[1]Лист4!D192</f>
        <v>5250</v>
      </c>
      <c r="E201" s="15">
        <f>[2]Лист4!D193</f>
        <v>6710</v>
      </c>
      <c r="F201" s="15">
        <f>[3]Лист4!D193</f>
        <v>5500</v>
      </c>
      <c r="G201" s="16">
        <f>[4]Лист4!D192</f>
        <v>6300</v>
      </c>
      <c r="H201" s="15"/>
      <c r="I201" s="15"/>
      <c r="J201" s="15"/>
      <c r="K201" s="15"/>
      <c r="L201" s="15"/>
      <c r="M201" s="15"/>
      <c r="N201" s="15"/>
      <c r="O201" s="15"/>
      <c r="P201" s="15"/>
      <c r="Q201" s="15"/>
      <c r="R201" s="15"/>
      <c r="S201" s="15"/>
      <c r="T201" s="15"/>
      <c r="U201" s="15"/>
      <c r="V201" s="15"/>
      <c r="W201" s="15"/>
      <c r="X201" s="15"/>
      <c r="Y201" s="15"/>
      <c r="Z201" s="15">
        <f t="shared" si="2"/>
        <v>5250</v>
      </c>
      <c r="AA201" s="20"/>
      <c r="AB201" s="21"/>
    </row>
    <row r="202" spans="1:28" ht="180.75" thickBot="1" x14ac:dyDescent="0.3">
      <c r="A202" s="14">
        <v>190</v>
      </c>
      <c r="B202" s="13" t="s">
        <v>239</v>
      </c>
      <c r="C202" s="13" t="s">
        <v>219</v>
      </c>
      <c r="D202" s="15">
        <f>[1]Лист4!D193</f>
        <v>6142.5</v>
      </c>
      <c r="E202" s="15">
        <f>[2]Лист4!D194</f>
        <v>8296</v>
      </c>
      <c r="F202" s="15">
        <f>[3]Лист4!D194</f>
        <v>7000</v>
      </c>
      <c r="G202" s="16">
        <f>[4]Лист4!D193</f>
        <v>7350</v>
      </c>
      <c r="H202" s="15"/>
      <c r="I202" s="15"/>
      <c r="J202" s="15"/>
      <c r="K202" s="15"/>
      <c r="L202" s="15"/>
      <c r="M202" s="15"/>
      <c r="N202" s="15"/>
      <c r="O202" s="15"/>
      <c r="P202" s="15"/>
      <c r="Q202" s="15"/>
      <c r="R202" s="15"/>
      <c r="S202" s="15"/>
      <c r="T202" s="15"/>
      <c r="U202" s="15"/>
      <c r="V202" s="15"/>
      <c r="W202" s="15"/>
      <c r="X202" s="15"/>
      <c r="Y202" s="15"/>
      <c r="Z202" s="15">
        <f t="shared" si="2"/>
        <v>6142.5</v>
      </c>
      <c r="AA202" s="20"/>
      <c r="AB202" s="21"/>
    </row>
    <row r="203" spans="1:28" ht="63" customHeight="1" thickBot="1" x14ac:dyDescent="0.3">
      <c r="A203" s="14">
        <v>191</v>
      </c>
      <c r="B203" s="13" t="s">
        <v>240</v>
      </c>
      <c r="C203" s="13" t="s">
        <v>241</v>
      </c>
      <c r="D203" s="15">
        <f>[1]Лист4!D194</f>
        <v>346.5</v>
      </c>
      <c r="E203" s="15">
        <f>[2]Лист4!D195</f>
        <v>488</v>
      </c>
      <c r="F203" s="15">
        <f>[3]Лист4!D195</f>
        <v>350</v>
      </c>
      <c r="G203" s="16">
        <f>[4]Лист4!D194</f>
        <v>420</v>
      </c>
      <c r="H203" s="15"/>
      <c r="I203" s="15"/>
      <c r="J203" s="15"/>
      <c r="K203" s="15"/>
      <c r="L203" s="15"/>
      <c r="M203" s="15"/>
      <c r="N203" s="15"/>
      <c r="O203" s="15"/>
      <c r="P203" s="15"/>
      <c r="Q203" s="15"/>
      <c r="R203" s="15"/>
      <c r="S203" s="15"/>
      <c r="T203" s="15"/>
      <c r="U203" s="15"/>
      <c r="V203" s="15"/>
      <c r="W203" s="15"/>
      <c r="X203" s="15"/>
      <c r="Y203" s="15"/>
      <c r="Z203" s="15">
        <f t="shared" si="2"/>
        <v>346.5</v>
      </c>
      <c r="AA203" s="20"/>
      <c r="AB203" s="21"/>
    </row>
    <row r="204" spans="1:28" ht="63" customHeight="1" thickBot="1" x14ac:dyDescent="0.3">
      <c r="A204" s="14">
        <v>192</v>
      </c>
      <c r="B204" s="13" t="s">
        <v>242</v>
      </c>
      <c r="C204" s="13" t="s">
        <v>241</v>
      </c>
      <c r="D204" s="15">
        <f>[1]Лист4!D195</f>
        <v>381.15000000000003</v>
      </c>
      <c r="E204" s="15">
        <f>[2]Лист4!D196</f>
        <v>549</v>
      </c>
      <c r="F204" s="15">
        <f>[3]Лист4!D196</f>
        <v>500</v>
      </c>
      <c r="G204" s="16">
        <f>[4]Лист4!D195</f>
        <v>420</v>
      </c>
      <c r="H204" s="15"/>
      <c r="I204" s="15"/>
      <c r="J204" s="15"/>
      <c r="K204" s="15"/>
      <c r="L204" s="15"/>
      <c r="M204" s="15"/>
      <c r="N204" s="15"/>
      <c r="O204" s="15"/>
      <c r="P204" s="15"/>
      <c r="Q204" s="15"/>
      <c r="R204" s="15"/>
      <c r="S204" s="15"/>
      <c r="T204" s="15"/>
      <c r="U204" s="15"/>
      <c r="V204" s="15"/>
      <c r="W204" s="15"/>
      <c r="X204" s="15"/>
      <c r="Y204" s="15"/>
      <c r="Z204" s="15">
        <f t="shared" si="2"/>
        <v>381.15000000000003</v>
      </c>
      <c r="AA204" s="20"/>
      <c r="AB204" s="21"/>
    </row>
    <row r="205" spans="1:28" ht="63" customHeight="1" thickBot="1" x14ac:dyDescent="0.3">
      <c r="A205" s="14">
        <v>193</v>
      </c>
      <c r="B205" s="13" t="s">
        <v>243</v>
      </c>
      <c r="C205" s="13" t="s">
        <v>241</v>
      </c>
      <c r="D205" s="15">
        <f>[1]Лист4!D196</f>
        <v>288.75</v>
      </c>
      <c r="E205" s="15">
        <f>[2]Лист4!D197</f>
        <v>427</v>
      </c>
      <c r="F205" s="15">
        <f>[3]Лист4!D197</f>
        <v>350</v>
      </c>
      <c r="G205" s="16">
        <f>[4]Лист4!D196</f>
        <v>420</v>
      </c>
      <c r="H205" s="15"/>
      <c r="I205" s="15"/>
      <c r="J205" s="15"/>
      <c r="K205" s="15"/>
      <c r="L205" s="15"/>
      <c r="M205" s="15"/>
      <c r="N205" s="15"/>
      <c r="O205" s="15"/>
      <c r="P205" s="15"/>
      <c r="Q205" s="15"/>
      <c r="R205" s="15"/>
      <c r="S205" s="15"/>
      <c r="T205" s="15"/>
      <c r="U205" s="15"/>
      <c r="V205" s="15"/>
      <c r="W205" s="15"/>
      <c r="X205" s="15"/>
      <c r="Y205" s="15"/>
      <c r="Z205" s="15">
        <f t="shared" si="2"/>
        <v>288.75</v>
      </c>
      <c r="AA205" s="20"/>
      <c r="AB205" s="21"/>
    </row>
    <row r="206" spans="1:28" ht="63" customHeight="1" thickBot="1" x14ac:dyDescent="0.3">
      <c r="A206" s="14">
        <v>194</v>
      </c>
      <c r="B206" s="13" t="s">
        <v>244</v>
      </c>
      <c r="C206" s="13" t="s">
        <v>241</v>
      </c>
      <c r="D206" s="15">
        <f>[1]Лист4!D197</f>
        <v>381.15000000000003</v>
      </c>
      <c r="E206" s="15">
        <f>[2]Лист4!D198</f>
        <v>488</v>
      </c>
      <c r="F206" s="15">
        <f>[3]Лист4!D198</f>
        <v>500</v>
      </c>
      <c r="G206" s="16">
        <f>[4]Лист4!D197</f>
        <v>420</v>
      </c>
      <c r="H206" s="15"/>
      <c r="I206" s="15"/>
      <c r="J206" s="15"/>
      <c r="K206" s="15"/>
      <c r="L206" s="15"/>
      <c r="M206" s="15"/>
      <c r="N206" s="15"/>
      <c r="O206" s="15"/>
      <c r="P206" s="15"/>
      <c r="Q206" s="15"/>
      <c r="R206" s="15"/>
      <c r="S206" s="15"/>
      <c r="T206" s="15"/>
      <c r="U206" s="15"/>
      <c r="V206" s="15"/>
      <c r="W206" s="15"/>
      <c r="X206" s="15"/>
      <c r="Y206" s="15"/>
      <c r="Z206" s="15">
        <f t="shared" ref="Z206:Z269" si="3">MIN(D206:G206)</f>
        <v>381.15000000000003</v>
      </c>
      <c r="AA206" s="20"/>
      <c r="AB206" s="21"/>
    </row>
    <row r="207" spans="1:28" ht="63" customHeight="1" thickBot="1" x14ac:dyDescent="0.3">
      <c r="A207" s="14">
        <v>195</v>
      </c>
      <c r="B207" s="13" t="s">
        <v>245</v>
      </c>
      <c r="C207" s="13" t="s">
        <v>241</v>
      </c>
      <c r="D207" s="15">
        <f>[1]Лист4!D198</f>
        <v>1732.5</v>
      </c>
      <c r="E207" s="15">
        <f>[2]Лист4!D199</f>
        <v>2440</v>
      </c>
      <c r="F207" s="15">
        <f>[3]Лист4!D199</f>
        <v>2500</v>
      </c>
      <c r="G207" s="16">
        <f>[4]Лист4!D198</f>
        <v>1890</v>
      </c>
      <c r="H207" s="15"/>
      <c r="I207" s="15"/>
      <c r="J207" s="15"/>
      <c r="K207" s="15"/>
      <c r="L207" s="15"/>
      <c r="M207" s="15"/>
      <c r="N207" s="15"/>
      <c r="O207" s="15"/>
      <c r="P207" s="15"/>
      <c r="Q207" s="15"/>
      <c r="R207" s="15"/>
      <c r="S207" s="15"/>
      <c r="T207" s="15"/>
      <c r="U207" s="15"/>
      <c r="V207" s="15"/>
      <c r="W207" s="15"/>
      <c r="X207" s="15"/>
      <c r="Y207" s="15"/>
      <c r="Z207" s="15">
        <f t="shared" si="3"/>
        <v>1732.5</v>
      </c>
      <c r="AA207" s="20"/>
      <c r="AB207" s="21"/>
    </row>
    <row r="208" spans="1:28" ht="63" customHeight="1" thickBot="1" x14ac:dyDescent="0.3">
      <c r="A208" s="14">
        <v>196</v>
      </c>
      <c r="B208" s="13" t="s">
        <v>246</v>
      </c>
      <c r="C208" s="13" t="s">
        <v>241</v>
      </c>
      <c r="D208" s="15">
        <f>[1]Лист4!D199</f>
        <v>288.75</v>
      </c>
      <c r="E208" s="15">
        <f>[2]Лист4!D200</f>
        <v>427</v>
      </c>
      <c r="F208" s="15">
        <f>[3]Лист4!D200</f>
        <v>350</v>
      </c>
      <c r="G208" s="16">
        <f>[4]Лист4!D199</f>
        <v>367.5</v>
      </c>
      <c r="H208" s="15"/>
      <c r="I208" s="15"/>
      <c r="J208" s="15"/>
      <c r="K208" s="15"/>
      <c r="L208" s="15"/>
      <c r="M208" s="15"/>
      <c r="N208" s="15"/>
      <c r="O208" s="15"/>
      <c r="P208" s="15"/>
      <c r="Q208" s="15"/>
      <c r="R208" s="15"/>
      <c r="S208" s="15"/>
      <c r="T208" s="15"/>
      <c r="U208" s="15"/>
      <c r="V208" s="15"/>
      <c r="W208" s="15"/>
      <c r="X208" s="15"/>
      <c r="Y208" s="15"/>
      <c r="Z208" s="15">
        <f t="shared" si="3"/>
        <v>288.75</v>
      </c>
      <c r="AA208" s="20"/>
      <c r="AB208" s="21"/>
    </row>
    <row r="209" spans="1:28" ht="63" customHeight="1" thickBot="1" x14ac:dyDescent="0.3">
      <c r="A209" s="14">
        <v>197</v>
      </c>
      <c r="B209" s="13" t="s">
        <v>247</v>
      </c>
      <c r="C209" s="13" t="s">
        <v>241</v>
      </c>
      <c r="D209" s="15">
        <f>[1]Лист4!D200</f>
        <v>288.75</v>
      </c>
      <c r="E209" s="15">
        <f>[2]Лист4!D201</f>
        <v>390.4</v>
      </c>
      <c r="F209" s="15">
        <f>[3]Лист4!D201</f>
        <v>350</v>
      </c>
      <c r="G209" s="16">
        <f>[4]Лист4!D200</f>
        <v>380</v>
      </c>
      <c r="H209" s="15"/>
      <c r="I209" s="15"/>
      <c r="J209" s="15"/>
      <c r="K209" s="15"/>
      <c r="L209" s="15"/>
      <c r="M209" s="15"/>
      <c r="N209" s="15"/>
      <c r="O209" s="15"/>
      <c r="P209" s="15"/>
      <c r="Q209" s="15"/>
      <c r="R209" s="15"/>
      <c r="S209" s="15"/>
      <c r="T209" s="15"/>
      <c r="U209" s="15"/>
      <c r="V209" s="15"/>
      <c r="W209" s="15"/>
      <c r="X209" s="15"/>
      <c r="Y209" s="15"/>
      <c r="Z209" s="15">
        <f t="shared" si="3"/>
        <v>288.75</v>
      </c>
      <c r="AA209" s="20"/>
      <c r="AB209" s="21"/>
    </row>
    <row r="210" spans="1:28" ht="63" customHeight="1" thickBot="1" x14ac:dyDescent="0.3">
      <c r="A210" s="14">
        <v>198</v>
      </c>
      <c r="B210" s="13" t="s">
        <v>248</v>
      </c>
      <c r="C210" s="13" t="s">
        <v>241</v>
      </c>
      <c r="D210" s="15">
        <f>[1]Лист4!D201</f>
        <v>288.75</v>
      </c>
      <c r="E210" s="15">
        <f>[2]Лист4!D202</f>
        <v>439.2</v>
      </c>
      <c r="F210" s="15">
        <f>[3]Лист4!D202</f>
        <v>350</v>
      </c>
      <c r="G210" s="16">
        <f>[4]Лист4!D201</f>
        <v>400</v>
      </c>
      <c r="H210" s="15"/>
      <c r="I210" s="15"/>
      <c r="J210" s="15"/>
      <c r="K210" s="15"/>
      <c r="L210" s="15"/>
      <c r="M210" s="15"/>
      <c r="N210" s="15"/>
      <c r="O210" s="15"/>
      <c r="P210" s="15"/>
      <c r="Q210" s="15"/>
      <c r="R210" s="15"/>
      <c r="S210" s="15"/>
      <c r="T210" s="15"/>
      <c r="U210" s="15"/>
      <c r="V210" s="15"/>
      <c r="W210" s="15"/>
      <c r="X210" s="15"/>
      <c r="Y210" s="15"/>
      <c r="Z210" s="15">
        <f t="shared" si="3"/>
        <v>288.75</v>
      </c>
      <c r="AA210" s="20"/>
      <c r="AB210" s="21"/>
    </row>
    <row r="211" spans="1:28" ht="63" customHeight="1" thickBot="1" x14ac:dyDescent="0.3">
      <c r="A211" s="14">
        <v>199</v>
      </c>
      <c r="B211" s="13" t="s">
        <v>249</v>
      </c>
      <c r="C211" s="13" t="s">
        <v>241</v>
      </c>
      <c r="D211" s="15">
        <f>[1]Лист4!D202</f>
        <v>519.75</v>
      </c>
      <c r="E211" s="15">
        <f>[2]Лист4!D203</f>
        <v>793</v>
      </c>
      <c r="F211" s="15">
        <f>[3]Лист4!D203</f>
        <v>350</v>
      </c>
      <c r="G211" s="16">
        <f>[4]Лист4!D202</f>
        <v>630</v>
      </c>
      <c r="H211" s="15"/>
      <c r="I211" s="15"/>
      <c r="J211" s="15"/>
      <c r="K211" s="15"/>
      <c r="L211" s="15"/>
      <c r="M211" s="15"/>
      <c r="N211" s="15"/>
      <c r="O211" s="15"/>
      <c r="P211" s="15"/>
      <c r="Q211" s="15"/>
      <c r="R211" s="15"/>
      <c r="S211" s="15"/>
      <c r="T211" s="15"/>
      <c r="U211" s="15"/>
      <c r="V211" s="15"/>
      <c r="W211" s="15"/>
      <c r="X211" s="15"/>
      <c r="Y211" s="15"/>
      <c r="Z211" s="15">
        <f t="shared" si="3"/>
        <v>350</v>
      </c>
      <c r="AA211" s="20"/>
      <c r="AB211" s="21"/>
    </row>
    <row r="212" spans="1:28" ht="63" customHeight="1" thickBot="1" x14ac:dyDescent="0.3">
      <c r="A212" s="14">
        <v>200</v>
      </c>
      <c r="B212" s="13" t="s">
        <v>250</v>
      </c>
      <c r="C212" s="13" t="s">
        <v>241</v>
      </c>
      <c r="D212" s="15">
        <f>[1]Лист4!D203</f>
        <v>381.15000000000003</v>
      </c>
      <c r="E212" s="15">
        <f>[2]Лист4!D204</f>
        <v>512.4</v>
      </c>
      <c r="F212" s="15">
        <f>[3]Лист4!D204</f>
        <v>350</v>
      </c>
      <c r="G212" s="16">
        <f>[4]Лист4!D203</f>
        <v>472.5</v>
      </c>
      <c r="H212" s="15"/>
      <c r="I212" s="15"/>
      <c r="J212" s="15"/>
      <c r="K212" s="15"/>
      <c r="L212" s="15"/>
      <c r="M212" s="15"/>
      <c r="N212" s="15"/>
      <c r="O212" s="15"/>
      <c r="P212" s="15"/>
      <c r="Q212" s="15"/>
      <c r="R212" s="15"/>
      <c r="S212" s="15"/>
      <c r="T212" s="15"/>
      <c r="U212" s="15"/>
      <c r="V212" s="15"/>
      <c r="W212" s="15"/>
      <c r="X212" s="15"/>
      <c r="Y212" s="15"/>
      <c r="Z212" s="15">
        <f t="shared" si="3"/>
        <v>350</v>
      </c>
      <c r="AA212" s="20"/>
      <c r="AB212" s="21"/>
    </row>
    <row r="213" spans="1:28" ht="63" customHeight="1" thickBot="1" x14ac:dyDescent="0.3">
      <c r="A213" s="14">
        <v>201</v>
      </c>
      <c r="B213" s="13" t="s">
        <v>251</v>
      </c>
      <c r="C213" s="13" t="s">
        <v>241</v>
      </c>
      <c r="D213" s="15">
        <f>[1]Лист4!D204</f>
        <v>265.65000000000003</v>
      </c>
      <c r="E213" s="15">
        <f>[2]Лист4!D205</f>
        <v>366</v>
      </c>
      <c r="F213" s="15">
        <f>[3]Лист4!D205</f>
        <v>350</v>
      </c>
      <c r="G213" s="16">
        <f>[4]Лист4!D204</f>
        <v>336</v>
      </c>
      <c r="H213" s="15"/>
      <c r="I213" s="15"/>
      <c r="J213" s="15"/>
      <c r="K213" s="15"/>
      <c r="L213" s="15"/>
      <c r="M213" s="15"/>
      <c r="N213" s="15"/>
      <c r="O213" s="15"/>
      <c r="P213" s="15"/>
      <c r="Q213" s="15"/>
      <c r="R213" s="15"/>
      <c r="S213" s="15"/>
      <c r="T213" s="15"/>
      <c r="U213" s="15"/>
      <c r="V213" s="15"/>
      <c r="W213" s="15"/>
      <c r="X213" s="15"/>
      <c r="Y213" s="15"/>
      <c r="Z213" s="15">
        <f t="shared" si="3"/>
        <v>265.65000000000003</v>
      </c>
      <c r="AA213" s="20"/>
      <c r="AB213" s="21"/>
    </row>
    <row r="214" spans="1:28" ht="63" customHeight="1" thickBot="1" x14ac:dyDescent="0.3">
      <c r="A214" s="14">
        <v>202</v>
      </c>
      <c r="B214" s="13" t="s">
        <v>252</v>
      </c>
      <c r="C214" s="13" t="s">
        <v>241</v>
      </c>
      <c r="D214" s="15">
        <f>[1]Лист4!D205</f>
        <v>265.65000000000003</v>
      </c>
      <c r="E214" s="15">
        <f>[2]Лист4!D206</f>
        <v>451.4</v>
      </c>
      <c r="F214" s="15">
        <f>[3]Лист4!D206</f>
        <v>500</v>
      </c>
      <c r="G214" s="16">
        <f>[4]Лист4!D205</f>
        <v>350</v>
      </c>
      <c r="H214" s="15"/>
      <c r="I214" s="15"/>
      <c r="J214" s="15"/>
      <c r="K214" s="15"/>
      <c r="L214" s="15"/>
      <c r="M214" s="15"/>
      <c r="N214" s="15"/>
      <c r="O214" s="15"/>
      <c r="P214" s="15"/>
      <c r="Q214" s="15"/>
      <c r="R214" s="15"/>
      <c r="S214" s="15"/>
      <c r="T214" s="15"/>
      <c r="U214" s="15"/>
      <c r="V214" s="15"/>
      <c r="W214" s="15"/>
      <c r="X214" s="15"/>
      <c r="Y214" s="15"/>
      <c r="Z214" s="15">
        <f t="shared" si="3"/>
        <v>265.65000000000003</v>
      </c>
      <c r="AA214" s="20"/>
      <c r="AB214" s="21"/>
    </row>
    <row r="215" spans="1:28" ht="63" customHeight="1" thickBot="1" x14ac:dyDescent="0.3">
      <c r="A215" s="14">
        <v>203</v>
      </c>
      <c r="B215" s="13" t="s">
        <v>253</v>
      </c>
      <c r="C215" s="13" t="s">
        <v>241</v>
      </c>
      <c r="D215" s="15">
        <f>[1]Лист4!D206</f>
        <v>265.65000000000003</v>
      </c>
      <c r="E215" s="15">
        <f>[2]Лист4!D207</f>
        <v>402.59999999999997</v>
      </c>
      <c r="F215" s="15">
        <f>[3]Лист4!D207</f>
        <v>300</v>
      </c>
      <c r="G215" s="16">
        <f>[4]Лист4!D206</f>
        <v>345</v>
      </c>
      <c r="H215" s="15"/>
      <c r="I215" s="15"/>
      <c r="J215" s="15"/>
      <c r="K215" s="15"/>
      <c r="L215" s="15"/>
      <c r="M215" s="15"/>
      <c r="N215" s="15"/>
      <c r="O215" s="15"/>
      <c r="P215" s="15"/>
      <c r="Q215" s="15"/>
      <c r="R215" s="15"/>
      <c r="S215" s="15"/>
      <c r="T215" s="15"/>
      <c r="U215" s="15"/>
      <c r="V215" s="15"/>
      <c r="W215" s="15"/>
      <c r="X215" s="15"/>
      <c r="Y215" s="15"/>
      <c r="Z215" s="15">
        <f t="shared" si="3"/>
        <v>265.65000000000003</v>
      </c>
      <c r="AA215" s="20"/>
      <c r="AB215" s="21"/>
    </row>
    <row r="216" spans="1:28" ht="63" customHeight="1" thickBot="1" x14ac:dyDescent="0.3">
      <c r="A216" s="14">
        <v>204</v>
      </c>
      <c r="B216" s="13" t="s">
        <v>254</v>
      </c>
      <c r="C216" s="13" t="s">
        <v>241</v>
      </c>
      <c r="D216" s="15">
        <f>[1]Лист4!D207</f>
        <v>254.10000000000002</v>
      </c>
      <c r="E216" s="15">
        <f>[2]Лист4!D208</f>
        <v>341.59999999999997</v>
      </c>
      <c r="F216" s="15">
        <f>[3]Лист4!D208</f>
        <v>300</v>
      </c>
      <c r="G216" s="16">
        <f>[4]Лист4!D207</f>
        <v>304.5</v>
      </c>
      <c r="H216" s="15"/>
      <c r="I216" s="15"/>
      <c r="J216" s="15"/>
      <c r="K216" s="15"/>
      <c r="L216" s="15"/>
      <c r="M216" s="15"/>
      <c r="N216" s="15"/>
      <c r="O216" s="15"/>
      <c r="P216" s="15"/>
      <c r="Q216" s="15"/>
      <c r="R216" s="15"/>
      <c r="S216" s="15"/>
      <c r="T216" s="15"/>
      <c r="U216" s="15"/>
      <c r="V216" s="15"/>
      <c r="W216" s="15"/>
      <c r="X216" s="15"/>
      <c r="Y216" s="15"/>
      <c r="Z216" s="15">
        <f t="shared" si="3"/>
        <v>254.10000000000002</v>
      </c>
      <c r="AA216" s="20"/>
      <c r="AB216" s="21"/>
    </row>
    <row r="217" spans="1:28" ht="63" customHeight="1" thickBot="1" x14ac:dyDescent="0.3">
      <c r="A217" s="14">
        <v>205</v>
      </c>
      <c r="B217" s="13" t="s">
        <v>255</v>
      </c>
      <c r="C217" s="13" t="s">
        <v>256</v>
      </c>
      <c r="D217" s="15">
        <f>[1]Лист4!D208</f>
        <v>525</v>
      </c>
      <c r="E217" s="15">
        <f>[2]Лист4!D209</f>
        <v>732</v>
      </c>
      <c r="F217" s="15">
        <f>[3]Лист4!D209</f>
        <v>1000</v>
      </c>
      <c r="G217" s="16">
        <f>[4]Лист4!D208</f>
        <v>504</v>
      </c>
      <c r="H217" s="15"/>
      <c r="I217" s="15"/>
      <c r="J217" s="15"/>
      <c r="K217" s="15"/>
      <c r="L217" s="15"/>
      <c r="M217" s="15"/>
      <c r="N217" s="15"/>
      <c r="O217" s="15"/>
      <c r="P217" s="15"/>
      <c r="Q217" s="15"/>
      <c r="R217" s="15"/>
      <c r="S217" s="15"/>
      <c r="T217" s="15"/>
      <c r="U217" s="15"/>
      <c r="V217" s="15"/>
      <c r="W217" s="15"/>
      <c r="X217" s="15"/>
      <c r="Y217" s="15"/>
      <c r="Z217" s="15">
        <f t="shared" si="3"/>
        <v>504</v>
      </c>
      <c r="AA217" s="20"/>
      <c r="AB217" s="21"/>
    </row>
    <row r="218" spans="1:28" ht="63" customHeight="1" thickBot="1" x14ac:dyDescent="0.3">
      <c r="A218" s="14">
        <v>206</v>
      </c>
      <c r="B218" s="13" t="s">
        <v>257</v>
      </c>
      <c r="C218" s="13" t="s">
        <v>241</v>
      </c>
      <c r="D218" s="15">
        <f>[1]Лист4!D209</f>
        <v>288.75</v>
      </c>
      <c r="E218" s="15">
        <f>[2]Лист4!D210</f>
        <v>390.4</v>
      </c>
      <c r="F218" s="15">
        <f>[3]Лист4!D210</f>
        <v>250</v>
      </c>
      <c r="G218" s="16">
        <f>[4]Лист4!D209</f>
        <v>315</v>
      </c>
      <c r="H218" s="15"/>
      <c r="I218" s="15"/>
      <c r="J218" s="15"/>
      <c r="K218" s="15"/>
      <c r="L218" s="15"/>
      <c r="M218" s="15"/>
      <c r="N218" s="15"/>
      <c r="O218" s="15"/>
      <c r="P218" s="15"/>
      <c r="Q218" s="15"/>
      <c r="R218" s="15"/>
      <c r="S218" s="15"/>
      <c r="T218" s="15"/>
      <c r="U218" s="15"/>
      <c r="V218" s="15"/>
      <c r="W218" s="15"/>
      <c r="X218" s="15"/>
      <c r="Y218" s="15"/>
      <c r="Z218" s="15">
        <f t="shared" si="3"/>
        <v>250</v>
      </c>
      <c r="AA218" s="20"/>
      <c r="AB218" s="21"/>
    </row>
    <row r="219" spans="1:28" ht="63" customHeight="1" thickBot="1" x14ac:dyDescent="0.3">
      <c r="A219" s="14">
        <v>207</v>
      </c>
      <c r="B219" s="13" t="s">
        <v>258</v>
      </c>
      <c r="C219" s="13" t="s">
        <v>241</v>
      </c>
      <c r="D219" s="15">
        <f>[1]Лист4!D210</f>
        <v>242.55</v>
      </c>
      <c r="E219" s="15">
        <f>[2]Лист4!D211</f>
        <v>317.2</v>
      </c>
      <c r="F219" s="15">
        <f>[3]Лист4!D211</f>
        <v>250</v>
      </c>
      <c r="G219" s="16">
        <f>[4]Лист4!D210</f>
        <v>283.5</v>
      </c>
      <c r="H219" s="15"/>
      <c r="I219" s="15"/>
      <c r="J219" s="15"/>
      <c r="K219" s="15"/>
      <c r="L219" s="15"/>
      <c r="M219" s="15"/>
      <c r="N219" s="15"/>
      <c r="O219" s="15"/>
      <c r="P219" s="15"/>
      <c r="Q219" s="15"/>
      <c r="R219" s="15"/>
      <c r="S219" s="15"/>
      <c r="T219" s="15"/>
      <c r="U219" s="15"/>
      <c r="V219" s="15"/>
      <c r="W219" s="15"/>
      <c r="X219" s="15"/>
      <c r="Y219" s="15"/>
      <c r="Z219" s="15">
        <f t="shared" si="3"/>
        <v>242.55</v>
      </c>
      <c r="AA219" s="20"/>
      <c r="AB219" s="21"/>
    </row>
    <row r="220" spans="1:28" ht="63" customHeight="1" thickBot="1" x14ac:dyDescent="0.3">
      <c r="A220" s="14">
        <v>208</v>
      </c>
      <c r="B220" s="13" t="s">
        <v>259</v>
      </c>
      <c r="C220" s="13" t="s">
        <v>241</v>
      </c>
      <c r="D220" s="15">
        <f>[1]Лист4!D211</f>
        <v>288.75</v>
      </c>
      <c r="E220" s="15">
        <f>[2]Лист4!D212</f>
        <v>390.4</v>
      </c>
      <c r="F220" s="15">
        <f>[3]Лист4!D212</f>
        <v>250</v>
      </c>
      <c r="G220" s="16">
        <f>[4]Лист4!D211</f>
        <v>367.5</v>
      </c>
      <c r="H220" s="15"/>
      <c r="I220" s="15"/>
      <c r="J220" s="15"/>
      <c r="K220" s="15"/>
      <c r="L220" s="15"/>
      <c r="M220" s="15"/>
      <c r="N220" s="15"/>
      <c r="O220" s="15"/>
      <c r="P220" s="15"/>
      <c r="Q220" s="15"/>
      <c r="R220" s="15"/>
      <c r="S220" s="15"/>
      <c r="T220" s="15"/>
      <c r="U220" s="15"/>
      <c r="V220" s="15"/>
      <c r="W220" s="15"/>
      <c r="X220" s="15"/>
      <c r="Y220" s="15"/>
      <c r="Z220" s="15">
        <f t="shared" si="3"/>
        <v>250</v>
      </c>
      <c r="AA220" s="20"/>
      <c r="AB220" s="21"/>
    </row>
    <row r="221" spans="1:28" ht="63" customHeight="1" thickBot="1" x14ac:dyDescent="0.3">
      <c r="A221" s="14">
        <v>209</v>
      </c>
      <c r="B221" s="13" t="s">
        <v>260</v>
      </c>
      <c r="C221" s="13" t="s">
        <v>241</v>
      </c>
      <c r="D221" s="15">
        <f>[1]Лист4!D212</f>
        <v>288.75</v>
      </c>
      <c r="E221" s="15">
        <f>[2]Лист4!D213</f>
        <v>427</v>
      </c>
      <c r="F221" s="15">
        <f>[3]Лист4!D213</f>
        <v>250</v>
      </c>
      <c r="G221" s="16">
        <f>[4]Лист4!D212</f>
        <v>400</v>
      </c>
      <c r="H221" s="15"/>
      <c r="I221" s="15"/>
      <c r="J221" s="15"/>
      <c r="K221" s="15"/>
      <c r="L221" s="15"/>
      <c r="M221" s="15"/>
      <c r="N221" s="15"/>
      <c r="O221" s="15"/>
      <c r="P221" s="15"/>
      <c r="Q221" s="15"/>
      <c r="R221" s="15"/>
      <c r="S221" s="15"/>
      <c r="T221" s="15"/>
      <c r="U221" s="15"/>
      <c r="V221" s="15"/>
      <c r="W221" s="15"/>
      <c r="X221" s="15"/>
      <c r="Y221" s="15"/>
      <c r="Z221" s="15">
        <f t="shared" si="3"/>
        <v>250</v>
      </c>
      <c r="AA221" s="20"/>
      <c r="AB221" s="21"/>
    </row>
    <row r="222" spans="1:28" ht="63" customHeight="1" thickBot="1" x14ac:dyDescent="0.3">
      <c r="A222" s="14">
        <v>210</v>
      </c>
      <c r="B222" s="13" t="s">
        <v>261</v>
      </c>
      <c r="C222" s="13" t="s">
        <v>241</v>
      </c>
      <c r="D222" s="15">
        <f>[1]Лист4!D213</f>
        <v>288.75</v>
      </c>
      <c r="E222" s="15">
        <f>[2]Лист4!D214</f>
        <v>366</v>
      </c>
      <c r="F222" s="15">
        <f>[3]Лист4!D214</f>
        <v>250</v>
      </c>
      <c r="G222" s="16">
        <f>[4]Лист4!D213</f>
        <v>270</v>
      </c>
      <c r="H222" s="15"/>
      <c r="I222" s="15"/>
      <c r="J222" s="15"/>
      <c r="K222" s="15"/>
      <c r="L222" s="15"/>
      <c r="M222" s="15"/>
      <c r="N222" s="15"/>
      <c r="O222" s="15"/>
      <c r="P222" s="15"/>
      <c r="Q222" s="15"/>
      <c r="R222" s="15"/>
      <c r="S222" s="15"/>
      <c r="T222" s="15"/>
      <c r="U222" s="15"/>
      <c r="V222" s="15"/>
      <c r="W222" s="15"/>
      <c r="X222" s="15"/>
      <c r="Y222" s="15"/>
      <c r="Z222" s="15">
        <f t="shared" si="3"/>
        <v>250</v>
      </c>
      <c r="AA222" s="20"/>
      <c r="AB222" s="21"/>
    </row>
    <row r="223" spans="1:28" ht="63" customHeight="1" thickBot="1" x14ac:dyDescent="0.3">
      <c r="A223" s="14">
        <v>211</v>
      </c>
      <c r="B223" s="13" t="s">
        <v>262</v>
      </c>
      <c r="C223" s="13" t="s">
        <v>241</v>
      </c>
      <c r="D223" s="15">
        <f>[1]Лист4!D214</f>
        <v>207.9</v>
      </c>
      <c r="E223" s="15">
        <f>[2]Лист4!D215</f>
        <v>280.59999999999997</v>
      </c>
      <c r="F223" s="15">
        <f>[3]Лист4!D215</f>
        <v>250</v>
      </c>
      <c r="G223" s="16">
        <f>[4]Лист4!D214</f>
        <v>262.5</v>
      </c>
      <c r="H223" s="15"/>
      <c r="I223" s="15"/>
      <c r="J223" s="15"/>
      <c r="K223" s="15"/>
      <c r="L223" s="15"/>
      <c r="M223" s="15"/>
      <c r="N223" s="15"/>
      <c r="O223" s="15"/>
      <c r="P223" s="15"/>
      <c r="Q223" s="15"/>
      <c r="R223" s="15"/>
      <c r="S223" s="15"/>
      <c r="T223" s="15"/>
      <c r="U223" s="15"/>
      <c r="V223" s="15"/>
      <c r="W223" s="15"/>
      <c r="X223" s="15"/>
      <c r="Y223" s="15"/>
      <c r="Z223" s="15">
        <f t="shared" si="3"/>
        <v>207.9</v>
      </c>
      <c r="AA223" s="20"/>
      <c r="AB223" s="21"/>
    </row>
    <row r="224" spans="1:28" ht="63" customHeight="1" thickBot="1" x14ac:dyDescent="0.3">
      <c r="A224" s="14">
        <v>212</v>
      </c>
      <c r="B224" s="13" t="s">
        <v>263</v>
      </c>
      <c r="C224" s="13" t="s">
        <v>241</v>
      </c>
      <c r="D224" s="15">
        <f>[1]Лист4!D215</f>
        <v>265.65000000000003</v>
      </c>
      <c r="E224" s="15">
        <f>[2]Лист4!D216</f>
        <v>366</v>
      </c>
      <c r="F224" s="15">
        <f>[3]Лист4!D216</f>
        <v>250</v>
      </c>
      <c r="G224" s="16">
        <f>[4]Лист4!D215</f>
        <v>262.5</v>
      </c>
      <c r="H224" s="15"/>
      <c r="I224" s="15"/>
      <c r="J224" s="15"/>
      <c r="K224" s="15"/>
      <c r="L224" s="15"/>
      <c r="M224" s="15"/>
      <c r="N224" s="15"/>
      <c r="O224" s="15"/>
      <c r="P224" s="15"/>
      <c r="Q224" s="15"/>
      <c r="R224" s="15"/>
      <c r="S224" s="15"/>
      <c r="T224" s="15"/>
      <c r="U224" s="15"/>
      <c r="V224" s="15"/>
      <c r="W224" s="15"/>
      <c r="X224" s="15"/>
      <c r="Y224" s="15"/>
      <c r="Z224" s="15">
        <f t="shared" si="3"/>
        <v>250</v>
      </c>
      <c r="AA224" s="20"/>
      <c r="AB224" s="21"/>
    </row>
    <row r="225" spans="1:28" ht="63" customHeight="1" thickBot="1" x14ac:dyDescent="0.3">
      <c r="A225" s="14">
        <v>213</v>
      </c>
      <c r="B225" s="13" t="s">
        <v>264</v>
      </c>
      <c r="C225" s="13" t="s">
        <v>241</v>
      </c>
      <c r="D225" s="15">
        <f>[1]Лист4!D216</f>
        <v>173.25</v>
      </c>
      <c r="E225" s="15">
        <f>[2]Лист4!D217</f>
        <v>231.79999999999998</v>
      </c>
      <c r="F225" s="15">
        <f>[3]Лист4!D217</f>
        <v>200</v>
      </c>
      <c r="G225" s="16">
        <f>[4]Лист4!D216</f>
        <v>178.5</v>
      </c>
      <c r="H225" s="15"/>
      <c r="I225" s="15"/>
      <c r="J225" s="15"/>
      <c r="K225" s="15"/>
      <c r="L225" s="15"/>
      <c r="M225" s="15"/>
      <c r="N225" s="15"/>
      <c r="O225" s="15"/>
      <c r="P225" s="15"/>
      <c r="Q225" s="15"/>
      <c r="R225" s="15"/>
      <c r="S225" s="15"/>
      <c r="T225" s="15"/>
      <c r="U225" s="15"/>
      <c r="V225" s="15"/>
      <c r="W225" s="15"/>
      <c r="X225" s="15"/>
      <c r="Y225" s="15"/>
      <c r="Z225" s="15">
        <f t="shared" si="3"/>
        <v>173.25</v>
      </c>
      <c r="AA225" s="20"/>
      <c r="AB225" s="21"/>
    </row>
    <row r="226" spans="1:28" ht="63" customHeight="1" thickBot="1" x14ac:dyDescent="0.3">
      <c r="A226" s="14">
        <v>214</v>
      </c>
      <c r="B226" s="13" t="s">
        <v>265</v>
      </c>
      <c r="C226" s="13" t="s">
        <v>241</v>
      </c>
      <c r="D226" s="15">
        <f>[1]Лист4!D217</f>
        <v>346.5</v>
      </c>
      <c r="E226" s="15">
        <f>[2]Лист4!D218</f>
        <v>463.59999999999997</v>
      </c>
      <c r="F226" s="15">
        <f>[3]Лист4!D218</f>
        <v>350</v>
      </c>
      <c r="G226" s="16">
        <f>[4]Лист4!D217</f>
        <v>420</v>
      </c>
      <c r="H226" s="15"/>
      <c r="I226" s="15"/>
      <c r="J226" s="15"/>
      <c r="K226" s="15"/>
      <c r="L226" s="15"/>
      <c r="M226" s="15"/>
      <c r="N226" s="15"/>
      <c r="O226" s="15"/>
      <c r="P226" s="15"/>
      <c r="Q226" s="15"/>
      <c r="R226" s="15"/>
      <c r="S226" s="15"/>
      <c r="T226" s="15"/>
      <c r="U226" s="15"/>
      <c r="V226" s="15"/>
      <c r="W226" s="15"/>
      <c r="X226" s="15"/>
      <c r="Y226" s="15"/>
      <c r="Z226" s="15">
        <f t="shared" si="3"/>
        <v>346.5</v>
      </c>
      <c r="AA226" s="20"/>
      <c r="AB226" s="21"/>
    </row>
    <row r="227" spans="1:28" ht="63" customHeight="1" thickBot="1" x14ac:dyDescent="0.3">
      <c r="A227" s="14">
        <v>215</v>
      </c>
      <c r="B227" s="13" t="s">
        <v>266</v>
      </c>
      <c r="C227" s="13" t="s">
        <v>241</v>
      </c>
      <c r="D227" s="15">
        <f>[1]Лист4!D218</f>
        <v>427.35</v>
      </c>
      <c r="E227" s="15">
        <f>[2]Лист4!D219</f>
        <v>573.4</v>
      </c>
      <c r="F227" s="15">
        <f>[3]Лист4!D219</f>
        <v>600</v>
      </c>
      <c r="G227" s="16">
        <f>[4]Лист4!D218</f>
        <v>420</v>
      </c>
      <c r="H227" s="15"/>
      <c r="I227" s="15"/>
      <c r="J227" s="15"/>
      <c r="K227" s="15"/>
      <c r="L227" s="15"/>
      <c r="M227" s="15"/>
      <c r="N227" s="15"/>
      <c r="O227" s="15"/>
      <c r="P227" s="15"/>
      <c r="Q227" s="15"/>
      <c r="R227" s="15"/>
      <c r="S227" s="15"/>
      <c r="T227" s="15"/>
      <c r="U227" s="15"/>
      <c r="V227" s="15"/>
      <c r="W227" s="15"/>
      <c r="X227" s="15"/>
      <c r="Y227" s="15"/>
      <c r="Z227" s="15">
        <f t="shared" si="3"/>
        <v>420</v>
      </c>
      <c r="AA227" s="20"/>
      <c r="AB227" s="21"/>
    </row>
    <row r="228" spans="1:28" ht="63" customHeight="1" thickBot="1" x14ac:dyDescent="0.3">
      <c r="A228" s="14">
        <v>216</v>
      </c>
      <c r="B228" s="13" t="s">
        <v>267</v>
      </c>
      <c r="C228" s="13" t="s">
        <v>241</v>
      </c>
      <c r="D228" s="15">
        <f>[1]Лист4!D219</f>
        <v>288.75</v>
      </c>
      <c r="E228" s="15">
        <f>[2]Лист4!D220</f>
        <v>390.4</v>
      </c>
      <c r="F228" s="15">
        <f>[3]Лист4!D220</f>
        <v>350</v>
      </c>
      <c r="G228" s="16">
        <f>[4]Лист4!D219</f>
        <v>294</v>
      </c>
      <c r="H228" s="15"/>
      <c r="I228" s="15"/>
      <c r="J228" s="15"/>
      <c r="K228" s="15"/>
      <c r="L228" s="15"/>
      <c r="M228" s="15"/>
      <c r="N228" s="15"/>
      <c r="O228" s="15"/>
      <c r="P228" s="15"/>
      <c r="Q228" s="15"/>
      <c r="R228" s="15"/>
      <c r="S228" s="15"/>
      <c r="T228" s="15"/>
      <c r="U228" s="15"/>
      <c r="V228" s="15"/>
      <c r="W228" s="15"/>
      <c r="X228" s="15"/>
      <c r="Y228" s="15"/>
      <c r="Z228" s="15">
        <f t="shared" si="3"/>
        <v>288.75</v>
      </c>
      <c r="AA228" s="20"/>
      <c r="AB228" s="21"/>
    </row>
    <row r="229" spans="1:28" ht="63" customHeight="1" thickBot="1" x14ac:dyDescent="0.3">
      <c r="A229" s="14">
        <v>217</v>
      </c>
      <c r="B229" s="13" t="s">
        <v>268</v>
      </c>
      <c r="C229" s="13" t="s">
        <v>241</v>
      </c>
      <c r="D229" s="15">
        <f>[1]Лист4!D220</f>
        <v>600.6</v>
      </c>
      <c r="E229" s="15">
        <f>[2]Лист4!D221</f>
        <v>805.19999999999993</v>
      </c>
      <c r="F229" s="15">
        <f>[3]Лист4!D221</f>
        <v>720</v>
      </c>
      <c r="G229" s="16">
        <f>[4]Лист4!D220</f>
        <v>735</v>
      </c>
      <c r="H229" s="15"/>
      <c r="I229" s="15"/>
      <c r="J229" s="15"/>
      <c r="K229" s="15"/>
      <c r="L229" s="15"/>
      <c r="M229" s="15"/>
      <c r="N229" s="15"/>
      <c r="O229" s="15"/>
      <c r="P229" s="15"/>
      <c r="Q229" s="15"/>
      <c r="R229" s="15"/>
      <c r="S229" s="15"/>
      <c r="T229" s="15"/>
      <c r="U229" s="15"/>
      <c r="V229" s="15"/>
      <c r="W229" s="15"/>
      <c r="X229" s="15"/>
      <c r="Y229" s="15"/>
      <c r="Z229" s="15">
        <f t="shared" si="3"/>
        <v>600.6</v>
      </c>
      <c r="AA229" s="20"/>
      <c r="AB229" s="21"/>
    </row>
    <row r="230" spans="1:28" ht="63" customHeight="1" thickBot="1" x14ac:dyDescent="0.3">
      <c r="A230" s="14">
        <v>218</v>
      </c>
      <c r="B230" s="13" t="s">
        <v>269</v>
      </c>
      <c r="C230" s="13" t="s">
        <v>29</v>
      </c>
      <c r="D230" s="15">
        <f>[1]Лист4!D221</f>
        <v>3024</v>
      </c>
      <c r="E230" s="15">
        <f>[2]Лист4!D222</f>
        <v>4026</v>
      </c>
      <c r="F230" s="15">
        <f>[3]Лист4!D222</f>
        <v>6100</v>
      </c>
      <c r="G230" s="16">
        <f>[4]Лист4!D221</f>
        <v>3150</v>
      </c>
      <c r="H230" s="15"/>
      <c r="I230" s="15"/>
      <c r="J230" s="15"/>
      <c r="K230" s="15"/>
      <c r="L230" s="15"/>
      <c r="M230" s="15"/>
      <c r="N230" s="15"/>
      <c r="O230" s="15"/>
      <c r="P230" s="15"/>
      <c r="Q230" s="15"/>
      <c r="R230" s="15"/>
      <c r="S230" s="15"/>
      <c r="T230" s="15"/>
      <c r="U230" s="15"/>
      <c r="V230" s="15"/>
      <c r="W230" s="15"/>
      <c r="X230" s="15"/>
      <c r="Y230" s="15"/>
      <c r="Z230" s="15">
        <f t="shared" si="3"/>
        <v>3024</v>
      </c>
      <c r="AA230" s="20"/>
      <c r="AB230" s="21"/>
    </row>
    <row r="231" spans="1:28" ht="63" customHeight="1" thickBot="1" x14ac:dyDescent="0.3">
      <c r="A231" s="14">
        <v>219</v>
      </c>
      <c r="B231" s="13" t="s">
        <v>270</v>
      </c>
      <c r="C231" s="13" t="s">
        <v>241</v>
      </c>
      <c r="D231" s="15">
        <f>[1]Лист4!D222</f>
        <v>438.90000000000003</v>
      </c>
      <c r="E231" s="15">
        <f>[2]Лист4!D223</f>
        <v>610</v>
      </c>
      <c r="F231" s="15">
        <f>[3]Лист4!D223</f>
        <v>450</v>
      </c>
      <c r="G231" s="16">
        <f>[4]Лист4!D222</f>
        <v>525</v>
      </c>
      <c r="H231" s="15"/>
      <c r="I231" s="15"/>
      <c r="J231" s="15"/>
      <c r="K231" s="15"/>
      <c r="L231" s="15"/>
      <c r="M231" s="15"/>
      <c r="N231" s="15"/>
      <c r="O231" s="15"/>
      <c r="P231" s="15"/>
      <c r="Q231" s="15"/>
      <c r="R231" s="15"/>
      <c r="S231" s="15"/>
      <c r="T231" s="15"/>
      <c r="U231" s="15"/>
      <c r="V231" s="15"/>
      <c r="W231" s="15"/>
      <c r="X231" s="15"/>
      <c r="Y231" s="15"/>
      <c r="Z231" s="15">
        <f t="shared" si="3"/>
        <v>438.90000000000003</v>
      </c>
      <c r="AA231" s="20"/>
      <c r="AB231" s="21"/>
    </row>
    <row r="232" spans="1:28" ht="63" customHeight="1" thickBot="1" x14ac:dyDescent="0.3">
      <c r="A232" s="14">
        <v>220</v>
      </c>
      <c r="B232" s="13" t="s">
        <v>271</v>
      </c>
      <c r="C232" s="13" t="s">
        <v>29</v>
      </c>
      <c r="D232" s="15">
        <f>[1]Лист4!D223</f>
        <v>4200</v>
      </c>
      <c r="E232" s="15">
        <f>[2]Лист4!D224</f>
        <v>5612</v>
      </c>
      <c r="F232" s="15">
        <f>[3]Лист4!D224</f>
        <v>5000</v>
      </c>
      <c r="G232" s="16">
        <f>[4]Лист4!D223</f>
        <v>4830</v>
      </c>
      <c r="H232" s="15"/>
      <c r="I232" s="15"/>
      <c r="J232" s="15"/>
      <c r="K232" s="15"/>
      <c r="L232" s="15"/>
      <c r="M232" s="15"/>
      <c r="N232" s="15"/>
      <c r="O232" s="15"/>
      <c r="P232" s="15"/>
      <c r="Q232" s="15"/>
      <c r="R232" s="15"/>
      <c r="S232" s="15"/>
      <c r="T232" s="15"/>
      <c r="U232" s="15"/>
      <c r="V232" s="15"/>
      <c r="W232" s="15"/>
      <c r="X232" s="15"/>
      <c r="Y232" s="15"/>
      <c r="Z232" s="15">
        <f t="shared" si="3"/>
        <v>4200</v>
      </c>
      <c r="AA232" s="20"/>
      <c r="AB232" s="21"/>
    </row>
    <row r="233" spans="1:28" ht="63" customHeight="1" thickBot="1" x14ac:dyDescent="0.3">
      <c r="A233" s="14">
        <v>221</v>
      </c>
      <c r="B233" s="13" t="s">
        <v>272</v>
      </c>
      <c r="C233" s="13" t="s">
        <v>29</v>
      </c>
      <c r="D233" s="15">
        <f>[1]Лист4!D224</f>
        <v>3675</v>
      </c>
      <c r="E233" s="15">
        <f>[2]Лист4!D225</f>
        <v>4880</v>
      </c>
      <c r="F233" s="15">
        <f>[3]Лист4!D225</f>
        <v>4880</v>
      </c>
      <c r="G233" s="16">
        <f>[4]Лист4!D224</f>
        <v>4200</v>
      </c>
      <c r="H233" s="15"/>
      <c r="I233" s="15"/>
      <c r="J233" s="15"/>
      <c r="K233" s="15"/>
      <c r="L233" s="15"/>
      <c r="M233" s="15"/>
      <c r="N233" s="15"/>
      <c r="O233" s="15"/>
      <c r="P233" s="15"/>
      <c r="Q233" s="15"/>
      <c r="R233" s="15"/>
      <c r="S233" s="15"/>
      <c r="T233" s="15"/>
      <c r="U233" s="15"/>
      <c r="V233" s="15"/>
      <c r="W233" s="15"/>
      <c r="X233" s="15"/>
      <c r="Y233" s="15"/>
      <c r="Z233" s="15">
        <f t="shared" si="3"/>
        <v>3675</v>
      </c>
      <c r="AA233" s="20"/>
      <c r="AB233" s="21"/>
    </row>
    <row r="234" spans="1:28" ht="90.75" thickBot="1" x14ac:dyDescent="0.3">
      <c r="A234" s="14">
        <v>222</v>
      </c>
      <c r="B234" s="13" t="s">
        <v>273</v>
      </c>
      <c r="C234" s="13" t="s">
        <v>274</v>
      </c>
      <c r="D234" s="15">
        <f>[1]Лист4!D225</f>
        <v>18900</v>
      </c>
      <c r="E234" s="15">
        <f>[2]Лист4!D226</f>
        <v>25254</v>
      </c>
      <c r="F234" s="15">
        <f>[3]Лист4!D226</f>
        <v>30500</v>
      </c>
      <c r="G234" s="16">
        <f>[4]Лист4!D225</f>
        <v>19425</v>
      </c>
      <c r="H234" s="15"/>
      <c r="I234" s="15"/>
      <c r="J234" s="15"/>
      <c r="K234" s="15"/>
      <c r="L234" s="15"/>
      <c r="M234" s="15"/>
      <c r="N234" s="15"/>
      <c r="O234" s="15"/>
      <c r="P234" s="15"/>
      <c r="Q234" s="15"/>
      <c r="R234" s="15"/>
      <c r="S234" s="15"/>
      <c r="T234" s="15"/>
      <c r="U234" s="15"/>
      <c r="V234" s="15"/>
      <c r="W234" s="15"/>
      <c r="X234" s="15"/>
      <c r="Y234" s="15"/>
      <c r="Z234" s="15">
        <f t="shared" si="3"/>
        <v>18900</v>
      </c>
      <c r="AA234" s="20"/>
      <c r="AB234" s="21"/>
    </row>
    <row r="235" spans="1:28" ht="63" customHeight="1" thickBot="1" x14ac:dyDescent="0.3">
      <c r="A235" s="14">
        <v>223</v>
      </c>
      <c r="B235" s="13" t="s">
        <v>275</v>
      </c>
      <c r="C235" s="13" t="s">
        <v>29</v>
      </c>
      <c r="D235" s="15">
        <f>[1]Лист4!D226</f>
        <v>31500</v>
      </c>
      <c r="E235" s="15">
        <f>[2]Лист4!D227</f>
        <v>42700</v>
      </c>
      <c r="F235" s="15">
        <f>[3]Лист4!D227</f>
        <v>40000</v>
      </c>
      <c r="G235" s="16">
        <f>[4]Лист4!D226</f>
        <v>36750</v>
      </c>
      <c r="H235" s="15"/>
      <c r="I235" s="15"/>
      <c r="J235" s="15"/>
      <c r="K235" s="15"/>
      <c r="L235" s="15"/>
      <c r="M235" s="15"/>
      <c r="N235" s="15"/>
      <c r="O235" s="15"/>
      <c r="P235" s="15"/>
      <c r="Q235" s="15"/>
      <c r="R235" s="15"/>
      <c r="S235" s="15"/>
      <c r="T235" s="15"/>
      <c r="U235" s="15"/>
      <c r="V235" s="15"/>
      <c r="W235" s="15"/>
      <c r="X235" s="15"/>
      <c r="Y235" s="15"/>
      <c r="Z235" s="15">
        <f t="shared" si="3"/>
        <v>31500</v>
      </c>
      <c r="AA235" s="20"/>
      <c r="AB235" s="21"/>
    </row>
    <row r="236" spans="1:28" ht="63" customHeight="1" thickBot="1" x14ac:dyDescent="0.3">
      <c r="A236" s="14">
        <v>224</v>
      </c>
      <c r="B236" s="13" t="s">
        <v>485</v>
      </c>
      <c r="C236" s="13" t="s">
        <v>41</v>
      </c>
      <c r="D236" s="15">
        <f>[1]Лист4!D227</f>
        <v>84000</v>
      </c>
      <c r="E236" s="15">
        <f>[2]Лист4!D228</f>
        <v>112850</v>
      </c>
      <c r="F236" s="15">
        <f>[3]Лист4!D228</f>
        <v>122000</v>
      </c>
      <c r="G236" s="16">
        <f>[4]Лист4!D227</f>
        <v>105000</v>
      </c>
      <c r="H236" s="15"/>
      <c r="I236" s="15"/>
      <c r="J236" s="15"/>
      <c r="K236" s="15"/>
      <c r="L236" s="15"/>
      <c r="M236" s="15"/>
      <c r="N236" s="15"/>
      <c r="O236" s="15"/>
      <c r="P236" s="15"/>
      <c r="Q236" s="15"/>
      <c r="R236" s="15"/>
      <c r="S236" s="15"/>
      <c r="T236" s="15"/>
      <c r="U236" s="15"/>
      <c r="V236" s="15"/>
      <c r="W236" s="15"/>
      <c r="X236" s="15"/>
      <c r="Y236" s="15"/>
      <c r="Z236" s="15">
        <f t="shared" si="3"/>
        <v>84000</v>
      </c>
      <c r="AA236" s="20"/>
      <c r="AB236" s="21"/>
    </row>
    <row r="237" spans="1:28" ht="63" customHeight="1" thickBot="1" x14ac:dyDescent="0.3">
      <c r="A237" s="14">
        <v>225</v>
      </c>
      <c r="B237" s="13" t="s">
        <v>276</v>
      </c>
      <c r="C237" s="13" t="s">
        <v>41</v>
      </c>
      <c r="D237" s="15">
        <f>[1]Лист4!D228</f>
        <v>94500</v>
      </c>
      <c r="E237" s="15">
        <f>[2]Лист4!D229</f>
        <v>122000</v>
      </c>
      <c r="F237" s="15">
        <f>[3]Лист4!D229</f>
        <v>120000</v>
      </c>
      <c r="G237" s="16">
        <f>[4]Лист4!D228</f>
        <v>105000</v>
      </c>
      <c r="H237" s="15"/>
      <c r="I237" s="15"/>
      <c r="J237" s="15"/>
      <c r="K237" s="15"/>
      <c r="L237" s="15"/>
      <c r="M237" s="15"/>
      <c r="N237" s="15"/>
      <c r="O237" s="15"/>
      <c r="P237" s="15"/>
      <c r="Q237" s="15"/>
      <c r="R237" s="15"/>
      <c r="S237" s="15"/>
      <c r="T237" s="15"/>
      <c r="U237" s="15"/>
      <c r="V237" s="15"/>
      <c r="W237" s="15"/>
      <c r="X237" s="15"/>
      <c r="Y237" s="15"/>
      <c r="Z237" s="15">
        <f t="shared" si="3"/>
        <v>94500</v>
      </c>
      <c r="AA237" s="20"/>
      <c r="AB237" s="21"/>
    </row>
    <row r="238" spans="1:28" ht="63" customHeight="1" thickBot="1" x14ac:dyDescent="0.3">
      <c r="A238" s="14">
        <v>226</v>
      </c>
      <c r="B238" s="13" t="s">
        <v>486</v>
      </c>
      <c r="C238" s="13" t="s">
        <v>41</v>
      </c>
      <c r="D238" s="15">
        <f>[1]Лист4!D229</f>
        <v>105000</v>
      </c>
      <c r="E238" s="15">
        <f>[2]Лист4!D230</f>
        <v>140910</v>
      </c>
      <c r="F238" s="15">
        <f>[3]Лист4!D230</f>
        <v>120000</v>
      </c>
      <c r="G238" s="16">
        <f>[4]Лист4!D229</f>
        <v>152250</v>
      </c>
      <c r="H238" s="15"/>
      <c r="I238" s="15"/>
      <c r="J238" s="15"/>
      <c r="K238" s="15"/>
      <c r="L238" s="15"/>
      <c r="M238" s="15"/>
      <c r="N238" s="15"/>
      <c r="O238" s="15"/>
      <c r="P238" s="15"/>
      <c r="Q238" s="15"/>
      <c r="R238" s="15"/>
      <c r="S238" s="15"/>
      <c r="T238" s="15"/>
      <c r="U238" s="15"/>
      <c r="V238" s="15"/>
      <c r="W238" s="15"/>
      <c r="X238" s="15"/>
      <c r="Y238" s="15"/>
      <c r="Z238" s="15">
        <f t="shared" si="3"/>
        <v>105000</v>
      </c>
      <c r="AA238" s="20"/>
      <c r="AB238" s="21"/>
    </row>
    <row r="239" spans="1:28" ht="63" customHeight="1" thickBot="1" x14ac:dyDescent="0.3">
      <c r="A239" s="14">
        <v>227</v>
      </c>
      <c r="B239" s="13" t="s">
        <v>487</v>
      </c>
      <c r="C239" s="13" t="s">
        <v>41</v>
      </c>
      <c r="D239" s="15">
        <f>[1]Лист4!D230</f>
        <v>42000</v>
      </c>
      <c r="E239" s="15">
        <f>[2]Лист4!D231</f>
        <v>56364</v>
      </c>
      <c r="F239" s="15">
        <f>[3]Лист4!D231</f>
        <v>120000</v>
      </c>
      <c r="G239" s="16">
        <f>[4]Лист4!D230</f>
        <v>47250</v>
      </c>
      <c r="H239" s="15"/>
      <c r="I239" s="15"/>
      <c r="J239" s="15"/>
      <c r="K239" s="15"/>
      <c r="L239" s="15"/>
      <c r="M239" s="15"/>
      <c r="N239" s="15"/>
      <c r="O239" s="15"/>
      <c r="P239" s="15"/>
      <c r="Q239" s="15"/>
      <c r="R239" s="15"/>
      <c r="S239" s="15"/>
      <c r="T239" s="15"/>
      <c r="U239" s="15"/>
      <c r="V239" s="15"/>
      <c r="W239" s="15"/>
      <c r="X239" s="15"/>
      <c r="Y239" s="15"/>
      <c r="Z239" s="15">
        <f t="shared" si="3"/>
        <v>42000</v>
      </c>
      <c r="AA239" s="20"/>
      <c r="AB239" s="21"/>
    </row>
    <row r="240" spans="1:28" ht="63" customHeight="1" thickBot="1" x14ac:dyDescent="0.3">
      <c r="A240" s="14">
        <v>228</v>
      </c>
      <c r="B240" s="13" t="s">
        <v>277</v>
      </c>
      <c r="C240" s="13" t="s">
        <v>30</v>
      </c>
      <c r="D240" s="15">
        <f>[1]Лист4!D231</f>
        <v>94500</v>
      </c>
      <c r="E240" s="15">
        <f>[2]Лист4!D232</f>
        <v>183000</v>
      </c>
      <c r="F240" s="15">
        <f>[3]Лист4!D232</f>
        <v>150000</v>
      </c>
      <c r="G240" s="16">
        <f>[4]Лист4!D231</f>
        <v>105000</v>
      </c>
      <c r="H240" s="15"/>
      <c r="I240" s="15"/>
      <c r="J240" s="15"/>
      <c r="K240" s="15"/>
      <c r="L240" s="15"/>
      <c r="M240" s="15"/>
      <c r="N240" s="15"/>
      <c r="O240" s="15"/>
      <c r="P240" s="15"/>
      <c r="Q240" s="15"/>
      <c r="R240" s="15"/>
      <c r="S240" s="15"/>
      <c r="T240" s="15"/>
      <c r="U240" s="15"/>
      <c r="V240" s="15"/>
      <c r="W240" s="15"/>
      <c r="X240" s="15"/>
      <c r="Y240" s="15"/>
      <c r="Z240" s="15">
        <f t="shared" si="3"/>
        <v>94500</v>
      </c>
      <c r="AA240" s="20"/>
      <c r="AB240" s="21"/>
    </row>
    <row r="241" spans="1:28" ht="63" customHeight="1" thickBot="1" x14ac:dyDescent="0.3">
      <c r="A241" s="14">
        <v>229</v>
      </c>
      <c r="B241" s="13" t="s">
        <v>278</v>
      </c>
      <c r="C241" s="13" t="s">
        <v>30</v>
      </c>
      <c r="D241" s="15">
        <f>[1]Лист4!D232</f>
        <v>31500</v>
      </c>
      <c r="E241" s="15">
        <f>[2]Лист4!D233</f>
        <v>30500</v>
      </c>
      <c r="F241" s="15">
        <f>[3]Лист4!D233</f>
        <v>50000</v>
      </c>
      <c r="G241" s="16">
        <f>[4]Лист4!D232</f>
        <v>36750</v>
      </c>
      <c r="H241" s="15"/>
      <c r="I241" s="15"/>
      <c r="J241" s="15"/>
      <c r="K241" s="15"/>
      <c r="L241" s="15"/>
      <c r="M241" s="15"/>
      <c r="N241" s="15"/>
      <c r="O241" s="15"/>
      <c r="P241" s="15"/>
      <c r="Q241" s="15"/>
      <c r="R241" s="15"/>
      <c r="S241" s="15"/>
      <c r="T241" s="15"/>
      <c r="U241" s="15"/>
      <c r="V241" s="15"/>
      <c r="W241" s="15"/>
      <c r="X241" s="15"/>
      <c r="Y241" s="15"/>
      <c r="Z241" s="15">
        <f t="shared" si="3"/>
        <v>30500</v>
      </c>
      <c r="AA241" s="20"/>
      <c r="AB241" s="21"/>
    </row>
    <row r="242" spans="1:28" ht="63" customHeight="1" thickBot="1" x14ac:dyDescent="0.3">
      <c r="A242" s="14">
        <v>230</v>
      </c>
      <c r="B242" s="13" t="s">
        <v>279</v>
      </c>
      <c r="C242" s="13" t="s">
        <v>30</v>
      </c>
      <c r="D242" s="15">
        <f>[1]Лист4!D233</f>
        <v>31500</v>
      </c>
      <c r="E242" s="15">
        <f>[2]Лист4!D234</f>
        <v>30500</v>
      </c>
      <c r="F242" s="15">
        <f>[3]Лист4!D234</f>
        <v>50000</v>
      </c>
      <c r="G242" s="16">
        <f>[4]Лист4!D233</f>
        <v>35000</v>
      </c>
      <c r="H242" s="15"/>
      <c r="I242" s="15"/>
      <c r="J242" s="15"/>
      <c r="K242" s="15"/>
      <c r="L242" s="15"/>
      <c r="M242" s="15"/>
      <c r="N242" s="15"/>
      <c r="O242" s="15"/>
      <c r="P242" s="15"/>
      <c r="Q242" s="15"/>
      <c r="R242" s="15"/>
      <c r="S242" s="15"/>
      <c r="T242" s="15"/>
      <c r="U242" s="15"/>
      <c r="V242" s="15"/>
      <c r="W242" s="15"/>
      <c r="X242" s="15"/>
      <c r="Y242" s="15"/>
      <c r="Z242" s="15">
        <f t="shared" si="3"/>
        <v>30500</v>
      </c>
      <c r="AA242" s="20"/>
      <c r="AB242" s="21"/>
    </row>
    <row r="243" spans="1:28" ht="63" customHeight="1" thickBot="1" x14ac:dyDescent="0.3">
      <c r="A243" s="14">
        <v>231</v>
      </c>
      <c r="B243" s="13" t="s">
        <v>280</v>
      </c>
      <c r="C243" s="13" t="s">
        <v>30</v>
      </c>
      <c r="D243" s="15">
        <f>[1]Лист4!D234</f>
        <v>31500</v>
      </c>
      <c r="E243" s="15">
        <f>[2]Лист4!D235</f>
        <v>30500</v>
      </c>
      <c r="F243" s="15">
        <f>[3]Лист4!D235</f>
        <v>50000</v>
      </c>
      <c r="G243" s="16">
        <f>[4]Лист4!D234</f>
        <v>37500</v>
      </c>
      <c r="H243" s="15"/>
      <c r="I243" s="15"/>
      <c r="J243" s="15"/>
      <c r="K243" s="15"/>
      <c r="L243" s="15"/>
      <c r="M243" s="15"/>
      <c r="N243" s="15"/>
      <c r="O243" s="15"/>
      <c r="P243" s="15"/>
      <c r="Q243" s="15"/>
      <c r="R243" s="15"/>
      <c r="S243" s="15"/>
      <c r="T243" s="15"/>
      <c r="U243" s="15"/>
      <c r="V243" s="15"/>
      <c r="W243" s="15"/>
      <c r="X243" s="15"/>
      <c r="Y243" s="15"/>
      <c r="Z243" s="15">
        <f t="shared" si="3"/>
        <v>30500</v>
      </c>
      <c r="AA243" s="20"/>
      <c r="AB243" s="21"/>
    </row>
    <row r="244" spans="1:28" ht="63" customHeight="1" thickBot="1" x14ac:dyDescent="0.3">
      <c r="A244" s="14">
        <v>232</v>
      </c>
      <c r="B244" s="13" t="s">
        <v>281</v>
      </c>
      <c r="C244" s="13" t="s">
        <v>30</v>
      </c>
      <c r="D244" s="15">
        <f>[1]Лист4!D235</f>
        <v>31500</v>
      </c>
      <c r="E244" s="15">
        <f>[2]Лист4!D236</f>
        <v>30500</v>
      </c>
      <c r="F244" s="15">
        <f>[3]Лист4!D236</f>
        <v>50000</v>
      </c>
      <c r="G244" s="16">
        <f>[4]Лист4!D235</f>
        <v>35650</v>
      </c>
      <c r="H244" s="15"/>
      <c r="I244" s="15"/>
      <c r="J244" s="15"/>
      <c r="K244" s="15"/>
      <c r="L244" s="15"/>
      <c r="M244" s="15"/>
      <c r="N244" s="15"/>
      <c r="O244" s="15"/>
      <c r="P244" s="15"/>
      <c r="Q244" s="15"/>
      <c r="R244" s="15"/>
      <c r="S244" s="15"/>
      <c r="T244" s="15"/>
      <c r="U244" s="15"/>
      <c r="V244" s="15"/>
      <c r="W244" s="15"/>
      <c r="X244" s="15"/>
      <c r="Y244" s="15"/>
      <c r="Z244" s="15">
        <f t="shared" si="3"/>
        <v>30500</v>
      </c>
      <c r="AA244" s="20"/>
      <c r="AB244" s="21"/>
    </row>
    <row r="245" spans="1:28" ht="75.75" thickBot="1" x14ac:dyDescent="0.3">
      <c r="A245" s="14">
        <v>233</v>
      </c>
      <c r="B245" s="13" t="s">
        <v>282</v>
      </c>
      <c r="C245" s="13" t="s">
        <v>30</v>
      </c>
      <c r="D245" s="15">
        <f>[1]Лист4!D236</f>
        <v>31500</v>
      </c>
      <c r="E245" s="15">
        <f>[2]Лист4!D237</f>
        <v>30500</v>
      </c>
      <c r="F245" s="15">
        <f>[3]Лист4!D237</f>
        <v>50000</v>
      </c>
      <c r="G245" s="16">
        <f>[4]Лист4!D236</f>
        <v>35650</v>
      </c>
      <c r="H245" s="15"/>
      <c r="I245" s="15"/>
      <c r="J245" s="15"/>
      <c r="K245" s="15"/>
      <c r="L245" s="15"/>
      <c r="M245" s="15"/>
      <c r="N245" s="15"/>
      <c r="O245" s="15"/>
      <c r="P245" s="15"/>
      <c r="Q245" s="15"/>
      <c r="R245" s="15"/>
      <c r="S245" s="15"/>
      <c r="T245" s="15"/>
      <c r="U245" s="15"/>
      <c r="V245" s="15"/>
      <c r="W245" s="15"/>
      <c r="X245" s="15"/>
      <c r="Y245" s="15"/>
      <c r="Z245" s="15">
        <f t="shared" si="3"/>
        <v>30500</v>
      </c>
      <c r="AA245" s="20"/>
      <c r="AB245" s="21"/>
    </row>
    <row r="246" spans="1:28" ht="63" customHeight="1" thickBot="1" x14ac:dyDescent="0.3">
      <c r="A246" s="14">
        <v>234</v>
      </c>
      <c r="B246" s="13" t="s">
        <v>283</v>
      </c>
      <c r="C246" s="13" t="s">
        <v>30</v>
      </c>
      <c r="D246" s="15">
        <f>[1]Лист4!D237</f>
        <v>31500</v>
      </c>
      <c r="E246" s="15">
        <f>[2]Лист4!D238</f>
        <v>30500</v>
      </c>
      <c r="F246" s="15">
        <f>[3]Лист4!D238</f>
        <v>50000</v>
      </c>
      <c r="G246" s="16">
        <f>[4]Лист4!D237</f>
        <v>35650</v>
      </c>
      <c r="H246" s="15"/>
      <c r="I246" s="15"/>
      <c r="J246" s="15"/>
      <c r="K246" s="15"/>
      <c r="L246" s="15"/>
      <c r="M246" s="15"/>
      <c r="N246" s="15"/>
      <c r="O246" s="15"/>
      <c r="P246" s="15"/>
      <c r="Q246" s="15"/>
      <c r="R246" s="15"/>
      <c r="S246" s="15"/>
      <c r="T246" s="15"/>
      <c r="U246" s="15"/>
      <c r="V246" s="15"/>
      <c r="W246" s="15"/>
      <c r="X246" s="15"/>
      <c r="Y246" s="15"/>
      <c r="Z246" s="15">
        <f t="shared" si="3"/>
        <v>30500</v>
      </c>
      <c r="AA246" s="20"/>
      <c r="AB246" s="21"/>
    </row>
    <row r="247" spans="1:28" ht="75.75" thickBot="1" x14ac:dyDescent="0.3">
      <c r="A247" s="14">
        <v>235</v>
      </c>
      <c r="B247" s="13" t="s">
        <v>284</v>
      </c>
      <c r="C247" s="13" t="s">
        <v>29</v>
      </c>
      <c r="D247" s="15">
        <f>[1]Лист4!D238</f>
        <v>6300</v>
      </c>
      <c r="E247" s="15">
        <f>[2]Лист4!D239</f>
        <v>7930</v>
      </c>
      <c r="F247" s="15">
        <f>[3]Лист4!D239</f>
        <v>6100</v>
      </c>
      <c r="G247" s="16">
        <f>[4]Лист4!D238</f>
        <v>6195</v>
      </c>
      <c r="H247" s="15"/>
      <c r="I247" s="15"/>
      <c r="J247" s="15"/>
      <c r="K247" s="15"/>
      <c r="L247" s="15"/>
      <c r="M247" s="15"/>
      <c r="N247" s="15"/>
      <c r="O247" s="15"/>
      <c r="P247" s="15"/>
      <c r="Q247" s="15"/>
      <c r="R247" s="15"/>
      <c r="S247" s="15"/>
      <c r="T247" s="15"/>
      <c r="U247" s="15"/>
      <c r="V247" s="15"/>
      <c r="W247" s="15"/>
      <c r="X247" s="15"/>
      <c r="Y247" s="15"/>
      <c r="Z247" s="15">
        <f t="shared" si="3"/>
        <v>6100</v>
      </c>
      <c r="AA247" s="20"/>
      <c r="AB247" s="21"/>
    </row>
    <row r="248" spans="1:28" ht="63" customHeight="1" thickBot="1" x14ac:dyDescent="0.3">
      <c r="A248" s="14">
        <v>236</v>
      </c>
      <c r="B248" s="13" t="s">
        <v>285</v>
      </c>
      <c r="C248" s="13" t="s">
        <v>30</v>
      </c>
      <c r="D248" s="15">
        <f>[1]Лист4!D239</f>
        <v>47250</v>
      </c>
      <c r="E248" s="15">
        <f>[2]Лист4!D240</f>
        <v>63440</v>
      </c>
      <c r="F248" s="15">
        <f>[3]Лист4!D240</f>
        <v>61000</v>
      </c>
      <c r="G248" s="16">
        <f>[4]Лист4!D239</f>
        <v>52500</v>
      </c>
      <c r="H248" s="15"/>
      <c r="I248" s="15"/>
      <c r="J248" s="15"/>
      <c r="K248" s="15"/>
      <c r="L248" s="15"/>
      <c r="M248" s="15"/>
      <c r="N248" s="15"/>
      <c r="O248" s="15"/>
      <c r="P248" s="15"/>
      <c r="Q248" s="15"/>
      <c r="R248" s="15"/>
      <c r="S248" s="15"/>
      <c r="T248" s="15"/>
      <c r="U248" s="15"/>
      <c r="V248" s="15"/>
      <c r="W248" s="15"/>
      <c r="X248" s="15"/>
      <c r="Y248" s="15"/>
      <c r="Z248" s="15">
        <f t="shared" si="3"/>
        <v>47250</v>
      </c>
      <c r="AA248" s="20"/>
      <c r="AB248" s="21"/>
    </row>
    <row r="249" spans="1:28" ht="63" customHeight="1" thickBot="1" x14ac:dyDescent="0.3">
      <c r="A249" s="14">
        <v>237</v>
      </c>
      <c r="B249" s="13" t="s">
        <v>286</v>
      </c>
      <c r="C249" s="13" t="s">
        <v>30</v>
      </c>
      <c r="D249" s="15">
        <f>[1]Лист4!D240</f>
        <v>47250</v>
      </c>
      <c r="E249" s="15">
        <f>[2]Лист4!D241</f>
        <v>61000</v>
      </c>
      <c r="F249" s="15">
        <f>[3]Лист4!D241</f>
        <v>73200</v>
      </c>
      <c r="G249" s="16">
        <f>[4]Лист4!D240</f>
        <v>51000</v>
      </c>
      <c r="H249" s="15"/>
      <c r="I249" s="15"/>
      <c r="J249" s="15"/>
      <c r="K249" s="15"/>
      <c r="L249" s="15"/>
      <c r="M249" s="15"/>
      <c r="N249" s="15"/>
      <c r="O249" s="15"/>
      <c r="P249" s="15"/>
      <c r="Q249" s="15"/>
      <c r="R249" s="15"/>
      <c r="S249" s="15"/>
      <c r="T249" s="15"/>
      <c r="U249" s="15"/>
      <c r="V249" s="15"/>
      <c r="W249" s="15"/>
      <c r="X249" s="15"/>
      <c r="Y249" s="15"/>
      <c r="Z249" s="15">
        <f t="shared" si="3"/>
        <v>47250</v>
      </c>
      <c r="AA249" s="20"/>
      <c r="AB249" s="21"/>
    </row>
    <row r="250" spans="1:28" ht="63" customHeight="1" thickBot="1" x14ac:dyDescent="0.3">
      <c r="A250" s="14">
        <v>238</v>
      </c>
      <c r="B250" s="13" t="s">
        <v>287</v>
      </c>
      <c r="C250" s="13" t="s">
        <v>29</v>
      </c>
      <c r="D250" s="15">
        <f>[1]Лист4!D241</f>
        <v>1575</v>
      </c>
      <c r="E250" s="15">
        <f>[2]Лист4!D242</f>
        <v>2196</v>
      </c>
      <c r="F250" s="15">
        <f>[3]Лист4!D242</f>
        <v>2000</v>
      </c>
      <c r="G250" s="16">
        <f>[4]Лист4!D241</f>
        <v>1500</v>
      </c>
      <c r="H250" s="15"/>
      <c r="I250" s="15"/>
      <c r="J250" s="15"/>
      <c r="K250" s="15"/>
      <c r="L250" s="15"/>
      <c r="M250" s="15"/>
      <c r="N250" s="15"/>
      <c r="O250" s="15"/>
      <c r="P250" s="15"/>
      <c r="Q250" s="15"/>
      <c r="R250" s="15"/>
      <c r="S250" s="15"/>
      <c r="T250" s="15"/>
      <c r="U250" s="15"/>
      <c r="V250" s="15"/>
      <c r="W250" s="15"/>
      <c r="X250" s="15"/>
      <c r="Y250" s="15"/>
      <c r="Z250" s="15">
        <f t="shared" si="3"/>
        <v>1500</v>
      </c>
      <c r="AA250" s="20"/>
      <c r="AB250" s="21"/>
    </row>
    <row r="251" spans="1:28" ht="63" customHeight="1" thickBot="1" x14ac:dyDescent="0.3">
      <c r="A251" s="14">
        <v>239</v>
      </c>
      <c r="B251" s="13" t="s">
        <v>288</v>
      </c>
      <c r="C251" s="13" t="s">
        <v>29</v>
      </c>
      <c r="D251" s="15">
        <f>[1]Лист4!D242</f>
        <v>1575</v>
      </c>
      <c r="E251" s="15">
        <f>[2]Лист4!D243</f>
        <v>2196</v>
      </c>
      <c r="F251" s="15">
        <f>[3]Лист4!D243</f>
        <v>2000</v>
      </c>
      <c r="G251" s="16">
        <f>[4]Лист4!D242</f>
        <v>2000</v>
      </c>
      <c r="H251" s="15"/>
      <c r="I251" s="15"/>
      <c r="J251" s="15"/>
      <c r="K251" s="15"/>
      <c r="L251" s="15"/>
      <c r="M251" s="15"/>
      <c r="N251" s="15"/>
      <c r="O251" s="15"/>
      <c r="P251" s="15"/>
      <c r="Q251" s="15"/>
      <c r="R251" s="15"/>
      <c r="S251" s="15"/>
      <c r="T251" s="15"/>
      <c r="U251" s="15"/>
      <c r="V251" s="15"/>
      <c r="W251" s="15"/>
      <c r="X251" s="15"/>
      <c r="Y251" s="15"/>
      <c r="Z251" s="15">
        <f t="shared" si="3"/>
        <v>1575</v>
      </c>
      <c r="AA251" s="20"/>
      <c r="AB251" s="21"/>
    </row>
    <row r="252" spans="1:28" ht="63" customHeight="1" thickBot="1" x14ac:dyDescent="0.3">
      <c r="A252" s="14">
        <v>240</v>
      </c>
      <c r="B252" s="13" t="s">
        <v>289</v>
      </c>
      <c r="C252" s="13" t="s">
        <v>29</v>
      </c>
      <c r="D252" s="15">
        <f>[1]Лист4!D243</f>
        <v>1575</v>
      </c>
      <c r="E252" s="15">
        <f>[2]Лист4!D244</f>
        <v>2318</v>
      </c>
      <c r="F252" s="15">
        <f>[3]Лист4!D244</f>
        <v>2000</v>
      </c>
      <c r="G252" s="16">
        <f>[4]Лист4!D243</f>
        <v>1627.5</v>
      </c>
      <c r="H252" s="15"/>
      <c r="I252" s="15"/>
      <c r="J252" s="15"/>
      <c r="K252" s="15"/>
      <c r="L252" s="15"/>
      <c r="M252" s="15"/>
      <c r="N252" s="15"/>
      <c r="O252" s="15"/>
      <c r="P252" s="15"/>
      <c r="Q252" s="15"/>
      <c r="R252" s="15"/>
      <c r="S252" s="15"/>
      <c r="T252" s="15"/>
      <c r="U252" s="15"/>
      <c r="V252" s="15"/>
      <c r="W252" s="15"/>
      <c r="X252" s="15"/>
      <c r="Y252" s="15"/>
      <c r="Z252" s="15">
        <f t="shared" si="3"/>
        <v>1575</v>
      </c>
      <c r="AA252" s="20"/>
      <c r="AB252" s="21"/>
    </row>
    <row r="253" spans="1:28" ht="63" customHeight="1" thickBot="1" x14ac:dyDescent="0.3">
      <c r="A253" s="14">
        <v>241</v>
      </c>
      <c r="B253" s="13" t="s">
        <v>290</v>
      </c>
      <c r="C253" s="13" t="s">
        <v>29</v>
      </c>
      <c r="D253" s="15">
        <f>[1]Лист4!D244</f>
        <v>1575</v>
      </c>
      <c r="E253" s="15">
        <f>[2]Лист4!D245</f>
        <v>2318</v>
      </c>
      <c r="F253" s="15">
        <f>[3]Лист4!D245</f>
        <v>2000</v>
      </c>
      <c r="G253" s="16">
        <f>[4]Лист4!D244</f>
        <v>1627.5</v>
      </c>
      <c r="H253" s="15"/>
      <c r="I253" s="15"/>
      <c r="J253" s="15"/>
      <c r="K253" s="15"/>
      <c r="L253" s="15"/>
      <c r="M253" s="15"/>
      <c r="N253" s="15"/>
      <c r="O253" s="15"/>
      <c r="P253" s="15"/>
      <c r="Q253" s="15"/>
      <c r="R253" s="15"/>
      <c r="S253" s="15"/>
      <c r="T253" s="15"/>
      <c r="U253" s="15"/>
      <c r="V253" s="15"/>
      <c r="W253" s="15"/>
      <c r="X253" s="15"/>
      <c r="Y253" s="15"/>
      <c r="Z253" s="15">
        <f t="shared" si="3"/>
        <v>1575</v>
      </c>
      <c r="AA253" s="20"/>
      <c r="AB253" s="21"/>
    </row>
    <row r="254" spans="1:28" ht="63" customHeight="1" thickBot="1" x14ac:dyDescent="0.3">
      <c r="A254" s="14">
        <v>242</v>
      </c>
      <c r="B254" s="13" t="s">
        <v>291</v>
      </c>
      <c r="C254" s="13" t="s">
        <v>29</v>
      </c>
      <c r="D254" s="15">
        <f>[1]Лист4!D245</f>
        <v>1575</v>
      </c>
      <c r="E254" s="15">
        <f>[2]Лист4!D246</f>
        <v>2318</v>
      </c>
      <c r="F254" s="15">
        <f>[3]Лист4!D246</f>
        <v>2000</v>
      </c>
      <c r="G254" s="16">
        <f>[4]Лист4!D245</f>
        <v>1627.5</v>
      </c>
      <c r="H254" s="15"/>
      <c r="I254" s="15"/>
      <c r="J254" s="15"/>
      <c r="K254" s="15"/>
      <c r="L254" s="15"/>
      <c r="M254" s="15"/>
      <c r="N254" s="15"/>
      <c r="O254" s="15"/>
      <c r="P254" s="15"/>
      <c r="Q254" s="15"/>
      <c r="R254" s="15"/>
      <c r="S254" s="15"/>
      <c r="T254" s="15"/>
      <c r="U254" s="15"/>
      <c r="V254" s="15"/>
      <c r="W254" s="15"/>
      <c r="X254" s="15"/>
      <c r="Y254" s="15"/>
      <c r="Z254" s="15">
        <f t="shared" si="3"/>
        <v>1575</v>
      </c>
      <c r="AA254" s="20"/>
      <c r="AB254" s="21"/>
    </row>
    <row r="255" spans="1:28" ht="63" customHeight="1" thickBot="1" x14ac:dyDescent="0.3">
      <c r="A255" s="14">
        <v>243</v>
      </c>
      <c r="B255" s="13" t="s">
        <v>292</v>
      </c>
      <c r="C255" s="13" t="s">
        <v>30</v>
      </c>
      <c r="D255" s="15">
        <f>[1]Лист4!D246</f>
        <v>39375</v>
      </c>
      <c r="E255" s="15">
        <f>[2]Лист4!D247</f>
        <v>54900</v>
      </c>
      <c r="F255" s="15">
        <f>[3]Лист4!D247</f>
        <v>42700</v>
      </c>
      <c r="G255" s="16">
        <f>[4]Лист4!D246</f>
        <v>49350</v>
      </c>
      <c r="H255" s="15"/>
      <c r="I255" s="15"/>
      <c r="J255" s="15"/>
      <c r="K255" s="15"/>
      <c r="L255" s="15"/>
      <c r="M255" s="15"/>
      <c r="N255" s="15"/>
      <c r="O255" s="15"/>
      <c r="P255" s="15"/>
      <c r="Q255" s="15"/>
      <c r="R255" s="15"/>
      <c r="S255" s="15"/>
      <c r="T255" s="15"/>
      <c r="U255" s="15"/>
      <c r="V255" s="15"/>
      <c r="W255" s="15"/>
      <c r="X255" s="15"/>
      <c r="Y255" s="15"/>
      <c r="Z255" s="15">
        <f t="shared" si="3"/>
        <v>39375</v>
      </c>
      <c r="AA255" s="20"/>
      <c r="AB255" s="21"/>
    </row>
    <row r="256" spans="1:28" ht="63" customHeight="1" thickBot="1" x14ac:dyDescent="0.3">
      <c r="A256" s="14">
        <v>244</v>
      </c>
      <c r="B256" s="13" t="s">
        <v>293</v>
      </c>
      <c r="C256" s="13" t="s">
        <v>30</v>
      </c>
      <c r="D256" s="15">
        <f>[1]Лист4!D247</f>
        <v>23625</v>
      </c>
      <c r="E256" s="15">
        <f>[2]Лист4!D248</f>
        <v>30500</v>
      </c>
      <c r="F256" s="15">
        <f>[3]Лист4!D248</f>
        <v>42700</v>
      </c>
      <c r="G256" s="16">
        <f>[4]Лист4!D247</f>
        <v>26250</v>
      </c>
      <c r="H256" s="15"/>
      <c r="I256" s="15"/>
      <c r="J256" s="15"/>
      <c r="K256" s="15"/>
      <c r="L256" s="15"/>
      <c r="M256" s="15"/>
      <c r="N256" s="15"/>
      <c r="O256" s="15"/>
      <c r="P256" s="15"/>
      <c r="Q256" s="15"/>
      <c r="R256" s="15"/>
      <c r="S256" s="15"/>
      <c r="T256" s="15"/>
      <c r="U256" s="15"/>
      <c r="V256" s="15"/>
      <c r="W256" s="15"/>
      <c r="X256" s="15"/>
      <c r="Y256" s="15"/>
      <c r="Z256" s="15">
        <f t="shared" si="3"/>
        <v>23625</v>
      </c>
      <c r="AA256" s="20"/>
      <c r="AB256" s="21"/>
    </row>
    <row r="257" spans="1:28" ht="90.75" thickBot="1" x14ac:dyDescent="0.3">
      <c r="A257" s="14">
        <v>245</v>
      </c>
      <c r="B257" s="13" t="s">
        <v>294</v>
      </c>
      <c r="C257" s="13" t="s">
        <v>30</v>
      </c>
      <c r="D257" s="15">
        <f>[1]Лист4!D248</f>
        <v>63000</v>
      </c>
      <c r="E257" s="15">
        <f>[2]Лист4!D249</f>
        <v>79300</v>
      </c>
      <c r="F257" s="15">
        <f>[3]Лист4!D249</f>
        <v>42700</v>
      </c>
      <c r="G257" s="16">
        <f>[4]Лист4!D248</f>
        <v>61950</v>
      </c>
      <c r="H257" s="15"/>
      <c r="I257" s="15"/>
      <c r="J257" s="15"/>
      <c r="K257" s="15"/>
      <c r="L257" s="15"/>
      <c r="M257" s="15"/>
      <c r="N257" s="15"/>
      <c r="O257" s="15"/>
      <c r="P257" s="15"/>
      <c r="Q257" s="15"/>
      <c r="R257" s="15"/>
      <c r="S257" s="15"/>
      <c r="T257" s="15"/>
      <c r="U257" s="15"/>
      <c r="V257" s="15"/>
      <c r="W257" s="15"/>
      <c r="X257" s="15"/>
      <c r="Y257" s="15"/>
      <c r="Z257" s="15">
        <f t="shared" si="3"/>
        <v>42700</v>
      </c>
      <c r="AA257" s="20"/>
      <c r="AB257" s="21"/>
    </row>
    <row r="258" spans="1:28" ht="63" customHeight="1" thickBot="1" x14ac:dyDescent="0.3">
      <c r="A258" s="14">
        <v>246</v>
      </c>
      <c r="B258" s="13" t="s">
        <v>295</v>
      </c>
      <c r="C258" s="13" t="s">
        <v>30</v>
      </c>
      <c r="D258" s="15">
        <f>[1]Лист4!D249</f>
        <v>39375</v>
      </c>
      <c r="E258" s="15">
        <f>[2]Лист4!D250</f>
        <v>54900</v>
      </c>
      <c r="F258" s="15">
        <f>[3]Лист4!D250</f>
        <v>42700</v>
      </c>
      <c r="G258" s="16">
        <f>[4]Лист4!D249</f>
        <v>42000</v>
      </c>
      <c r="H258" s="15"/>
      <c r="I258" s="15"/>
      <c r="J258" s="15"/>
      <c r="K258" s="15"/>
      <c r="L258" s="15"/>
      <c r="M258" s="15"/>
      <c r="N258" s="15"/>
      <c r="O258" s="15"/>
      <c r="P258" s="15"/>
      <c r="Q258" s="15"/>
      <c r="R258" s="15"/>
      <c r="S258" s="15"/>
      <c r="T258" s="15"/>
      <c r="U258" s="15"/>
      <c r="V258" s="15"/>
      <c r="W258" s="15"/>
      <c r="X258" s="15"/>
      <c r="Y258" s="15"/>
      <c r="Z258" s="15">
        <f t="shared" si="3"/>
        <v>39375</v>
      </c>
      <c r="AA258" s="20"/>
      <c r="AB258" s="21"/>
    </row>
    <row r="259" spans="1:28" ht="90.75" thickBot="1" x14ac:dyDescent="0.3">
      <c r="A259" s="14">
        <v>247</v>
      </c>
      <c r="B259" s="13" t="s">
        <v>296</v>
      </c>
      <c r="C259" s="13" t="s">
        <v>29</v>
      </c>
      <c r="D259" s="15">
        <f>[1]Лист4!D250</f>
        <v>21000</v>
      </c>
      <c r="E259" s="15">
        <f>[2]Лист4!D251</f>
        <v>30500</v>
      </c>
      <c r="F259" s="15">
        <f>[3]Лист4!D251</f>
        <v>42700</v>
      </c>
      <c r="G259" s="16">
        <f>[4]Лист4!D250</f>
        <v>26250</v>
      </c>
      <c r="H259" s="15"/>
      <c r="I259" s="15"/>
      <c r="J259" s="15"/>
      <c r="K259" s="15"/>
      <c r="L259" s="15"/>
      <c r="M259" s="15"/>
      <c r="N259" s="15"/>
      <c r="O259" s="15"/>
      <c r="P259" s="15"/>
      <c r="Q259" s="15"/>
      <c r="R259" s="15"/>
      <c r="S259" s="15"/>
      <c r="T259" s="15"/>
      <c r="U259" s="15"/>
      <c r="V259" s="15"/>
      <c r="W259" s="15"/>
      <c r="X259" s="15"/>
      <c r="Y259" s="15"/>
      <c r="Z259" s="15">
        <f t="shared" si="3"/>
        <v>21000</v>
      </c>
      <c r="AA259" s="20"/>
      <c r="AB259" s="21"/>
    </row>
    <row r="260" spans="1:28" ht="63" customHeight="1" thickBot="1" x14ac:dyDescent="0.3">
      <c r="A260" s="14">
        <v>248</v>
      </c>
      <c r="B260" s="13" t="s">
        <v>297</v>
      </c>
      <c r="C260" s="13" t="s">
        <v>30</v>
      </c>
      <c r="D260" s="15">
        <f>[1]Лист4!D251</f>
        <v>23625</v>
      </c>
      <c r="E260" s="15">
        <f>[2]Лист4!D252</f>
        <v>32940</v>
      </c>
      <c r="F260" s="15">
        <f>[3]Лист4!D252</f>
        <v>30500</v>
      </c>
      <c r="G260" s="16">
        <f>[4]Лист4!D251</f>
        <v>26250</v>
      </c>
      <c r="H260" s="15"/>
      <c r="I260" s="15"/>
      <c r="J260" s="15"/>
      <c r="K260" s="15"/>
      <c r="L260" s="15"/>
      <c r="M260" s="15"/>
      <c r="N260" s="15"/>
      <c r="O260" s="15"/>
      <c r="P260" s="15"/>
      <c r="Q260" s="15"/>
      <c r="R260" s="15"/>
      <c r="S260" s="15"/>
      <c r="T260" s="15"/>
      <c r="U260" s="15"/>
      <c r="V260" s="15"/>
      <c r="W260" s="15"/>
      <c r="X260" s="15"/>
      <c r="Y260" s="15"/>
      <c r="Z260" s="15">
        <f t="shared" si="3"/>
        <v>23625</v>
      </c>
      <c r="AA260" s="20"/>
      <c r="AB260" s="21"/>
    </row>
    <row r="261" spans="1:28" ht="75.75" thickBot="1" x14ac:dyDescent="0.3">
      <c r="A261" s="14">
        <v>249</v>
      </c>
      <c r="B261" s="13" t="s">
        <v>298</v>
      </c>
      <c r="C261" s="13" t="s">
        <v>30</v>
      </c>
      <c r="D261" s="15">
        <f>[1]Лист4!D252</f>
        <v>39375</v>
      </c>
      <c r="E261" s="15">
        <f>[2]Лист4!D253</f>
        <v>54900</v>
      </c>
      <c r="F261" s="15">
        <f>[3]Лист4!D253</f>
        <v>30500</v>
      </c>
      <c r="G261" s="16">
        <f>[4]Лист4!D252</f>
        <v>37800</v>
      </c>
      <c r="H261" s="15"/>
      <c r="I261" s="15"/>
      <c r="J261" s="15"/>
      <c r="K261" s="15"/>
      <c r="L261" s="15"/>
      <c r="M261" s="15"/>
      <c r="N261" s="15"/>
      <c r="O261" s="15"/>
      <c r="P261" s="15"/>
      <c r="Q261" s="15"/>
      <c r="R261" s="15"/>
      <c r="S261" s="15"/>
      <c r="T261" s="15"/>
      <c r="U261" s="15"/>
      <c r="V261" s="15"/>
      <c r="W261" s="15"/>
      <c r="X261" s="15"/>
      <c r="Y261" s="15"/>
      <c r="Z261" s="15">
        <f t="shared" si="3"/>
        <v>30500</v>
      </c>
      <c r="AA261" s="20"/>
      <c r="AB261" s="21"/>
    </row>
    <row r="262" spans="1:28" ht="63" customHeight="1" thickBot="1" x14ac:dyDescent="0.3">
      <c r="A262" s="14">
        <v>250</v>
      </c>
      <c r="B262" s="13" t="s">
        <v>299</v>
      </c>
      <c r="C262" s="13" t="s">
        <v>30</v>
      </c>
      <c r="D262" s="15">
        <f>[1]Лист4!D253</f>
        <v>55125</v>
      </c>
      <c r="E262" s="15">
        <f>[2]Лист4!D254</f>
        <v>73200</v>
      </c>
      <c r="F262" s="15">
        <f>[3]Лист4!D254</f>
        <v>30500</v>
      </c>
      <c r="G262" s="16">
        <f>[4]Лист4!D253</f>
        <v>63000</v>
      </c>
      <c r="H262" s="15"/>
      <c r="I262" s="15"/>
      <c r="J262" s="15"/>
      <c r="K262" s="15"/>
      <c r="L262" s="15"/>
      <c r="M262" s="15"/>
      <c r="N262" s="15"/>
      <c r="O262" s="15"/>
      <c r="P262" s="15"/>
      <c r="Q262" s="15"/>
      <c r="R262" s="15"/>
      <c r="S262" s="15"/>
      <c r="T262" s="15"/>
      <c r="U262" s="15"/>
      <c r="V262" s="15"/>
      <c r="W262" s="15"/>
      <c r="X262" s="15"/>
      <c r="Y262" s="15"/>
      <c r="Z262" s="15">
        <f t="shared" si="3"/>
        <v>30500</v>
      </c>
      <c r="AA262" s="20"/>
      <c r="AB262" s="21"/>
    </row>
    <row r="263" spans="1:28" ht="63" customHeight="1" thickBot="1" x14ac:dyDescent="0.3">
      <c r="A263" s="14">
        <v>251</v>
      </c>
      <c r="B263" s="13" t="s">
        <v>300</v>
      </c>
      <c r="C263" s="13" t="s">
        <v>30</v>
      </c>
      <c r="D263" s="15">
        <f>[1]Лист4!D254</f>
        <v>15750</v>
      </c>
      <c r="E263" s="15">
        <f>[2]Лист4!D255</f>
        <v>20740</v>
      </c>
      <c r="F263" s="15">
        <f>[3]Лист4!D255</f>
        <v>30500</v>
      </c>
      <c r="G263" s="16">
        <f>[4]Лист4!D254</f>
        <v>16800</v>
      </c>
      <c r="H263" s="15"/>
      <c r="I263" s="15"/>
      <c r="J263" s="15"/>
      <c r="K263" s="15"/>
      <c r="L263" s="15"/>
      <c r="M263" s="15"/>
      <c r="N263" s="15"/>
      <c r="O263" s="15"/>
      <c r="P263" s="15"/>
      <c r="Q263" s="15"/>
      <c r="R263" s="15"/>
      <c r="S263" s="15"/>
      <c r="T263" s="15"/>
      <c r="U263" s="15"/>
      <c r="V263" s="15"/>
      <c r="W263" s="15"/>
      <c r="X263" s="15"/>
      <c r="Y263" s="15"/>
      <c r="Z263" s="15">
        <f t="shared" si="3"/>
        <v>15750</v>
      </c>
      <c r="AA263" s="20"/>
      <c r="AB263" s="21"/>
    </row>
    <row r="264" spans="1:28" ht="63" customHeight="1" thickBot="1" x14ac:dyDescent="0.3">
      <c r="A264" s="14">
        <v>252</v>
      </c>
      <c r="B264" s="13" t="s">
        <v>301</v>
      </c>
      <c r="C264" s="13" t="s">
        <v>30</v>
      </c>
      <c r="D264" s="15">
        <f>[1]Лист4!D255</f>
        <v>15750</v>
      </c>
      <c r="E264" s="15">
        <f>[2]Лист4!D256</f>
        <v>18300</v>
      </c>
      <c r="F264" s="15">
        <f>[3]Лист4!D256</f>
        <v>30500</v>
      </c>
      <c r="G264" s="16">
        <f>[4]Лист4!D255</f>
        <v>17000</v>
      </c>
      <c r="H264" s="15"/>
      <c r="I264" s="15"/>
      <c r="J264" s="15"/>
      <c r="K264" s="15"/>
      <c r="L264" s="15"/>
      <c r="M264" s="15"/>
      <c r="N264" s="15"/>
      <c r="O264" s="15"/>
      <c r="P264" s="15"/>
      <c r="Q264" s="15"/>
      <c r="R264" s="15"/>
      <c r="S264" s="15"/>
      <c r="T264" s="15"/>
      <c r="U264" s="15"/>
      <c r="V264" s="15"/>
      <c r="W264" s="15"/>
      <c r="X264" s="15"/>
      <c r="Y264" s="15"/>
      <c r="Z264" s="15">
        <f t="shared" si="3"/>
        <v>15750</v>
      </c>
      <c r="AA264" s="20"/>
      <c r="AB264" s="21"/>
    </row>
    <row r="265" spans="1:28" ht="63" customHeight="1" thickBot="1" x14ac:dyDescent="0.3">
      <c r="A265" s="14">
        <v>253</v>
      </c>
      <c r="B265" s="13" t="s">
        <v>302</v>
      </c>
      <c r="C265" s="13" t="s">
        <v>30</v>
      </c>
      <c r="D265" s="15">
        <f>[1]Лист4!D256</f>
        <v>15750</v>
      </c>
      <c r="E265" s="15">
        <f>[2]Лист4!D257</f>
        <v>18300</v>
      </c>
      <c r="F265" s="15">
        <f>[3]Лист4!D257</f>
        <v>30500</v>
      </c>
      <c r="G265" s="16">
        <f>[4]Лист4!D256</f>
        <v>17500</v>
      </c>
      <c r="H265" s="15"/>
      <c r="I265" s="15"/>
      <c r="J265" s="15"/>
      <c r="K265" s="15"/>
      <c r="L265" s="15"/>
      <c r="M265" s="15"/>
      <c r="N265" s="15"/>
      <c r="O265" s="15"/>
      <c r="P265" s="15"/>
      <c r="Q265" s="15"/>
      <c r="R265" s="15"/>
      <c r="S265" s="15"/>
      <c r="T265" s="15"/>
      <c r="U265" s="15"/>
      <c r="V265" s="15"/>
      <c r="W265" s="15"/>
      <c r="X265" s="15"/>
      <c r="Y265" s="15"/>
      <c r="Z265" s="15">
        <f t="shared" si="3"/>
        <v>15750</v>
      </c>
      <c r="AA265" s="20"/>
      <c r="AB265" s="21"/>
    </row>
    <row r="266" spans="1:28" ht="75.75" thickBot="1" x14ac:dyDescent="0.3">
      <c r="A266" s="14">
        <v>254</v>
      </c>
      <c r="B266" s="13" t="s">
        <v>303</v>
      </c>
      <c r="C266" s="13" t="s">
        <v>115</v>
      </c>
      <c r="D266" s="15">
        <f>[1]Лист4!D257</f>
        <v>10500</v>
      </c>
      <c r="E266" s="15">
        <f>[2]Лист4!D258</f>
        <v>12200</v>
      </c>
      <c r="F266" s="15">
        <f>[3]Лист4!D258</f>
        <v>15000</v>
      </c>
      <c r="G266" s="16">
        <f>[4]Лист4!D257</f>
        <v>9975</v>
      </c>
      <c r="H266" s="15"/>
      <c r="I266" s="15"/>
      <c r="J266" s="15"/>
      <c r="K266" s="15"/>
      <c r="L266" s="15"/>
      <c r="M266" s="15"/>
      <c r="N266" s="15"/>
      <c r="O266" s="15"/>
      <c r="P266" s="15"/>
      <c r="Q266" s="15"/>
      <c r="R266" s="15"/>
      <c r="S266" s="15"/>
      <c r="T266" s="15"/>
      <c r="U266" s="15"/>
      <c r="V266" s="15"/>
      <c r="W266" s="15"/>
      <c r="X266" s="15"/>
      <c r="Y266" s="15"/>
      <c r="Z266" s="15">
        <f t="shared" si="3"/>
        <v>9975</v>
      </c>
      <c r="AA266" s="20"/>
      <c r="AB266" s="21"/>
    </row>
    <row r="267" spans="1:28" ht="63" customHeight="1" thickBot="1" x14ac:dyDescent="0.3">
      <c r="A267" s="14">
        <v>255</v>
      </c>
      <c r="B267" s="13" t="s">
        <v>304</v>
      </c>
      <c r="C267" s="13" t="s">
        <v>305</v>
      </c>
      <c r="D267" s="15">
        <f>[1]Лист4!D258</f>
        <v>1890</v>
      </c>
      <c r="E267" s="15">
        <f>[2]Лист4!D259</f>
        <v>2440</v>
      </c>
      <c r="F267" s="15">
        <f>[3]Лист4!D259</f>
        <v>2000</v>
      </c>
      <c r="G267" s="16">
        <f>[4]Лист4!D258</f>
        <v>2100</v>
      </c>
      <c r="H267" s="15"/>
      <c r="I267" s="15"/>
      <c r="J267" s="15"/>
      <c r="K267" s="15"/>
      <c r="L267" s="15"/>
      <c r="M267" s="15"/>
      <c r="N267" s="15"/>
      <c r="O267" s="15"/>
      <c r="P267" s="15"/>
      <c r="Q267" s="15"/>
      <c r="R267" s="15"/>
      <c r="S267" s="15"/>
      <c r="T267" s="15"/>
      <c r="U267" s="15"/>
      <c r="V267" s="15"/>
      <c r="W267" s="15"/>
      <c r="X267" s="15"/>
      <c r="Y267" s="15"/>
      <c r="Z267" s="15">
        <f t="shared" si="3"/>
        <v>1890</v>
      </c>
      <c r="AA267" s="20"/>
      <c r="AB267" s="21"/>
    </row>
    <row r="268" spans="1:28" ht="63" customHeight="1" thickBot="1" x14ac:dyDescent="0.3">
      <c r="A268" s="14">
        <v>256</v>
      </c>
      <c r="B268" s="13" t="s">
        <v>306</v>
      </c>
      <c r="C268" s="13" t="s">
        <v>305</v>
      </c>
      <c r="D268" s="15">
        <f>[1]Лист4!D259</f>
        <v>88.2</v>
      </c>
      <c r="E268" s="15">
        <f>[2]Лист4!D260</f>
        <v>122</v>
      </c>
      <c r="F268" s="15">
        <f>[3]Лист4!D260</f>
        <v>100</v>
      </c>
      <c r="G268" s="16">
        <f>[4]Лист4!D259</f>
        <v>84</v>
      </c>
      <c r="H268" s="15"/>
      <c r="I268" s="15"/>
      <c r="J268" s="15"/>
      <c r="K268" s="15"/>
      <c r="L268" s="15"/>
      <c r="M268" s="15"/>
      <c r="N268" s="15"/>
      <c r="O268" s="15"/>
      <c r="P268" s="15"/>
      <c r="Q268" s="15"/>
      <c r="R268" s="15"/>
      <c r="S268" s="15"/>
      <c r="T268" s="15"/>
      <c r="U268" s="15"/>
      <c r="V268" s="15"/>
      <c r="W268" s="15"/>
      <c r="X268" s="15"/>
      <c r="Y268" s="15"/>
      <c r="Z268" s="15">
        <f t="shared" si="3"/>
        <v>84</v>
      </c>
      <c r="AA268" s="20"/>
      <c r="AB268" s="21"/>
    </row>
    <row r="269" spans="1:28" ht="63" customHeight="1" thickBot="1" x14ac:dyDescent="0.3">
      <c r="A269" s="14">
        <v>257</v>
      </c>
      <c r="B269" s="13" t="s">
        <v>307</v>
      </c>
      <c r="C269" s="13" t="s">
        <v>30</v>
      </c>
      <c r="D269" s="15">
        <f>[1]Лист4!D260</f>
        <v>23100</v>
      </c>
      <c r="E269" s="15">
        <f>[2]Лист4!D261</f>
        <v>30500</v>
      </c>
      <c r="F269" s="15">
        <f>[3]Лист4!D261</f>
        <v>25000</v>
      </c>
      <c r="G269" s="16">
        <f>[4]Лист4!D260</f>
        <v>26250</v>
      </c>
      <c r="H269" s="15"/>
      <c r="I269" s="15"/>
      <c r="J269" s="15"/>
      <c r="K269" s="15"/>
      <c r="L269" s="15"/>
      <c r="M269" s="15"/>
      <c r="N269" s="15"/>
      <c r="O269" s="15"/>
      <c r="P269" s="15"/>
      <c r="Q269" s="15"/>
      <c r="R269" s="15"/>
      <c r="S269" s="15"/>
      <c r="T269" s="15"/>
      <c r="U269" s="15"/>
      <c r="V269" s="15"/>
      <c r="W269" s="15"/>
      <c r="X269" s="15"/>
      <c r="Y269" s="15"/>
      <c r="Z269" s="15">
        <f t="shared" si="3"/>
        <v>23100</v>
      </c>
      <c r="AA269" s="20"/>
      <c r="AB269" s="21"/>
    </row>
    <row r="270" spans="1:28" ht="63" customHeight="1" thickBot="1" x14ac:dyDescent="0.3">
      <c r="A270" s="14">
        <v>258</v>
      </c>
      <c r="B270" s="13" t="s">
        <v>308</v>
      </c>
      <c r="C270" s="13" t="s">
        <v>30</v>
      </c>
      <c r="D270" s="15">
        <f>[1]Лист4!D261</f>
        <v>525</v>
      </c>
      <c r="E270" s="15">
        <f>[2]Лист4!D262</f>
        <v>732</v>
      </c>
      <c r="F270" s="15">
        <f>[3]Лист4!D262</f>
        <v>1000</v>
      </c>
      <c r="G270" s="16">
        <f>[4]Лист4!D261</f>
        <v>630</v>
      </c>
      <c r="H270" s="15"/>
      <c r="I270" s="15"/>
      <c r="J270" s="15"/>
      <c r="K270" s="15"/>
      <c r="L270" s="15"/>
      <c r="M270" s="15"/>
      <c r="N270" s="15"/>
      <c r="O270" s="15"/>
      <c r="P270" s="15"/>
      <c r="Q270" s="15"/>
      <c r="R270" s="15"/>
      <c r="S270" s="15"/>
      <c r="T270" s="15"/>
      <c r="U270" s="15"/>
      <c r="V270" s="15"/>
      <c r="W270" s="15"/>
      <c r="X270" s="15"/>
      <c r="Y270" s="15"/>
      <c r="Z270" s="15">
        <f t="shared" ref="Z270:Z333" si="4">MIN(D270:G270)</f>
        <v>525</v>
      </c>
      <c r="AA270" s="20"/>
      <c r="AB270" s="21"/>
    </row>
    <row r="271" spans="1:28" ht="63" customHeight="1" thickBot="1" x14ac:dyDescent="0.3">
      <c r="A271" s="14">
        <v>259</v>
      </c>
      <c r="B271" s="13" t="s">
        <v>309</v>
      </c>
      <c r="C271" s="13" t="s">
        <v>30</v>
      </c>
      <c r="D271" s="15">
        <f>[1]Лист4!D262</f>
        <v>630</v>
      </c>
      <c r="E271" s="15">
        <f>[2]Лист4!D263</f>
        <v>854</v>
      </c>
      <c r="F271" s="15">
        <f>[3]Лист4!D263</f>
        <v>1000</v>
      </c>
      <c r="G271" s="16">
        <f>[4]Лист4!D262</f>
        <v>735</v>
      </c>
      <c r="H271" s="15"/>
      <c r="I271" s="15"/>
      <c r="J271" s="15"/>
      <c r="K271" s="15"/>
      <c r="L271" s="15"/>
      <c r="M271" s="15"/>
      <c r="N271" s="15"/>
      <c r="O271" s="15"/>
      <c r="P271" s="15"/>
      <c r="Q271" s="15"/>
      <c r="R271" s="15"/>
      <c r="S271" s="15"/>
      <c r="T271" s="15"/>
      <c r="U271" s="15"/>
      <c r="V271" s="15"/>
      <c r="W271" s="15"/>
      <c r="X271" s="15"/>
      <c r="Y271" s="15"/>
      <c r="Z271" s="15">
        <f t="shared" si="4"/>
        <v>630</v>
      </c>
      <c r="AA271" s="20"/>
      <c r="AB271" s="21"/>
    </row>
    <row r="272" spans="1:28" ht="63" customHeight="1" thickBot="1" x14ac:dyDescent="0.3">
      <c r="A272" s="14">
        <v>260</v>
      </c>
      <c r="B272" s="13" t="s">
        <v>310</v>
      </c>
      <c r="C272" s="13" t="s">
        <v>94</v>
      </c>
      <c r="D272" s="15">
        <f>[1]Лист4!D263</f>
        <v>12600</v>
      </c>
      <c r="E272" s="15">
        <f>[2]Лист4!D264</f>
        <v>19520</v>
      </c>
      <c r="F272" s="15">
        <f>[3]Лист4!D264</f>
        <v>25000</v>
      </c>
      <c r="G272" s="16">
        <f>[4]Лист4!D263</f>
        <v>15750</v>
      </c>
      <c r="H272" s="15"/>
      <c r="I272" s="15"/>
      <c r="J272" s="15"/>
      <c r="K272" s="15"/>
      <c r="L272" s="15"/>
      <c r="M272" s="15"/>
      <c r="N272" s="15"/>
      <c r="O272" s="15"/>
      <c r="P272" s="15"/>
      <c r="Q272" s="15"/>
      <c r="R272" s="15"/>
      <c r="S272" s="15"/>
      <c r="T272" s="15"/>
      <c r="U272" s="15"/>
      <c r="V272" s="15"/>
      <c r="W272" s="15"/>
      <c r="X272" s="15"/>
      <c r="Y272" s="15"/>
      <c r="Z272" s="15">
        <f t="shared" si="4"/>
        <v>12600</v>
      </c>
      <c r="AA272" s="20"/>
      <c r="AB272" s="21"/>
    </row>
    <row r="273" spans="1:28" ht="63" customHeight="1" thickBot="1" x14ac:dyDescent="0.3">
      <c r="A273" s="14">
        <v>261</v>
      </c>
      <c r="B273" s="13" t="s">
        <v>311</v>
      </c>
      <c r="C273" s="13" t="s">
        <v>30</v>
      </c>
      <c r="D273" s="15">
        <f>[1]Лист4!D264</f>
        <v>7350</v>
      </c>
      <c r="E273" s="15">
        <f>[2]Лист4!D265</f>
        <v>10980</v>
      </c>
      <c r="F273" s="15">
        <f>[3]Лист4!D265</f>
        <v>15500</v>
      </c>
      <c r="G273" s="16">
        <f>[4]Лист4!D264</f>
        <v>8925</v>
      </c>
      <c r="H273" s="15"/>
      <c r="I273" s="15"/>
      <c r="J273" s="15"/>
      <c r="K273" s="15"/>
      <c r="L273" s="15"/>
      <c r="M273" s="15"/>
      <c r="N273" s="15"/>
      <c r="O273" s="15"/>
      <c r="P273" s="15"/>
      <c r="Q273" s="15"/>
      <c r="R273" s="15"/>
      <c r="S273" s="15"/>
      <c r="T273" s="15"/>
      <c r="U273" s="15"/>
      <c r="V273" s="15"/>
      <c r="W273" s="15"/>
      <c r="X273" s="15"/>
      <c r="Y273" s="15"/>
      <c r="Z273" s="15">
        <f t="shared" si="4"/>
        <v>7350</v>
      </c>
      <c r="AA273" s="20"/>
      <c r="AB273" s="21"/>
    </row>
    <row r="274" spans="1:28" ht="63" customHeight="1" thickBot="1" x14ac:dyDescent="0.3">
      <c r="A274" s="14">
        <v>262</v>
      </c>
      <c r="B274" s="13" t="s">
        <v>312</v>
      </c>
      <c r="C274" s="13" t="s">
        <v>94</v>
      </c>
      <c r="D274" s="15">
        <f>[1]Лист4!D265</f>
        <v>18375</v>
      </c>
      <c r="E274" s="15">
        <f>[2]Лист4!D266</f>
        <v>21960</v>
      </c>
      <c r="F274" s="15">
        <f>[3]Лист4!D266</f>
        <v>25500</v>
      </c>
      <c r="G274" s="16">
        <f>[4]Лист4!D265</f>
        <v>22050</v>
      </c>
      <c r="H274" s="15"/>
      <c r="I274" s="15"/>
      <c r="J274" s="15"/>
      <c r="K274" s="15"/>
      <c r="L274" s="15"/>
      <c r="M274" s="15"/>
      <c r="N274" s="15"/>
      <c r="O274" s="15"/>
      <c r="P274" s="15"/>
      <c r="Q274" s="15"/>
      <c r="R274" s="15"/>
      <c r="S274" s="15"/>
      <c r="T274" s="15"/>
      <c r="U274" s="15"/>
      <c r="V274" s="15"/>
      <c r="W274" s="15"/>
      <c r="X274" s="15"/>
      <c r="Y274" s="15"/>
      <c r="Z274" s="15">
        <f t="shared" si="4"/>
        <v>18375</v>
      </c>
      <c r="AA274" s="20"/>
      <c r="AB274" s="21"/>
    </row>
    <row r="275" spans="1:28" ht="63" customHeight="1" thickBot="1" x14ac:dyDescent="0.3">
      <c r="A275" s="14">
        <v>263</v>
      </c>
      <c r="B275" s="13" t="s">
        <v>313</v>
      </c>
      <c r="C275" s="13" t="s">
        <v>38</v>
      </c>
      <c r="D275" s="15">
        <f>[1]Лист4!D266</f>
        <v>26208</v>
      </c>
      <c r="E275" s="15">
        <f>[2]Лист4!D267</f>
        <v>35380</v>
      </c>
      <c r="F275" s="15">
        <f>[3]Лист4!D267</f>
        <v>30500</v>
      </c>
      <c r="G275" s="16">
        <f>[4]Лист4!D266</f>
        <v>31500</v>
      </c>
      <c r="H275" s="15"/>
      <c r="I275" s="15"/>
      <c r="J275" s="15"/>
      <c r="K275" s="15"/>
      <c r="L275" s="15"/>
      <c r="M275" s="15"/>
      <c r="N275" s="15"/>
      <c r="O275" s="15"/>
      <c r="P275" s="15"/>
      <c r="Q275" s="15"/>
      <c r="R275" s="15"/>
      <c r="S275" s="15"/>
      <c r="T275" s="15"/>
      <c r="U275" s="15"/>
      <c r="V275" s="15"/>
      <c r="W275" s="15"/>
      <c r="X275" s="15"/>
      <c r="Y275" s="15"/>
      <c r="Z275" s="15">
        <f t="shared" si="4"/>
        <v>26208</v>
      </c>
      <c r="AA275" s="20"/>
      <c r="AB275" s="21"/>
    </row>
    <row r="276" spans="1:28" ht="63" customHeight="1" thickBot="1" x14ac:dyDescent="0.3">
      <c r="A276" s="14">
        <v>264</v>
      </c>
      <c r="B276" s="13" t="s">
        <v>314</v>
      </c>
      <c r="C276" s="13" t="s">
        <v>30</v>
      </c>
      <c r="D276" s="15">
        <f>[1]Лист4!D267</f>
        <v>2625</v>
      </c>
      <c r="E276" s="15">
        <f>[2]Лист4!D268</f>
        <v>3050</v>
      </c>
      <c r="F276" s="15">
        <f>[3]Лист4!D268</f>
        <v>3500</v>
      </c>
      <c r="G276" s="16">
        <f>[4]Лист4!D267</f>
        <v>3150</v>
      </c>
      <c r="H276" s="15"/>
      <c r="I276" s="15"/>
      <c r="J276" s="15"/>
      <c r="K276" s="15"/>
      <c r="L276" s="15"/>
      <c r="M276" s="15"/>
      <c r="N276" s="15"/>
      <c r="O276" s="15"/>
      <c r="P276" s="15"/>
      <c r="Q276" s="15"/>
      <c r="R276" s="15"/>
      <c r="S276" s="15"/>
      <c r="T276" s="15"/>
      <c r="U276" s="15"/>
      <c r="V276" s="15"/>
      <c r="W276" s="15"/>
      <c r="X276" s="15"/>
      <c r="Y276" s="15"/>
      <c r="Z276" s="15">
        <f t="shared" si="4"/>
        <v>2625</v>
      </c>
      <c r="AA276" s="20"/>
      <c r="AB276" s="21"/>
    </row>
    <row r="277" spans="1:28" ht="63" customHeight="1" thickBot="1" x14ac:dyDescent="0.3">
      <c r="A277" s="14">
        <v>265</v>
      </c>
      <c r="B277" s="13" t="s">
        <v>315</v>
      </c>
      <c r="C277" s="13" t="s">
        <v>316</v>
      </c>
      <c r="D277" s="15">
        <f>[1]Лист4!D268</f>
        <v>1260</v>
      </c>
      <c r="E277" s="15">
        <f>[2]Лист4!D269</f>
        <v>1830</v>
      </c>
      <c r="F277" s="15">
        <f>[3]Лист4!D269</f>
        <v>1220</v>
      </c>
      <c r="G277" s="16">
        <f>[4]Лист4!D268</f>
        <v>1155</v>
      </c>
      <c r="H277" s="15"/>
      <c r="I277" s="15"/>
      <c r="J277" s="15"/>
      <c r="K277" s="15"/>
      <c r="L277" s="15"/>
      <c r="M277" s="15"/>
      <c r="N277" s="15"/>
      <c r="O277" s="15"/>
      <c r="P277" s="15"/>
      <c r="Q277" s="15"/>
      <c r="R277" s="15"/>
      <c r="S277" s="15"/>
      <c r="T277" s="15"/>
      <c r="U277" s="15"/>
      <c r="V277" s="15"/>
      <c r="W277" s="15"/>
      <c r="X277" s="15"/>
      <c r="Y277" s="15"/>
      <c r="Z277" s="15">
        <f t="shared" si="4"/>
        <v>1155</v>
      </c>
      <c r="AA277" s="20"/>
      <c r="AB277" s="21"/>
    </row>
    <row r="278" spans="1:28" ht="63" customHeight="1" thickBot="1" x14ac:dyDescent="0.3">
      <c r="A278" s="14">
        <v>266</v>
      </c>
      <c r="B278" s="13" t="s">
        <v>317</v>
      </c>
      <c r="C278" s="13" t="s">
        <v>36</v>
      </c>
      <c r="D278" s="15">
        <f>[1]Лист4!D269</f>
        <v>100800</v>
      </c>
      <c r="E278" s="15">
        <f>[2]Лист4!D270</f>
        <v>134200</v>
      </c>
      <c r="F278" s="15">
        <f>[3]Лист4!D270</f>
        <v>155500</v>
      </c>
      <c r="G278" s="16">
        <f>[4]Лист4!D269</f>
        <v>105000</v>
      </c>
      <c r="H278" s="15"/>
      <c r="I278" s="15"/>
      <c r="J278" s="15"/>
      <c r="K278" s="15"/>
      <c r="L278" s="15"/>
      <c r="M278" s="15"/>
      <c r="N278" s="15"/>
      <c r="O278" s="15"/>
      <c r="P278" s="15"/>
      <c r="Q278" s="15"/>
      <c r="R278" s="15"/>
      <c r="S278" s="15"/>
      <c r="T278" s="15"/>
      <c r="U278" s="15"/>
      <c r="V278" s="15"/>
      <c r="W278" s="15"/>
      <c r="X278" s="15"/>
      <c r="Y278" s="15"/>
      <c r="Z278" s="15">
        <f t="shared" si="4"/>
        <v>100800</v>
      </c>
      <c r="AA278" s="20"/>
      <c r="AB278" s="21"/>
    </row>
    <row r="279" spans="1:28" ht="63" customHeight="1" thickBot="1" x14ac:dyDescent="0.3">
      <c r="A279" s="14">
        <v>267</v>
      </c>
      <c r="B279" s="13" t="s">
        <v>318</v>
      </c>
      <c r="C279" s="13" t="s">
        <v>38</v>
      </c>
      <c r="D279" s="15">
        <f>[1]Лист4!D270</f>
        <v>7875</v>
      </c>
      <c r="E279" s="15">
        <f>[2]Лист4!D271</f>
        <v>12200</v>
      </c>
      <c r="F279" s="15">
        <f>[3]Лист4!D271</f>
        <v>8250</v>
      </c>
      <c r="G279" s="16">
        <f>[4]Лист4!D270</f>
        <v>9450</v>
      </c>
      <c r="H279" s="15"/>
      <c r="I279" s="15"/>
      <c r="J279" s="15"/>
      <c r="K279" s="15"/>
      <c r="L279" s="15"/>
      <c r="M279" s="15"/>
      <c r="N279" s="15"/>
      <c r="O279" s="15"/>
      <c r="P279" s="15"/>
      <c r="Q279" s="15"/>
      <c r="R279" s="15"/>
      <c r="S279" s="15"/>
      <c r="T279" s="15"/>
      <c r="U279" s="15"/>
      <c r="V279" s="15"/>
      <c r="W279" s="15"/>
      <c r="X279" s="15"/>
      <c r="Y279" s="15"/>
      <c r="Z279" s="15">
        <f t="shared" si="4"/>
        <v>7875</v>
      </c>
      <c r="AA279" s="20"/>
      <c r="AB279" s="21"/>
    </row>
    <row r="280" spans="1:28" ht="63" customHeight="1" thickBot="1" x14ac:dyDescent="0.3">
      <c r="A280" s="14">
        <v>268</v>
      </c>
      <c r="B280" s="13" t="s">
        <v>319</v>
      </c>
      <c r="C280" s="13" t="s">
        <v>43</v>
      </c>
      <c r="D280" s="15">
        <f>[1]Лист4!D271</f>
        <v>2142</v>
      </c>
      <c r="E280" s="15">
        <f>[2]Лист4!D272</f>
        <v>2440</v>
      </c>
      <c r="F280" s="15">
        <f>[3]Лист4!D272</f>
        <v>2350</v>
      </c>
      <c r="G280" s="16">
        <f>[4]Лист4!D271</f>
        <v>2625</v>
      </c>
      <c r="H280" s="15"/>
      <c r="I280" s="15"/>
      <c r="J280" s="15"/>
      <c r="K280" s="15"/>
      <c r="L280" s="15"/>
      <c r="M280" s="15"/>
      <c r="N280" s="15"/>
      <c r="O280" s="15"/>
      <c r="P280" s="15"/>
      <c r="Q280" s="15"/>
      <c r="R280" s="15"/>
      <c r="S280" s="15"/>
      <c r="T280" s="15"/>
      <c r="U280" s="15"/>
      <c r="V280" s="15"/>
      <c r="W280" s="15"/>
      <c r="X280" s="15"/>
      <c r="Y280" s="15"/>
      <c r="Z280" s="15">
        <f t="shared" si="4"/>
        <v>2142</v>
      </c>
      <c r="AA280" s="20"/>
      <c r="AB280" s="21"/>
    </row>
    <row r="281" spans="1:28" ht="63" customHeight="1" thickBot="1" x14ac:dyDescent="0.3">
      <c r="A281" s="14">
        <v>269</v>
      </c>
      <c r="B281" s="13" t="s">
        <v>320</v>
      </c>
      <c r="C281" s="13" t="s">
        <v>43</v>
      </c>
      <c r="D281" s="15">
        <f>[1]Лист4!D272</f>
        <v>2520</v>
      </c>
      <c r="E281" s="15">
        <f>[2]Лист4!D273</f>
        <v>3294</v>
      </c>
      <c r="F281" s="15">
        <f>[3]Лист4!D273</f>
        <v>2350</v>
      </c>
      <c r="G281" s="16">
        <f>[4]Лист4!D272</f>
        <v>2625</v>
      </c>
      <c r="H281" s="15"/>
      <c r="I281" s="15"/>
      <c r="J281" s="15"/>
      <c r="K281" s="15"/>
      <c r="L281" s="15"/>
      <c r="M281" s="15"/>
      <c r="N281" s="15"/>
      <c r="O281" s="15"/>
      <c r="P281" s="15"/>
      <c r="Q281" s="15"/>
      <c r="R281" s="15"/>
      <c r="S281" s="15"/>
      <c r="T281" s="15"/>
      <c r="U281" s="15"/>
      <c r="V281" s="15"/>
      <c r="W281" s="15"/>
      <c r="X281" s="15"/>
      <c r="Y281" s="15"/>
      <c r="Z281" s="15">
        <f t="shared" si="4"/>
        <v>2350</v>
      </c>
      <c r="AA281" s="20"/>
      <c r="AB281" s="21"/>
    </row>
    <row r="282" spans="1:28" ht="63" customHeight="1" thickBot="1" x14ac:dyDescent="0.3">
      <c r="A282" s="14">
        <v>270</v>
      </c>
      <c r="B282" s="13" t="s">
        <v>321</v>
      </c>
      <c r="C282" s="13" t="s">
        <v>38</v>
      </c>
      <c r="D282" s="15">
        <f>[1]Лист4!D273</f>
        <v>15750</v>
      </c>
      <c r="E282" s="15">
        <f>[2]Лист4!D274</f>
        <v>20740</v>
      </c>
      <c r="F282" s="15">
        <f>[3]Лист4!D274</f>
        <v>4575</v>
      </c>
      <c r="G282" s="16">
        <f>[4]Лист4!D273</f>
        <v>17850</v>
      </c>
      <c r="H282" s="15"/>
      <c r="I282" s="15"/>
      <c r="J282" s="15"/>
      <c r="K282" s="15"/>
      <c r="L282" s="15"/>
      <c r="M282" s="15"/>
      <c r="N282" s="15"/>
      <c r="O282" s="15"/>
      <c r="P282" s="15"/>
      <c r="Q282" s="15"/>
      <c r="R282" s="15"/>
      <c r="S282" s="15"/>
      <c r="T282" s="15"/>
      <c r="U282" s="15"/>
      <c r="V282" s="15"/>
      <c r="W282" s="15"/>
      <c r="X282" s="15"/>
      <c r="Y282" s="15"/>
      <c r="Z282" s="15">
        <f t="shared" si="4"/>
        <v>4575</v>
      </c>
      <c r="AA282" s="20"/>
      <c r="AB282" s="21"/>
    </row>
    <row r="283" spans="1:28" ht="63" customHeight="1" thickBot="1" x14ac:dyDescent="0.3">
      <c r="A283" s="14">
        <v>271</v>
      </c>
      <c r="B283" s="13" t="s">
        <v>322</v>
      </c>
      <c r="C283" s="13" t="s">
        <v>38</v>
      </c>
      <c r="D283" s="15">
        <f>[1]Лист4!D274</f>
        <v>5040</v>
      </c>
      <c r="E283" s="15">
        <f>[2]Лист4!D275</f>
        <v>6710</v>
      </c>
      <c r="F283" s="15">
        <f>[3]Лист4!D275</f>
        <v>2440</v>
      </c>
      <c r="G283" s="16">
        <f>[4]Лист4!D274</f>
        <v>6300</v>
      </c>
      <c r="H283" s="15"/>
      <c r="I283" s="15"/>
      <c r="J283" s="15"/>
      <c r="K283" s="15"/>
      <c r="L283" s="15"/>
      <c r="M283" s="15"/>
      <c r="N283" s="15"/>
      <c r="O283" s="15"/>
      <c r="P283" s="15"/>
      <c r="Q283" s="15"/>
      <c r="R283" s="15"/>
      <c r="S283" s="15"/>
      <c r="T283" s="15"/>
      <c r="U283" s="15"/>
      <c r="V283" s="15"/>
      <c r="W283" s="15"/>
      <c r="X283" s="15"/>
      <c r="Y283" s="15"/>
      <c r="Z283" s="15">
        <f t="shared" si="4"/>
        <v>2440</v>
      </c>
      <c r="AA283" s="20"/>
      <c r="AB283" s="21"/>
    </row>
    <row r="284" spans="1:28" ht="63" customHeight="1" thickBot="1" x14ac:dyDescent="0.3">
      <c r="A284" s="14">
        <v>272</v>
      </c>
      <c r="B284" s="13" t="s">
        <v>323</v>
      </c>
      <c r="C284" s="13" t="s">
        <v>38</v>
      </c>
      <c r="D284" s="15">
        <f>[1]Лист4!D275</f>
        <v>414.75</v>
      </c>
      <c r="E284" s="15">
        <f>[2]Лист4!D276</f>
        <v>549</v>
      </c>
      <c r="F284" s="15">
        <f>[3]Лист4!D276</f>
        <v>2440</v>
      </c>
      <c r="G284" s="16">
        <f>[4]Лист4!D275</f>
        <v>525</v>
      </c>
      <c r="H284" s="15"/>
      <c r="I284" s="15"/>
      <c r="J284" s="15"/>
      <c r="K284" s="15"/>
      <c r="L284" s="15"/>
      <c r="M284" s="15"/>
      <c r="N284" s="15"/>
      <c r="O284" s="15"/>
      <c r="P284" s="15"/>
      <c r="Q284" s="15"/>
      <c r="R284" s="15"/>
      <c r="S284" s="15"/>
      <c r="T284" s="15"/>
      <c r="U284" s="15"/>
      <c r="V284" s="15"/>
      <c r="W284" s="15"/>
      <c r="X284" s="15"/>
      <c r="Y284" s="15"/>
      <c r="Z284" s="15">
        <f t="shared" si="4"/>
        <v>414.75</v>
      </c>
      <c r="AA284" s="20"/>
      <c r="AB284" s="21"/>
    </row>
    <row r="285" spans="1:28" ht="63" customHeight="1" thickBot="1" x14ac:dyDescent="0.3">
      <c r="A285" s="14">
        <v>273</v>
      </c>
      <c r="B285" s="13" t="s">
        <v>324</v>
      </c>
      <c r="C285" s="13" t="s">
        <v>43</v>
      </c>
      <c r="D285" s="15">
        <f>[1]Лист4!D276</f>
        <v>2205</v>
      </c>
      <c r="E285" s="15">
        <f>[2]Лист4!D277</f>
        <v>3050</v>
      </c>
      <c r="F285" s="15">
        <f>[3]Лист4!D277</f>
        <v>2440</v>
      </c>
      <c r="G285" s="16">
        <f>[4]Лист4!D276</f>
        <v>2730</v>
      </c>
      <c r="H285" s="15"/>
      <c r="I285" s="15"/>
      <c r="J285" s="15"/>
      <c r="K285" s="15"/>
      <c r="L285" s="15"/>
      <c r="M285" s="15"/>
      <c r="N285" s="15"/>
      <c r="O285" s="15"/>
      <c r="P285" s="15"/>
      <c r="Q285" s="15"/>
      <c r="R285" s="15"/>
      <c r="S285" s="15"/>
      <c r="T285" s="15"/>
      <c r="U285" s="15"/>
      <c r="V285" s="15"/>
      <c r="W285" s="15"/>
      <c r="X285" s="15"/>
      <c r="Y285" s="15"/>
      <c r="Z285" s="15">
        <f t="shared" si="4"/>
        <v>2205</v>
      </c>
      <c r="AA285" s="20"/>
      <c r="AB285" s="21"/>
    </row>
    <row r="286" spans="1:28" ht="63" customHeight="1" thickBot="1" x14ac:dyDescent="0.3">
      <c r="A286" s="14">
        <v>274</v>
      </c>
      <c r="B286" s="13" t="s">
        <v>325</v>
      </c>
      <c r="C286" s="13" t="s">
        <v>43</v>
      </c>
      <c r="D286" s="15">
        <f>[1]Лист4!D277</f>
        <v>409.5</v>
      </c>
      <c r="E286" s="15">
        <f>[2]Лист4!D278</f>
        <v>732</v>
      </c>
      <c r="F286" s="15">
        <f>[3]Лист4!D278</f>
        <v>2440</v>
      </c>
      <c r="G286" s="16">
        <f>[4]Лист4!D277</f>
        <v>525</v>
      </c>
      <c r="H286" s="15"/>
      <c r="I286" s="15"/>
      <c r="J286" s="15"/>
      <c r="K286" s="15"/>
      <c r="L286" s="15"/>
      <c r="M286" s="15"/>
      <c r="N286" s="15"/>
      <c r="O286" s="15"/>
      <c r="P286" s="15"/>
      <c r="Q286" s="15"/>
      <c r="R286" s="15"/>
      <c r="S286" s="15"/>
      <c r="T286" s="15"/>
      <c r="U286" s="15"/>
      <c r="V286" s="15"/>
      <c r="W286" s="15"/>
      <c r="X286" s="15"/>
      <c r="Y286" s="15"/>
      <c r="Z286" s="15">
        <f t="shared" si="4"/>
        <v>409.5</v>
      </c>
      <c r="AA286" s="20"/>
      <c r="AB286" s="21"/>
    </row>
    <row r="287" spans="1:28" ht="63" customHeight="1" thickBot="1" x14ac:dyDescent="0.3">
      <c r="A287" s="14">
        <v>275</v>
      </c>
      <c r="B287" s="13" t="s">
        <v>326</v>
      </c>
      <c r="C287" s="13" t="s">
        <v>43</v>
      </c>
      <c r="D287" s="15">
        <f>[1]Лист4!D278</f>
        <v>1942.5</v>
      </c>
      <c r="E287" s="15">
        <f>[2]Лист4!D279</f>
        <v>2562</v>
      </c>
      <c r="F287" s="15">
        <f>[3]Лист4!D279</f>
        <v>2440</v>
      </c>
      <c r="G287" s="16">
        <f>[4]Лист4!D278</f>
        <v>1890</v>
      </c>
      <c r="H287" s="15"/>
      <c r="I287" s="15"/>
      <c r="J287" s="15"/>
      <c r="K287" s="15"/>
      <c r="L287" s="15"/>
      <c r="M287" s="15"/>
      <c r="N287" s="15"/>
      <c r="O287" s="15"/>
      <c r="P287" s="15"/>
      <c r="Q287" s="15"/>
      <c r="R287" s="15"/>
      <c r="S287" s="15"/>
      <c r="T287" s="15"/>
      <c r="U287" s="15"/>
      <c r="V287" s="15"/>
      <c r="W287" s="15"/>
      <c r="X287" s="15"/>
      <c r="Y287" s="15"/>
      <c r="Z287" s="15">
        <f t="shared" si="4"/>
        <v>1890</v>
      </c>
      <c r="AA287" s="20"/>
      <c r="AB287" s="21"/>
    </row>
    <row r="288" spans="1:28" ht="63" customHeight="1" thickBot="1" x14ac:dyDescent="0.3">
      <c r="A288" s="14">
        <v>276</v>
      </c>
      <c r="B288" s="13" t="s">
        <v>327</v>
      </c>
      <c r="C288" s="13" t="s">
        <v>43</v>
      </c>
      <c r="D288" s="15">
        <f>[1]Лист4!D279</f>
        <v>540.75</v>
      </c>
      <c r="E288" s="15">
        <f>[2]Лист4!D280</f>
        <v>732</v>
      </c>
      <c r="F288" s="15">
        <f>[3]Лист4!D280</f>
        <v>2440</v>
      </c>
      <c r="G288" s="16">
        <f>[4]Лист4!D279</f>
        <v>682.5</v>
      </c>
      <c r="H288" s="15"/>
      <c r="I288" s="15"/>
      <c r="J288" s="15"/>
      <c r="K288" s="15"/>
      <c r="L288" s="15"/>
      <c r="M288" s="15"/>
      <c r="N288" s="15"/>
      <c r="O288" s="15"/>
      <c r="P288" s="15"/>
      <c r="Q288" s="15"/>
      <c r="R288" s="15"/>
      <c r="S288" s="15"/>
      <c r="T288" s="15"/>
      <c r="U288" s="15"/>
      <c r="V288" s="15"/>
      <c r="W288" s="15"/>
      <c r="X288" s="15"/>
      <c r="Y288" s="15"/>
      <c r="Z288" s="15">
        <f t="shared" si="4"/>
        <v>540.75</v>
      </c>
      <c r="AA288" s="20"/>
      <c r="AB288" s="21"/>
    </row>
    <row r="289" spans="1:28" ht="63" customHeight="1" thickBot="1" x14ac:dyDescent="0.3">
      <c r="A289" s="14">
        <v>277</v>
      </c>
      <c r="B289" s="13" t="s">
        <v>328</v>
      </c>
      <c r="C289" s="13" t="s">
        <v>43</v>
      </c>
      <c r="D289" s="15">
        <f>[1]Лист4!D280</f>
        <v>955.5</v>
      </c>
      <c r="E289" s="15">
        <f>[2]Лист4!D281</f>
        <v>1220</v>
      </c>
      <c r="F289" s="15">
        <f>[3]Лист4!D281</f>
        <v>2440</v>
      </c>
      <c r="G289" s="16">
        <f>[4]Лист4!D280</f>
        <v>900</v>
      </c>
      <c r="H289" s="15"/>
      <c r="I289" s="15"/>
      <c r="J289" s="15"/>
      <c r="K289" s="15"/>
      <c r="L289" s="15"/>
      <c r="M289" s="15"/>
      <c r="N289" s="15"/>
      <c r="O289" s="15"/>
      <c r="P289" s="15"/>
      <c r="Q289" s="15"/>
      <c r="R289" s="15"/>
      <c r="S289" s="15"/>
      <c r="T289" s="15"/>
      <c r="U289" s="15"/>
      <c r="V289" s="15"/>
      <c r="W289" s="15"/>
      <c r="X289" s="15"/>
      <c r="Y289" s="15"/>
      <c r="Z289" s="15">
        <f t="shared" si="4"/>
        <v>900</v>
      </c>
      <c r="AA289" s="20"/>
      <c r="AB289" s="21"/>
    </row>
    <row r="290" spans="1:28" ht="63" customHeight="1" thickBot="1" x14ac:dyDescent="0.3">
      <c r="A290" s="14">
        <v>278</v>
      </c>
      <c r="B290" s="13" t="s">
        <v>329</v>
      </c>
      <c r="C290" s="13" t="s">
        <v>43</v>
      </c>
      <c r="D290" s="15">
        <f>[1]Лист4!D281</f>
        <v>955.5</v>
      </c>
      <c r="E290" s="15">
        <f>[2]Лист4!D282</f>
        <v>1098</v>
      </c>
      <c r="F290" s="15">
        <f>[3]Лист4!D282</f>
        <v>2440</v>
      </c>
      <c r="G290" s="16">
        <f>[4]Лист4!D281</f>
        <v>1100</v>
      </c>
      <c r="H290" s="15"/>
      <c r="I290" s="15"/>
      <c r="J290" s="15"/>
      <c r="K290" s="15"/>
      <c r="L290" s="15"/>
      <c r="M290" s="15"/>
      <c r="N290" s="15"/>
      <c r="O290" s="15"/>
      <c r="P290" s="15"/>
      <c r="Q290" s="15"/>
      <c r="R290" s="15"/>
      <c r="S290" s="15"/>
      <c r="T290" s="15"/>
      <c r="U290" s="15"/>
      <c r="V290" s="15"/>
      <c r="W290" s="15"/>
      <c r="X290" s="15"/>
      <c r="Y290" s="15"/>
      <c r="Z290" s="15">
        <f t="shared" si="4"/>
        <v>955.5</v>
      </c>
      <c r="AA290" s="20"/>
      <c r="AB290" s="21"/>
    </row>
    <row r="291" spans="1:28" ht="63" customHeight="1" thickBot="1" x14ac:dyDescent="0.3">
      <c r="A291" s="14">
        <v>279</v>
      </c>
      <c r="B291" s="13" t="s">
        <v>330</v>
      </c>
      <c r="C291" s="13" t="s">
        <v>29</v>
      </c>
      <c r="D291" s="15">
        <f>[1]Лист4!D282</f>
        <v>27588.960000000003</v>
      </c>
      <c r="E291" s="15">
        <f>[2]Лист4!D283</f>
        <v>42700</v>
      </c>
      <c r="F291" s="15">
        <f>[3]Лист4!D283</f>
        <v>35500</v>
      </c>
      <c r="G291" s="16">
        <f>[4]Лист4!D282</f>
        <v>31500</v>
      </c>
      <c r="H291" s="15"/>
      <c r="I291" s="15"/>
      <c r="J291" s="15"/>
      <c r="K291" s="15"/>
      <c r="L291" s="15"/>
      <c r="M291" s="15"/>
      <c r="N291" s="15"/>
      <c r="O291" s="15"/>
      <c r="P291" s="15"/>
      <c r="Q291" s="15"/>
      <c r="R291" s="15"/>
      <c r="S291" s="15"/>
      <c r="T291" s="15"/>
      <c r="U291" s="15"/>
      <c r="V291" s="15"/>
      <c r="W291" s="15"/>
      <c r="X291" s="15"/>
      <c r="Y291" s="15"/>
      <c r="Z291" s="15">
        <f t="shared" si="4"/>
        <v>27588.960000000003</v>
      </c>
      <c r="AA291" s="20"/>
      <c r="AB291" s="21"/>
    </row>
    <row r="292" spans="1:28" ht="63" customHeight="1" thickBot="1" x14ac:dyDescent="0.3">
      <c r="A292" s="14">
        <v>280</v>
      </c>
      <c r="B292" s="13" t="s">
        <v>331</v>
      </c>
      <c r="C292" s="13" t="s">
        <v>38</v>
      </c>
      <c r="D292" s="15">
        <f>[1]Лист4!D283</f>
        <v>26250</v>
      </c>
      <c r="E292" s="15">
        <f>[2]Лист4!D284</f>
        <v>35380</v>
      </c>
      <c r="F292" s="15">
        <f>[3]Лист4!D284</f>
        <v>54900</v>
      </c>
      <c r="G292" s="16">
        <f>[4]Лист4!D283</f>
        <v>30400</v>
      </c>
      <c r="H292" s="15"/>
      <c r="I292" s="15"/>
      <c r="J292" s="15"/>
      <c r="K292" s="15"/>
      <c r="L292" s="15"/>
      <c r="M292" s="15"/>
      <c r="N292" s="15"/>
      <c r="O292" s="15"/>
      <c r="P292" s="15"/>
      <c r="Q292" s="15"/>
      <c r="R292" s="15"/>
      <c r="S292" s="15"/>
      <c r="T292" s="15"/>
      <c r="U292" s="15"/>
      <c r="V292" s="15"/>
      <c r="W292" s="15"/>
      <c r="X292" s="15"/>
      <c r="Y292" s="15"/>
      <c r="Z292" s="15">
        <f t="shared" si="4"/>
        <v>26250</v>
      </c>
      <c r="AA292" s="20"/>
      <c r="AB292" s="21"/>
    </row>
    <row r="293" spans="1:28" ht="63" customHeight="1" thickBot="1" x14ac:dyDescent="0.3">
      <c r="A293" s="14">
        <v>281</v>
      </c>
      <c r="B293" s="13" t="s">
        <v>332</v>
      </c>
      <c r="C293" s="13" t="s">
        <v>38</v>
      </c>
      <c r="D293" s="15">
        <f>[1]Лист4!D284</f>
        <v>5250</v>
      </c>
      <c r="E293" s="15">
        <f>[2]Лист4!D285</f>
        <v>6954</v>
      </c>
      <c r="F293" s="15">
        <f>[3]Лист4!D285</f>
        <v>2440</v>
      </c>
      <c r="G293" s="16">
        <f>[4]Лист4!D284</f>
        <v>6300</v>
      </c>
      <c r="H293" s="15"/>
      <c r="I293" s="15"/>
      <c r="J293" s="15"/>
      <c r="K293" s="15"/>
      <c r="L293" s="15"/>
      <c r="M293" s="15"/>
      <c r="N293" s="15"/>
      <c r="O293" s="15"/>
      <c r="P293" s="15"/>
      <c r="Q293" s="15"/>
      <c r="R293" s="15"/>
      <c r="S293" s="15"/>
      <c r="T293" s="15"/>
      <c r="U293" s="15"/>
      <c r="V293" s="15"/>
      <c r="W293" s="15"/>
      <c r="X293" s="15"/>
      <c r="Y293" s="15"/>
      <c r="Z293" s="15">
        <f t="shared" si="4"/>
        <v>2440</v>
      </c>
      <c r="AA293" s="20"/>
      <c r="AB293" s="21"/>
    </row>
    <row r="294" spans="1:28" ht="63" customHeight="1" thickBot="1" x14ac:dyDescent="0.3">
      <c r="A294" s="14">
        <v>282</v>
      </c>
      <c r="B294" s="13" t="s">
        <v>333</v>
      </c>
      <c r="C294" s="13" t="s">
        <v>38</v>
      </c>
      <c r="D294" s="15">
        <f>[1]Лист4!D285</f>
        <v>26250</v>
      </c>
      <c r="E294" s="15">
        <f>[2]Лист4!D286</f>
        <v>36600</v>
      </c>
      <c r="F294" s="15">
        <f>[3]Лист4!D286</f>
        <v>54900</v>
      </c>
      <c r="G294" s="16">
        <f>[4]Лист4!D285</f>
        <v>29650</v>
      </c>
      <c r="H294" s="15"/>
      <c r="I294" s="15"/>
      <c r="J294" s="15"/>
      <c r="K294" s="15"/>
      <c r="L294" s="15"/>
      <c r="M294" s="15"/>
      <c r="N294" s="15"/>
      <c r="O294" s="15"/>
      <c r="P294" s="15"/>
      <c r="Q294" s="15"/>
      <c r="R294" s="15"/>
      <c r="S294" s="15"/>
      <c r="T294" s="15"/>
      <c r="U294" s="15"/>
      <c r="V294" s="15"/>
      <c r="W294" s="15"/>
      <c r="X294" s="15"/>
      <c r="Y294" s="15"/>
      <c r="Z294" s="15">
        <f t="shared" si="4"/>
        <v>26250</v>
      </c>
      <c r="AA294" s="20"/>
      <c r="AB294" s="21"/>
    </row>
    <row r="295" spans="1:28" ht="63" customHeight="1" thickBot="1" x14ac:dyDescent="0.3">
      <c r="A295" s="14">
        <v>283</v>
      </c>
      <c r="B295" s="13" t="s">
        <v>334</v>
      </c>
      <c r="C295" s="13" t="s">
        <v>29</v>
      </c>
      <c r="D295" s="15">
        <f>[1]Лист4!D286</f>
        <v>2898</v>
      </c>
      <c r="E295" s="15">
        <f>[2]Лист4!D287</f>
        <v>3904</v>
      </c>
      <c r="F295" s="15">
        <f>[3]Лист4!D287</f>
        <v>2440</v>
      </c>
      <c r="G295" s="16">
        <f>[4]Лист4!D286</f>
        <v>3150</v>
      </c>
      <c r="H295" s="15"/>
      <c r="I295" s="15"/>
      <c r="J295" s="15"/>
      <c r="K295" s="15"/>
      <c r="L295" s="15"/>
      <c r="M295" s="15"/>
      <c r="N295" s="15"/>
      <c r="O295" s="15"/>
      <c r="P295" s="15"/>
      <c r="Q295" s="15"/>
      <c r="R295" s="15"/>
      <c r="S295" s="15"/>
      <c r="T295" s="15"/>
      <c r="U295" s="15"/>
      <c r="V295" s="15"/>
      <c r="W295" s="15"/>
      <c r="X295" s="15"/>
      <c r="Y295" s="15"/>
      <c r="Z295" s="15">
        <f t="shared" si="4"/>
        <v>2440</v>
      </c>
      <c r="AA295" s="20"/>
      <c r="AB295" s="21"/>
    </row>
    <row r="296" spans="1:28" ht="90.75" thickBot="1" x14ac:dyDescent="0.3">
      <c r="A296" s="14">
        <v>284</v>
      </c>
      <c r="B296" s="13" t="s">
        <v>335</v>
      </c>
      <c r="C296" s="13" t="s">
        <v>29</v>
      </c>
      <c r="D296" s="15">
        <f>[1]Лист4!D287</f>
        <v>3150</v>
      </c>
      <c r="E296" s="15">
        <f>[2]Лист4!D288</f>
        <v>3660</v>
      </c>
      <c r="F296" s="15">
        <f>[3]Лист4!D288</f>
        <v>3550</v>
      </c>
      <c r="G296" s="16">
        <f>[4]Лист4!D287</f>
        <v>3000</v>
      </c>
      <c r="H296" s="15"/>
      <c r="I296" s="15"/>
      <c r="J296" s="15"/>
      <c r="K296" s="15"/>
      <c r="L296" s="15"/>
      <c r="M296" s="15"/>
      <c r="N296" s="15"/>
      <c r="O296" s="15"/>
      <c r="P296" s="15"/>
      <c r="Q296" s="15"/>
      <c r="R296" s="15"/>
      <c r="S296" s="15"/>
      <c r="T296" s="15"/>
      <c r="U296" s="15"/>
      <c r="V296" s="15"/>
      <c r="W296" s="15"/>
      <c r="X296" s="15"/>
      <c r="Y296" s="15"/>
      <c r="Z296" s="15">
        <f t="shared" si="4"/>
        <v>3000</v>
      </c>
      <c r="AA296" s="20"/>
      <c r="AB296" s="21"/>
    </row>
    <row r="297" spans="1:28" ht="90.75" thickBot="1" x14ac:dyDescent="0.3">
      <c r="A297" s="14">
        <v>285</v>
      </c>
      <c r="B297" s="13" t="s">
        <v>336</v>
      </c>
      <c r="C297" s="13" t="s">
        <v>94</v>
      </c>
      <c r="D297" s="15">
        <f>[1]Лист4!D288</f>
        <v>315000</v>
      </c>
      <c r="E297" s="15">
        <f>[2]Лист4!D289</f>
        <v>366000</v>
      </c>
      <c r="F297" s="15">
        <f>[3]Лист4!D289</f>
        <v>427000</v>
      </c>
      <c r="G297" s="16">
        <f>[4]Лист4!D288</f>
        <v>262500</v>
      </c>
      <c r="H297" s="15"/>
      <c r="I297" s="15"/>
      <c r="J297" s="15"/>
      <c r="K297" s="15"/>
      <c r="L297" s="15"/>
      <c r="M297" s="15"/>
      <c r="N297" s="15"/>
      <c r="O297" s="15"/>
      <c r="P297" s="15"/>
      <c r="Q297" s="15"/>
      <c r="R297" s="15"/>
      <c r="S297" s="15"/>
      <c r="T297" s="15"/>
      <c r="U297" s="15"/>
      <c r="V297" s="15"/>
      <c r="W297" s="15"/>
      <c r="X297" s="15"/>
      <c r="Y297" s="15"/>
      <c r="Z297" s="15">
        <f t="shared" si="4"/>
        <v>262500</v>
      </c>
      <c r="AA297" s="20"/>
      <c r="AB297" s="21"/>
    </row>
    <row r="298" spans="1:28" ht="90.75" thickBot="1" x14ac:dyDescent="0.3">
      <c r="A298" s="14">
        <v>286</v>
      </c>
      <c r="B298" s="13" t="s">
        <v>337</v>
      </c>
      <c r="C298" s="13" t="s">
        <v>29</v>
      </c>
      <c r="D298" s="15">
        <f>[1]Лист4!D289</f>
        <v>5250</v>
      </c>
      <c r="E298" s="15">
        <f>[2]Лист4!D290</f>
        <v>6710</v>
      </c>
      <c r="F298" s="15">
        <f>[3]Лист4!D290</f>
        <v>3050</v>
      </c>
      <c r="G298" s="16">
        <f>[4]Лист4!D289</f>
        <v>6300</v>
      </c>
      <c r="H298" s="15"/>
      <c r="I298" s="15"/>
      <c r="J298" s="15"/>
      <c r="K298" s="15"/>
      <c r="L298" s="15"/>
      <c r="M298" s="15"/>
      <c r="N298" s="15"/>
      <c r="O298" s="15"/>
      <c r="P298" s="15"/>
      <c r="Q298" s="15"/>
      <c r="R298" s="15"/>
      <c r="S298" s="15"/>
      <c r="T298" s="15"/>
      <c r="U298" s="15"/>
      <c r="V298" s="15"/>
      <c r="W298" s="15"/>
      <c r="X298" s="15"/>
      <c r="Y298" s="15"/>
      <c r="Z298" s="15">
        <f t="shared" si="4"/>
        <v>3050</v>
      </c>
      <c r="AA298" s="20"/>
      <c r="AB298" s="21"/>
    </row>
    <row r="299" spans="1:28" ht="105.75" thickBot="1" x14ac:dyDescent="0.3">
      <c r="A299" s="14">
        <v>287</v>
      </c>
      <c r="B299" s="13" t="s">
        <v>338</v>
      </c>
      <c r="C299" s="13" t="s">
        <v>30</v>
      </c>
      <c r="D299" s="15">
        <f>[1]Лист4!D290</f>
        <v>5250</v>
      </c>
      <c r="E299" s="15">
        <f>[2]Лист4!D291</f>
        <v>6710</v>
      </c>
      <c r="F299" s="15">
        <f>[3]Лист4!D291</f>
        <v>7320</v>
      </c>
      <c r="G299" s="16">
        <f>[4]Лист4!D290</f>
        <v>6000</v>
      </c>
      <c r="H299" s="15"/>
      <c r="I299" s="15"/>
      <c r="J299" s="15"/>
      <c r="K299" s="15"/>
      <c r="L299" s="15"/>
      <c r="M299" s="15"/>
      <c r="N299" s="15"/>
      <c r="O299" s="15"/>
      <c r="P299" s="15"/>
      <c r="Q299" s="15"/>
      <c r="R299" s="15"/>
      <c r="S299" s="15"/>
      <c r="T299" s="15"/>
      <c r="U299" s="15"/>
      <c r="V299" s="15"/>
      <c r="W299" s="15"/>
      <c r="X299" s="15"/>
      <c r="Y299" s="15"/>
      <c r="Z299" s="15">
        <f t="shared" si="4"/>
        <v>5250</v>
      </c>
      <c r="AA299" s="20"/>
      <c r="AB299" s="21"/>
    </row>
    <row r="300" spans="1:28" ht="75.75" thickBot="1" x14ac:dyDescent="0.3">
      <c r="A300" s="14">
        <v>288</v>
      </c>
      <c r="B300" s="13" t="s">
        <v>339</v>
      </c>
      <c r="C300" s="13" t="s">
        <v>94</v>
      </c>
      <c r="D300" s="15">
        <f>[1]Лист4!D291</f>
        <v>26250</v>
      </c>
      <c r="E300" s="15">
        <f>[2]Лист4!D292</f>
        <v>35136</v>
      </c>
      <c r="F300" s="15">
        <f>[3]Лист4!D292</f>
        <v>36600</v>
      </c>
      <c r="G300" s="16">
        <f>[4]Лист4!D291</f>
        <v>31500</v>
      </c>
      <c r="H300" s="15"/>
      <c r="I300" s="15"/>
      <c r="J300" s="15"/>
      <c r="K300" s="15"/>
      <c r="L300" s="15"/>
      <c r="M300" s="15"/>
      <c r="N300" s="15"/>
      <c r="O300" s="15"/>
      <c r="P300" s="15"/>
      <c r="Q300" s="15"/>
      <c r="R300" s="15"/>
      <c r="S300" s="15"/>
      <c r="T300" s="15"/>
      <c r="U300" s="15"/>
      <c r="V300" s="15"/>
      <c r="W300" s="15"/>
      <c r="X300" s="15"/>
      <c r="Y300" s="15"/>
      <c r="Z300" s="15">
        <f t="shared" si="4"/>
        <v>26250</v>
      </c>
      <c r="AA300" s="20"/>
      <c r="AB300" s="21"/>
    </row>
    <row r="301" spans="1:28" ht="90.75" thickBot="1" x14ac:dyDescent="0.3">
      <c r="A301" s="14">
        <v>289</v>
      </c>
      <c r="B301" s="13" t="s">
        <v>340</v>
      </c>
      <c r="C301" s="13" t="s">
        <v>30</v>
      </c>
      <c r="D301" s="15">
        <f>[1]Лист4!D292</f>
        <v>1575</v>
      </c>
      <c r="E301" s="15">
        <f>[2]Лист4!D293</f>
        <v>1952</v>
      </c>
      <c r="F301" s="15">
        <f>[3]Лист4!D293</f>
        <v>2440</v>
      </c>
      <c r="G301" s="16">
        <f>[4]Лист4!D292</f>
        <v>1500</v>
      </c>
      <c r="H301" s="15"/>
      <c r="I301" s="15"/>
      <c r="J301" s="15"/>
      <c r="K301" s="15"/>
      <c r="L301" s="15"/>
      <c r="M301" s="15"/>
      <c r="N301" s="15"/>
      <c r="O301" s="15"/>
      <c r="P301" s="15"/>
      <c r="Q301" s="15"/>
      <c r="R301" s="15"/>
      <c r="S301" s="15"/>
      <c r="T301" s="15"/>
      <c r="U301" s="15"/>
      <c r="V301" s="15"/>
      <c r="W301" s="15"/>
      <c r="X301" s="15"/>
      <c r="Y301" s="15"/>
      <c r="Z301" s="15">
        <f t="shared" si="4"/>
        <v>1500</v>
      </c>
      <c r="AA301" s="20"/>
      <c r="AB301" s="21"/>
    </row>
    <row r="302" spans="1:28" ht="90.75" thickBot="1" x14ac:dyDescent="0.3">
      <c r="A302" s="14">
        <v>290</v>
      </c>
      <c r="B302" s="13" t="s">
        <v>341</v>
      </c>
      <c r="C302" s="13" t="s">
        <v>30</v>
      </c>
      <c r="D302" s="15">
        <f>[1]Лист4!D293</f>
        <v>1575</v>
      </c>
      <c r="E302" s="15">
        <f>[2]Лист4!D294</f>
        <v>2074</v>
      </c>
      <c r="F302" s="15">
        <f>[3]Лист4!D294</f>
        <v>2440</v>
      </c>
      <c r="G302" s="16">
        <f>[4]Лист4!D293</f>
        <v>1785</v>
      </c>
      <c r="H302" s="15"/>
      <c r="I302" s="15"/>
      <c r="J302" s="15"/>
      <c r="K302" s="15"/>
      <c r="L302" s="15"/>
      <c r="M302" s="15"/>
      <c r="N302" s="15"/>
      <c r="O302" s="15"/>
      <c r="P302" s="15"/>
      <c r="Q302" s="15"/>
      <c r="R302" s="15"/>
      <c r="S302" s="15"/>
      <c r="T302" s="15"/>
      <c r="U302" s="15"/>
      <c r="V302" s="15"/>
      <c r="W302" s="15"/>
      <c r="X302" s="15"/>
      <c r="Y302" s="15"/>
      <c r="Z302" s="15">
        <f t="shared" si="4"/>
        <v>1575</v>
      </c>
      <c r="AA302" s="20"/>
      <c r="AB302" s="21"/>
    </row>
    <row r="303" spans="1:28" ht="63" customHeight="1" thickBot="1" x14ac:dyDescent="0.3">
      <c r="A303" s="14">
        <v>291</v>
      </c>
      <c r="B303" s="13" t="s">
        <v>342</v>
      </c>
      <c r="C303" s="13" t="s">
        <v>115</v>
      </c>
      <c r="D303" s="15">
        <f>[1]Лист4!D294</f>
        <v>1575</v>
      </c>
      <c r="E303" s="15">
        <f>[2]Лист4!D295</f>
        <v>2318</v>
      </c>
      <c r="F303" s="15">
        <f>[3]Лист4!D295</f>
        <v>2440</v>
      </c>
      <c r="G303" s="16">
        <f>[4]Лист4!D294</f>
        <v>1785</v>
      </c>
      <c r="H303" s="15"/>
      <c r="I303" s="15"/>
      <c r="J303" s="15"/>
      <c r="K303" s="15"/>
      <c r="L303" s="15"/>
      <c r="M303" s="15"/>
      <c r="N303" s="15"/>
      <c r="O303" s="15"/>
      <c r="P303" s="15"/>
      <c r="Q303" s="15"/>
      <c r="R303" s="15"/>
      <c r="S303" s="15"/>
      <c r="T303" s="15"/>
      <c r="U303" s="15"/>
      <c r="V303" s="15"/>
      <c r="W303" s="15"/>
      <c r="X303" s="15"/>
      <c r="Y303" s="15"/>
      <c r="Z303" s="15">
        <f t="shared" si="4"/>
        <v>1575</v>
      </c>
      <c r="AA303" s="20"/>
      <c r="AB303" s="21"/>
    </row>
    <row r="304" spans="1:28" ht="120.75" thickBot="1" x14ac:dyDescent="0.3">
      <c r="A304" s="14">
        <v>292</v>
      </c>
      <c r="B304" s="13" t="s">
        <v>343</v>
      </c>
      <c r="C304" s="13" t="s">
        <v>29</v>
      </c>
      <c r="D304" s="15">
        <f>[1]Лист4!D295</f>
        <v>3150</v>
      </c>
      <c r="E304" s="15">
        <f>[2]Лист4!D296</f>
        <v>4270</v>
      </c>
      <c r="F304" s="15">
        <f>[3]Лист4!D296</f>
        <v>2440</v>
      </c>
      <c r="G304" s="16">
        <f>[4]Лист4!D295</f>
        <v>3000</v>
      </c>
      <c r="H304" s="15"/>
      <c r="I304" s="15"/>
      <c r="J304" s="15"/>
      <c r="K304" s="15"/>
      <c r="L304" s="15"/>
      <c r="M304" s="15"/>
      <c r="N304" s="15"/>
      <c r="O304" s="15"/>
      <c r="P304" s="15"/>
      <c r="Q304" s="15"/>
      <c r="R304" s="15"/>
      <c r="S304" s="15"/>
      <c r="T304" s="15"/>
      <c r="U304" s="15"/>
      <c r="V304" s="15"/>
      <c r="W304" s="15"/>
      <c r="X304" s="15"/>
      <c r="Y304" s="15"/>
      <c r="Z304" s="15">
        <f t="shared" si="4"/>
        <v>2440</v>
      </c>
      <c r="AA304" s="20"/>
      <c r="AB304" s="21"/>
    </row>
    <row r="305" spans="1:28" ht="63" customHeight="1" thickBot="1" x14ac:dyDescent="0.3">
      <c r="A305" s="14">
        <v>293</v>
      </c>
      <c r="B305" s="13" t="s">
        <v>344</v>
      </c>
      <c r="C305" s="13" t="s">
        <v>29</v>
      </c>
      <c r="D305" s="15">
        <f>[1]Лист4!D296</f>
        <v>1575</v>
      </c>
      <c r="E305" s="15">
        <f>[2]Лист4!D297</f>
        <v>2074</v>
      </c>
      <c r="F305" s="15">
        <f>[3]Лист4!D297</f>
        <v>2440</v>
      </c>
      <c r="G305" s="16">
        <f>[4]Лист4!D296</f>
        <v>1890</v>
      </c>
      <c r="H305" s="15"/>
      <c r="I305" s="15"/>
      <c r="J305" s="15"/>
      <c r="K305" s="15"/>
      <c r="L305" s="15"/>
      <c r="M305" s="15"/>
      <c r="N305" s="15"/>
      <c r="O305" s="15"/>
      <c r="P305" s="15"/>
      <c r="Q305" s="15"/>
      <c r="R305" s="15"/>
      <c r="S305" s="15"/>
      <c r="T305" s="15"/>
      <c r="U305" s="15"/>
      <c r="V305" s="15"/>
      <c r="W305" s="15"/>
      <c r="X305" s="15"/>
      <c r="Y305" s="15"/>
      <c r="Z305" s="15">
        <f t="shared" si="4"/>
        <v>1575</v>
      </c>
      <c r="AA305" s="20"/>
      <c r="AB305" s="21"/>
    </row>
    <row r="306" spans="1:28" ht="75.75" thickBot="1" x14ac:dyDescent="0.3">
      <c r="A306" s="14">
        <v>294</v>
      </c>
      <c r="B306" s="13" t="s">
        <v>345</v>
      </c>
      <c r="C306" s="13" t="s">
        <v>29</v>
      </c>
      <c r="D306" s="15">
        <f>[1]Лист4!D297</f>
        <v>1260</v>
      </c>
      <c r="E306" s="15">
        <f>[2]Лист4!D298</f>
        <v>1586</v>
      </c>
      <c r="F306" s="15">
        <f>[3]Лист4!D298</f>
        <v>1220</v>
      </c>
      <c r="G306" s="16">
        <f>[4]Лист4!D297</f>
        <v>1365</v>
      </c>
      <c r="H306" s="15"/>
      <c r="I306" s="15"/>
      <c r="J306" s="15"/>
      <c r="K306" s="15"/>
      <c r="L306" s="15"/>
      <c r="M306" s="15"/>
      <c r="N306" s="15"/>
      <c r="O306" s="15"/>
      <c r="P306" s="15"/>
      <c r="Q306" s="15"/>
      <c r="R306" s="15"/>
      <c r="S306" s="15"/>
      <c r="T306" s="15"/>
      <c r="U306" s="15"/>
      <c r="V306" s="15"/>
      <c r="W306" s="15"/>
      <c r="X306" s="15"/>
      <c r="Y306" s="15"/>
      <c r="Z306" s="15">
        <f t="shared" si="4"/>
        <v>1220</v>
      </c>
      <c r="AA306" s="20"/>
      <c r="AB306" s="21"/>
    </row>
    <row r="307" spans="1:28" ht="90.75" thickBot="1" x14ac:dyDescent="0.3">
      <c r="A307" s="14">
        <v>295</v>
      </c>
      <c r="B307" s="13" t="s">
        <v>346</v>
      </c>
      <c r="C307" s="13" t="s">
        <v>30</v>
      </c>
      <c r="D307" s="15">
        <f>[1]Лист4!D298</f>
        <v>157500</v>
      </c>
      <c r="E307" s="15">
        <f>[2]Лист4!D299</f>
        <v>207400</v>
      </c>
      <c r="F307" s="15">
        <f>[3]Лист4!D299</f>
        <v>244000</v>
      </c>
      <c r="G307" s="16">
        <f>[4]Лист4!D298</f>
        <v>168000</v>
      </c>
      <c r="H307" s="15"/>
      <c r="I307" s="15"/>
      <c r="J307" s="15"/>
      <c r="K307" s="15"/>
      <c r="L307" s="15"/>
      <c r="M307" s="15"/>
      <c r="N307" s="15"/>
      <c r="O307" s="15"/>
      <c r="P307" s="15"/>
      <c r="Q307" s="15"/>
      <c r="R307" s="15"/>
      <c r="S307" s="15"/>
      <c r="T307" s="15"/>
      <c r="U307" s="15"/>
      <c r="V307" s="15"/>
      <c r="W307" s="15"/>
      <c r="X307" s="15"/>
      <c r="Y307" s="15"/>
      <c r="Z307" s="15">
        <f t="shared" si="4"/>
        <v>157500</v>
      </c>
      <c r="AA307" s="20"/>
      <c r="AB307" s="21"/>
    </row>
    <row r="308" spans="1:28" ht="63" customHeight="1" thickBot="1" x14ac:dyDescent="0.3">
      <c r="A308" s="14">
        <v>296</v>
      </c>
      <c r="B308" s="13" t="s">
        <v>347</v>
      </c>
      <c r="C308" s="13" t="s">
        <v>348</v>
      </c>
      <c r="D308" s="15">
        <f>[1]Лист4!D299</f>
        <v>1134</v>
      </c>
      <c r="E308" s="15">
        <f>[2]Лист4!D300</f>
        <v>1586</v>
      </c>
      <c r="F308" s="15">
        <f>[3]Лист4!D300</f>
        <v>2440</v>
      </c>
      <c r="G308" s="16">
        <f>[4]Лист4!D299</f>
        <v>1260</v>
      </c>
      <c r="H308" s="15"/>
      <c r="I308" s="15"/>
      <c r="J308" s="15"/>
      <c r="K308" s="15"/>
      <c r="L308" s="15"/>
      <c r="M308" s="15"/>
      <c r="N308" s="15"/>
      <c r="O308" s="15"/>
      <c r="P308" s="15"/>
      <c r="Q308" s="15"/>
      <c r="R308" s="15"/>
      <c r="S308" s="15"/>
      <c r="T308" s="15"/>
      <c r="U308" s="15"/>
      <c r="V308" s="15"/>
      <c r="W308" s="15"/>
      <c r="X308" s="15"/>
      <c r="Y308" s="15"/>
      <c r="Z308" s="15">
        <f t="shared" si="4"/>
        <v>1134</v>
      </c>
      <c r="AA308" s="20"/>
      <c r="AB308" s="21"/>
    </row>
    <row r="309" spans="1:28" ht="63" customHeight="1" thickBot="1" x14ac:dyDescent="0.3">
      <c r="A309" s="14">
        <v>297</v>
      </c>
      <c r="B309" s="13" t="s">
        <v>349</v>
      </c>
      <c r="C309" s="13" t="s">
        <v>348</v>
      </c>
      <c r="D309" s="15">
        <f>[1]Лист4!D300</f>
        <v>2053.8000000000002</v>
      </c>
      <c r="E309" s="15">
        <f>[2]Лист4!D301</f>
        <v>2440</v>
      </c>
      <c r="F309" s="15">
        <f>[3]Лист4!D301</f>
        <v>2440</v>
      </c>
      <c r="G309" s="16">
        <f>[4]Лист4!D300</f>
        <v>2625</v>
      </c>
      <c r="H309" s="15"/>
      <c r="I309" s="15"/>
      <c r="J309" s="15"/>
      <c r="K309" s="15"/>
      <c r="L309" s="15"/>
      <c r="M309" s="15"/>
      <c r="N309" s="15"/>
      <c r="O309" s="15"/>
      <c r="P309" s="15"/>
      <c r="Q309" s="15"/>
      <c r="R309" s="15"/>
      <c r="S309" s="15"/>
      <c r="T309" s="15"/>
      <c r="U309" s="15"/>
      <c r="V309" s="15"/>
      <c r="W309" s="15"/>
      <c r="X309" s="15"/>
      <c r="Y309" s="15"/>
      <c r="Z309" s="15">
        <f t="shared" si="4"/>
        <v>2053.8000000000002</v>
      </c>
      <c r="AA309" s="20"/>
      <c r="AB309" s="21"/>
    </row>
    <row r="310" spans="1:28" ht="63" customHeight="1" thickBot="1" x14ac:dyDescent="0.3">
      <c r="A310" s="14">
        <v>298</v>
      </c>
      <c r="B310" s="13" t="s">
        <v>350</v>
      </c>
      <c r="C310" s="13" t="s">
        <v>348</v>
      </c>
      <c r="D310" s="15">
        <f>[1]Лист4!D301</f>
        <v>2847.6</v>
      </c>
      <c r="E310" s="15">
        <f>[2]Лист4!D302</f>
        <v>3416</v>
      </c>
      <c r="F310" s="15">
        <f>[3]Лист4!D302</f>
        <v>3660</v>
      </c>
      <c r="G310" s="16">
        <f>[4]Лист4!D301</f>
        <v>3570</v>
      </c>
      <c r="H310" s="15"/>
      <c r="I310" s="15"/>
      <c r="J310" s="15"/>
      <c r="K310" s="15"/>
      <c r="L310" s="15"/>
      <c r="M310" s="15"/>
      <c r="N310" s="15"/>
      <c r="O310" s="15"/>
      <c r="P310" s="15"/>
      <c r="Q310" s="15"/>
      <c r="R310" s="15"/>
      <c r="S310" s="15"/>
      <c r="T310" s="15"/>
      <c r="U310" s="15"/>
      <c r="V310" s="15"/>
      <c r="W310" s="15"/>
      <c r="X310" s="15"/>
      <c r="Y310" s="15"/>
      <c r="Z310" s="15">
        <f t="shared" si="4"/>
        <v>2847.6</v>
      </c>
      <c r="AA310" s="20"/>
      <c r="AB310" s="21"/>
    </row>
    <row r="311" spans="1:28" ht="63" customHeight="1" thickBot="1" x14ac:dyDescent="0.3">
      <c r="A311" s="14">
        <v>299</v>
      </c>
      <c r="B311" s="13" t="s">
        <v>351</v>
      </c>
      <c r="C311" s="13" t="s">
        <v>348</v>
      </c>
      <c r="D311" s="15">
        <f>[1]Лист4!D302</f>
        <v>7106.4000000000005</v>
      </c>
      <c r="E311" s="15">
        <f>[2]Лист4!D303</f>
        <v>9516</v>
      </c>
      <c r="F311" s="15">
        <f>[3]Лист4!D303</f>
        <v>9760</v>
      </c>
      <c r="G311" s="16">
        <f>[4]Лист4!D302</f>
        <v>7350</v>
      </c>
      <c r="H311" s="15"/>
      <c r="I311" s="15"/>
      <c r="J311" s="15"/>
      <c r="K311" s="15"/>
      <c r="L311" s="15"/>
      <c r="M311" s="15"/>
      <c r="N311" s="15"/>
      <c r="O311" s="15"/>
      <c r="P311" s="15"/>
      <c r="Q311" s="15"/>
      <c r="R311" s="15"/>
      <c r="S311" s="15"/>
      <c r="T311" s="15"/>
      <c r="U311" s="15"/>
      <c r="V311" s="15"/>
      <c r="W311" s="15"/>
      <c r="X311" s="15"/>
      <c r="Y311" s="15"/>
      <c r="Z311" s="15">
        <f t="shared" si="4"/>
        <v>7106.4000000000005</v>
      </c>
      <c r="AA311" s="20"/>
      <c r="AB311" s="21"/>
    </row>
    <row r="312" spans="1:28" ht="63" customHeight="1" thickBot="1" x14ac:dyDescent="0.3">
      <c r="A312" s="14">
        <v>300</v>
      </c>
      <c r="B312" s="13" t="s">
        <v>352</v>
      </c>
      <c r="C312" s="13" t="s">
        <v>348</v>
      </c>
      <c r="D312" s="15">
        <f>[1]Лист4!D303</f>
        <v>1008</v>
      </c>
      <c r="E312" s="15">
        <f>[2]Лист4!D304</f>
        <v>1220</v>
      </c>
      <c r="F312" s="15">
        <f>[3]Лист4!D304</f>
        <v>1220</v>
      </c>
      <c r="G312" s="16">
        <f>[4]Лист4!D303</f>
        <v>1050</v>
      </c>
      <c r="H312" s="15"/>
      <c r="I312" s="15"/>
      <c r="J312" s="15"/>
      <c r="K312" s="15"/>
      <c r="L312" s="15"/>
      <c r="M312" s="15"/>
      <c r="N312" s="15"/>
      <c r="O312" s="15"/>
      <c r="P312" s="15"/>
      <c r="Q312" s="15"/>
      <c r="R312" s="15"/>
      <c r="S312" s="15"/>
      <c r="T312" s="15"/>
      <c r="U312" s="15"/>
      <c r="V312" s="15"/>
      <c r="W312" s="15"/>
      <c r="X312" s="15"/>
      <c r="Y312" s="15"/>
      <c r="Z312" s="15">
        <f t="shared" si="4"/>
        <v>1008</v>
      </c>
      <c r="AA312" s="20"/>
      <c r="AB312" s="21"/>
    </row>
    <row r="313" spans="1:28" ht="63" customHeight="1" thickBot="1" x14ac:dyDescent="0.3">
      <c r="A313" s="14">
        <v>301</v>
      </c>
      <c r="B313" s="13" t="s">
        <v>353</v>
      </c>
      <c r="C313" s="13" t="s">
        <v>348</v>
      </c>
      <c r="D313" s="15">
        <f>[1]Лист4!D304</f>
        <v>2759.4</v>
      </c>
      <c r="E313" s="15">
        <f>[2]Лист4!D305</f>
        <v>3660</v>
      </c>
      <c r="F313" s="15">
        <f>[3]Лист4!D305</f>
        <v>3660</v>
      </c>
      <c r="G313" s="16">
        <f>[4]Лист4!D304</f>
        <v>3465</v>
      </c>
      <c r="H313" s="15"/>
      <c r="I313" s="15"/>
      <c r="J313" s="15"/>
      <c r="K313" s="15"/>
      <c r="L313" s="15"/>
      <c r="M313" s="15"/>
      <c r="N313" s="15"/>
      <c r="O313" s="15"/>
      <c r="P313" s="15"/>
      <c r="Q313" s="15"/>
      <c r="R313" s="15"/>
      <c r="S313" s="15"/>
      <c r="T313" s="15"/>
      <c r="U313" s="15"/>
      <c r="V313" s="15"/>
      <c r="W313" s="15"/>
      <c r="X313" s="15"/>
      <c r="Y313" s="15"/>
      <c r="Z313" s="15">
        <f t="shared" si="4"/>
        <v>2759.4</v>
      </c>
      <c r="AA313" s="20"/>
      <c r="AB313" s="21"/>
    </row>
    <row r="314" spans="1:28" ht="63" customHeight="1" thickBot="1" x14ac:dyDescent="0.3">
      <c r="A314" s="14">
        <v>302</v>
      </c>
      <c r="B314" s="13" t="s">
        <v>354</v>
      </c>
      <c r="C314" s="13" t="s">
        <v>348</v>
      </c>
      <c r="D314" s="15">
        <f>[1]Лист4!D305</f>
        <v>2394</v>
      </c>
      <c r="E314" s="15">
        <f>[2]Лист4!D306</f>
        <v>2806</v>
      </c>
      <c r="F314" s="15">
        <f>[3]Лист4!D306</f>
        <v>3050</v>
      </c>
      <c r="G314" s="16">
        <f>[4]Лист4!D305</f>
        <v>2625</v>
      </c>
      <c r="H314" s="15"/>
      <c r="I314" s="15"/>
      <c r="J314" s="15"/>
      <c r="K314" s="15"/>
      <c r="L314" s="15"/>
      <c r="M314" s="15"/>
      <c r="N314" s="15"/>
      <c r="O314" s="15"/>
      <c r="P314" s="15"/>
      <c r="Q314" s="15"/>
      <c r="R314" s="15"/>
      <c r="S314" s="15"/>
      <c r="T314" s="15"/>
      <c r="U314" s="15"/>
      <c r="V314" s="15"/>
      <c r="W314" s="15"/>
      <c r="X314" s="15"/>
      <c r="Y314" s="15"/>
      <c r="Z314" s="15">
        <f t="shared" si="4"/>
        <v>2394</v>
      </c>
      <c r="AA314" s="20"/>
      <c r="AB314" s="21"/>
    </row>
    <row r="315" spans="1:28" ht="63" customHeight="1" thickBot="1" x14ac:dyDescent="0.3">
      <c r="A315" s="14">
        <v>303</v>
      </c>
      <c r="B315" s="13" t="s">
        <v>355</v>
      </c>
      <c r="C315" s="13" t="s">
        <v>348</v>
      </c>
      <c r="D315" s="15">
        <f>[1]Лист4!D306</f>
        <v>2003.4</v>
      </c>
      <c r="E315" s="15">
        <f>[2]Лист4!D307</f>
        <v>2440</v>
      </c>
      <c r="F315" s="15">
        <f>[3]Лист4!D307</f>
        <v>2196</v>
      </c>
      <c r="G315" s="16">
        <f>[4]Лист4!D306</f>
        <v>2100</v>
      </c>
      <c r="H315" s="15"/>
      <c r="I315" s="15"/>
      <c r="J315" s="15"/>
      <c r="K315" s="15"/>
      <c r="L315" s="15"/>
      <c r="M315" s="15"/>
      <c r="N315" s="15"/>
      <c r="O315" s="15"/>
      <c r="P315" s="15"/>
      <c r="Q315" s="15"/>
      <c r="R315" s="15"/>
      <c r="S315" s="15"/>
      <c r="T315" s="15"/>
      <c r="U315" s="15"/>
      <c r="V315" s="15"/>
      <c r="W315" s="15"/>
      <c r="X315" s="15"/>
      <c r="Y315" s="15"/>
      <c r="Z315" s="15">
        <f t="shared" si="4"/>
        <v>2003.4</v>
      </c>
      <c r="AA315" s="20"/>
      <c r="AB315" s="21"/>
    </row>
    <row r="316" spans="1:28" ht="63" customHeight="1" thickBot="1" x14ac:dyDescent="0.3">
      <c r="A316" s="14">
        <v>304</v>
      </c>
      <c r="B316" s="13" t="s">
        <v>356</v>
      </c>
      <c r="C316" s="13" t="s">
        <v>348</v>
      </c>
      <c r="D316" s="15">
        <f>[1]Лист4!D307</f>
        <v>1638</v>
      </c>
      <c r="E316" s="15">
        <f>[2]Лист4!D308</f>
        <v>2196</v>
      </c>
      <c r="F316" s="15">
        <f>[3]Лист4!D308</f>
        <v>2440</v>
      </c>
      <c r="G316" s="16">
        <f>[4]Лист4!D307</f>
        <v>1680</v>
      </c>
      <c r="H316" s="15"/>
      <c r="I316" s="15"/>
      <c r="J316" s="15"/>
      <c r="K316" s="15"/>
      <c r="L316" s="15"/>
      <c r="M316" s="15"/>
      <c r="N316" s="15"/>
      <c r="O316" s="15"/>
      <c r="P316" s="15"/>
      <c r="Q316" s="15"/>
      <c r="R316" s="15"/>
      <c r="S316" s="15"/>
      <c r="T316" s="15"/>
      <c r="U316" s="15"/>
      <c r="V316" s="15"/>
      <c r="W316" s="15"/>
      <c r="X316" s="15"/>
      <c r="Y316" s="15"/>
      <c r="Z316" s="15">
        <f t="shared" si="4"/>
        <v>1638</v>
      </c>
      <c r="AA316" s="20"/>
      <c r="AB316" s="21"/>
    </row>
    <row r="317" spans="1:28" ht="63" customHeight="1" thickBot="1" x14ac:dyDescent="0.3">
      <c r="A317" s="14">
        <v>305</v>
      </c>
      <c r="B317" s="13" t="s">
        <v>357</v>
      </c>
      <c r="C317" s="13" t="s">
        <v>348</v>
      </c>
      <c r="D317" s="15">
        <f>[1]Лист4!D308</f>
        <v>3717</v>
      </c>
      <c r="E317" s="15">
        <f>[2]Лист4!D309</f>
        <v>5002</v>
      </c>
      <c r="F317" s="15">
        <f>[3]Лист4!D309</f>
        <v>4880</v>
      </c>
      <c r="G317" s="16">
        <f>[4]Лист4!D308</f>
        <v>4200</v>
      </c>
      <c r="H317" s="15"/>
      <c r="I317" s="15"/>
      <c r="J317" s="15"/>
      <c r="K317" s="15"/>
      <c r="L317" s="15"/>
      <c r="M317" s="15"/>
      <c r="N317" s="15"/>
      <c r="O317" s="15"/>
      <c r="P317" s="15"/>
      <c r="Q317" s="15"/>
      <c r="R317" s="15"/>
      <c r="S317" s="15"/>
      <c r="T317" s="15"/>
      <c r="U317" s="15"/>
      <c r="V317" s="15"/>
      <c r="W317" s="15"/>
      <c r="X317" s="15"/>
      <c r="Y317" s="15"/>
      <c r="Z317" s="15">
        <f t="shared" si="4"/>
        <v>3717</v>
      </c>
      <c r="AA317" s="20"/>
      <c r="AB317" s="21"/>
    </row>
    <row r="318" spans="1:28" ht="63" customHeight="1" thickBot="1" x14ac:dyDescent="0.3">
      <c r="A318" s="14">
        <v>306</v>
      </c>
      <c r="B318" s="13" t="s">
        <v>358</v>
      </c>
      <c r="C318" s="13" t="s">
        <v>348</v>
      </c>
      <c r="D318" s="15">
        <f>[1]Лист4!D309</f>
        <v>3465</v>
      </c>
      <c r="E318" s="15">
        <f>[2]Лист4!D310</f>
        <v>4636</v>
      </c>
      <c r="F318" s="15">
        <f>[3]Лист4!D310</f>
        <v>4880</v>
      </c>
      <c r="G318" s="16">
        <f>[4]Лист4!D309</f>
        <v>4725</v>
      </c>
      <c r="H318" s="15"/>
      <c r="I318" s="15"/>
      <c r="J318" s="15"/>
      <c r="K318" s="15"/>
      <c r="L318" s="15"/>
      <c r="M318" s="15"/>
      <c r="N318" s="15"/>
      <c r="O318" s="15"/>
      <c r="P318" s="15"/>
      <c r="Q318" s="15"/>
      <c r="R318" s="15"/>
      <c r="S318" s="15"/>
      <c r="T318" s="15"/>
      <c r="U318" s="15"/>
      <c r="V318" s="15"/>
      <c r="W318" s="15"/>
      <c r="X318" s="15"/>
      <c r="Y318" s="15"/>
      <c r="Z318" s="15">
        <f t="shared" si="4"/>
        <v>3465</v>
      </c>
      <c r="AA318" s="20"/>
      <c r="AB318" s="21"/>
    </row>
    <row r="319" spans="1:28" ht="63" customHeight="1" thickBot="1" x14ac:dyDescent="0.3">
      <c r="A319" s="14">
        <v>307</v>
      </c>
      <c r="B319" s="13" t="s">
        <v>359</v>
      </c>
      <c r="C319" s="13" t="s">
        <v>348</v>
      </c>
      <c r="D319" s="15">
        <f>[1]Лист4!D310</f>
        <v>1134</v>
      </c>
      <c r="E319" s="15">
        <f>[2]Лист4!D311</f>
        <v>1464</v>
      </c>
      <c r="F319" s="15">
        <f>[3]Лист4!D311</f>
        <v>2440</v>
      </c>
      <c r="G319" s="16">
        <f>[4]Лист4!D310</f>
        <v>1575</v>
      </c>
      <c r="H319" s="15"/>
      <c r="I319" s="15"/>
      <c r="J319" s="15"/>
      <c r="K319" s="15"/>
      <c r="L319" s="15"/>
      <c r="M319" s="15"/>
      <c r="N319" s="15"/>
      <c r="O319" s="15"/>
      <c r="P319" s="15"/>
      <c r="Q319" s="15"/>
      <c r="R319" s="15"/>
      <c r="S319" s="15"/>
      <c r="T319" s="15"/>
      <c r="U319" s="15"/>
      <c r="V319" s="15"/>
      <c r="W319" s="15"/>
      <c r="X319" s="15"/>
      <c r="Y319" s="15"/>
      <c r="Z319" s="15">
        <f t="shared" si="4"/>
        <v>1134</v>
      </c>
      <c r="AA319" s="20"/>
      <c r="AB319" s="21"/>
    </row>
    <row r="320" spans="1:28" ht="63" customHeight="1" thickBot="1" x14ac:dyDescent="0.3">
      <c r="A320" s="14">
        <v>308</v>
      </c>
      <c r="B320" s="13" t="s">
        <v>360</v>
      </c>
      <c r="C320" s="13" t="s">
        <v>348</v>
      </c>
      <c r="D320" s="15">
        <f>[1]Лист4!D311</f>
        <v>1701</v>
      </c>
      <c r="E320" s="15">
        <f>[2]Лист4!D312</f>
        <v>2318</v>
      </c>
      <c r="F320" s="15">
        <f>[3]Лист4!D312</f>
        <v>2440</v>
      </c>
      <c r="G320" s="16">
        <f>[4]Лист4!D311</f>
        <v>2100</v>
      </c>
      <c r="H320" s="15"/>
      <c r="I320" s="15"/>
      <c r="J320" s="15"/>
      <c r="K320" s="15"/>
      <c r="L320" s="15"/>
      <c r="M320" s="15"/>
      <c r="N320" s="15"/>
      <c r="O320" s="15"/>
      <c r="P320" s="15"/>
      <c r="Q320" s="15"/>
      <c r="R320" s="15"/>
      <c r="S320" s="15"/>
      <c r="T320" s="15"/>
      <c r="U320" s="15"/>
      <c r="V320" s="15"/>
      <c r="W320" s="15"/>
      <c r="X320" s="15"/>
      <c r="Y320" s="15"/>
      <c r="Z320" s="15">
        <f t="shared" si="4"/>
        <v>1701</v>
      </c>
      <c r="AA320" s="20"/>
      <c r="AB320" s="21"/>
    </row>
    <row r="321" spans="1:28" ht="63" customHeight="1" thickBot="1" x14ac:dyDescent="0.3">
      <c r="A321" s="14">
        <v>309</v>
      </c>
      <c r="B321" s="13" t="s">
        <v>361</v>
      </c>
      <c r="C321" s="13" t="s">
        <v>348</v>
      </c>
      <c r="D321" s="15">
        <f>[1]Лист4!D312</f>
        <v>4914</v>
      </c>
      <c r="E321" s="15">
        <f>[2]Лист4!D313</f>
        <v>6710</v>
      </c>
      <c r="F321" s="15">
        <f>[3]Лист4!D313</f>
        <v>6344</v>
      </c>
      <c r="G321" s="16">
        <f>[4]Лист4!D312</f>
        <v>5250</v>
      </c>
      <c r="H321" s="15"/>
      <c r="I321" s="15"/>
      <c r="J321" s="15"/>
      <c r="K321" s="15"/>
      <c r="L321" s="15"/>
      <c r="M321" s="15"/>
      <c r="N321" s="15"/>
      <c r="O321" s="15"/>
      <c r="P321" s="15"/>
      <c r="Q321" s="15"/>
      <c r="R321" s="15"/>
      <c r="S321" s="15"/>
      <c r="T321" s="15"/>
      <c r="U321" s="15"/>
      <c r="V321" s="15"/>
      <c r="W321" s="15"/>
      <c r="X321" s="15"/>
      <c r="Y321" s="15"/>
      <c r="Z321" s="15">
        <f t="shared" si="4"/>
        <v>4914</v>
      </c>
      <c r="AA321" s="20"/>
      <c r="AB321" s="21"/>
    </row>
    <row r="322" spans="1:28" ht="63" customHeight="1" thickBot="1" x14ac:dyDescent="0.3">
      <c r="A322" s="14">
        <v>310</v>
      </c>
      <c r="B322" s="13" t="s">
        <v>362</v>
      </c>
      <c r="C322" s="13" t="s">
        <v>348</v>
      </c>
      <c r="D322" s="15">
        <f>[1]Лист4!D313</f>
        <v>2835</v>
      </c>
      <c r="E322" s="15">
        <f>[2]Лист4!D314</f>
        <v>3416</v>
      </c>
      <c r="F322" s="15">
        <f>[3]Лист4!D314</f>
        <v>4880</v>
      </c>
      <c r="G322" s="16">
        <f>[4]Лист4!D313</f>
        <v>3675</v>
      </c>
      <c r="H322" s="15"/>
      <c r="I322" s="15"/>
      <c r="J322" s="15"/>
      <c r="K322" s="15"/>
      <c r="L322" s="15"/>
      <c r="M322" s="15"/>
      <c r="N322" s="15"/>
      <c r="O322" s="15"/>
      <c r="P322" s="15"/>
      <c r="Q322" s="15"/>
      <c r="R322" s="15"/>
      <c r="S322" s="15"/>
      <c r="T322" s="15"/>
      <c r="U322" s="15"/>
      <c r="V322" s="15"/>
      <c r="W322" s="15"/>
      <c r="X322" s="15"/>
      <c r="Y322" s="15"/>
      <c r="Z322" s="15">
        <f t="shared" si="4"/>
        <v>2835</v>
      </c>
      <c r="AA322" s="20"/>
      <c r="AB322" s="21"/>
    </row>
    <row r="323" spans="1:28" ht="63" customHeight="1" thickBot="1" x14ac:dyDescent="0.3">
      <c r="A323" s="14">
        <v>311</v>
      </c>
      <c r="B323" s="13" t="s">
        <v>363</v>
      </c>
      <c r="C323" s="13" t="s">
        <v>348</v>
      </c>
      <c r="D323" s="15">
        <f>[1]Лист4!D314</f>
        <v>2079</v>
      </c>
      <c r="E323" s="15">
        <f>[2]Лист4!D315</f>
        <v>2440</v>
      </c>
      <c r="F323" s="15">
        <f>[3]Лист4!D315</f>
        <v>2440</v>
      </c>
      <c r="G323" s="16">
        <f>[4]Лист4!D314</f>
        <v>2625</v>
      </c>
      <c r="H323" s="15"/>
      <c r="I323" s="15"/>
      <c r="J323" s="15"/>
      <c r="K323" s="15"/>
      <c r="L323" s="15"/>
      <c r="M323" s="15"/>
      <c r="N323" s="15"/>
      <c r="O323" s="15"/>
      <c r="P323" s="15"/>
      <c r="Q323" s="15"/>
      <c r="R323" s="15"/>
      <c r="S323" s="15"/>
      <c r="T323" s="15"/>
      <c r="U323" s="15"/>
      <c r="V323" s="15"/>
      <c r="W323" s="15"/>
      <c r="X323" s="15"/>
      <c r="Y323" s="15"/>
      <c r="Z323" s="15">
        <f t="shared" si="4"/>
        <v>2079</v>
      </c>
      <c r="AA323" s="20"/>
      <c r="AB323" s="21"/>
    </row>
    <row r="324" spans="1:28" ht="63" customHeight="1" thickBot="1" x14ac:dyDescent="0.3">
      <c r="A324" s="14">
        <v>312</v>
      </c>
      <c r="B324" s="13" t="s">
        <v>364</v>
      </c>
      <c r="C324" s="13" t="s">
        <v>348</v>
      </c>
      <c r="D324" s="15">
        <f>[1]Лист4!D315</f>
        <v>1386</v>
      </c>
      <c r="E324" s="15">
        <f>[2]Лист4!D316</f>
        <v>1830</v>
      </c>
      <c r="F324" s="15">
        <f>[3]Лист4!D316</f>
        <v>2440</v>
      </c>
      <c r="G324" s="16">
        <f>[4]Лист4!D315</f>
        <v>1575</v>
      </c>
      <c r="H324" s="15"/>
      <c r="I324" s="15"/>
      <c r="J324" s="15"/>
      <c r="K324" s="15"/>
      <c r="L324" s="15"/>
      <c r="M324" s="15"/>
      <c r="N324" s="15"/>
      <c r="O324" s="15"/>
      <c r="P324" s="15"/>
      <c r="Q324" s="15"/>
      <c r="R324" s="15"/>
      <c r="S324" s="15"/>
      <c r="T324" s="15"/>
      <c r="U324" s="15"/>
      <c r="V324" s="15"/>
      <c r="W324" s="15"/>
      <c r="X324" s="15"/>
      <c r="Y324" s="15"/>
      <c r="Z324" s="15">
        <f t="shared" si="4"/>
        <v>1386</v>
      </c>
      <c r="AA324" s="20"/>
      <c r="AB324" s="21"/>
    </row>
    <row r="325" spans="1:28" ht="63" customHeight="1" thickBot="1" x14ac:dyDescent="0.3">
      <c r="A325" s="14">
        <v>313</v>
      </c>
      <c r="B325" s="13" t="s">
        <v>365</v>
      </c>
      <c r="C325" s="13" t="s">
        <v>366</v>
      </c>
      <c r="D325" s="15">
        <f>[1]Лист4!D316</f>
        <v>18900</v>
      </c>
      <c r="E325" s="15">
        <f>[2]Лист4!D317</f>
        <v>23180</v>
      </c>
      <c r="F325" s="15">
        <f>[3]Лист4!D317</f>
        <v>18300</v>
      </c>
      <c r="G325" s="16">
        <f>[4]Лист4!D316</f>
        <v>21000</v>
      </c>
      <c r="H325" s="15"/>
      <c r="I325" s="15"/>
      <c r="J325" s="15"/>
      <c r="K325" s="15"/>
      <c r="L325" s="15"/>
      <c r="M325" s="15"/>
      <c r="N325" s="15"/>
      <c r="O325" s="15"/>
      <c r="P325" s="15"/>
      <c r="Q325" s="15"/>
      <c r="R325" s="15"/>
      <c r="S325" s="15"/>
      <c r="T325" s="15"/>
      <c r="U325" s="15"/>
      <c r="V325" s="15"/>
      <c r="W325" s="15"/>
      <c r="X325" s="15"/>
      <c r="Y325" s="15"/>
      <c r="Z325" s="15">
        <f t="shared" si="4"/>
        <v>18300</v>
      </c>
      <c r="AA325" s="20"/>
      <c r="AB325" s="21"/>
    </row>
    <row r="326" spans="1:28" ht="63" customHeight="1" thickBot="1" x14ac:dyDescent="0.3">
      <c r="A326" s="14">
        <v>314</v>
      </c>
      <c r="B326" s="13" t="s">
        <v>367</v>
      </c>
      <c r="C326" s="13" t="s">
        <v>115</v>
      </c>
      <c r="D326" s="15">
        <f>[1]Лист4!D317</f>
        <v>2520</v>
      </c>
      <c r="E326" s="15">
        <f>[2]Лист4!D318</f>
        <v>3294</v>
      </c>
      <c r="F326" s="15">
        <f>[3]Лист4!D318</f>
        <v>4880</v>
      </c>
      <c r="G326" s="16">
        <f>[4]Лист4!D317</f>
        <v>3150</v>
      </c>
      <c r="H326" s="15"/>
      <c r="I326" s="15"/>
      <c r="J326" s="15"/>
      <c r="K326" s="15"/>
      <c r="L326" s="15"/>
      <c r="M326" s="15"/>
      <c r="N326" s="15"/>
      <c r="O326" s="15"/>
      <c r="P326" s="15"/>
      <c r="Q326" s="15"/>
      <c r="R326" s="15"/>
      <c r="S326" s="15"/>
      <c r="T326" s="15"/>
      <c r="U326" s="15"/>
      <c r="V326" s="15"/>
      <c r="W326" s="15"/>
      <c r="X326" s="15"/>
      <c r="Y326" s="15"/>
      <c r="Z326" s="15">
        <f t="shared" si="4"/>
        <v>2520</v>
      </c>
      <c r="AA326" s="20"/>
      <c r="AB326" s="21"/>
    </row>
    <row r="327" spans="1:28" ht="63" customHeight="1" thickBot="1" x14ac:dyDescent="0.3">
      <c r="A327" s="14">
        <v>315</v>
      </c>
      <c r="B327" s="13" t="s">
        <v>368</v>
      </c>
      <c r="C327" s="13" t="s">
        <v>30</v>
      </c>
      <c r="D327" s="15">
        <f>[1]Лист4!D318</f>
        <v>1575</v>
      </c>
      <c r="E327" s="15">
        <f>[2]Лист4!D319</f>
        <v>2135</v>
      </c>
      <c r="F327" s="15">
        <f>[3]Лист4!D319</f>
        <v>2440</v>
      </c>
      <c r="G327" s="16">
        <f>[4]Лист4!D318</f>
        <v>1627.5</v>
      </c>
      <c r="H327" s="15"/>
      <c r="I327" s="15"/>
      <c r="J327" s="15"/>
      <c r="K327" s="15"/>
      <c r="L327" s="15"/>
      <c r="M327" s="15"/>
      <c r="N327" s="15"/>
      <c r="O327" s="15"/>
      <c r="P327" s="15"/>
      <c r="Q327" s="15"/>
      <c r="R327" s="15"/>
      <c r="S327" s="15"/>
      <c r="T327" s="15"/>
      <c r="U327" s="15"/>
      <c r="V327" s="15"/>
      <c r="W327" s="15"/>
      <c r="X327" s="15"/>
      <c r="Y327" s="15"/>
      <c r="Z327" s="15">
        <f t="shared" si="4"/>
        <v>1575</v>
      </c>
      <c r="AA327" s="20"/>
      <c r="AB327" s="21"/>
    </row>
    <row r="328" spans="1:28" ht="63" customHeight="1" thickBot="1" x14ac:dyDescent="0.3">
      <c r="A328" s="14">
        <v>316</v>
      </c>
      <c r="B328" s="13" t="s">
        <v>369</v>
      </c>
      <c r="C328" s="13" t="s">
        <v>30</v>
      </c>
      <c r="D328" s="15">
        <f>[1]Лист4!D319</f>
        <v>1890</v>
      </c>
      <c r="E328" s="15">
        <f>[2]Лист4!D320</f>
        <v>2440</v>
      </c>
      <c r="F328" s="15">
        <f>[3]Лист4!D320</f>
        <v>2440</v>
      </c>
      <c r="G328" s="16">
        <f>[4]Лист4!D319</f>
        <v>2415</v>
      </c>
      <c r="H328" s="15"/>
      <c r="I328" s="15"/>
      <c r="J328" s="15"/>
      <c r="K328" s="15"/>
      <c r="L328" s="15"/>
      <c r="M328" s="15"/>
      <c r="N328" s="15"/>
      <c r="O328" s="15"/>
      <c r="P328" s="15"/>
      <c r="Q328" s="15"/>
      <c r="R328" s="15"/>
      <c r="S328" s="15"/>
      <c r="T328" s="15"/>
      <c r="U328" s="15"/>
      <c r="V328" s="15"/>
      <c r="W328" s="15"/>
      <c r="X328" s="15"/>
      <c r="Y328" s="15"/>
      <c r="Z328" s="15">
        <f t="shared" si="4"/>
        <v>1890</v>
      </c>
      <c r="AA328" s="20"/>
      <c r="AB328" s="21"/>
    </row>
    <row r="329" spans="1:28" ht="63" customHeight="1" thickBot="1" x14ac:dyDescent="0.3">
      <c r="A329" s="14">
        <v>317</v>
      </c>
      <c r="B329" s="13" t="s">
        <v>370</v>
      </c>
      <c r="C329" s="13" t="s">
        <v>371</v>
      </c>
      <c r="D329" s="15">
        <f>[1]Лист4!D320</f>
        <v>44100</v>
      </c>
      <c r="E329" s="15">
        <f>[2]Лист4!D321</f>
        <v>59170</v>
      </c>
      <c r="F329" s="15">
        <f>[3]Лист4!D321</f>
        <v>61000</v>
      </c>
      <c r="G329" s="16">
        <f>[4]Лист4!D320</f>
        <v>52500</v>
      </c>
      <c r="H329" s="15"/>
      <c r="I329" s="15"/>
      <c r="J329" s="15"/>
      <c r="K329" s="15"/>
      <c r="L329" s="15"/>
      <c r="M329" s="15"/>
      <c r="N329" s="15"/>
      <c r="O329" s="15"/>
      <c r="P329" s="15"/>
      <c r="Q329" s="15"/>
      <c r="R329" s="15"/>
      <c r="S329" s="15"/>
      <c r="T329" s="15"/>
      <c r="U329" s="15"/>
      <c r="V329" s="15"/>
      <c r="W329" s="15"/>
      <c r="X329" s="15"/>
      <c r="Y329" s="15"/>
      <c r="Z329" s="15">
        <f t="shared" si="4"/>
        <v>44100</v>
      </c>
      <c r="AA329" s="20"/>
      <c r="AB329" s="21"/>
    </row>
    <row r="330" spans="1:28" ht="63" customHeight="1" thickBot="1" x14ac:dyDescent="0.3">
      <c r="A330" s="14">
        <v>318</v>
      </c>
      <c r="B330" s="13" t="s">
        <v>488</v>
      </c>
      <c r="C330" s="13" t="s">
        <v>41</v>
      </c>
      <c r="D330" s="15">
        <f>[1]Лист4!D321</f>
        <v>2625000</v>
      </c>
      <c r="E330" s="15">
        <f>[2]Лист4!D322</f>
        <v>3416000</v>
      </c>
      <c r="F330" s="15">
        <f>[3]Лист4!D322</f>
        <v>3660000</v>
      </c>
      <c r="G330" s="16">
        <f>[4]Лист4!D321</f>
        <v>3150000</v>
      </c>
      <c r="H330" s="15"/>
      <c r="I330" s="15"/>
      <c r="J330" s="15"/>
      <c r="K330" s="15"/>
      <c r="L330" s="15"/>
      <c r="M330" s="15"/>
      <c r="N330" s="15"/>
      <c r="O330" s="15"/>
      <c r="P330" s="15"/>
      <c r="Q330" s="15"/>
      <c r="R330" s="15"/>
      <c r="S330" s="15"/>
      <c r="T330" s="15"/>
      <c r="U330" s="15"/>
      <c r="V330" s="15"/>
      <c r="W330" s="15"/>
      <c r="X330" s="15"/>
      <c r="Y330" s="15"/>
      <c r="Z330" s="15">
        <f t="shared" si="4"/>
        <v>2625000</v>
      </c>
      <c r="AA330" s="20"/>
      <c r="AB330" s="21"/>
    </row>
    <row r="331" spans="1:28" ht="63" customHeight="1" thickBot="1" x14ac:dyDescent="0.3">
      <c r="A331" s="14">
        <v>319</v>
      </c>
      <c r="B331" s="13" t="s">
        <v>372</v>
      </c>
      <c r="C331" s="13" t="s">
        <v>371</v>
      </c>
      <c r="D331" s="15">
        <f>[1]Лист4!D322</f>
        <v>26250</v>
      </c>
      <c r="E331" s="15">
        <f>[2]Лист4!D323</f>
        <v>35258</v>
      </c>
      <c r="F331" s="15">
        <f>[3]Лист4!D323</f>
        <v>54900</v>
      </c>
      <c r="G331" s="16">
        <f>[4]Лист4!D322</f>
        <v>31500</v>
      </c>
      <c r="H331" s="15"/>
      <c r="I331" s="15"/>
      <c r="J331" s="15"/>
      <c r="K331" s="15"/>
      <c r="L331" s="15"/>
      <c r="M331" s="15"/>
      <c r="N331" s="15"/>
      <c r="O331" s="15"/>
      <c r="P331" s="15"/>
      <c r="Q331" s="15"/>
      <c r="R331" s="15"/>
      <c r="S331" s="15"/>
      <c r="T331" s="15"/>
      <c r="U331" s="15"/>
      <c r="V331" s="15"/>
      <c r="W331" s="15"/>
      <c r="X331" s="15"/>
      <c r="Y331" s="15"/>
      <c r="Z331" s="15">
        <f t="shared" si="4"/>
        <v>26250</v>
      </c>
      <c r="AA331" s="20"/>
      <c r="AB331" s="21"/>
    </row>
    <row r="332" spans="1:28" ht="63" customHeight="1" thickBot="1" x14ac:dyDescent="0.3">
      <c r="A332" s="14">
        <v>320</v>
      </c>
      <c r="B332" s="13" t="s">
        <v>373</v>
      </c>
      <c r="C332" s="13" t="s">
        <v>371</v>
      </c>
      <c r="D332" s="15">
        <f>[1]Лист4!D323</f>
        <v>31500</v>
      </c>
      <c r="E332" s="15">
        <f>[2]Лист4!D324</f>
        <v>42700</v>
      </c>
      <c r="F332" s="15">
        <f>[3]Лист4!D324</f>
        <v>54900</v>
      </c>
      <c r="G332" s="16">
        <f>[4]Лист4!D323</f>
        <v>36750</v>
      </c>
      <c r="H332" s="15"/>
      <c r="I332" s="15"/>
      <c r="J332" s="15"/>
      <c r="K332" s="15"/>
      <c r="L332" s="15"/>
      <c r="M332" s="15"/>
      <c r="N332" s="15"/>
      <c r="O332" s="15"/>
      <c r="P332" s="15"/>
      <c r="Q332" s="15"/>
      <c r="R332" s="15"/>
      <c r="S332" s="15"/>
      <c r="T332" s="15"/>
      <c r="U332" s="15"/>
      <c r="V332" s="15"/>
      <c r="W332" s="15"/>
      <c r="X332" s="15"/>
      <c r="Y332" s="15"/>
      <c r="Z332" s="15">
        <f t="shared" si="4"/>
        <v>31500</v>
      </c>
      <c r="AA332" s="20"/>
      <c r="AB332" s="21"/>
    </row>
    <row r="333" spans="1:28" ht="63" customHeight="1" thickBot="1" x14ac:dyDescent="0.3">
      <c r="A333" s="14">
        <v>321</v>
      </c>
      <c r="B333" s="13" t="s">
        <v>374</v>
      </c>
      <c r="C333" s="13" t="s">
        <v>29</v>
      </c>
      <c r="D333" s="15">
        <f>[1]Лист4!D324</f>
        <v>11025</v>
      </c>
      <c r="E333" s="15">
        <f>[2]Лист4!D325</f>
        <v>13420</v>
      </c>
      <c r="F333" s="15">
        <f>[3]Лист4!D325</f>
        <v>12200</v>
      </c>
      <c r="G333" s="16">
        <f>[4]Лист4!D324</f>
        <v>12600</v>
      </c>
      <c r="H333" s="15"/>
      <c r="I333" s="15"/>
      <c r="J333" s="15"/>
      <c r="K333" s="15"/>
      <c r="L333" s="15"/>
      <c r="M333" s="15"/>
      <c r="N333" s="15"/>
      <c r="O333" s="15"/>
      <c r="P333" s="15"/>
      <c r="Q333" s="15"/>
      <c r="R333" s="15"/>
      <c r="S333" s="15"/>
      <c r="T333" s="15"/>
      <c r="U333" s="15"/>
      <c r="V333" s="15"/>
      <c r="W333" s="15"/>
      <c r="X333" s="15"/>
      <c r="Y333" s="15"/>
      <c r="Z333" s="15">
        <f t="shared" si="4"/>
        <v>11025</v>
      </c>
      <c r="AA333" s="20"/>
      <c r="AB333" s="21"/>
    </row>
    <row r="334" spans="1:28" ht="195.75" thickBot="1" x14ac:dyDescent="0.3">
      <c r="A334" s="14">
        <v>322</v>
      </c>
      <c r="B334" s="13" t="s">
        <v>375</v>
      </c>
      <c r="C334" s="13" t="s">
        <v>41</v>
      </c>
      <c r="D334" s="15">
        <f>[1]Лист4!D325</f>
        <v>4200000</v>
      </c>
      <c r="E334" s="15">
        <f>[2]Лист4!D326</f>
        <v>5490000</v>
      </c>
      <c r="F334" s="15">
        <f>[3]Лист4!D326</f>
        <v>5734000</v>
      </c>
      <c r="G334" s="16">
        <f>[4]Лист4!D325</f>
        <v>5250000</v>
      </c>
      <c r="H334" s="15"/>
      <c r="I334" s="15"/>
      <c r="J334" s="15"/>
      <c r="K334" s="15"/>
      <c r="L334" s="15"/>
      <c r="M334" s="15"/>
      <c r="N334" s="15"/>
      <c r="O334" s="15"/>
      <c r="P334" s="15"/>
      <c r="Q334" s="15"/>
      <c r="R334" s="15"/>
      <c r="S334" s="15"/>
      <c r="T334" s="15"/>
      <c r="U334" s="15"/>
      <c r="V334" s="15"/>
      <c r="W334" s="15"/>
      <c r="X334" s="15"/>
      <c r="Y334" s="15"/>
      <c r="Z334" s="15">
        <f t="shared" ref="Z334:Z397" si="5">MIN(D334:G334)</f>
        <v>4200000</v>
      </c>
      <c r="AA334" s="20"/>
      <c r="AB334" s="21"/>
    </row>
    <row r="335" spans="1:28" ht="120.75" thickBot="1" x14ac:dyDescent="0.3">
      <c r="A335" s="14">
        <v>323</v>
      </c>
      <c r="B335" s="13" t="s">
        <v>376</v>
      </c>
      <c r="C335" s="13" t="s">
        <v>41</v>
      </c>
      <c r="D335" s="15">
        <f>[1]Лист4!D326</f>
        <v>472500</v>
      </c>
      <c r="E335" s="15">
        <f>[2]Лист4!D327</f>
        <v>634400</v>
      </c>
      <c r="F335" s="15">
        <f>[3]Лист4!D327</f>
        <v>610000</v>
      </c>
      <c r="G335" s="16">
        <f>[4]Лист4!D326</f>
        <v>577500</v>
      </c>
      <c r="H335" s="15"/>
      <c r="I335" s="15"/>
      <c r="J335" s="15"/>
      <c r="K335" s="15"/>
      <c r="L335" s="15"/>
      <c r="M335" s="15"/>
      <c r="N335" s="15"/>
      <c r="O335" s="15"/>
      <c r="P335" s="15"/>
      <c r="Q335" s="15"/>
      <c r="R335" s="15"/>
      <c r="S335" s="15"/>
      <c r="T335" s="15"/>
      <c r="U335" s="15"/>
      <c r="V335" s="15"/>
      <c r="W335" s="15"/>
      <c r="X335" s="15"/>
      <c r="Y335" s="15"/>
      <c r="Z335" s="15">
        <f t="shared" si="5"/>
        <v>472500</v>
      </c>
      <c r="AA335" s="20"/>
      <c r="AB335" s="21"/>
    </row>
    <row r="336" spans="1:28" ht="120.75" thickBot="1" x14ac:dyDescent="0.3">
      <c r="A336" s="14">
        <v>324</v>
      </c>
      <c r="B336" s="13" t="s">
        <v>377</v>
      </c>
      <c r="C336" s="13" t="s">
        <v>41</v>
      </c>
      <c r="D336" s="15">
        <f>[1]Лист4!D327</f>
        <v>367500</v>
      </c>
      <c r="E336" s="15">
        <f>[2]Лист4!D328</f>
        <v>494100</v>
      </c>
      <c r="F336" s="15">
        <f>[3]Лист4!D328</f>
        <v>610000</v>
      </c>
      <c r="G336" s="16">
        <f>[4]Лист4!D327</f>
        <v>462000</v>
      </c>
      <c r="H336" s="15"/>
      <c r="I336" s="15"/>
      <c r="J336" s="15"/>
      <c r="K336" s="15"/>
      <c r="L336" s="15"/>
      <c r="M336" s="15"/>
      <c r="N336" s="15"/>
      <c r="O336" s="15"/>
      <c r="P336" s="15"/>
      <c r="Q336" s="15"/>
      <c r="R336" s="15"/>
      <c r="S336" s="15"/>
      <c r="T336" s="15"/>
      <c r="U336" s="15"/>
      <c r="V336" s="15"/>
      <c r="W336" s="15"/>
      <c r="X336" s="15"/>
      <c r="Y336" s="15"/>
      <c r="Z336" s="15">
        <f t="shared" si="5"/>
        <v>367500</v>
      </c>
      <c r="AA336" s="20"/>
      <c r="AB336" s="21"/>
    </row>
    <row r="337" spans="1:28" ht="63" customHeight="1" thickBot="1" x14ac:dyDescent="0.3">
      <c r="A337" s="14">
        <v>325</v>
      </c>
      <c r="B337" s="13" t="s">
        <v>489</v>
      </c>
      <c r="C337" s="13" t="s">
        <v>41</v>
      </c>
      <c r="D337" s="15">
        <f>[1]Лист4!D328</f>
        <v>603750</v>
      </c>
      <c r="E337" s="15">
        <f>[2]Лист4!D329</f>
        <v>732000</v>
      </c>
      <c r="F337" s="15">
        <f>[3]Лист4!D329</f>
        <v>610000</v>
      </c>
      <c r="G337" s="16">
        <f>[4]Лист4!D328</f>
        <v>700000</v>
      </c>
      <c r="H337" s="15"/>
      <c r="I337" s="15"/>
      <c r="J337" s="15"/>
      <c r="K337" s="15"/>
      <c r="L337" s="15"/>
      <c r="M337" s="15"/>
      <c r="N337" s="15"/>
      <c r="O337" s="15"/>
      <c r="P337" s="15"/>
      <c r="Q337" s="15"/>
      <c r="R337" s="15"/>
      <c r="S337" s="15"/>
      <c r="T337" s="15"/>
      <c r="U337" s="15"/>
      <c r="V337" s="15"/>
      <c r="W337" s="15"/>
      <c r="X337" s="15"/>
      <c r="Y337" s="15"/>
      <c r="Z337" s="15">
        <f t="shared" si="5"/>
        <v>603750</v>
      </c>
      <c r="AA337" s="20"/>
      <c r="AB337" s="21"/>
    </row>
    <row r="338" spans="1:28" ht="60.75" thickBot="1" x14ac:dyDescent="0.3">
      <c r="A338" s="14">
        <v>326</v>
      </c>
      <c r="B338" s="13" t="s">
        <v>490</v>
      </c>
      <c r="C338" s="13" t="s">
        <v>41</v>
      </c>
      <c r="D338" s="15">
        <f>[1]Лист4!D329</f>
        <v>603750</v>
      </c>
      <c r="E338" s="15">
        <f>[2]Лист4!D330</f>
        <v>811300</v>
      </c>
      <c r="F338" s="15">
        <f>[3]Лист4!D330</f>
        <v>610000</v>
      </c>
      <c r="G338" s="16">
        <f>[4]Лист4!D329</f>
        <v>750000</v>
      </c>
      <c r="H338" s="15"/>
      <c r="I338" s="15"/>
      <c r="J338" s="15"/>
      <c r="K338" s="15"/>
      <c r="L338" s="15"/>
      <c r="M338" s="15"/>
      <c r="N338" s="15"/>
      <c r="O338" s="15"/>
      <c r="P338" s="15"/>
      <c r="Q338" s="15"/>
      <c r="R338" s="15"/>
      <c r="S338" s="15"/>
      <c r="T338" s="15"/>
      <c r="U338" s="15"/>
      <c r="V338" s="15"/>
      <c r="W338" s="15"/>
      <c r="X338" s="15"/>
      <c r="Y338" s="15"/>
      <c r="Z338" s="15">
        <f t="shared" si="5"/>
        <v>603750</v>
      </c>
      <c r="AA338" s="20"/>
      <c r="AB338" s="21"/>
    </row>
    <row r="339" spans="1:28" ht="63" customHeight="1" thickBot="1" x14ac:dyDescent="0.3">
      <c r="A339" s="14">
        <v>327</v>
      </c>
      <c r="B339" s="13" t="s">
        <v>378</v>
      </c>
      <c r="C339" s="13" t="s">
        <v>30</v>
      </c>
      <c r="D339" s="15">
        <f>[1]Лист4!D330</f>
        <v>525</v>
      </c>
      <c r="E339" s="15">
        <f>[2]Лист4!D331</f>
        <v>628.29999999999995</v>
      </c>
      <c r="F339" s="15">
        <f>[3]Лист4!D331</f>
        <v>12200</v>
      </c>
      <c r="G339" s="16">
        <f>[4]Лист4!D330</f>
        <v>630</v>
      </c>
      <c r="H339" s="15"/>
      <c r="I339" s="15"/>
      <c r="J339" s="15"/>
      <c r="K339" s="15"/>
      <c r="L339" s="15"/>
      <c r="M339" s="15"/>
      <c r="N339" s="15"/>
      <c r="O339" s="15"/>
      <c r="P339" s="15"/>
      <c r="Q339" s="15"/>
      <c r="R339" s="15"/>
      <c r="S339" s="15"/>
      <c r="T339" s="15"/>
      <c r="U339" s="15"/>
      <c r="V339" s="15"/>
      <c r="W339" s="15"/>
      <c r="X339" s="15"/>
      <c r="Y339" s="15"/>
      <c r="Z339" s="15">
        <f t="shared" si="5"/>
        <v>525</v>
      </c>
      <c r="AA339" s="20"/>
      <c r="AB339" s="21"/>
    </row>
    <row r="340" spans="1:28" ht="63" customHeight="1" thickBot="1" x14ac:dyDescent="0.3">
      <c r="A340" s="14">
        <v>328</v>
      </c>
      <c r="B340" s="13" t="s">
        <v>379</v>
      </c>
      <c r="C340" s="13" t="s">
        <v>30</v>
      </c>
      <c r="D340" s="15">
        <f>[1]Лист4!D331</f>
        <v>23625</v>
      </c>
      <c r="E340" s="15">
        <f>[2]Лист4!D332</f>
        <v>31598</v>
      </c>
      <c r="F340" s="15">
        <f>[3]Лист4!D332</f>
        <v>30500</v>
      </c>
      <c r="G340" s="16">
        <f>[4]Лист4!D331</f>
        <v>26250</v>
      </c>
      <c r="H340" s="15"/>
      <c r="I340" s="15"/>
      <c r="J340" s="15"/>
      <c r="K340" s="15"/>
      <c r="L340" s="15"/>
      <c r="M340" s="15"/>
      <c r="N340" s="15"/>
      <c r="O340" s="15"/>
      <c r="P340" s="15"/>
      <c r="Q340" s="15"/>
      <c r="R340" s="15"/>
      <c r="S340" s="15"/>
      <c r="T340" s="15"/>
      <c r="U340" s="15"/>
      <c r="V340" s="15"/>
      <c r="W340" s="15"/>
      <c r="X340" s="15"/>
      <c r="Y340" s="15"/>
      <c r="Z340" s="15">
        <f t="shared" si="5"/>
        <v>23625</v>
      </c>
      <c r="AA340" s="20"/>
      <c r="AB340" s="21"/>
    </row>
    <row r="341" spans="1:28" ht="75.75" thickBot="1" x14ac:dyDescent="0.3">
      <c r="A341" s="14">
        <v>329</v>
      </c>
      <c r="B341" s="13" t="s">
        <v>380</v>
      </c>
      <c r="C341" s="13" t="s">
        <v>29</v>
      </c>
      <c r="D341" s="15">
        <f>[1]Лист4!D332</f>
        <v>15750</v>
      </c>
      <c r="E341" s="15">
        <f>[2]Лист4!D333</f>
        <v>21106</v>
      </c>
      <c r="F341" s="15">
        <f>[3]Лист4!D333</f>
        <v>18300</v>
      </c>
      <c r="G341" s="16">
        <f>[4]Лист4!D332</f>
        <v>18900</v>
      </c>
      <c r="H341" s="15"/>
      <c r="I341" s="15"/>
      <c r="J341" s="15"/>
      <c r="K341" s="15"/>
      <c r="L341" s="15"/>
      <c r="M341" s="15"/>
      <c r="N341" s="15"/>
      <c r="O341" s="15"/>
      <c r="P341" s="15"/>
      <c r="Q341" s="15"/>
      <c r="R341" s="15"/>
      <c r="S341" s="15"/>
      <c r="T341" s="15"/>
      <c r="U341" s="15"/>
      <c r="V341" s="15"/>
      <c r="W341" s="15"/>
      <c r="X341" s="15"/>
      <c r="Y341" s="15"/>
      <c r="Z341" s="15">
        <f t="shared" si="5"/>
        <v>15750</v>
      </c>
      <c r="AA341" s="20"/>
      <c r="AB341" s="21"/>
    </row>
    <row r="342" spans="1:28" ht="90.75" thickBot="1" x14ac:dyDescent="0.3">
      <c r="A342" s="14">
        <v>330</v>
      </c>
      <c r="B342" s="13" t="s">
        <v>381</v>
      </c>
      <c r="C342" s="13" t="s">
        <v>29</v>
      </c>
      <c r="D342" s="15">
        <f>[1]Лист4!D333</f>
        <v>210000</v>
      </c>
      <c r="E342" s="15">
        <f>[2]Лист4!D334</f>
        <v>244000</v>
      </c>
      <c r="F342" s="15">
        <f>[3]Лист4!D334</f>
        <v>305000</v>
      </c>
      <c r="G342" s="16">
        <f>[4]Лист4!D333</f>
        <v>262500</v>
      </c>
      <c r="H342" s="15"/>
      <c r="I342" s="15"/>
      <c r="J342" s="15"/>
      <c r="K342" s="15"/>
      <c r="L342" s="15"/>
      <c r="M342" s="15"/>
      <c r="N342" s="15"/>
      <c r="O342" s="15"/>
      <c r="P342" s="15"/>
      <c r="Q342" s="15"/>
      <c r="R342" s="15"/>
      <c r="S342" s="15"/>
      <c r="T342" s="15"/>
      <c r="U342" s="15"/>
      <c r="V342" s="15"/>
      <c r="W342" s="15"/>
      <c r="X342" s="15"/>
      <c r="Y342" s="15"/>
      <c r="Z342" s="15">
        <f t="shared" si="5"/>
        <v>210000</v>
      </c>
      <c r="AA342" s="20"/>
      <c r="AB342" s="21"/>
    </row>
    <row r="343" spans="1:28" ht="75.75" thickBot="1" x14ac:dyDescent="0.3">
      <c r="A343" s="14">
        <v>331</v>
      </c>
      <c r="B343" s="13" t="s">
        <v>382</v>
      </c>
      <c r="C343" s="13" t="s">
        <v>29</v>
      </c>
      <c r="D343" s="15">
        <f>[1]Лист4!D334</f>
        <v>210000</v>
      </c>
      <c r="E343" s="15">
        <f>[2]Лист4!D335</f>
        <v>256200</v>
      </c>
      <c r="F343" s="15">
        <f>[3]Лист4!D335</f>
        <v>305000</v>
      </c>
      <c r="G343" s="16">
        <f>[4]Лист4!D334</f>
        <v>262500</v>
      </c>
      <c r="H343" s="15"/>
      <c r="I343" s="15"/>
      <c r="J343" s="15"/>
      <c r="K343" s="15"/>
      <c r="L343" s="15"/>
      <c r="M343" s="15"/>
      <c r="N343" s="15"/>
      <c r="O343" s="15"/>
      <c r="P343" s="15"/>
      <c r="Q343" s="15"/>
      <c r="R343" s="15"/>
      <c r="S343" s="15"/>
      <c r="T343" s="15"/>
      <c r="U343" s="15"/>
      <c r="V343" s="15"/>
      <c r="W343" s="15"/>
      <c r="X343" s="15"/>
      <c r="Y343" s="15"/>
      <c r="Z343" s="15">
        <f t="shared" si="5"/>
        <v>210000</v>
      </c>
      <c r="AA343" s="20"/>
      <c r="AB343" s="21"/>
    </row>
    <row r="344" spans="1:28" ht="75.75" thickBot="1" x14ac:dyDescent="0.3">
      <c r="A344" s="14">
        <v>332</v>
      </c>
      <c r="B344" s="13" t="s">
        <v>383</v>
      </c>
      <c r="C344" s="13" t="s">
        <v>29</v>
      </c>
      <c r="D344" s="15">
        <f>[1]Лист4!D335</f>
        <v>210000</v>
      </c>
      <c r="E344" s="15">
        <f>[2]Лист4!D336</f>
        <v>244000</v>
      </c>
      <c r="F344" s="15">
        <f>[3]Лист4!D336</f>
        <v>305000</v>
      </c>
      <c r="G344" s="16">
        <f>[4]Лист4!D335</f>
        <v>262500</v>
      </c>
      <c r="H344" s="15"/>
      <c r="I344" s="15"/>
      <c r="J344" s="15"/>
      <c r="K344" s="15"/>
      <c r="L344" s="15"/>
      <c r="M344" s="15"/>
      <c r="N344" s="15"/>
      <c r="O344" s="15"/>
      <c r="P344" s="15"/>
      <c r="Q344" s="15"/>
      <c r="R344" s="15"/>
      <c r="S344" s="15"/>
      <c r="T344" s="15"/>
      <c r="U344" s="15"/>
      <c r="V344" s="15"/>
      <c r="W344" s="15"/>
      <c r="X344" s="15"/>
      <c r="Y344" s="15"/>
      <c r="Z344" s="15">
        <f t="shared" si="5"/>
        <v>210000</v>
      </c>
      <c r="AA344" s="20"/>
      <c r="AB344" s="21"/>
    </row>
    <row r="345" spans="1:28" ht="75.75" thickBot="1" x14ac:dyDescent="0.3">
      <c r="A345" s="14">
        <v>333</v>
      </c>
      <c r="B345" s="13" t="s">
        <v>384</v>
      </c>
      <c r="C345" s="13" t="s">
        <v>29</v>
      </c>
      <c r="D345" s="15">
        <f>[1]Лист4!D336</f>
        <v>210000</v>
      </c>
      <c r="E345" s="15">
        <f>[2]Лист4!D337</f>
        <v>250100</v>
      </c>
      <c r="F345" s="15">
        <f>[3]Лист4!D337</f>
        <v>305000</v>
      </c>
      <c r="G345" s="16">
        <f>[4]Лист4!D336</f>
        <v>262500</v>
      </c>
      <c r="H345" s="15"/>
      <c r="I345" s="15"/>
      <c r="J345" s="15"/>
      <c r="K345" s="15"/>
      <c r="L345" s="15"/>
      <c r="M345" s="15"/>
      <c r="N345" s="15"/>
      <c r="O345" s="15"/>
      <c r="P345" s="15"/>
      <c r="Q345" s="15"/>
      <c r="R345" s="15"/>
      <c r="S345" s="15"/>
      <c r="T345" s="15"/>
      <c r="U345" s="15"/>
      <c r="V345" s="15"/>
      <c r="W345" s="15"/>
      <c r="X345" s="15"/>
      <c r="Y345" s="15"/>
      <c r="Z345" s="15">
        <f t="shared" si="5"/>
        <v>210000</v>
      </c>
      <c r="AA345" s="20"/>
      <c r="AB345" s="21"/>
    </row>
    <row r="346" spans="1:28" ht="90.75" thickBot="1" x14ac:dyDescent="0.3">
      <c r="A346" s="14">
        <v>334</v>
      </c>
      <c r="B346" s="13" t="s">
        <v>385</v>
      </c>
      <c r="C346" s="13" t="s">
        <v>30</v>
      </c>
      <c r="D346" s="15">
        <f>[1]Лист4!D337</f>
        <v>210000</v>
      </c>
      <c r="E346" s="15">
        <f>[2]Лист4!D338</f>
        <v>305000</v>
      </c>
      <c r="F346" s="15">
        <f>[3]Лист4!D338</f>
        <v>305000</v>
      </c>
      <c r="G346" s="16">
        <f>[4]Лист4!D337</f>
        <v>262500</v>
      </c>
      <c r="H346" s="15"/>
      <c r="I346" s="15"/>
      <c r="J346" s="15"/>
      <c r="K346" s="15"/>
      <c r="L346" s="15"/>
      <c r="M346" s="15"/>
      <c r="N346" s="15"/>
      <c r="O346" s="15"/>
      <c r="P346" s="15"/>
      <c r="Q346" s="15"/>
      <c r="R346" s="15"/>
      <c r="S346" s="15"/>
      <c r="T346" s="15"/>
      <c r="U346" s="15"/>
      <c r="V346" s="15"/>
      <c r="W346" s="15"/>
      <c r="X346" s="15"/>
      <c r="Y346" s="15"/>
      <c r="Z346" s="15">
        <f t="shared" si="5"/>
        <v>210000</v>
      </c>
      <c r="AA346" s="20"/>
      <c r="AB346" s="21"/>
    </row>
    <row r="347" spans="1:28" ht="90.75" thickBot="1" x14ac:dyDescent="0.3">
      <c r="A347" s="14">
        <v>335</v>
      </c>
      <c r="B347" s="13" t="s">
        <v>386</v>
      </c>
      <c r="C347" s="13" t="s">
        <v>94</v>
      </c>
      <c r="D347" s="15">
        <f>[1]Лист4!D338</f>
        <v>157500</v>
      </c>
      <c r="E347" s="15">
        <f>[2]Лист4!D339</f>
        <v>213500</v>
      </c>
      <c r="F347" s="15">
        <f>[3]Лист4!D339</f>
        <v>183000</v>
      </c>
      <c r="G347" s="16">
        <f>[4]Лист4!D338</f>
        <v>162750</v>
      </c>
      <c r="H347" s="15"/>
      <c r="I347" s="15"/>
      <c r="J347" s="15"/>
      <c r="K347" s="15"/>
      <c r="L347" s="15"/>
      <c r="M347" s="15"/>
      <c r="N347" s="15"/>
      <c r="O347" s="15"/>
      <c r="P347" s="15"/>
      <c r="Q347" s="15"/>
      <c r="R347" s="15"/>
      <c r="S347" s="15"/>
      <c r="T347" s="15"/>
      <c r="U347" s="15"/>
      <c r="V347" s="15"/>
      <c r="W347" s="15"/>
      <c r="X347" s="15"/>
      <c r="Y347" s="15"/>
      <c r="Z347" s="15">
        <f t="shared" si="5"/>
        <v>157500</v>
      </c>
      <c r="AA347" s="20"/>
      <c r="AB347" s="21"/>
    </row>
    <row r="348" spans="1:28" ht="63" customHeight="1" thickBot="1" x14ac:dyDescent="0.3">
      <c r="A348" s="14">
        <v>336</v>
      </c>
      <c r="B348" s="13" t="s">
        <v>387</v>
      </c>
      <c r="C348" s="13" t="s">
        <v>30</v>
      </c>
      <c r="D348" s="15">
        <f>[1]Лист4!D339</f>
        <v>47250</v>
      </c>
      <c r="E348" s="15">
        <f>[2]Лист4!D340</f>
        <v>63318</v>
      </c>
      <c r="F348" s="15">
        <f>[3]Лист4!D340</f>
        <v>54900</v>
      </c>
      <c r="G348" s="16">
        <f>[4]Лист4!D339</f>
        <v>57750</v>
      </c>
      <c r="H348" s="15"/>
      <c r="I348" s="15"/>
      <c r="J348" s="15"/>
      <c r="K348" s="15"/>
      <c r="L348" s="15"/>
      <c r="M348" s="15"/>
      <c r="N348" s="15"/>
      <c r="O348" s="15"/>
      <c r="P348" s="15"/>
      <c r="Q348" s="15"/>
      <c r="R348" s="15"/>
      <c r="S348" s="15"/>
      <c r="T348" s="15"/>
      <c r="U348" s="15"/>
      <c r="V348" s="15"/>
      <c r="W348" s="15"/>
      <c r="X348" s="15"/>
      <c r="Y348" s="15"/>
      <c r="Z348" s="15">
        <f t="shared" si="5"/>
        <v>47250</v>
      </c>
      <c r="AA348" s="20"/>
      <c r="AB348" s="21"/>
    </row>
    <row r="349" spans="1:28" ht="63" customHeight="1" thickBot="1" x14ac:dyDescent="0.3">
      <c r="A349" s="14">
        <v>337</v>
      </c>
      <c r="B349" s="13" t="s">
        <v>388</v>
      </c>
      <c r="C349" s="13" t="s">
        <v>30</v>
      </c>
      <c r="D349" s="15">
        <f>[1]Лист4!D340</f>
        <v>15750</v>
      </c>
      <c r="E349" s="15">
        <f>[2]Лист4!D341</f>
        <v>21106</v>
      </c>
      <c r="F349" s="15">
        <f>[3]Лист4!D341</f>
        <v>54900</v>
      </c>
      <c r="G349" s="16">
        <f>[4]Лист4!D340</f>
        <v>18900</v>
      </c>
      <c r="H349" s="15"/>
      <c r="I349" s="15"/>
      <c r="J349" s="15"/>
      <c r="K349" s="15"/>
      <c r="L349" s="15"/>
      <c r="M349" s="15"/>
      <c r="N349" s="15"/>
      <c r="O349" s="15"/>
      <c r="P349" s="15"/>
      <c r="Q349" s="15"/>
      <c r="R349" s="15"/>
      <c r="S349" s="15"/>
      <c r="T349" s="15"/>
      <c r="U349" s="15"/>
      <c r="V349" s="15"/>
      <c r="W349" s="15"/>
      <c r="X349" s="15"/>
      <c r="Y349" s="15"/>
      <c r="Z349" s="15">
        <f t="shared" si="5"/>
        <v>15750</v>
      </c>
      <c r="AA349" s="20"/>
      <c r="AB349" s="21"/>
    </row>
    <row r="350" spans="1:28" ht="63" customHeight="1" thickBot="1" x14ac:dyDescent="0.3">
      <c r="A350" s="14">
        <v>338</v>
      </c>
      <c r="B350" s="13" t="s">
        <v>389</v>
      </c>
      <c r="C350" s="13" t="s">
        <v>30</v>
      </c>
      <c r="D350" s="15">
        <f>[1]Лист4!D341</f>
        <v>78750</v>
      </c>
      <c r="E350" s="15">
        <f>[2]Лист4!D342</f>
        <v>103700</v>
      </c>
      <c r="F350" s="15">
        <f>[3]Лист4!D342</f>
        <v>54900</v>
      </c>
      <c r="G350" s="16">
        <f>[4]Лист4!D341</f>
        <v>99750</v>
      </c>
      <c r="H350" s="15"/>
      <c r="I350" s="15"/>
      <c r="J350" s="15"/>
      <c r="K350" s="15"/>
      <c r="L350" s="15"/>
      <c r="M350" s="15"/>
      <c r="N350" s="15"/>
      <c r="O350" s="15"/>
      <c r="P350" s="15"/>
      <c r="Q350" s="15"/>
      <c r="R350" s="15"/>
      <c r="S350" s="15"/>
      <c r="T350" s="15"/>
      <c r="U350" s="15"/>
      <c r="V350" s="15"/>
      <c r="W350" s="15"/>
      <c r="X350" s="15"/>
      <c r="Y350" s="15"/>
      <c r="Z350" s="15">
        <f t="shared" si="5"/>
        <v>54900</v>
      </c>
      <c r="AA350" s="20"/>
      <c r="AB350" s="21"/>
    </row>
    <row r="351" spans="1:28" ht="63" customHeight="1" thickBot="1" x14ac:dyDescent="0.3">
      <c r="A351" s="14">
        <v>339</v>
      </c>
      <c r="B351" s="13" t="s">
        <v>390</v>
      </c>
      <c r="C351" s="13" t="s">
        <v>30</v>
      </c>
      <c r="D351" s="15">
        <f>[1]Лист4!D342</f>
        <v>9450</v>
      </c>
      <c r="E351" s="15">
        <f>[2]Лист4!D343</f>
        <v>12200</v>
      </c>
      <c r="F351" s="15">
        <f>[3]Лист4!D343</f>
        <v>14880</v>
      </c>
      <c r="G351" s="16">
        <f>[4]Лист4!D342</f>
        <v>11550</v>
      </c>
      <c r="H351" s="15"/>
      <c r="I351" s="15"/>
      <c r="J351" s="15"/>
      <c r="K351" s="15"/>
      <c r="L351" s="15"/>
      <c r="M351" s="15"/>
      <c r="N351" s="15"/>
      <c r="O351" s="15"/>
      <c r="P351" s="15"/>
      <c r="Q351" s="15"/>
      <c r="R351" s="15"/>
      <c r="S351" s="15"/>
      <c r="T351" s="15"/>
      <c r="U351" s="15"/>
      <c r="V351" s="15"/>
      <c r="W351" s="15"/>
      <c r="X351" s="15"/>
      <c r="Y351" s="15"/>
      <c r="Z351" s="15">
        <f t="shared" si="5"/>
        <v>9450</v>
      </c>
      <c r="AA351" s="20"/>
      <c r="AB351" s="21"/>
    </row>
    <row r="352" spans="1:28" ht="63" customHeight="1" thickBot="1" x14ac:dyDescent="0.3">
      <c r="A352" s="14">
        <v>340</v>
      </c>
      <c r="B352" s="13" t="s">
        <v>391</v>
      </c>
      <c r="C352" s="13" t="s">
        <v>30</v>
      </c>
      <c r="D352" s="15">
        <f>[1]Лист4!D343</f>
        <v>7875</v>
      </c>
      <c r="E352" s="15">
        <f>[2]Лист4!D344</f>
        <v>10492</v>
      </c>
      <c r="F352" s="15">
        <f>[3]Лист4!D344</f>
        <v>12200</v>
      </c>
      <c r="G352" s="16">
        <f>[4]Лист4!D343</f>
        <v>8925</v>
      </c>
      <c r="H352" s="15"/>
      <c r="I352" s="15"/>
      <c r="J352" s="15"/>
      <c r="K352" s="15"/>
      <c r="L352" s="15"/>
      <c r="M352" s="15"/>
      <c r="N352" s="15"/>
      <c r="O352" s="15"/>
      <c r="P352" s="15"/>
      <c r="Q352" s="15"/>
      <c r="R352" s="15"/>
      <c r="S352" s="15"/>
      <c r="T352" s="15"/>
      <c r="U352" s="15"/>
      <c r="V352" s="15"/>
      <c r="W352" s="15"/>
      <c r="X352" s="15"/>
      <c r="Y352" s="15"/>
      <c r="Z352" s="15">
        <f t="shared" si="5"/>
        <v>7875</v>
      </c>
      <c r="AA352" s="20"/>
      <c r="AB352" s="21"/>
    </row>
    <row r="353" spans="1:28" ht="63" customHeight="1" thickBot="1" x14ac:dyDescent="0.3">
      <c r="A353" s="14">
        <v>341</v>
      </c>
      <c r="B353" s="13" t="s">
        <v>392</v>
      </c>
      <c r="C353" s="13" t="s">
        <v>30</v>
      </c>
      <c r="D353" s="15">
        <f>[1]Лист4!D344</f>
        <v>9450</v>
      </c>
      <c r="E353" s="15">
        <f>[2]Лист4!D345</f>
        <v>10980</v>
      </c>
      <c r="F353" s="15">
        <f>[3]Лист4!D345</f>
        <v>12200</v>
      </c>
      <c r="G353" s="16">
        <f>[4]Лист4!D344</f>
        <v>11550</v>
      </c>
      <c r="H353" s="15"/>
      <c r="I353" s="15"/>
      <c r="J353" s="15"/>
      <c r="K353" s="15"/>
      <c r="L353" s="15"/>
      <c r="M353" s="15"/>
      <c r="N353" s="15"/>
      <c r="O353" s="15"/>
      <c r="P353" s="15"/>
      <c r="Q353" s="15"/>
      <c r="R353" s="15"/>
      <c r="S353" s="15"/>
      <c r="T353" s="15"/>
      <c r="U353" s="15"/>
      <c r="V353" s="15"/>
      <c r="W353" s="15"/>
      <c r="X353" s="15"/>
      <c r="Y353" s="15"/>
      <c r="Z353" s="15">
        <f t="shared" si="5"/>
        <v>9450</v>
      </c>
      <c r="AA353" s="20"/>
      <c r="AB353" s="21"/>
    </row>
    <row r="354" spans="1:28" ht="63" customHeight="1" thickBot="1" x14ac:dyDescent="0.3">
      <c r="A354" s="14">
        <v>342</v>
      </c>
      <c r="B354" s="13" t="s">
        <v>393</v>
      </c>
      <c r="C354" s="13" t="s">
        <v>30</v>
      </c>
      <c r="D354" s="15">
        <f>[1]Лист4!D345</f>
        <v>52500</v>
      </c>
      <c r="E354" s="15">
        <f>[2]Лист4!D346</f>
        <v>70394</v>
      </c>
      <c r="F354" s="15">
        <f>[3]Лист4!D346</f>
        <v>146400</v>
      </c>
      <c r="G354" s="16">
        <f>[4]Лист4!D345</f>
        <v>63000</v>
      </c>
      <c r="H354" s="15"/>
      <c r="I354" s="15"/>
      <c r="J354" s="15"/>
      <c r="K354" s="15"/>
      <c r="L354" s="15"/>
      <c r="M354" s="15"/>
      <c r="N354" s="15"/>
      <c r="O354" s="15"/>
      <c r="P354" s="15"/>
      <c r="Q354" s="15"/>
      <c r="R354" s="15"/>
      <c r="S354" s="15"/>
      <c r="T354" s="15"/>
      <c r="U354" s="15"/>
      <c r="V354" s="15"/>
      <c r="W354" s="15"/>
      <c r="X354" s="15"/>
      <c r="Y354" s="15"/>
      <c r="Z354" s="15">
        <f t="shared" si="5"/>
        <v>52500</v>
      </c>
      <c r="AA354" s="20"/>
      <c r="AB354" s="21"/>
    </row>
    <row r="355" spans="1:28" ht="63" customHeight="1" thickBot="1" x14ac:dyDescent="0.3">
      <c r="A355" s="14">
        <v>343</v>
      </c>
      <c r="B355" s="13" t="s">
        <v>394</v>
      </c>
      <c r="C355" s="13" t="s">
        <v>29</v>
      </c>
      <c r="D355" s="15">
        <f>[1]Лист4!D346</f>
        <v>5250</v>
      </c>
      <c r="E355" s="15">
        <f>[2]Лист4!D347</f>
        <v>6100</v>
      </c>
      <c r="F355" s="15">
        <f>[3]Лист4!D347</f>
        <v>12200</v>
      </c>
      <c r="G355" s="16">
        <f>[4]Лист4!D346</f>
        <v>6300</v>
      </c>
      <c r="H355" s="15"/>
      <c r="I355" s="15"/>
      <c r="J355" s="15"/>
      <c r="K355" s="15"/>
      <c r="L355" s="15"/>
      <c r="M355" s="15"/>
      <c r="N355" s="15"/>
      <c r="O355" s="15"/>
      <c r="P355" s="15"/>
      <c r="Q355" s="15"/>
      <c r="R355" s="15"/>
      <c r="S355" s="15"/>
      <c r="T355" s="15"/>
      <c r="U355" s="15"/>
      <c r="V355" s="15"/>
      <c r="W355" s="15"/>
      <c r="X355" s="15"/>
      <c r="Y355" s="15"/>
      <c r="Z355" s="15">
        <f t="shared" si="5"/>
        <v>5250</v>
      </c>
      <c r="AA355" s="20"/>
      <c r="AB355" s="21"/>
    </row>
    <row r="356" spans="1:28" ht="63" customHeight="1" thickBot="1" x14ac:dyDescent="0.3">
      <c r="A356" s="14">
        <v>344</v>
      </c>
      <c r="B356" s="13" t="s">
        <v>395</v>
      </c>
      <c r="C356" s="13" t="s">
        <v>30</v>
      </c>
      <c r="D356" s="15">
        <f>[1]Лист4!D347</f>
        <v>315</v>
      </c>
      <c r="E356" s="15">
        <f>[2]Лист4!D348</f>
        <v>427</v>
      </c>
      <c r="F356" s="15">
        <f>[3]Лист4!D348</f>
        <v>610</v>
      </c>
      <c r="G356" s="16">
        <f>[4]Лист4!D347</f>
        <v>304.5</v>
      </c>
      <c r="H356" s="15"/>
      <c r="I356" s="15"/>
      <c r="J356" s="15"/>
      <c r="K356" s="15"/>
      <c r="L356" s="15"/>
      <c r="M356" s="15"/>
      <c r="N356" s="15"/>
      <c r="O356" s="15"/>
      <c r="P356" s="15"/>
      <c r="Q356" s="15"/>
      <c r="R356" s="15"/>
      <c r="S356" s="15"/>
      <c r="T356" s="15"/>
      <c r="U356" s="15"/>
      <c r="V356" s="15"/>
      <c r="W356" s="15"/>
      <c r="X356" s="15"/>
      <c r="Y356" s="15"/>
      <c r="Z356" s="15">
        <f t="shared" si="5"/>
        <v>304.5</v>
      </c>
      <c r="AA356" s="20"/>
      <c r="AB356" s="21"/>
    </row>
    <row r="357" spans="1:28" ht="63" customHeight="1" thickBot="1" x14ac:dyDescent="0.3">
      <c r="A357" s="14">
        <v>345</v>
      </c>
      <c r="B357" s="13" t="s">
        <v>396</v>
      </c>
      <c r="C357" s="13" t="s">
        <v>30</v>
      </c>
      <c r="D357" s="15">
        <f>[1]Лист4!D348</f>
        <v>315</v>
      </c>
      <c r="E357" s="15">
        <f>[2]Лист4!D349</f>
        <v>366</v>
      </c>
      <c r="F357" s="15">
        <f>[3]Лист4!D349</f>
        <v>1220</v>
      </c>
      <c r="G357" s="16">
        <f>[4]Лист4!D348</f>
        <v>350</v>
      </c>
      <c r="H357" s="15"/>
      <c r="I357" s="15"/>
      <c r="J357" s="15"/>
      <c r="K357" s="15"/>
      <c r="L357" s="15"/>
      <c r="M357" s="15"/>
      <c r="N357" s="15"/>
      <c r="O357" s="15"/>
      <c r="P357" s="15"/>
      <c r="Q357" s="15"/>
      <c r="R357" s="15"/>
      <c r="S357" s="15"/>
      <c r="T357" s="15"/>
      <c r="U357" s="15"/>
      <c r="V357" s="15"/>
      <c r="W357" s="15"/>
      <c r="X357" s="15"/>
      <c r="Y357" s="15"/>
      <c r="Z357" s="15">
        <f t="shared" si="5"/>
        <v>315</v>
      </c>
      <c r="AA357" s="20"/>
      <c r="AB357" s="21"/>
    </row>
    <row r="358" spans="1:28" ht="63" customHeight="1" thickBot="1" x14ac:dyDescent="0.3">
      <c r="A358" s="14">
        <v>346</v>
      </c>
      <c r="B358" s="13" t="s">
        <v>397</v>
      </c>
      <c r="C358" s="13" t="s">
        <v>30</v>
      </c>
      <c r="D358" s="15">
        <f>[1]Лист4!D349</f>
        <v>2625</v>
      </c>
      <c r="E358" s="15">
        <f>[2]Лист4!D350</f>
        <v>3904</v>
      </c>
      <c r="F358" s="15">
        <f>[3]Лист4!D350</f>
        <v>4270</v>
      </c>
      <c r="G358" s="16">
        <f>[4]Лист4!D349</f>
        <v>3150</v>
      </c>
      <c r="H358" s="15"/>
      <c r="I358" s="15"/>
      <c r="J358" s="15"/>
      <c r="K358" s="15"/>
      <c r="L358" s="15"/>
      <c r="M358" s="15"/>
      <c r="N358" s="15"/>
      <c r="O358" s="15"/>
      <c r="P358" s="15"/>
      <c r="Q358" s="15"/>
      <c r="R358" s="15"/>
      <c r="S358" s="15"/>
      <c r="T358" s="15"/>
      <c r="U358" s="15"/>
      <c r="V358" s="15"/>
      <c r="W358" s="15"/>
      <c r="X358" s="15"/>
      <c r="Y358" s="15"/>
      <c r="Z358" s="15">
        <f t="shared" si="5"/>
        <v>2625</v>
      </c>
      <c r="AA358" s="20"/>
      <c r="AB358" s="21"/>
    </row>
    <row r="359" spans="1:28" ht="63" customHeight="1" thickBot="1" x14ac:dyDescent="0.3">
      <c r="A359" s="14">
        <v>347</v>
      </c>
      <c r="B359" s="13" t="s">
        <v>398</v>
      </c>
      <c r="C359" s="13" t="s">
        <v>38</v>
      </c>
      <c r="D359" s="15">
        <f>[1]Лист4!D350</f>
        <v>50925</v>
      </c>
      <c r="E359" s="15">
        <f>[2]Лист4!D351</f>
        <v>68320</v>
      </c>
      <c r="F359" s="15">
        <f>[3]Лист4!D351</f>
        <v>122000</v>
      </c>
      <c r="G359" s="16">
        <f>[4]Лист4!D350</f>
        <v>65100</v>
      </c>
      <c r="H359" s="15"/>
      <c r="I359" s="15"/>
      <c r="J359" s="15"/>
      <c r="K359" s="15"/>
      <c r="L359" s="15"/>
      <c r="M359" s="15"/>
      <c r="N359" s="15"/>
      <c r="O359" s="15"/>
      <c r="P359" s="15"/>
      <c r="Q359" s="15"/>
      <c r="R359" s="15"/>
      <c r="S359" s="15"/>
      <c r="T359" s="15"/>
      <c r="U359" s="15"/>
      <c r="V359" s="15"/>
      <c r="W359" s="15"/>
      <c r="X359" s="15"/>
      <c r="Y359" s="15"/>
      <c r="Z359" s="15">
        <f t="shared" si="5"/>
        <v>50925</v>
      </c>
      <c r="AA359" s="20"/>
      <c r="AB359" s="21"/>
    </row>
    <row r="360" spans="1:28" ht="63" customHeight="1" thickBot="1" x14ac:dyDescent="0.3">
      <c r="A360" s="14">
        <v>348</v>
      </c>
      <c r="B360" s="13" t="s">
        <v>399</v>
      </c>
      <c r="C360" s="13" t="s">
        <v>30</v>
      </c>
      <c r="D360" s="15">
        <f>[1]Лист4!D351</f>
        <v>31500</v>
      </c>
      <c r="E360" s="15">
        <f>[2]Лист4!D352</f>
        <v>42700</v>
      </c>
      <c r="F360" s="15">
        <f>[3]Лист4!D352</f>
        <v>61000</v>
      </c>
      <c r="G360" s="16">
        <f>[4]Лист4!D351</f>
        <v>36750</v>
      </c>
      <c r="H360" s="15"/>
      <c r="I360" s="15"/>
      <c r="J360" s="15"/>
      <c r="K360" s="15"/>
      <c r="L360" s="15"/>
      <c r="M360" s="15"/>
      <c r="N360" s="15"/>
      <c r="O360" s="15"/>
      <c r="P360" s="15"/>
      <c r="Q360" s="15"/>
      <c r="R360" s="15"/>
      <c r="S360" s="15"/>
      <c r="T360" s="15"/>
      <c r="U360" s="15"/>
      <c r="V360" s="15"/>
      <c r="W360" s="15"/>
      <c r="X360" s="15"/>
      <c r="Y360" s="15"/>
      <c r="Z360" s="15">
        <f t="shared" si="5"/>
        <v>31500</v>
      </c>
      <c r="AA360" s="20"/>
      <c r="AB360" s="21"/>
    </row>
    <row r="361" spans="1:28" ht="63" customHeight="1" thickBot="1" x14ac:dyDescent="0.3">
      <c r="A361" s="14">
        <v>349</v>
      </c>
      <c r="B361" s="13" t="s">
        <v>400</v>
      </c>
      <c r="C361" s="13" t="s">
        <v>30</v>
      </c>
      <c r="D361" s="15">
        <f>[1]Лист4!D352</f>
        <v>39375</v>
      </c>
      <c r="E361" s="15">
        <f>[2]Лист4!D353</f>
        <v>54900</v>
      </c>
      <c r="F361" s="15">
        <f>[3]Лист4!D353</f>
        <v>61000</v>
      </c>
      <c r="G361" s="16">
        <f>[4]Лист4!D352</f>
        <v>47250</v>
      </c>
      <c r="H361" s="15"/>
      <c r="I361" s="15"/>
      <c r="J361" s="15"/>
      <c r="K361" s="15"/>
      <c r="L361" s="15"/>
      <c r="M361" s="15"/>
      <c r="N361" s="15"/>
      <c r="O361" s="15"/>
      <c r="P361" s="15"/>
      <c r="Q361" s="15"/>
      <c r="R361" s="15"/>
      <c r="S361" s="15"/>
      <c r="T361" s="15"/>
      <c r="U361" s="15"/>
      <c r="V361" s="15"/>
      <c r="W361" s="15"/>
      <c r="X361" s="15"/>
      <c r="Y361" s="15"/>
      <c r="Z361" s="15">
        <f t="shared" si="5"/>
        <v>39375</v>
      </c>
      <c r="AA361" s="20"/>
      <c r="AB361" s="21"/>
    </row>
    <row r="362" spans="1:28" ht="63" customHeight="1" thickBot="1" x14ac:dyDescent="0.3">
      <c r="A362" s="14">
        <v>350</v>
      </c>
      <c r="B362" s="13" t="s">
        <v>401</v>
      </c>
      <c r="C362" s="13" t="s">
        <v>30</v>
      </c>
      <c r="D362" s="15">
        <f>[1]Лист4!D353</f>
        <v>23625</v>
      </c>
      <c r="E362" s="15">
        <f>[2]Лист4!D354</f>
        <v>32940</v>
      </c>
      <c r="F362" s="15">
        <f>[3]Лист4!D354</f>
        <v>61000</v>
      </c>
      <c r="G362" s="16">
        <f>[4]Лист4!D353</f>
        <v>26250</v>
      </c>
      <c r="H362" s="15"/>
      <c r="I362" s="15"/>
      <c r="J362" s="15"/>
      <c r="K362" s="15"/>
      <c r="L362" s="15"/>
      <c r="M362" s="15"/>
      <c r="N362" s="15"/>
      <c r="O362" s="15"/>
      <c r="P362" s="15"/>
      <c r="Q362" s="15"/>
      <c r="R362" s="15"/>
      <c r="S362" s="15"/>
      <c r="T362" s="15"/>
      <c r="U362" s="15"/>
      <c r="V362" s="15"/>
      <c r="W362" s="15"/>
      <c r="X362" s="15"/>
      <c r="Y362" s="15"/>
      <c r="Z362" s="15">
        <f t="shared" si="5"/>
        <v>23625</v>
      </c>
      <c r="AA362" s="20"/>
      <c r="AB362" s="21"/>
    </row>
    <row r="363" spans="1:28" ht="63" customHeight="1" thickBot="1" x14ac:dyDescent="0.3">
      <c r="A363" s="14">
        <v>351</v>
      </c>
      <c r="B363" s="13" t="s">
        <v>402</v>
      </c>
      <c r="C363" s="13" t="s">
        <v>30</v>
      </c>
      <c r="D363" s="15">
        <f>[1]Лист4!D354</f>
        <v>23625</v>
      </c>
      <c r="E363" s="15">
        <f>[2]Лист4!D355</f>
        <v>31232</v>
      </c>
      <c r="F363" s="15">
        <f>[3]Лист4!D355</f>
        <v>61000</v>
      </c>
      <c r="G363" s="16">
        <f>[4]Лист4!D354</f>
        <v>25000</v>
      </c>
      <c r="H363" s="15"/>
      <c r="I363" s="15"/>
      <c r="J363" s="15"/>
      <c r="K363" s="15"/>
      <c r="L363" s="15"/>
      <c r="M363" s="15"/>
      <c r="N363" s="15"/>
      <c r="O363" s="15"/>
      <c r="P363" s="15"/>
      <c r="Q363" s="15"/>
      <c r="R363" s="15"/>
      <c r="S363" s="15"/>
      <c r="T363" s="15"/>
      <c r="U363" s="15"/>
      <c r="V363" s="15"/>
      <c r="W363" s="15"/>
      <c r="X363" s="15"/>
      <c r="Y363" s="15"/>
      <c r="Z363" s="15">
        <f t="shared" si="5"/>
        <v>23625</v>
      </c>
      <c r="AA363" s="20"/>
      <c r="AB363" s="21"/>
    </row>
    <row r="364" spans="1:28" ht="63" customHeight="1" thickBot="1" x14ac:dyDescent="0.3">
      <c r="A364" s="14">
        <v>352</v>
      </c>
      <c r="B364" s="13" t="s">
        <v>403</v>
      </c>
      <c r="C364" s="13" t="s">
        <v>30</v>
      </c>
      <c r="D364" s="15">
        <f>[1]Лист4!D355</f>
        <v>39375</v>
      </c>
      <c r="E364" s="15">
        <f>[2]Лист4!D356</f>
        <v>52460</v>
      </c>
      <c r="F364" s="15">
        <f>[3]Лист4!D356</f>
        <v>61000</v>
      </c>
      <c r="G364" s="16">
        <f>[4]Лист4!D355</f>
        <v>42000</v>
      </c>
      <c r="H364" s="15"/>
      <c r="I364" s="15"/>
      <c r="J364" s="15"/>
      <c r="K364" s="15"/>
      <c r="L364" s="15"/>
      <c r="M364" s="15"/>
      <c r="N364" s="15"/>
      <c r="O364" s="15"/>
      <c r="P364" s="15"/>
      <c r="Q364" s="15"/>
      <c r="R364" s="15"/>
      <c r="S364" s="15"/>
      <c r="T364" s="15"/>
      <c r="U364" s="15"/>
      <c r="V364" s="15"/>
      <c r="W364" s="15"/>
      <c r="X364" s="15"/>
      <c r="Y364" s="15"/>
      <c r="Z364" s="15">
        <f t="shared" si="5"/>
        <v>39375</v>
      </c>
      <c r="AA364" s="20"/>
      <c r="AB364" s="21"/>
    </row>
    <row r="365" spans="1:28" ht="63" customHeight="1" thickBot="1" x14ac:dyDescent="0.3">
      <c r="A365" s="14">
        <v>353</v>
      </c>
      <c r="B365" s="13" t="s">
        <v>404</v>
      </c>
      <c r="C365" s="13" t="s">
        <v>30</v>
      </c>
      <c r="D365" s="15">
        <f>[1]Лист4!D356</f>
        <v>15750</v>
      </c>
      <c r="E365" s="15">
        <f>[2]Лист4!D357</f>
        <v>20740</v>
      </c>
      <c r="F365" s="15">
        <f>[3]Лист4!D357</f>
        <v>61000</v>
      </c>
      <c r="G365" s="16">
        <f>[4]Лист4!D356</f>
        <v>18900</v>
      </c>
      <c r="H365" s="15"/>
      <c r="I365" s="15"/>
      <c r="J365" s="15"/>
      <c r="K365" s="15"/>
      <c r="L365" s="15"/>
      <c r="M365" s="15"/>
      <c r="N365" s="15"/>
      <c r="O365" s="15"/>
      <c r="P365" s="15"/>
      <c r="Q365" s="15"/>
      <c r="R365" s="15"/>
      <c r="S365" s="15"/>
      <c r="T365" s="15"/>
      <c r="U365" s="15"/>
      <c r="V365" s="15"/>
      <c r="W365" s="15"/>
      <c r="X365" s="15"/>
      <c r="Y365" s="15"/>
      <c r="Z365" s="15">
        <f t="shared" si="5"/>
        <v>15750</v>
      </c>
      <c r="AA365" s="20"/>
      <c r="AB365" s="21"/>
    </row>
    <row r="366" spans="1:28" ht="75.75" thickBot="1" x14ac:dyDescent="0.3">
      <c r="A366" s="14">
        <v>354</v>
      </c>
      <c r="B366" s="13" t="s">
        <v>405</v>
      </c>
      <c r="C366" s="13" t="s">
        <v>30</v>
      </c>
      <c r="D366" s="15">
        <f>[1]Лист4!D357</f>
        <v>47250</v>
      </c>
      <c r="E366" s="15">
        <f>[2]Лист4!D358</f>
        <v>63318</v>
      </c>
      <c r="F366" s="15">
        <f>[3]Лист4!D358</f>
        <v>61000</v>
      </c>
      <c r="G366" s="16">
        <f>[4]Лист4!D357</f>
        <v>57750</v>
      </c>
      <c r="H366" s="15"/>
      <c r="I366" s="15"/>
      <c r="J366" s="15"/>
      <c r="K366" s="15"/>
      <c r="L366" s="15"/>
      <c r="M366" s="15"/>
      <c r="N366" s="15"/>
      <c r="O366" s="15"/>
      <c r="P366" s="15"/>
      <c r="Q366" s="15"/>
      <c r="R366" s="15"/>
      <c r="S366" s="15"/>
      <c r="T366" s="15"/>
      <c r="U366" s="15"/>
      <c r="V366" s="15"/>
      <c r="W366" s="15"/>
      <c r="X366" s="15"/>
      <c r="Y366" s="15"/>
      <c r="Z366" s="15">
        <f t="shared" si="5"/>
        <v>47250</v>
      </c>
      <c r="AA366" s="20"/>
      <c r="AB366" s="21"/>
    </row>
    <row r="367" spans="1:28" ht="75.75" thickBot="1" x14ac:dyDescent="0.3">
      <c r="A367" s="14">
        <v>355</v>
      </c>
      <c r="B367" s="13" t="s">
        <v>406</v>
      </c>
      <c r="C367" s="13" t="s">
        <v>30</v>
      </c>
      <c r="D367" s="15">
        <f>[1]Лист4!D358</f>
        <v>70875</v>
      </c>
      <c r="E367" s="15">
        <f>[2]Лист4!D359</f>
        <v>91500</v>
      </c>
      <c r="F367" s="15">
        <f>[3]Лист4!D359</f>
        <v>61000</v>
      </c>
      <c r="G367" s="16">
        <f>[4]Лист4!D358</f>
        <v>78750</v>
      </c>
      <c r="H367" s="15"/>
      <c r="I367" s="15"/>
      <c r="J367" s="15"/>
      <c r="K367" s="15"/>
      <c r="L367" s="15"/>
      <c r="M367" s="15"/>
      <c r="N367" s="15"/>
      <c r="O367" s="15"/>
      <c r="P367" s="15"/>
      <c r="Q367" s="15"/>
      <c r="R367" s="15"/>
      <c r="S367" s="15"/>
      <c r="T367" s="15"/>
      <c r="U367" s="15"/>
      <c r="V367" s="15"/>
      <c r="W367" s="15"/>
      <c r="X367" s="15"/>
      <c r="Y367" s="15"/>
      <c r="Z367" s="15">
        <f t="shared" si="5"/>
        <v>61000</v>
      </c>
      <c r="AA367" s="20"/>
      <c r="AB367" s="21"/>
    </row>
    <row r="368" spans="1:28" ht="63" customHeight="1" thickBot="1" x14ac:dyDescent="0.3">
      <c r="A368" s="14">
        <v>356</v>
      </c>
      <c r="B368" s="13" t="s">
        <v>407</v>
      </c>
      <c r="C368" s="13" t="s">
        <v>30</v>
      </c>
      <c r="D368" s="15">
        <f>[1]Лист4!D359</f>
        <v>15750</v>
      </c>
      <c r="E368" s="15">
        <f>[2]Лист4!D360</f>
        <v>21106</v>
      </c>
      <c r="F368" s="15">
        <f>[3]Лист4!D360</f>
        <v>61000</v>
      </c>
      <c r="G368" s="16">
        <f>[4]Лист4!D359</f>
        <v>18900</v>
      </c>
      <c r="H368" s="15"/>
      <c r="I368" s="15"/>
      <c r="J368" s="15"/>
      <c r="K368" s="15"/>
      <c r="L368" s="15"/>
      <c r="M368" s="15"/>
      <c r="N368" s="15"/>
      <c r="O368" s="15"/>
      <c r="P368" s="15"/>
      <c r="Q368" s="15"/>
      <c r="R368" s="15"/>
      <c r="S368" s="15"/>
      <c r="T368" s="15"/>
      <c r="U368" s="15"/>
      <c r="V368" s="15"/>
      <c r="W368" s="15"/>
      <c r="X368" s="15"/>
      <c r="Y368" s="15"/>
      <c r="Z368" s="15">
        <f t="shared" si="5"/>
        <v>15750</v>
      </c>
      <c r="AA368" s="20"/>
      <c r="AB368" s="21"/>
    </row>
    <row r="369" spans="1:28" ht="63" customHeight="1" thickBot="1" x14ac:dyDescent="0.3">
      <c r="A369" s="14">
        <v>357</v>
      </c>
      <c r="B369" s="13" t="s">
        <v>408</v>
      </c>
      <c r="C369" s="13" t="s">
        <v>30</v>
      </c>
      <c r="D369" s="15">
        <f>[1]Лист4!D360</f>
        <v>23625</v>
      </c>
      <c r="E369" s="15">
        <f>[2]Лист4!D361</f>
        <v>31598</v>
      </c>
      <c r="F369" s="15">
        <f>[3]Лист4!D361</f>
        <v>61000</v>
      </c>
      <c r="G369" s="16">
        <f>[4]Лист4!D360</f>
        <v>26250</v>
      </c>
      <c r="H369" s="15"/>
      <c r="I369" s="15"/>
      <c r="J369" s="15"/>
      <c r="K369" s="15"/>
      <c r="L369" s="15"/>
      <c r="M369" s="15"/>
      <c r="N369" s="15"/>
      <c r="O369" s="15"/>
      <c r="P369" s="15"/>
      <c r="Q369" s="15"/>
      <c r="R369" s="15"/>
      <c r="S369" s="15"/>
      <c r="T369" s="15"/>
      <c r="U369" s="15"/>
      <c r="V369" s="15"/>
      <c r="W369" s="15"/>
      <c r="X369" s="15"/>
      <c r="Y369" s="15"/>
      <c r="Z369" s="15">
        <f t="shared" si="5"/>
        <v>23625</v>
      </c>
      <c r="AA369" s="20"/>
      <c r="AB369" s="21"/>
    </row>
    <row r="370" spans="1:28" ht="63" customHeight="1" thickBot="1" x14ac:dyDescent="0.3">
      <c r="A370" s="14">
        <v>358</v>
      </c>
      <c r="B370" s="13" t="s">
        <v>409</v>
      </c>
      <c r="C370" s="13" t="s">
        <v>30</v>
      </c>
      <c r="D370" s="15">
        <f>[1]Лист4!D361</f>
        <v>39375</v>
      </c>
      <c r="E370" s="15">
        <f>[2]Лист4!D362</f>
        <v>52826</v>
      </c>
      <c r="F370" s="15">
        <f>[3]Лист4!D362</f>
        <v>61000</v>
      </c>
      <c r="G370" s="16">
        <f>[4]Лист4!D361</f>
        <v>47250</v>
      </c>
      <c r="H370" s="15"/>
      <c r="I370" s="15"/>
      <c r="J370" s="15"/>
      <c r="K370" s="15"/>
      <c r="L370" s="15"/>
      <c r="M370" s="15"/>
      <c r="N370" s="15"/>
      <c r="O370" s="15"/>
      <c r="P370" s="15"/>
      <c r="Q370" s="15"/>
      <c r="R370" s="15"/>
      <c r="S370" s="15"/>
      <c r="T370" s="15"/>
      <c r="U370" s="15"/>
      <c r="V370" s="15"/>
      <c r="W370" s="15"/>
      <c r="X370" s="15"/>
      <c r="Y370" s="15"/>
      <c r="Z370" s="15">
        <f t="shared" si="5"/>
        <v>39375</v>
      </c>
      <c r="AA370" s="20"/>
      <c r="AB370" s="21"/>
    </row>
    <row r="371" spans="1:28" ht="63" customHeight="1" thickBot="1" x14ac:dyDescent="0.3">
      <c r="A371" s="14">
        <v>359</v>
      </c>
      <c r="B371" s="13" t="s">
        <v>410</v>
      </c>
      <c r="C371" s="13" t="s">
        <v>30</v>
      </c>
      <c r="D371" s="15">
        <f>[1]Лист4!D362</f>
        <v>23625</v>
      </c>
      <c r="E371" s="15">
        <f>[2]Лист4!D363</f>
        <v>31110</v>
      </c>
      <c r="F371" s="15">
        <f>[3]Лист4!D363</f>
        <v>30500</v>
      </c>
      <c r="G371" s="16">
        <f>[4]Лист4!D362</f>
        <v>26250</v>
      </c>
      <c r="H371" s="15"/>
      <c r="I371" s="15"/>
      <c r="J371" s="15"/>
      <c r="K371" s="15"/>
      <c r="L371" s="15"/>
      <c r="M371" s="15"/>
      <c r="N371" s="15"/>
      <c r="O371" s="15"/>
      <c r="P371" s="15"/>
      <c r="Q371" s="15"/>
      <c r="R371" s="15"/>
      <c r="S371" s="15"/>
      <c r="T371" s="15"/>
      <c r="U371" s="15"/>
      <c r="V371" s="15"/>
      <c r="W371" s="15"/>
      <c r="X371" s="15"/>
      <c r="Y371" s="15"/>
      <c r="Z371" s="15">
        <f t="shared" si="5"/>
        <v>23625</v>
      </c>
      <c r="AA371" s="20"/>
      <c r="AB371" s="21"/>
    </row>
    <row r="372" spans="1:28" ht="63" customHeight="1" thickBot="1" x14ac:dyDescent="0.3">
      <c r="A372" s="14">
        <v>360</v>
      </c>
      <c r="B372" s="13" t="s">
        <v>411</v>
      </c>
      <c r="C372" s="13" t="s">
        <v>30</v>
      </c>
      <c r="D372" s="15">
        <f>[1]Лист4!D363</f>
        <v>15750</v>
      </c>
      <c r="E372" s="15">
        <f>[2]Лист4!D364</f>
        <v>20740</v>
      </c>
      <c r="F372" s="15">
        <f>[3]Лист4!D364</f>
        <v>30500</v>
      </c>
      <c r="G372" s="16">
        <f>[4]Лист4!D363</f>
        <v>17850</v>
      </c>
      <c r="H372" s="15"/>
      <c r="I372" s="15"/>
      <c r="J372" s="15"/>
      <c r="K372" s="15"/>
      <c r="L372" s="15"/>
      <c r="M372" s="15"/>
      <c r="N372" s="15"/>
      <c r="O372" s="15"/>
      <c r="P372" s="15"/>
      <c r="Q372" s="15"/>
      <c r="R372" s="15"/>
      <c r="S372" s="15"/>
      <c r="T372" s="15"/>
      <c r="U372" s="15"/>
      <c r="V372" s="15"/>
      <c r="W372" s="15"/>
      <c r="X372" s="15"/>
      <c r="Y372" s="15"/>
      <c r="Z372" s="15">
        <f t="shared" si="5"/>
        <v>15750</v>
      </c>
      <c r="AA372" s="20"/>
      <c r="AB372" s="21"/>
    </row>
    <row r="373" spans="1:28" ht="63" customHeight="1" thickBot="1" x14ac:dyDescent="0.3">
      <c r="A373" s="14">
        <v>361</v>
      </c>
      <c r="B373" s="13" t="s">
        <v>412</v>
      </c>
      <c r="C373" s="13" t="s">
        <v>30</v>
      </c>
      <c r="D373" s="15">
        <f>[1]Лист4!D364</f>
        <v>39375</v>
      </c>
      <c r="E373" s="15">
        <f>[2]Лист4!D365</f>
        <v>55510</v>
      </c>
      <c r="F373" s="15">
        <f>[3]Лист4!D365</f>
        <v>54900</v>
      </c>
      <c r="G373" s="16">
        <f>[4]Лист4!D364</f>
        <v>47250</v>
      </c>
      <c r="H373" s="15"/>
      <c r="I373" s="15"/>
      <c r="J373" s="15"/>
      <c r="K373" s="15"/>
      <c r="L373" s="15"/>
      <c r="M373" s="15"/>
      <c r="N373" s="15"/>
      <c r="O373" s="15"/>
      <c r="P373" s="15"/>
      <c r="Q373" s="15"/>
      <c r="R373" s="15"/>
      <c r="S373" s="15"/>
      <c r="T373" s="15"/>
      <c r="U373" s="15"/>
      <c r="V373" s="15"/>
      <c r="W373" s="15"/>
      <c r="X373" s="15"/>
      <c r="Y373" s="15"/>
      <c r="Z373" s="15">
        <f t="shared" si="5"/>
        <v>39375</v>
      </c>
      <c r="AA373" s="20"/>
      <c r="AB373" s="21"/>
    </row>
    <row r="374" spans="1:28" ht="63" customHeight="1" thickBot="1" x14ac:dyDescent="0.3">
      <c r="A374" s="14">
        <v>362</v>
      </c>
      <c r="B374" s="13" t="s">
        <v>413</v>
      </c>
      <c r="C374" s="13" t="s">
        <v>30</v>
      </c>
      <c r="D374" s="15">
        <f>[1]Лист4!D365</f>
        <v>15750</v>
      </c>
      <c r="E374" s="15">
        <f>[2]Лист4!D366</f>
        <v>21106</v>
      </c>
      <c r="F374" s="15">
        <f>[3]Лист4!D366</f>
        <v>54900</v>
      </c>
      <c r="G374" s="16">
        <f>[4]Лист4!D365</f>
        <v>16800</v>
      </c>
      <c r="H374" s="15"/>
      <c r="I374" s="15"/>
      <c r="J374" s="15"/>
      <c r="K374" s="15"/>
      <c r="L374" s="15"/>
      <c r="M374" s="15"/>
      <c r="N374" s="15"/>
      <c r="O374" s="15"/>
      <c r="P374" s="15"/>
      <c r="Q374" s="15"/>
      <c r="R374" s="15"/>
      <c r="S374" s="15"/>
      <c r="T374" s="15"/>
      <c r="U374" s="15"/>
      <c r="V374" s="15"/>
      <c r="W374" s="15"/>
      <c r="X374" s="15"/>
      <c r="Y374" s="15"/>
      <c r="Z374" s="15">
        <f t="shared" si="5"/>
        <v>15750</v>
      </c>
      <c r="AA374" s="20"/>
      <c r="AB374" s="21"/>
    </row>
    <row r="375" spans="1:28" ht="63" customHeight="1" thickBot="1" x14ac:dyDescent="0.3">
      <c r="A375" s="14">
        <v>363</v>
      </c>
      <c r="B375" s="13" t="s">
        <v>414</v>
      </c>
      <c r="C375" s="13" t="s">
        <v>30</v>
      </c>
      <c r="D375" s="15">
        <f>[1]Лист4!D366</f>
        <v>7875</v>
      </c>
      <c r="E375" s="15">
        <f>[2]Лист4!D367</f>
        <v>10370</v>
      </c>
      <c r="F375" s="15">
        <f>[3]Лист4!D367</f>
        <v>12200</v>
      </c>
      <c r="G375" s="16">
        <f>[4]Лист4!D366</f>
        <v>7665</v>
      </c>
      <c r="H375" s="15"/>
      <c r="I375" s="15"/>
      <c r="J375" s="15"/>
      <c r="K375" s="15"/>
      <c r="L375" s="15"/>
      <c r="M375" s="15"/>
      <c r="N375" s="15"/>
      <c r="O375" s="15"/>
      <c r="P375" s="15"/>
      <c r="Q375" s="15"/>
      <c r="R375" s="15"/>
      <c r="S375" s="15"/>
      <c r="T375" s="15"/>
      <c r="U375" s="15"/>
      <c r="V375" s="15"/>
      <c r="W375" s="15"/>
      <c r="X375" s="15"/>
      <c r="Y375" s="15"/>
      <c r="Z375" s="15">
        <f t="shared" si="5"/>
        <v>7665</v>
      </c>
      <c r="AA375" s="20"/>
      <c r="AB375" s="21"/>
    </row>
    <row r="376" spans="1:28" ht="75.75" thickBot="1" x14ac:dyDescent="0.3">
      <c r="A376" s="14">
        <v>364</v>
      </c>
      <c r="B376" s="13" t="s">
        <v>415</v>
      </c>
      <c r="C376" s="13" t="s">
        <v>29</v>
      </c>
      <c r="D376" s="15">
        <f>[1]Лист4!D367</f>
        <v>10500</v>
      </c>
      <c r="E376" s="15">
        <f>[2]Лист4!D368</f>
        <v>14030</v>
      </c>
      <c r="F376" s="15">
        <f>[3]Лист4!D368</f>
        <v>12200</v>
      </c>
      <c r="G376" s="16">
        <f>[4]Лист4!D367</f>
        <v>12600</v>
      </c>
      <c r="H376" s="15"/>
      <c r="I376" s="15"/>
      <c r="J376" s="15"/>
      <c r="K376" s="15"/>
      <c r="L376" s="15"/>
      <c r="M376" s="15"/>
      <c r="N376" s="15"/>
      <c r="O376" s="15"/>
      <c r="P376" s="15"/>
      <c r="Q376" s="15"/>
      <c r="R376" s="15"/>
      <c r="S376" s="15"/>
      <c r="T376" s="15"/>
      <c r="U376" s="15"/>
      <c r="V376" s="15"/>
      <c r="W376" s="15"/>
      <c r="X376" s="15"/>
      <c r="Y376" s="15"/>
      <c r="Z376" s="15">
        <f t="shared" si="5"/>
        <v>10500</v>
      </c>
      <c r="AA376" s="20"/>
      <c r="AB376" s="21"/>
    </row>
    <row r="377" spans="1:28" ht="63" customHeight="1" thickBot="1" x14ac:dyDescent="0.3">
      <c r="A377" s="14">
        <v>365</v>
      </c>
      <c r="B377" s="13" t="s">
        <v>416</v>
      </c>
      <c r="C377" s="13" t="s">
        <v>30</v>
      </c>
      <c r="D377" s="15">
        <f>[1]Лист4!D368</f>
        <v>23625</v>
      </c>
      <c r="E377" s="15">
        <f>[2]Лист4!D369</f>
        <v>32940</v>
      </c>
      <c r="F377" s="15">
        <f>[3]Лист4!D369</f>
        <v>36600</v>
      </c>
      <c r="G377" s="16">
        <f>[4]Лист4!D368</f>
        <v>26250</v>
      </c>
      <c r="H377" s="15"/>
      <c r="I377" s="15"/>
      <c r="J377" s="15"/>
      <c r="K377" s="15"/>
      <c r="L377" s="15"/>
      <c r="M377" s="15"/>
      <c r="N377" s="15"/>
      <c r="O377" s="15"/>
      <c r="P377" s="15"/>
      <c r="Q377" s="15"/>
      <c r="R377" s="15"/>
      <c r="S377" s="15"/>
      <c r="T377" s="15"/>
      <c r="U377" s="15"/>
      <c r="V377" s="15"/>
      <c r="W377" s="15"/>
      <c r="X377" s="15"/>
      <c r="Y377" s="15"/>
      <c r="Z377" s="15">
        <f t="shared" si="5"/>
        <v>23625</v>
      </c>
      <c r="AA377" s="20"/>
      <c r="AB377" s="21"/>
    </row>
    <row r="378" spans="1:28" ht="75.75" thickBot="1" x14ac:dyDescent="0.3">
      <c r="A378" s="14">
        <v>366</v>
      </c>
      <c r="B378" s="13" t="s">
        <v>417</v>
      </c>
      <c r="C378" s="13" t="s">
        <v>30</v>
      </c>
      <c r="D378" s="15">
        <f>[1]Лист4!D369</f>
        <v>23625</v>
      </c>
      <c r="E378" s="15">
        <f>[2]Лист4!D370</f>
        <v>29280</v>
      </c>
      <c r="F378" s="15">
        <f>[3]Лист4!D370</f>
        <v>36600</v>
      </c>
      <c r="G378" s="16">
        <f>[4]Лист4!D369</f>
        <v>26250</v>
      </c>
      <c r="H378" s="15"/>
      <c r="I378" s="15"/>
      <c r="J378" s="15"/>
      <c r="K378" s="15"/>
      <c r="L378" s="15"/>
      <c r="M378" s="15"/>
      <c r="N378" s="15"/>
      <c r="O378" s="15"/>
      <c r="P378" s="15"/>
      <c r="Q378" s="15"/>
      <c r="R378" s="15"/>
      <c r="S378" s="15"/>
      <c r="T378" s="15"/>
      <c r="U378" s="15"/>
      <c r="V378" s="15"/>
      <c r="W378" s="15"/>
      <c r="X378" s="15"/>
      <c r="Y378" s="15"/>
      <c r="Z378" s="15">
        <f t="shared" si="5"/>
        <v>23625</v>
      </c>
      <c r="AA378" s="20"/>
      <c r="AB378" s="21"/>
    </row>
    <row r="379" spans="1:28" ht="63" customHeight="1" thickBot="1" x14ac:dyDescent="0.3">
      <c r="A379" s="14">
        <v>367</v>
      </c>
      <c r="B379" s="13" t="s">
        <v>418</v>
      </c>
      <c r="C379" s="13" t="s">
        <v>30</v>
      </c>
      <c r="D379" s="15">
        <f>[1]Лист4!D370</f>
        <v>23625</v>
      </c>
      <c r="E379" s="15">
        <f>[2]Лист4!D371</f>
        <v>32940</v>
      </c>
      <c r="F379" s="15">
        <f>[3]Лист4!D371</f>
        <v>36600</v>
      </c>
      <c r="G379" s="16">
        <f>[4]Лист4!D370</f>
        <v>26250</v>
      </c>
      <c r="H379" s="15"/>
      <c r="I379" s="15"/>
      <c r="J379" s="15"/>
      <c r="K379" s="15"/>
      <c r="L379" s="15"/>
      <c r="M379" s="15"/>
      <c r="N379" s="15"/>
      <c r="O379" s="15"/>
      <c r="P379" s="15"/>
      <c r="Q379" s="15"/>
      <c r="R379" s="15"/>
      <c r="S379" s="15"/>
      <c r="T379" s="15"/>
      <c r="U379" s="15"/>
      <c r="V379" s="15"/>
      <c r="W379" s="15"/>
      <c r="X379" s="15"/>
      <c r="Y379" s="15"/>
      <c r="Z379" s="15">
        <f t="shared" si="5"/>
        <v>23625</v>
      </c>
      <c r="AA379" s="20"/>
      <c r="AB379" s="21"/>
    </row>
    <row r="380" spans="1:28" ht="63" customHeight="1" thickBot="1" x14ac:dyDescent="0.3">
      <c r="A380" s="14">
        <v>368</v>
      </c>
      <c r="B380" s="13" t="s">
        <v>419</v>
      </c>
      <c r="C380" s="13" t="s">
        <v>29</v>
      </c>
      <c r="D380" s="15">
        <f>[1]Лист4!D371</f>
        <v>3150</v>
      </c>
      <c r="E380" s="15">
        <f>[2]Лист4!D372</f>
        <v>4270</v>
      </c>
      <c r="F380" s="15">
        <f>[3]Лист4!D372</f>
        <v>4575</v>
      </c>
      <c r="G380" s="16">
        <f>[4]Лист4!D371</f>
        <v>3360</v>
      </c>
      <c r="H380" s="15"/>
      <c r="I380" s="15"/>
      <c r="J380" s="15"/>
      <c r="K380" s="15"/>
      <c r="L380" s="15"/>
      <c r="M380" s="15"/>
      <c r="N380" s="15"/>
      <c r="O380" s="15"/>
      <c r="P380" s="15"/>
      <c r="Q380" s="15"/>
      <c r="R380" s="15"/>
      <c r="S380" s="15"/>
      <c r="T380" s="15"/>
      <c r="U380" s="15"/>
      <c r="V380" s="15"/>
      <c r="W380" s="15"/>
      <c r="X380" s="15"/>
      <c r="Y380" s="15"/>
      <c r="Z380" s="15">
        <f t="shared" si="5"/>
        <v>3150</v>
      </c>
      <c r="AA380" s="20"/>
      <c r="AB380" s="21"/>
    </row>
    <row r="381" spans="1:28" ht="63" customHeight="1" thickBot="1" x14ac:dyDescent="0.3">
      <c r="A381" s="14">
        <v>369</v>
      </c>
      <c r="B381" s="13" t="s">
        <v>420</v>
      </c>
      <c r="C381" s="13" t="s">
        <v>30</v>
      </c>
      <c r="D381" s="15">
        <f>[1]Лист4!D372</f>
        <v>7875</v>
      </c>
      <c r="E381" s="15">
        <f>[2]Лист4!D373</f>
        <v>10492</v>
      </c>
      <c r="F381" s="15">
        <f>[3]Лист4!D373</f>
        <v>11163</v>
      </c>
      <c r="G381" s="16">
        <f>[4]Лист4!D372</f>
        <v>8400</v>
      </c>
      <c r="H381" s="15"/>
      <c r="I381" s="15"/>
      <c r="J381" s="15"/>
      <c r="K381" s="15"/>
      <c r="L381" s="15"/>
      <c r="M381" s="15"/>
      <c r="N381" s="15"/>
      <c r="O381" s="15"/>
      <c r="P381" s="15"/>
      <c r="Q381" s="15"/>
      <c r="R381" s="15"/>
      <c r="S381" s="15"/>
      <c r="T381" s="15"/>
      <c r="U381" s="15"/>
      <c r="V381" s="15"/>
      <c r="W381" s="15"/>
      <c r="X381" s="15"/>
      <c r="Y381" s="15"/>
      <c r="Z381" s="15">
        <f t="shared" si="5"/>
        <v>7875</v>
      </c>
      <c r="AA381" s="20"/>
      <c r="AB381" s="21"/>
    </row>
    <row r="382" spans="1:28" ht="63" customHeight="1" thickBot="1" x14ac:dyDescent="0.3">
      <c r="A382" s="14">
        <v>370</v>
      </c>
      <c r="B382" s="13" t="s">
        <v>421</v>
      </c>
      <c r="C382" s="13" t="s">
        <v>29</v>
      </c>
      <c r="D382" s="15">
        <f>[1]Лист4!D373</f>
        <v>2100</v>
      </c>
      <c r="E382" s="15">
        <f>[2]Лист4!D374</f>
        <v>2806</v>
      </c>
      <c r="F382" s="15">
        <f>[3]Лист4!D374</f>
        <v>3660</v>
      </c>
      <c r="G382" s="16">
        <f>[4]Лист4!D373</f>
        <v>1995</v>
      </c>
      <c r="H382" s="15"/>
      <c r="I382" s="15"/>
      <c r="J382" s="15"/>
      <c r="K382" s="15"/>
      <c r="L382" s="15"/>
      <c r="M382" s="15"/>
      <c r="N382" s="15"/>
      <c r="O382" s="15"/>
      <c r="P382" s="15"/>
      <c r="Q382" s="15"/>
      <c r="R382" s="15"/>
      <c r="S382" s="15"/>
      <c r="T382" s="15"/>
      <c r="U382" s="15"/>
      <c r="V382" s="15"/>
      <c r="W382" s="15"/>
      <c r="X382" s="15"/>
      <c r="Y382" s="15"/>
      <c r="Z382" s="15">
        <f t="shared" si="5"/>
        <v>1995</v>
      </c>
      <c r="AA382" s="20"/>
      <c r="AB382" s="21"/>
    </row>
    <row r="383" spans="1:28" ht="75.75" thickBot="1" x14ac:dyDescent="0.3">
      <c r="A383" s="14">
        <v>371</v>
      </c>
      <c r="B383" s="13" t="s">
        <v>422</v>
      </c>
      <c r="C383" s="13" t="s">
        <v>30</v>
      </c>
      <c r="D383" s="15">
        <f>[1]Лист4!D374</f>
        <v>10500</v>
      </c>
      <c r="E383" s="15">
        <f>[2]Лист4!D375</f>
        <v>14091</v>
      </c>
      <c r="F383" s="15">
        <f>[3]Лист4!D375</f>
        <v>12200</v>
      </c>
      <c r="G383" s="16">
        <f>[4]Лист4!D374</f>
        <v>12600</v>
      </c>
      <c r="H383" s="15"/>
      <c r="I383" s="15"/>
      <c r="J383" s="15"/>
      <c r="K383" s="15"/>
      <c r="L383" s="15"/>
      <c r="M383" s="15"/>
      <c r="N383" s="15"/>
      <c r="O383" s="15"/>
      <c r="P383" s="15"/>
      <c r="Q383" s="15"/>
      <c r="R383" s="15"/>
      <c r="S383" s="15"/>
      <c r="T383" s="15"/>
      <c r="U383" s="15"/>
      <c r="V383" s="15"/>
      <c r="W383" s="15"/>
      <c r="X383" s="15"/>
      <c r="Y383" s="15"/>
      <c r="Z383" s="15">
        <f t="shared" si="5"/>
        <v>10500</v>
      </c>
      <c r="AA383" s="20"/>
      <c r="AB383" s="21"/>
    </row>
    <row r="384" spans="1:28" ht="75.75" thickBot="1" x14ac:dyDescent="0.3">
      <c r="A384" s="14">
        <v>372</v>
      </c>
      <c r="B384" s="13" t="s">
        <v>423</v>
      </c>
      <c r="C384" s="13" t="s">
        <v>29</v>
      </c>
      <c r="D384" s="15">
        <f>[1]Лист4!D375</f>
        <v>2362.5</v>
      </c>
      <c r="E384" s="15">
        <f>[2]Лист4!D376</f>
        <v>2440</v>
      </c>
      <c r="F384" s="15">
        <f>[3]Лист4!D376</f>
        <v>4880</v>
      </c>
      <c r="G384" s="16">
        <f>[4]Лист4!D375</f>
        <v>3045</v>
      </c>
      <c r="H384" s="15"/>
      <c r="I384" s="15"/>
      <c r="J384" s="15"/>
      <c r="K384" s="15"/>
      <c r="L384" s="15"/>
      <c r="M384" s="15"/>
      <c r="N384" s="15"/>
      <c r="O384" s="15"/>
      <c r="P384" s="15"/>
      <c r="Q384" s="15"/>
      <c r="R384" s="15"/>
      <c r="S384" s="15"/>
      <c r="T384" s="15"/>
      <c r="U384" s="15"/>
      <c r="V384" s="15"/>
      <c r="W384" s="15"/>
      <c r="X384" s="15"/>
      <c r="Y384" s="15"/>
      <c r="Z384" s="15">
        <f t="shared" si="5"/>
        <v>2362.5</v>
      </c>
      <c r="AA384" s="20"/>
      <c r="AB384" s="21"/>
    </row>
    <row r="385" spans="1:28" ht="63" customHeight="1" thickBot="1" x14ac:dyDescent="0.3">
      <c r="A385" s="14">
        <v>373</v>
      </c>
      <c r="B385" s="13" t="s">
        <v>424</v>
      </c>
      <c r="C385" s="13" t="s">
        <v>30</v>
      </c>
      <c r="D385" s="15">
        <f>[1]Лист4!D376</f>
        <v>630</v>
      </c>
      <c r="E385" s="15">
        <f>[2]Лист4!D377</f>
        <v>841.8</v>
      </c>
      <c r="F385" s="15">
        <f>[3]Лист4!D377</f>
        <v>1220</v>
      </c>
      <c r="G385" s="16">
        <f>[4]Лист4!D376</f>
        <v>790</v>
      </c>
      <c r="H385" s="15"/>
      <c r="I385" s="15"/>
      <c r="J385" s="15"/>
      <c r="K385" s="15"/>
      <c r="L385" s="15"/>
      <c r="M385" s="15"/>
      <c r="N385" s="15"/>
      <c r="O385" s="15"/>
      <c r="P385" s="15"/>
      <c r="Q385" s="15"/>
      <c r="R385" s="15"/>
      <c r="S385" s="15"/>
      <c r="T385" s="15"/>
      <c r="U385" s="15"/>
      <c r="V385" s="15"/>
      <c r="W385" s="15"/>
      <c r="X385" s="15"/>
      <c r="Y385" s="15"/>
      <c r="Z385" s="15">
        <f t="shared" si="5"/>
        <v>630</v>
      </c>
      <c r="AA385" s="20"/>
      <c r="AB385" s="21"/>
    </row>
    <row r="386" spans="1:28" ht="63" customHeight="1" thickBot="1" x14ac:dyDescent="0.3">
      <c r="A386" s="14">
        <v>374</v>
      </c>
      <c r="B386" s="13" t="s">
        <v>425</v>
      </c>
      <c r="C386" s="13" t="s">
        <v>29</v>
      </c>
      <c r="D386" s="15">
        <f>[1]Лист4!D377</f>
        <v>5250</v>
      </c>
      <c r="E386" s="15">
        <f>[2]Лист4!D378</f>
        <v>6954</v>
      </c>
      <c r="F386" s="15">
        <f>[3]Лист4!D378</f>
        <v>6100</v>
      </c>
      <c r="G386" s="16">
        <f>[4]Лист4!D377</f>
        <v>6300</v>
      </c>
      <c r="H386" s="15"/>
      <c r="I386" s="15"/>
      <c r="J386" s="15"/>
      <c r="K386" s="15"/>
      <c r="L386" s="15"/>
      <c r="M386" s="15"/>
      <c r="N386" s="15"/>
      <c r="O386" s="15"/>
      <c r="P386" s="15"/>
      <c r="Q386" s="15"/>
      <c r="R386" s="15"/>
      <c r="S386" s="15"/>
      <c r="T386" s="15"/>
      <c r="U386" s="15"/>
      <c r="V386" s="15"/>
      <c r="W386" s="15"/>
      <c r="X386" s="15"/>
      <c r="Y386" s="15"/>
      <c r="Z386" s="15">
        <f t="shared" si="5"/>
        <v>5250</v>
      </c>
      <c r="AA386" s="20"/>
      <c r="AB386" s="21"/>
    </row>
    <row r="387" spans="1:28" ht="63" customHeight="1" thickBot="1" x14ac:dyDescent="0.3">
      <c r="A387" s="14">
        <v>375</v>
      </c>
      <c r="B387" s="13" t="s">
        <v>426</v>
      </c>
      <c r="C387" s="13" t="s">
        <v>38</v>
      </c>
      <c r="D387" s="15">
        <f>[1]Лист4!D378</f>
        <v>17325</v>
      </c>
      <c r="E387" s="15">
        <f>[2]Лист4!D379</f>
        <v>23180</v>
      </c>
      <c r="F387" s="15">
        <f>[3]Лист4!D379</f>
        <v>30500</v>
      </c>
      <c r="G387" s="16">
        <f>[4]Лист4!D378</f>
        <v>22050</v>
      </c>
      <c r="H387" s="15"/>
      <c r="I387" s="15"/>
      <c r="J387" s="15"/>
      <c r="K387" s="15"/>
      <c r="L387" s="15"/>
      <c r="M387" s="15"/>
      <c r="N387" s="15"/>
      <c r="O387" s="15"/>
      <c r="P387" s="15"/>
      <c r="Q387" s="15"/>
      <c r="R387" s="15"/>
      <c r="S387" s="15"/>
      <c r="T387" s="15"/>
      <c r="U387" s="15"/>
      <c r="V387" s="15"/>
      <c r="W387" s="15"/>
      <c r="X387" s="15"/>
      <c r="Y387" s="15"/>
      <c r="Z387" s="15">
        <f t="shared" si="5"/>
        <v>17325</v>
      </c>
      <c r="AA387" s="20"/>
      <c r="AB387" s="21"/>
    </row>
    <row r="388" spans="1:28" ht="63" customHeight="1" thickBot="1" x14ac:dyDescent="0.3">
      <c r="A388" s="14">
        <v>376</v>
      </c>
      <c r="B388" s="13" t="s">
        <v>427</v>
      </c>
      <c r="C388" s="13" t="s">
        <v>38</v>
      </c>
      <c r="D388" s="15">
        <f>[1]Лист4!D379</f>
        <v>14878.5</v>
      </c>
      <c r="E388" s="15">
        <f>[2]Лист4!D380</f>
        <v>19886</v>
      </c>
      <c r="F388" s="15">
        <f>[3]Лист4!D380</f>
        <v>30500</v>
      </c>
      <c r="G388" s="16">
        <f>[4]Лист4!D379</f>
        <v>16800</v>
      </c>
      <c r="H388" s="15"/>
      <c r="I388" s="15"/>
      <c r="J388" s="15"/>
      <c r="K388" s="15"/>
      <c r="L388" s="15"/>
      <c r="M388" s="15"/>
      <c r="N388" s="15"/>
      <c r="O388" s="15"/>
      <c r="P388" s="15"/>
      <c r="Q388" s="15"/>
      <c r="R388" s="15"/>
      <c r="S388" s="15"/>
      <c r="T388" s="15"/>
      <c r="U388" s="15"/>
      <c r="V388" s="15"/>
      <c r="W388" s="15"/>
      <c r="X388" s="15"/>
      <c r="Y388" s="15"/>
      <c r="Z388" s="15">
        <f t="shared" si="5"/>
        <v>14878.5</v>
      </c>
      <c r="AA388" s="20"/>
      <c r="AB388" s="21"/>
    </row>
    <row r="389" spans="1:28" ht="63" customHeight="1" thickBot="1" x14ac:dyDescent="0.3">
      <c r="A389" s="14">
        <v>377</v>
      </c>
      <c r="B389" s="13" t="s">
        <v>428</v>
      </c>
      <c r="C389" s="13" t="s">
        <v>38</v>
      </c>
      <c r="D389" s="15">
        <f>[1]Лист4!D380</f>
        <v>35700</v>
      </c>
      <c r="E389" s="15">
        <f>[2]Лист4!D381</f>
        <v>47580</v>
      </c>
      <c r="F389" s="15">
        <f>[3]Лист4!D381</f>
        <v>30500</v>
      </c>
      <c r="G389" s="16">
        <f>[4]Лист4!D380</f>
        <v>42000</v>
      </c>
      <c r="H389" s="15"/>
      <c r="I389" s="15"/>
      <c r="J389" s="15"/>
      <c r="K389" s="15"/>
      <c r="L389" s="15"/>
      <c r="M389" s="15"/>
      <c r="N389" s="15"/>
      <c r="O389" s="15"/>
      <c r="P389" s="15"/>
      <c r="Q389" s="15"/>
      <c r="R389" s="15"/>
      <c r="S389" s="15"/>
      <c r="T389" s="15"/>
      <c r="U389" s="15"/>
      <c r="V389" s="15"/>
      <c r="W389" s="15"/>
      <c r="X389" s="15"/>
      <c r="Y389" s="15"/>
      <c r="Z389" s="15">
        <f t="shared" si="5"/>
        <v>30500</v>
      </c>
      <c r="AA389" s="20"/>
      <c r="AB389" s="21"/>
    </row>
    <row r="390" spans="1:28" ht="63" customHeight="1" thickBot="1" x14ac:dyDescent="0.3">
      <c r="A390" s="14">
        <v>378</v>
      </c>
      <c r="B390" s="13" t="s">
        <v>429</v>
      </c>
      <c r="C390" s="13" t="s">
        <v>38</v>
      </c>
      <c r="D390" s="15">
        <f>[1]Лист4!D381</f>
        <v>84000</v>
      </c>
      <c r="E390" s="15">
        <f>[2]Лист4!D382</f>
        <v>112240</v>
      </c>
      <c r="F390" s="15">
        <f>[3]Лист4!D382</f>
        <v>122000</v>
      </c>
      <c r="G390" s="16">
        <f>[4]Лист4!D381</f>
        <v>105000</v>
      </c>
      <c r="H390" s="15"/>
      <c r="I390" s="15"/>
      <c r="J390" s="15"/>
      <c r="K390" s="15"/>
      <c r="L390" s="15"/>
      <c r="M390" s="15"/>
      <c r="N390" s="15"/>
      <c r="O390" s="15"/>
      <c r="P390" s="15"/>
      <c r="Q390" s="15"/>
      <c r="R390" s="15"/>
      <c r="S390" s="15"/>
      <c r="T390" s="15"/>
      <c r="U390" s="15"/>
      <c r="V390" s="15"/>
      <c r="W390" s="15"/>
      <c r="X390" s="15"/>
      <c r="Y390" s="15"/>
      <c r="Z390" s="15">
        <f t="shared" si="5"/>
        <v>84000</v>
      </c>
      <c r="AA390" s="20"/>
      <c r="AB390" s="21"/>
    </row>
    <row r="391" spans="1:28" ht="63" customHeight="1" thickBot="1" x14ac:dyDescent="0.3">
      <c r="A391" s="14">
        <v>379</v>
      </c>
      <c r="B391" s="13" t="s">
        <v>430</v>
      </c>
      <c r="C391" s="13" t="s">
        <v>38</v>
      </c>
      <c r="D391" s="15">
        <f>[1]Лист4!D382</f>
        <v>23625</v>
      </c>
      <c r="E391" s="15">
        <f>[2]Лист4!D383</f>
        <v>31720</v>
      </c>
      <c r="F391" s="15">
        <f>[3]Лист4!D383</f>
        <v>30500</v>
      </c>
      <c r="G391" s="16">
        <f>[4]Лист4!D382</f>
        <v>26250</v>
      </c>
      <c r="H391" s="15"/>
      <c r="I391" s="15"/>
      <c r="J391" s="15"/>
      <c r="K391" s="15"/>
      <c r="L391" s="15"/>
      <c r="M391" s="15"/>
      <c r="N391" s="15"/>
      <c r="O391" s="15"/>
      <c r="P391" s="15"/>
      <c r="Q391" s="15"/>
      <c r="R391" s="15"/>
      <c r="S391" s="15"/>
      <c r="T391" s="15"/>
      <c r="U391" s="15"/>
      <c r="V391" s="15"/>
      <c r="W391" s="15"/>
      <c r="X391" s="15"/>
      <c r="Y391" s="15"/>
      <c r="Z391" s="15">
        <f t="shared" si="5"/>
        <v>23625</v>
      </c>
      <c r="AA391" s="20"/>
      <c r="AB391" s="21"/>
    </row>
    <row r="392" spans="1:28" ht="63" customHeight="1" thickBot="1" x14ac:dyDescent="0.3">
      <c r="A392" s="14">
        <v>380</v>
      </c>
      <c r="B392" s="13" t="s">
        <v>431</v>
      </c>
      <c r="C392" s="13" t="s">
        <v>38</v>
      </c>
      <c r="D392" s="15">
        <f>[1]Лист4!D383</f>
        <v>14143.5</v>
      </c>
      <c r="E392" s="15">
        <f>[2]Лист4!D384</f>
        <v>18300</v>
      </c>
      <c r="F392" s="15">
        <f>[3]Лист4!D384</f>
        <v>30500</v>
      </c>
      <c r="G392" s="16">
        <f>[4]Лист4!D383</f>
        <v>15750</v>
      </c>
      <c r="H392" s="15"/>
      <c r="I392" s="15"/>
      <c r="J392" s="15"/>
      <c r="K392" s="15"/>
      <c r="L392" s="15"/>
      <c r="M392" s="15"/>
      <c r="N392" s="15"/>
      <c r="O392" s="15"/>
      <c r="P392" s="15"/>
      <c r="Q392" s="15"/>
      <c r="R392" s="15"/>
      <c r="S392" s="15"/>
      <c r="T392" s="15"/>
      <c r="U392" s="15"/>
      <c r="V392" s="15"/>
      <c r="W392" s="15"/>
      <c r="X392" s="15"/>
      <c r="Y392" s="15"/>
      <c r="Z392" s="15">
        <f t="shared" si="5"/>
        <v>14143.5</v>
      </c>
      <c r="AA392" s="20"/>
      <c r="AB392" s="21"/>
    </row>
    <row r="393" spans="1:28" ht="63" customHeight="1" thickBot="1" x14ac:dyDescent="0.3">
      <c r="A393" s="14">
        <v>381</v>
      </c>
      <c r="B393" s="13" t="s">
        <v>432</v>
      </c>
      <c r="C393" s="13" t="s">
        <v>38</v>
      </c>
      <c r="D393" s="15">
        <f>[1]Лист4!D384</f>
        <v>13650</v>
      </c>
      <c r="E393" s="15">
        <f>[2]Лист4!D385</f>
        <v>18910</v>
      </c>
      <c r="F393" s="15">
        <f>[3]Лист4!D385</f>
        <v>36600</v>
      </c>
      <c r="G393" s="16">
        <f>[4]Лист4!D384</f>
        <v>17500</v>
      </c>
      <c r="H393" s="15"/>
      <c r="I393" s="15"/>
      <c r="J393" s="15"/>
      <c r="K393" s="15"/>
      <c r="L393" s="15"/>
      <c r="M393" s="15"/>
      <c r="N393" s="15"/>
      <c r="O393" s="15"/>
      <c r="P393" s="15"/>
      <c r="Q393" s="15"/>
      <c r="R393" s="15"/>
      <c r="S393" s="15"/>
      <c r="T393" s="15"/>
      <c r="U393" s="15"/>
      <c r="V393" s="15"/>
      <c r="W393" s="15"/>
      <c r="X393" s="15"/>
      <c r="Y393" s="15"/>
      <c r="Z393" s="15">
        <f t="shared" si="5"/>
        <v>13650</v>
      </c>
      <c r="AA393" s="20"/>
      <c r="AB393" s="21"/>
    </row>
    <row r="394" spans="1:28" ht="63" customHeight="1" thickBot="1" x14ac:dyDescent="0.3">
      <c r="A394" s="14">
        <v>382</v>
      </c>
      <c r="B394" s="13" t="s">
        <v>433</v>
      </c>
      <c r="C394" s="13" t="s">
        <v>38</v>
      </c>
      <c r="D394" s="15">
        <f>[1]Лист4!D385</f>
        <v>36582</v>
      </c>
      <c r="E394" s="15">
        <f>[2]Лист4!D386</f>
        <v>49410</v>
      </c>
      <c r="F394" s="15">
        <f>[3]Лист4!D386</f>
        <v>54900</v>
      </c>
      <c r="G394" s="16">
        <f>[4]Лист4!D385</f>
        <v>47250</v>
      </c>
      <c r="H394" s="15"/>
      <c r="I394" s="15"/>
      <c r="J394" s="15"/>
      <c r="K394" s="15"/>
      <c r="L394" s="15"/>
      <c r="M394" s="15"/>
      <c r="N394" s="15"/>
      <c r="O394" s="15"/>
      <c r="P394" s="15"/>
      <c r="Q394" s="15"/>
      <c r="R394" s="15"/>
      <c r="S394" s="15"/>
      <c r="T394" s="15"/>
      <c r="U394" s="15"/>
      <c r="V394" s="15"/>
      <c r="W394" s="15"/>
      <c r="X394" s="15"/>
      <c r="Y394" s="15"/>
      <c r="Z394" s="15">
        <f t="shared" si="5"/>
        <v>36582</v>
      </c>
      <c r="AA394" s="20"/>
      <c r="AB394" s="21"/>
    </row>
    <row r="395" spans="1:28" ht="63" customHeight="1" thickBot="1" x14ac:dyDescent="0.3">
      <c r="A395" s="14">
        <v>383</v>
      </c>
      <c r="B395" s="13" t="s">
        <v>434</v>
      </c>
      <c r="C395" s="13" t="s">
        <v>30</v>
      </c>
      <c r="D395" s="15">
        <f>[1]Лист4!D386</f>
        <v>262500</v>
      </c>
      <c r="E395" s="15">
        <f>[2]Лист4!D387</f>
        <v>351360</v>
      </c>
      <c r="F395" s="15">
        <f>[3]Лист4!D387</f>
        <v>366000</v>
      </c>
      <c r="G395" s="16">
        <f>[4]Лист4!D386</f>
        <v>315000</v>
      </c>
      <c r="H395" s="15"/>
      <c r="I395" s="15"/>
      <c r="J395" s="15"/>
      <c r="K395" s="15"/>
      <c r="L395" s="15"/>
      <c r="M395" s="15"/>
      <c r="N395" s="15"/>
      <c r="O395" s="15"/>
      <c r="P395" s="15"/>
      <c r="Q395" s="15"/>
      <c r="R395" s="15"/>
      <c r="S395" s="15"/>
      <c r="T395" s="15"/>
      <c r="U395" s="15"/>
      <c r="V395" s="15"/>
      <c r="W395" s="15"/>
      <c r="X395" s="15"/>
      <c r="Y395" s="15"/>
      <c r="Z395" s="15">
        <f t="shared" si="5"/>
        <v>262500</v>
      </c>
      <c r="AA395" s="20"/>
      <c r="AB395" s="21"/>
    </row>
    <row r="396" spans="1:28" ht="63" customHeight="1" thickBot="1" x14ac:dyDescent="0.3">
      <c r="A396" s="14">
        <v>384</v>
      </c>
      <c r="B396" s="13" t="s">
        <v>435</v>
      </c>
      <c r="C396" s="13" t="s">
        <v>29</v>
      </c>
      <c r="D396" s="15">
        <f>[1]Лист4!D387</f>
        <v>8820</v>
      </c>
      <c r="E396" s="15">
        <f>[2]Лист4!D388</f>
        <v>11590</v>
      </c>
      <c r="F396" s="15">
        <f>[3]Лист4!D388</f>
        <v>14640</v>
      </c>
      <c r="G396" s="16">
        <f>[4]Лист4!D387</f>
        <v>10500</v>
      </c>
      <c r="H396" s="15"/>
      <c r="I396" s="15"/>
      <c r="J396" s="15"/>
      <c r="K396" s="15"/>
      <c r="L396" s="15"/>
      <c r="M396" s="15"/>
      <c r="N396" s="15"/>
      <c r="O396" s="15"/>
      <c r="P396" s="15"/>
      <c r="Q396" s="15"/>
      <c r="R396" s="15"/>
      <c r="S396" s="15"/>
      <c r="T396" s="15"/>
      <c r="U396" s="15"/>
      <c r="V396" s="15"/>
      <c r="W396" s="15"/>
      <c r="X396" s="15"/>
      <c r="Y396" s="15"/>
      <c r="Z396" s="15">
        <f t="shared" si="5"/>
        <v>8820</v>
      </c>
      <c r="AA396" s="20"/>
      <c r="AB396" s="21"/>
    </row>
    <row r="397" spans="1:28" ht="63" customHeight="1" thickBot="1" x14ac:dyDescent="0.3">
      <c r="A397" s="14">
        <v>385</v>
      </c>
      <c r="B397" s="13" t="s">
        <v>436</v>
      </c>
      <c r="C397" s="13" t="s">
        <v>29</v>
      </c>
      <c r="D397" s="15">
        <f>[1]Лист4!D388</f>
        <v>6300</v>
      </c>
      <c r="E397" s="15">
        <f>[2]Лист4!D389</f>
        <v>8418</v>
      </c>
      <c r="F397" s="15">
        <f>[3]Лист4!D389</f>
        <v>12200</v>
      </c>
      <c r="G397" s="16">
        <f>[4]Лист4!D388</f>
        <v>7350</v>
      </c>
      <c r="H397" s="15"/>
      <c r="I397" s="15"/>
      <c r="J397" s="15"/>
      <c r="K397" s="15"/>
      <c r="L397" s="15"/>
      <c r="M397" s="15"/>
      <c r="N397" s="15"/>
      <c r="O397" s="15"/>
      <c r="P397" s="15"/>
      <c r="Q397" s="15"/>
      <c r="R397" s="15"/>
      <c r="S397" s="15"/>
      <c r="T397" s="15"/>
      <c r="U397" s="15"/>
      <c r="V397" s="15"/>
      <c r="W397" s="15"/>
      <c r="X397" s="15"/>
      <c r="Y397" s="15"/>
      <c r="Z397" s="15">
        <f t="shared" si="5"/>
        <v>6300</v>
      </c>
      <c r="AA397" s="20"/>
      <c r="AB397" s="21"/>
    </row>
    <row r="398" spans="1:28" ht="75.75" thickBot="1" x14ac:dyDescent="0.3">
      <c r="A398" s="14">
        <v>386</v>
      </c>
      <c r="B398" s="13" t="s">
        <v>437</v>
      </c>
      <c r="C398" s="13" t="s">
        <v>41</v>
      </c>
      <c r="D398" s="15">
        <f>[1]Лист4!D389</f>
        <v>1050000</v>
      </c>
      <c r="E398" s="15">
        <f>[2]Лист4!D390</f>
        <v>3050000</v>
      </c>
      <c r="F398" s="15">
        <f>[3]Лист4!D390</f>
        <v>3355000</v>
      </c>
      <c r="G398" s="16">
        <f>[4]Лист4!D389</f>
        <v>3000000</v>
      </c>
      <c r="H398" s="15"/>
      <c r="I398" s="15"/>
      <c r="J398" s="15"/>
      <c r="K398" s="15"/>
      <c r="L398" s="15"/>
      <c r="M398" s="15"/>
      <c r="N398" s="15"/>
      <c r="O398" s="15"/>
      <c r="P398" s="15"/>
      <c r="Q398" s="15"/>
      <c r="R398" s="15"/>
      <c r="S398" s="15"/>
      <c r="T398" s="15"/>
      <c r="U398" s="15"/>
      <c r="V398" s="15"/>
      <c r="W398" s="15"/>
      <c r="X398" s="15"/>
      <c r="Y398" s="15"/>
      <c r="Z398" s="15">
        <f t="shared" ref="Z398:Z441" si="6">MIN(D398:G398)</f>
        <v>1050000</v>
      </c>
      <c r="AA398" s="20"/>
      <c r="AB398" s="21"/>
    </row>
    <row r="399" spans="1:28" ht="90.75" thickBot="1" x14ac:dyDescent="0.3">
      <c r="A399" s="14">
        <v>387</v>
      </c>
      <c r="B399" s="13" t="s">
        <v>438</v>
      </c>
      <c r="C399" s="13" t="s">
        <v>29</v>
      </c>
      <c r="D399" s="15">
        <f>[1]Лист4!D390</f>
        <v>2100</v>
      </c>
      <c r="E399" s="15">
        <f>[2]Лист4!D391</f>
        <v>2806</v>
      </c>
      <c r="F399" s="15">
        <f>[3]Лист4!D391</f>
        <v>6100</v>
      </c>
      <c r="G399" s="16">
        <f>[4]Лист4!D390</f>
        <v>2000</v>
      </c>
      <c r="H399" s="15"/>
      <c r="I399" s="15"/>
      <c r="J399" s="15"/>
      <c r="K399" s="15"/>
      <c r="L399" s="15"/>
      <c r="M399" s="15"/>
      <c r="N399" s="15"/>
      <c r="O399" s="15"/>
      <c r="P399" s="15"/>
      <c r="Q399" s="15"/>
      <c r="R399" s="15"/>
      <c r="S399" s="15"/>
      <c r="T399" s="15"/>
      <c r="U399" s="15"/>
      <c r="V399" s="15"/>
      <c r="W399" s="15"/>
      <c r="X399" s="15"/>
      <c r="Y399" s="15"/>
      <c r="Z399" s="15">
        <f t="shared" si="6"/>
        <v>2000</v>
      </c>
      <c r="AA399" s="20"/>
      <c r="AB399" s="21"/>
    </row>
    <row r="400" spans="1:28" ht="63" customHeight="1" thickBot="1" x14ac:dyDescent="0.3">
      <c r="A400" s="14">
        <v>388</v>
      </c>
      <c r="B400" s="13" t="s">
        <v>439</v>
      </c>
      <c r="C400" s="13" t="s">
        <v>29</v>
      </c>
      <c r="D400" s="15">
        <f>[1]Лист4!D391</f>
        <v>3780</v>
      </c>
      <c r="E400" s="15">
        <f>[2]Лист4!D392</f>
        <v>4514</v>
      </c>
      <c r="F400" s="15">
        <f>[3]Лист4!D392</f>
        <v>6100</v>
      </c>
      <c r="G400" s="16">
        <f>[4]Лист4!D391</f>
        <v>5000</v>
      </c>
      <c r="H400" s="15"/>
      <c r="I400" s="15"/>
      <c r="J400" s="15"/>
      <c r="K400" s="15"/>
      <c r="L400" s="15"/>
      <c r="M400" s="15"/>
      <c r="N400" s="15"/>
      <c r="O400" s="15"/>
      <c r="P400" s="15"/>
      <c r="Q400" s="15"/>
      <c r="R400" s="15"/>
      <c r="S400" s="15"/>
      <c r="T400" s="15"/>
      <c r="U400" s="15"/>
      <c r="V400" s="15"/>
      <c r="W400" s="15"/>
      <c r="X400" s="15"/>
      <c r="Y400" s="15"/>
      <c r="Z400" s="15">
        <f t="shared" si="6"/>
        <v>3780</v>
      </c>
      <c r="AA400" s="20"/>
      <c r="AB400" s="21"/>
    </row>
    <row r="401" spans="1:28" ht="63" customHeight="1" thickBot="1" x14ac:dyDescent="0.3">
      <c r="A401" s="14">
        <v>389</v>
      </c>
      <c r="B401" s="13" t="s">
        <v>440</v>
      </c>
      <c r="C401" s="13" t="s">
        <v>30</v>
      </c>
      <c r="D401" s="15">
        <f>[1]Лист4!D392</f>
        <v>10500</v>
      </c>
      <c r="E401" s="15">
        <f>[2]Лист4!D393</f>
        <v>14030</v>
      </c>
      <c r="F401" s="15">
        <f>[3]Лист4!D393</f>
        <v>12200</v>
      </c>
      <c r="G401" s="16">
        <f>[4]Лист4!D392</f>
        <v>12000</v>
      </c>
      <c r="H401" s="15"/>
      <c r="I401" s="15"/>
      <c r="J401" s="15"/>
      <c r="K401" s="15"/>
      <c r="L401" s="15"/>
      <c r="M401" s="15"/>
      <c r="N401" s="15"/>
      <c r="O401" s="15"/>
      <c r="P401" s="15"/>
      <c r="Q401" s="15"/>
      <c r="R401" s="15"/>
      <c r="S401" s="15"/>
      <c r="T401" s="15"/>
      <c r="U401" s="15"/>
      <c r="V401" s="15"/>
      <c r="W401" s="15"/>
      <c r="X401" s="15"/>
      <c r="Y401" s="15"/>
      <c r="Z401" s="15">
        <f t="shared" si="6"/>
        <v>10500</v>
      </c>
      <c r="AA401" s="20"/>
      <c r="AB401" s="21"/>
    </row>
    <row r="402" spans="1:28" ht="75.75" thickBot="1" x14ac:dyDescent="0.3">
      <c r="A402" s="14">
        <v>390</v>
      </c>
      <c r="B402" s="13" t="s">
        <v>441</v>
      </c>
      <c r="C402" s="13" t="s">
        <v>371</v>
      </c>
      <c r="D402" s="15">
        <f>[1]Лист4!D393</f>
        <v>92400</v>
      </c>
      <c r="E402" s="15">
        <f>[2]Лист4!D394</f>
        <v>123220</v>
      </c>
      <c r="F402" s="15">
        <f>[3]Лист4!D394</f>
        <v>122000</v>
      </c>
      <c r="G402" s="16">
        <f>[4]Лист4!D393</f>
        <v>105000</v>
      </c>
      <c r="H402" s="15"/>
      <c r="I402" s="15"/>
      <c r="J402" s="15"/>
      <c r="K402" s="15"/>
      <c r="L402" s="15"/>
      <c r="M402" s="15"/>
      <c r="N402" s="15"/>
      <c r="O402" s="15"/>
      <c r="P402" s="15"/>
      <c r="Q402" s="15"/>
      <c r="R402" s="15"/>
      <c r="S402" s="15"/>
      <c r="T402" s="15"/>
      <c r="U402" s="15"/>
      <c r="V402" s="15"/>
      <c r="W402" s="15"/>
      <c r="X402" s="15"/>
      <c r="Y402" s="15"/>
      <c r="Z402" s="15">
        <f t="shared" si="6"/>
        <v>92400</v>
      </c>
      <c r="AA402" s="20"/>
      <c r="AB402" s="21"/>
    </row>
    <row r="403" spans="1:28" ht="63" customHeight="1" thickBot="1" x14ac:dyDescent="0.3">
      <c r="A403" s="14">
        <v>391</v>
      </c>
      <c r="B403" s="13" t="s">
        <v>442</v>
      </c>
      <c r="C403" s="13" t="s">
        <v>371</v>
      </c>
      <c r="D403" s="15">
        <f>[1]Лист4!D394</f>
        <v>22233.75</v>
      </c>
      <c r="E403" s="15">
        <f>[2]Лист4!D395</f>
        <v>30500</v>
      </c>
      <c r="F403" s="15">
        <f>[3]Лист4!D395</f>
        <v>24400</v>
      </c>
      <c r="G403" s="16">
        <f>[4]Лист4!D394</f>
        <v>26250</v>
      </c>
      <c r="H403" s="15"/>
      <c r="I403" s="15"/>
      <c r="J403" s="15"/>
      <c r="K403" s="15"/>
      <c r="L403" s="15"/>
      <c r="M403" s="15"/>
      <c r="N403" s="15"/>
      <c r="O403" s="15"/>
      <c r="P403" s="15"/>
      <c r="Q403" s="15"/>
      <c r="R403" s="15"/>
      <c r="S403" s="15"/>
      <c r="T403" s="15"/>
      <c r="U403" s="15"/>
      <c r="V403" s="15"/>
      <c r="W403" s="15"/>
      <c r="X403" s="15"/>
      <c r="Y403" s="15"/>
      <c r="Z403" s="15">
        <f t="shared" si="6"/>
        <v>22233.75</v>
      </c>
      <c r="AA403" s="20"/>
      <c r="AB403" s="21"/>
    </row>
    <row r="404" spans="1:28" ht="63" customHeight="1" thickBot="1" x14ac:dyDescent="0.3">
      <c r="A404" s="14">
        <v>392</v>
      </c>
      <c r="B404" s="13" t="s">
        <v>443</v>
      </c>
      <c r="C404" s="13" t="s">
        <v>371</v>
      </c>
      <c r="D404" s="15">
        <f>[1]Лист4!D395</f>
        <v>69300</v>
      </c>
      <c r="E404" s="15">
        <f>[2]Лист4!D396</f>
        <v>92964</v>
      </c>
      <c r="F404" s="15">
        <f>[3]Лист4!D396</f>
        <v>122000</v>
      </c>
      <c r="G404" s="16">
        <f>[4]Лист4!D395</f>
        <v>73500</v>
      </c>
      <c r="H404" s="15"/>
      <c r="I404" s="15"/>
      <c r="J404" s="15"/>
      <c r="K404" s="15"/>
      <c r="L404" s="15"/>
      <c r="M404" s="15"/>
      <c r="N404" s="15"/>
      <c r="O404" s="15"/>
      <c r="P404" s="15"/>
      <c r="Q404" s="15"/>
      <c r="R404" s="15"/>
      <c r="S404" s="15"/>
      <c r="T404" s="15"/>
      <c r="U404" s="15"/>
      <c r="V404" s="15"/>
      <c r="W404" s="15"/>
      <c r="X404" s="15"/>
      <c r="Y404" s="15"/>
      <c r="Z404" s="15">
        <f t="shared" si="6"/>
        <v>69300</v>
      </c>
      <c r="AA404" s="20"/>
      <c r="AB404" s="21"/>
    </row>
    <row r="405" spans="1:28" ht="63" customHeight="1" thickBot="1" x14ac:dyDescent="0.3">
      <c r="A405" s="14">
        <v>393</v>
      </c>
      <c r="B405" s="13" t="s">
        <v>444</v>
      </c>
      <c r="C405" s="13" t="s">
        <v>371</v>
      </c>
      <c r="D405" s="15">
        <f>[1]Лист4!D396</f>
        <v>28586.25</v>
      </c>
      <c r="E405" s="15">
        <f>[2]Лист4!D397</f>
        <v>36600</v>
      </c>
      <c r="F405" s="15">
        <f>[3]Лист4!D397</f>
        <v>30500</v>
      </c>
      <c r="G405" s="16">
        <f>[4]Лист4!D396</f>
        <v>31500</v>
      </c>
      <c r="H405" s="15"/>
      <c r="I405" s="15"/>
      <c r="J405" s="15"/>
      <c r="K405" s="15"/>
      <c r="L405" s="15"/>
      <c r="M405" s="15"/>
      <c r="N405" s="15"/>
      <c r="O405" s="15"/>
      <c r="P405" s="15"/>
      <c r="Q405" s="15"/>
      <c r="R405" s="15"/>
      <c r="S405" s="15"/>
      <c r="T405" s="15"/>
      <c r="U405" s="15"/>
      <c r="V405" s="15"/>
      <c r="W405" s="15"/>
      <c r="X405" s="15"/>
      <c r="Y405" s="15"/>
      <c r="Z405" s="15">
        <f t="shared" si="6"/>
        <v>28586.25</v>
      </c>
      <c r="AA405" s="20"/>
      <c r="AB405" s="21"/>
    </row>
    <row r="406" spans="1:28" ht="63" customHeight="1" thickBot="1" x14ac:dyDescent="0.3">
      <c r="A406" s="14">
        <v>394</v>
      </c>
      <c r="B406" s="13" t="s">
        <v>445</v>
      </c>
      <c r="C406" s="13" t="s">
        <v>371</v>
      </c>
      <c r="D406" s="15">
        <f>[1]Лист4!D397</f>
        <v>21393.75</v>
      </c>
      <c r="E406" s="15">
        <f>[2]Лист4!D398</f>
        <v>28670</v>
      </c>
      <c r="F406" s="15">
        <f>[3]Лист4!D398</f>
        <v>30500</v>
      </c>
      <c r="G406" s="16">
        <f>[4]Лист4!D397</f>
        <v>26250</v>
      </c>
      <c r="H406" s="15"/>
      <c r="I406" s="15"/>
      <c r="J406" s="15"/>
      <c r="K406" s="15"/>
      <c r="L406" s="15"/>
      <c r="M406" s="15"/>
      <c r="N406" s="15"/>
      <c r="O406" s="15"/>
      <c r="P406" s="15"/>
      <c r="Q406" s="15"/>
      <c r="R406" s="15"/>
      <c r="S406" s="15"/>
      <c r="T406" s="15"/>
      <c r="U406" s="15"/>
      <c r="V406" s="15"/>
      <c r="W406" s="15"/>
      <c r="X406" s="15"/>
      <c r="Y406" s="15"/>
      <c r="Z406" s="15">
        <f t="shared" si="6"/>
        <v>21393.75</v>
      </c>
      <c r="AA406" s="20"/>
      <c r="AB406" s="21"/>
    </row>
    <row r="407" spans="1:28" ht="63" customHeight="1" thickBot="1" x14ac:dyDescent="0.3">
      <c r="A407" s="14">
        <v>395</v>
      </c>
      <c r="B407" s="13" t="s">
        <v>446</v>
      </c>
      <c r="C407" s="13" t="s">
        <v>371</v>
      </c>
      <c r="D407" s="15">
        <f>[1]Лист4!D398</f>
        <v>20643</v>
      </c>
      <c r="E407" s="15">
        <f>[2]Лист4!D399</f>
        <v>27694</v>
      </c>
      <c r="F407" s="15">
        <f>[3]Лист4!D399</f>
        <v>30500</v>
      </c>
      <c r="G407" s="16">
        <f>[4]Лист4!D398</f>
        <v>26250</v>
      </c>
      <c r="H407" s="15"/>
      <c r="I407" s="15"/>
      <c r="J407" s="15"/>
      <c r="K407" s="15"/>
      <c r="L407" s="15"/>
      <c r="M407" s="15"/>
      <c r="N407" s="15"/>
      <c r="O407" s="15"/>
      <c r="P407" s="15"/>
      <c r="Q407" s="15"/>
      <c r="R407" s="15"/>
      <c r="S407" s="15"/>
      <c r="T407" s="15"/>
      <c r="U407" s="15"/>
      <c r="V407" s="15"/>
      <c r="W407" s="15"/>
      <c r="X407" s="15"/>
      <c r="Y407" s="15"/>
      <c r="Z407" s="15">
        <f t="shared" si="6"/>
        <v>20643</v>
      </c>
      <c r="AA407" s="20"/>
      <c r="AB407" s="21"/>
    </row>
    <row r="408" spans="1:28" ht="63" customHeight="1" thickBot="1" x14ac:dyDescent="0.3">
      <c r="A408" s="14">
        <v>396</v>
      </c>
      <c r="B408" s="13" t="s">
        <v>491</v>
      </c>
      <c r="C408" s="13" t="s">
        <v>447</v>
      </c>
      <c r="D408" s="15">
        <f>[1]Лист4!D399</f>
        <v>47355</v>
      </c>
      <c r="E408" s="15">
        <f>[2]Лист4!D400</f>
        <v>63440</v>
      </c>
      <c r="F408" s="15">
        <f>[3]Лист4!D400</f>
        <v>54900</v>
      </c>
      <c r="G408" s="16">
        <f>[4]Лист4!D399</f>
        <v>52500</v>
      </c>
      <c r="H408" s="15"/>
      <c r="I408" s="15"/>
      <c r="J408" s="15"/>
      <c r="K408" s="15"/>
      <c r="L408" s="15"/>
      <c r="M408" s="15"/>
      <c r="N408" s="15"/>
      <c r="O408" s="15"/>
      <c r="P408" s="15"/>
      <c r="Q408" s="15"/>
      <c r="R408" s="15"/>
      <c r="S408" s="15"/>
      <c r="T408" s="15"/>
      <c r="U408" s="15"/>
      <c r="V408" s="15"/>
      <c r="W408" s="15"/>
      <c r="X408" s="15"/>
      <c r="Y408" s="15"/>
      <c r="Z408" s="15">
        <f t="shared" si="6"/>
        <v>47355</v>
      </c>
      <c r="AA408" s="20"/>
      <c r="AB408" s="21"/>
    </row>
    <row r="409" spans="1:28" ht="63" customHeight="1" thickBot="1" x14ac:dyDescent="0.3">
      <c r="A409" s="14">
        <v>397</v>
      </c>
      <c r="B409" s="13" t="s">
        <v>492</v>
      </c>
      <c r="C409" s="13" t="s">
        <v>41</v>
      </c>
      <c r="D409" s="15">
        <f>[1]Лист4!D400</f>
        <v>69877.5</v>
      </c>
      <c r="E409" s="15">
        <f>[2]Лист4!D401</f>
        <v>92720</v>
      </c>
      <c r="F409" s="15">
        <f>[3]Лист4!D401</f>
        <v>85400</v>
      </c>
      <c r="G409" s="16">
        <f>[4]Лист4!D400</f>
        <v>84000</v>
      </c>
      <c r="H409" s="15"/>
      <c r="I409" s="15"/>
      <c r="J409" s="15"/>
      <c r="K409" s="15"/>
      <c r="L409" s="15"/>
      <c r="M409" s="15"/>
      <c r="N409" s="15"/>
      <c r="O409" s="15"/>
      <c r="P409" s="15"/>
      <c r="Q409" s="15"/>
      <c r="R409" s="15"/>
      <c r="S409" s="15"/>
      <c r="T409" s="15"/>
      <c r="U409" s="15"/>
      <c r="V409" s="15"/>
      <c r="W409" s="15"/>
      <c r="X409" s="15"/>
      <c r="Y409" s="15"/>
      <c r="Z409" s="15">
        <f t="shared" si="6"/>
        <v>69877.5</v>
      </c>
      <c r="AA409" s="20"/>
      <c r="AB409" s="21"/>
    </row>
    <row r="410" spans="1:28" ht="63" customHeight="1" thickBot="1" x14ac:dyDescent="0.3">
      <c r="A410" s="14">
        <v>398</v>
      </c>
      <c r="B410" s="13" t="s">
        <v>448</v>
      </c>
      <c r="C410" s="13" t="s">
        <v>449</v>
      </c>
      <c r="D410" s="15">
        <f>[1]Лист4!D401</f>
        <v>315000</v>
      </c>
      <c r="E410" s="15">
        <f>[2]Лист4!D402</f>
        <v>427000</v>
      </c>
      <c r="F410" s="15">
        <f>[3]Лист4!D402</f>
        <v>610000</v>
      </c>
      <c r="G410" s="16">
        <f>[4]Лист4!D401</f>
        <v>393750</v>
      </c>
      <c r="H410" s="15"/>
      <c r="I410" s="15"/>
      <c r="J410" s="15"/>
      <c r="K410" s="15"/>
      <c r="L410" s="15"/>
      <c r="M410" s="15"/>
      <c r="N410" s="15"/>
      <c r="O410" s="15"/>
      <c r="P410" s="15"/>
      <c r="Q410" s="15"/>
      <c r="R410" s="15"/>
      <c r="S410" s="15"/>
      <c r="T410" s="15"/>
      <c r="U410" s="15"/>
      <c r="V410" s="15"/>
      <c r="W410" s="15"/>
      <c r="X410" s="15"/>
      <c r="Y410" s="15"/>
      <c r="Z410" s="15">
        <f t="shared" si="6"/>
        <v>315000</v>
      </c>
      <c r="AA410" s="20"/>
      <c r="AB410" s="21"/>
    </row>
    <row r="411" spans="1:28" ht="63" customHeight="1" thickBot="1" x14ac:dyDescent="0.3">
      <c r="A411" s="14">
        <v>399</v>
      </c>
      <c r="B411" s="13" t="s">
        <v>450</v>
      </c>
      <c r="C411" s="13" t="s">
        <v>371</v>
      </c>
      <c r="D411" s="15">
        <f>[1]Лист4!D402</f>
        <v>83160</v>
      </c>
      <c r="E411" s="15">
        <f>[2]Лист4!D403</f>
        <v>97600</v>
      </c>
      <c r="F411" s="15">
        <f>[3]Лист4!D403</f>
        <v>122000</v>
      </c>
      <c r="G411" s="16">
        <f>[4]Лист4!D402</f>
        <v>84000</v>
      </c>
      <c r="H411" s="15"/>
      <c r="I411" s="15"/>
      <c r="J411" s="15"/>
      <c r="K411" s="15"/>
      <c r="L411" s="15"/>
      <c r="M411" s="15"/>
      <c r="N411" s="15"/>
      <c r="O411" s="15"/>
      <c r="P411" s="15"/>
      <c r="Q411" s="15"/>
      <c r="R411" s="15"/>
      <c r="S411" s="15"/>
      <c r="T411" s="15"/>
      <c r="U411" s="15"/>
      <c r="V411" s="15"/>
      <c r="W411" s="15"/>
      <c r="X411" s="15"/>
      <c r="Y411" s="15"/>
      <c r="Z411" s="15">
        <f t="shared" si="6"/>
        <v>83160</v>
      </c>
      <c r="AA411" s="20"/>
      <c r="AB411" s="21"/>
    </row>
    <row r="412" spans="1:28" ht="63" customHeight="1" thickBot="1" x14ac:dyDescent="0.3">
      <c r="A412" s="14">
        <v>400</v>
      </c>
      <c r="B412" s="13" t="s">
        <v>493</v>
      </c>
      <c r="C412" s="13" t="s">
        <v>371</v>
      </c>
      <c r="D412" s="15">
        <f>[1]Лист4!D403</f>
        <v>176400</v>
      </c>
      <c r="E412" s="15">
        <f>[2]Лист4!D404</f>
        <v>236680</v>
      </c>
      <c r="F412" s="15">
        <f>[3]Лист4!D404</f>
        <v>305000</v>
      </c>
      <c r="G412" s="16">
        <f>[4]Лист4!D403</f>
        <v>220500</v>
      </c>
      <c r="H412" s="15"/>
      <c r="I412" s="15"/>
      <c r="J412" s="15"/>
      <c r="K412" s="15"/>
      <c r="L412" s="15"/>
      <c r="M412" s="15"/>
      <c r="N412" s="15"/>
      <c r="O412" s="15"/>
      <c r="P412" s="15"/>
      <c r="Q412" s="15"/>
      <c r="R412" s="15"/>
      <c r="S412" s="15"/>
      <c r="T412" s="15"/>
      <c r="U412" s="15"/>
      <c r="V412" s="15"/>
      <c r="W412" s="15"/>
      <c r="X412" s="15"/>
      <c r="Y412" s="15"/>
      <c r="Z412" s="15">
        <f t="shared" si="6"/>
        <v>176400</v>
      </c>
      <c r="AA412" s="20"/>
      <c r="AB412" s="21"/>
    </row>
    <row r="413" spans="1:28" ht="63" customHeight="1" thickBot="1" x14ac:dyDescent="0.3">
      <c r="A413" s="14">
        <v>401</v>
      </c>
      <c r="B413" s="13" t="s">
        <v>451</v>
      </c>
      <c r="C413" s="13" t="s">
        <v>41</v>
      </c>
      <c r="D413" s="15">
        <f>[1]Лист4!D404</f>
        <v>41580</v>
      </c>
      <c r="E413" s="15">
        <f>[2]Лист4!D405</f>
        <v>55754</v>
      </c>
      <c r="F413" s="15">
        <f>[3]Лист4!D405</f>
        <v>48800</v>
      </c>
      <c r="G413" s="16">
        <f>[4]Лист4!D404</f>
        <v>52500</v>
      </c>
      <c r="H413" s="15"/>
      <c r="I413" s="15"/>
      <c r="J413" s="15"/>
      <c r="K413" s="15"/>
      <c r="L413" s="15"/>
      <c r="M413" s="15"/>
      <c r="N413" s="15"/>
      <c r="O413" s="15"/>
      <c r="P413" s="15"/>
      <c r="Q413" s="15"/>
      <c r="R413" s="15"/>
      <c r="S413" s="15"/>
      <c r="T413" s="15"/>
      <c r="U413" s="15"/>
      <c r="V413" s="15"/>
      <c r="W413" s="15"/>
      <c r="X413" s="15"/>
      <c r="Y413" s="15"/>
      <c r="Z413" s="15">
        <f t="shared" si="6"/>
        <v>41580</v>
      </c>
      <c r="AA413" s="20"/>
      <c r="AB413" s="21"/>
    </row>
    <row r="414" spans="1:28" ht="63" customHeight="1" thickBot="1" x14ac:dyDescent="0.3">
      <c r="A414" s="14">
        <v>402</v>
      </c>
      <c r="B414" s="13" t="s">
        <v>452</v>
      </c>
      <c r="C414" s="13" t="s">
        <v>41</v>
      </c>
      <c r="D414" s="15">
        <f>[1]Лист4!D405</f>
        <v>31500</v>
      </c>
      <c r="E414" s="15">
        <f>[2]Лист4!D406</f>
        <v>45140</v>
      </c>
      <c r="F414" s="15">
        <f>[3]Лист4!D406</f>
        <v>48800</v>
      </c>
      <c r="G414" s="16">
        <f>[4]Лист4!D405</f>
        <v>36750</v>
      </c>
      <c r="H414" s="15"/>
      <c r="I414" s="15"/>
      <c r="J414" s="15"/>
      <c r="K414" s="15"/>
      <c r="L414" s="15"/>
      <c r="M414" s="15"/>
      <c r="N414" s="15"/>
      <c r="O414" s="15"/>
      <c r="P414" s="15"/>
      <c r="Q414" s="15"/>
      <c r="R414" s="15"/>
      <c r="S414" s="15"/>
      <c r="T414" s="15"/>
      <c r="U414" s="15"/>
      <c r="V414" s="15"/>
      <c r="W414" s="15"/>
      <c r="X414" s="15"/>
      <c r="Y414" s="15"/>
      <c r="Z414" s="15">
        <f t="shared" si="6"/>
        <v>31500</v>
      </c>
      <c r="AA414" s="20"/>
      <c r="AB414" s="21"/>
    </row>
    <row r="415" spans="1:28" ht="63" customHeight="1" thickBot="1" x14ac:dyDescent="0.3">
      <c r="A415" s="14">
        <v>403</v>
      </c>
      <c r="B415" s="13" t="s">
        <v>453</v>
      </c>
      <c r="C415" s="13" t="s">
        <v>29</v>
      </c>
      <c r="D415" s="15">
        <f>[1]Лист4!D406</f>
        <v>69300</v>
      </c>
      <c r="E415" s="15">
        <f>[2]Лист4!D407</f>
        <v>92720</v>
      </c>
      <c r="F415" s="15">
        <f>[3]Лист4!D407</f>
        <v>122000</v>
      </c>
      <c r="G415" s="16">
        <f>[4]Лист4!D406</f>
        <v>89250</v>
      </c>
      <c r="H415" s="15"/>
      <c r="I415" s="15"/>
      <c r="J415" s="15"/>
      <c r="K415" s="15"/>
      <c r="L415" s="15"/>
      <c r="M415" s="15"/>
      <c r="N415" s="15"/>
      <c r="O415" s="15"/>
      <c r="P415" s="15"/>
      <c r="Q415" s="15"/>
      <c r="R415" s="15"/>
      <c r="S415" s="15"/>
      <c r="T415" s="15"/>
      <c r="U415" s="15"/>
      <c r="V415" s="15"/>
      <c r="W415" s="15"/>
      <c r="X415" s="15"/>
      <c r="Y415" s="15"/>
      <c r="Z415" s="15">
        <f t="shared" si="6"/>
        <v>69300</v>
      </c>
      <c r="AA415" s="20"/>
      <c r="AB415" s="21"/>
    </row>
    <row r="416" spans="1:28" ht="63" customHeight="1" thickBot="1" x14ac:dyDescent="0.3">
      <c r="A416" s="14">
        <v>404</v>
      </c>
      <c r="B416" s="13" t="s">
        <v>494</v>
      </c>
      <c r="C416" s="13" t="s">
        <v>371</v>
      </c>
      <c r="D416" s="15">
        <f>[1]Лист4!D407</f>
        <v>63000</v>
      </c>
      <c r="E416" s="15">
        <f>[2]Лист4!D408</f>
        <v>84546</v>
      </c>
      <c r="F416" s="15">
        <f>[3]Лист4!D408</f>
        <v>122000</v>
      </c>
      <c r="G416" s="16">
        <f>[4]Лист4!D407</f>
        <v>73500</v>
      </c>
      <c r="H416" s="15"/>
      <c r="I416" s="15"/>
      <c r="J416" s="15"/>
      <c r="K416" s="15"/>
      <c r="L416" s="15"/>
      <c r="M416" s="15"/>
      <c r="N416" s="15"/>
      <c r="O416" s="15"/>
      <c r="P416" s="15"/>
      <c r="Q416" s="15"/>
      <c r="R416" s="15"/>
      <c r="S416" s="15"/>
      <c r="T416" s="15"/>
      <c r="U416" s="15"/>
      <c r="V416" s="15"/>
      <c r="W416" s="15"/>
      <c r="X416" s="15"/>
      <c r="Y416" s="15"/>
      <c r="Z416" s="15">
        <f t="shared" si="6"/>
        <v>63000</v>
      </c>
      <c r="AA416" s="20"/>
      <c r="AB416" s="21"/>
    </row>
    <row r="417" spans="1:28" ht="60.75" thickBot="1" x14ac:dyDescent="0.3">
      <c r="A417" s="14">
        <v>405</v>
      </c>
      <c r="B417" s="13" t="s">
        <v>476</v>
      </c>
      <c r="C417" s="13" t="s">
        <v>371</v>
      </c>
      <c r="D417" s="15">
        <f>[1]Лист4!D408</f>
        <v>18900</v>
      </c>
      <c r="E417" s="15">
        <f>[2]Лист4!D409</f>
        <v>24400</v>
      </c>
      <c r="F417" s="15">
        <f>[3]Лист4!D409</f>
        <v>30500</v>
      </c>
      <c r="G417" s="16">
        <f>[4]Лист4!D408</f>
        <v>21000</v>
      </c>
      <c r="H417" s="15"/>
      <c r="I417" s="15"/>
      <c r="J417" s="15"/>
      <c r="K417" s="15"/>
      <c r="L417" s="15"/>
      <c r="M417" s="15"/>
      <c r="N417" s="15"/>
      <c r="O417" s="15"/>
      <c r="P417" s="15"/>
      <c r="Q417" s="15"/>
      <c r="R417" s="15"/>
      <c r="S417" s="15"/>
      <c r="T417" s="15"/>
      <c r="U417" s="15"/>
      <c r="V417" s="15"/>
      <c r="W417" s="15"/>
      <c r="X417" s="15"/>
      <c r="Y417" s="15"/>
      <c r="Z417" s="15">
        <f t="shared" si="6"/>
        <v>18900</v>
      </c>
      <c r="AA417" s="20"/>
      <c r="AB417" s="21"/>
    </row>
    <row r="418" spans="1:28" ht="63" customHeight="1" thickBot="1" x14ac:dyDescent="0.3">
      <c r="A418" s="14">
        <v>406</v>
      </c>
      <c r="B418" s="13" t="s">
        <v>454</v>
      </c>
      <c r="C418" s="13" t="s">
        <v>371</v>
      </c>
      <c r="D418" s="15">
        <f>[1]Лист4!D409</f>
        <v>19692.75</v>
      </c>
      <c r="E418" s="15">
        <f>[2]Лист4!D410</f>
        <v>26840</v>
      </c>
      <c r="F418" s="15">
        <f>[3]Лист4!D410</f>
        <v>36600</v>
      </c>
      <c r="G418" s="16">
        <f>[4]Лист4!D409</f>
        <v>21000</v>
      </c>
      <c r="H418" s="15"/>
      <c r="I418" s="15"/>
      <c r="J418" s="15"/>
      <c r="K418" s="15"/>
      <c r="L418" s="15"/>
      <c r="M418" s="15"/>
      <c r="N418" s="15"/>
      <c r="O418" s="15"/>
      <c r="P418" s="15"/>
      <c r="Q418" s="15"/>
      <c r="R418" s="15"/>
      <c r="S418" s="15"/>
      <c r="T418" s="15"/>
      <c r="U418" s="15"/>
      <c r="V418" s="15"/>
      <c r="W418" s="15"/>
      <c r="X418" s="15"/>
      <c r="Y418" s="15"/>
      <c r="Z418" s="15">
        <f t="shared" si="6"/>
        <v>19692.75</v>
      </c>
      <c r="AA418" s="20"/>
      <c r="AB418" s="21"/>
    </row>
    <row r="419" spans="1:28" ht="63" customHeight="1" thickBot="1" x14ac:dyDescent="0.3">
      <c r="A419" s="14">
        <v>407</v>
      </c>
      <c r="B419" s="13" t="s">
        <v>455</v>
      </c>
      <c r="C419" s="13" t="s">
        <v>371</v>
      </c>
      <c r="D419" s="15">
        <f>[1]Лист4!D410</f>
        <v>18900</v>
      </c>
      <c r="E419" s="15">
        <f>[2]Лист4!D411</f>
        <v>25254</v>
      </c>
      <c r="F419" s="15">
        <f>[3]Лист4!D411</f>
        <v>36600</v>
      </c>
      <c r="G419" s="16">
        <f>[4]Лист4!D410</f>
        <v>18000</v>
      </c>
      <c r="H419" s="15"/>
      <c r="I419" s="15"/>
      <c r="J419" s="15"/>
      <c r="K419" s="15"/>
      <c r="L419" s="15"/>
      <c r="M419" s="15"/>
      <c r="N419" s="15"/>
      <c r="O419" s="15"/>
      <c r="P419" s="15"/>
      <c r="Q419" s="15"/>
      <c r="R419" s="15"/>
      <c r="S419" s="15"/>
      <c r="T419" s="15"/>
      <c r="U419" s="15"/>
      <c r="V419" s="15"/>
      <c r="W419" s="15"/>
      <c r="X419" s="15"/>
      <c r="Y419" s="15"/>
      <c r="Z419" s="15">
        <f t="shared" si="6"/>
        <v>18000</v>
      </c>
      <c r="AA419" s="20"/>
      <c r="AB419" s="21"/>
    </row>
    <row r="420" spans="1:28" ht="30.75" thickBot="1" x14ac:dyDescent="0.3">
      <c r="A420" s="14">
        <v>408</v>
      </c>
      <c r="B420" s="13" t="s">
        <v>477</v>
      </c>
      <c r="C420" s="13" t="s">
        <v>371</v>
      </c>
      <c r="D420" s="15">
        <f>[1]Лист4!D411</f>
        <v>27562.5</v>
      </c>
      <c r="E420" s="15">
        <f>[2]Лист4!D412</f>
        <v>32940</v>
      </c>
      <c r="F420" s="15">
        <f>[3]Лист4!D412</f>
        <v>36600</v>
      </c>
      <c r="G420" s="16">
        <f>[4]Лист4!D411</f>
        <v>26250</v>
      </c>
      <c r="H420" s="15"/>
      <c r="I420" s="15"/>
      <c r="J420" s="15"/>
      <c r="K420" s="15"/>
      <c r="L420" s="15"/>
      <c r="M420" s="15"/>
      <c r="N420" s="15"/>
      <c r="O420" s="15"/>
      <c r="P420" s="15"/>
      <c r="Q420" s="15"/>
      <c r="R420" s="15"/>
      <c r="S420" s="15"/>
      <c r="T420" s="15"/>
      <c r="U420" s="15"/>
      <c r="V420" s="15"/>
      <c r="W420" s="15"/>
      <c r="X420" s="15"/>
      <c r="Y420" s="15"/>
      <c r="Z420" s="15">
        <f t="shared" si="6"/>
        <v>26250</v>
      </c>
      <c r="AA420" s="20"/>
      <c r="AB420" s="21"/>
    </row>
    <row r="421" spans="1:28" ht="63" customHeight="1" thickBot="1" x14ac:dyDescent="0.3">
      <c r="A421" s="14">
        <v>409</v>
      </c>
      <c r="B421" s="13" t="s">
        <v>456</v>
      </c>
      <c r="C421" s="13" t="s">
        <v>41</v>
      </c>
      <c r="D421" s="15">
        <f>[1]Лист4!D412</f>
        <v>158760</v>
      </c>
      <c r="E421" s="15">
        <f>[2]Лист4!D413</f>
        <v>213500</v>
      </c>
      <c r="F421" s="15">
        <f>[3]Лист4!D413</f>
        <v>183000</v>
      </c>
      <c r="G421" s="16">
        <f>[4]Лист4!D412</f>
        <v>168000</v>
      </c>
      <c r="H421" s="15"/>
      <c r="I421" s="15"/>
      <c r="J421" s="15"/>
      <c r="K421" s="15"/>
      <c r="L421" s="15"/>
      <c r="M421" s="15"/>
      <c r="N421" s="15"/>
      <c r="O421" s="15"/>
      <c r="P421" s="15"/>
      <c r="Q421" s="15"/>
      <c r="R421" s="15"/>
      <c r="S421" s="15"/>
      <c r="T421" s="15"/>
      <c r="U421" s="15"/>
      <c r="V421" s="15"/>
      <c r="W421" s="15"/>
      <c r="X421" s="15"/>
      <c r="Y421" s="15"/>
      <c r="Z421" s="15">
        <f t="shared" si="6"/>
        <v>158760</v>
      </c>
      <c r="AA421" s="8"/>
      <c r="AB421" s="7"/>
    </row>
    <row r="422" spans="1:28" ht="45.75" thickBot="1" x14ac:dyDescent="0.3">
      <c r="A422" s="14">
        <v>410</v>
      </c>
      <c r="B422" s="13" t="s">
        <v>478</v>
      </c>
      <c r="C422" s="13" t="s">
        <v>447</v>
      </c>
      <c r="D422" s="15">
        <f>[1]Лист4!D413</f>
        <v>23940</v>
      </c>
      <c r="E422" s="15">
        <f>[2]Лист4!D414</f>
        <v>32330</v>
      </c>
      <c r="F422" s="15">
        <f>[3]Лист4!D414</f>
        <v>24400</v>
      </c>
      <c r="G422" s="16">
        <f>[4]Лист4!D413</f>
        <v>30450</v>
      </c>
      <c r="H422" s="15"/>
      <c r="I422" s="15"/>
      <c r="J422" s="15"/>
      <c r="K422" s="15"/>
      <c r="L422" s="15"/>
      <c r="M422" s="15"/>
      <c r="N422" s="15"/>
      <c r="O422" s="15"/>
      <c r="P422" s="15"/>
      <c r="Q422" s="15"/>
      <c r="R422" s="15"/>
      <c r="S422" s="15"/>
      <c r="T422" s="15"/>
      <c r="U422" s="15"/>
      <c r="V422" s="15"/>
      <c r="W422" s="15"/>
      <c r="X422" s="15"/>
      <c r="Y422" s="15"/>
      <c r="Z422" s="15">
        <f t="shared" si="6"/>
        <v>23940</v>
      </c>
      <c r="AA422" s="8"/>
      <c r="AB422" s="7"/>
    </row>
    <row r="423" spans="1:28" ht="63" customHeight="1" thickBot="1" x14ac:dyDescent="0.3">
      <c r="A423" s="14">
        <v>411</v>
      </c>
      <c r="B423" s="13" t="s">
        <v>457</v>
      </c>
      <c r="C423" s="13" t="s">
        <v>371</v>
      </c>
      <c r="D423" s="15">
        <f>[1]Лист4!D414</f>
        <v>44100</v>
      </c>
      <c r="E423" s="15">
        <f>[2]Лист4!D415</f>
        <v>58560</v>
      </c>
      <c r="F423" s="15">
        <f>[3]Лист4!D415</f>
        <v>73200</v>
      </c>
      <c r="G423" s="16">
        <f>[4]Лист4!D414</f>
        <v>55650</v>
      </c>
      <c r="H423" s="15"/>
      <c r="I423" s="15"/>
      <c r="J423" s="15"/>
      <c r="K423" s="15"/>
      <c r="L423" s="15"/>
      <c r="M423" s="15"/>
      <c r="N423" s="15"/>
      <c r="O423" s="15"/>
      <c r="P423" s="15"/>
      <c r="Q423" s="15"/>
      <c r="R423" s="15"/>
      <c r="S423" s="15"/>
      <c r="T423" s="15"/>
      <c r="U423" s="15"/>
      <c r="V423" s="15"/>
      <c r="W423" s="15"/>
      <c r="X423" s="15"/>
      <c r="Y423" s="15"/>
      <c r="Z423" s="15">
        <f t="shared" si="6"/>
        <v>44100</v>
      </c>
      <c r="AA423" s="8"/>
      <c r="AB423" s="7"/>
    </row>
    <row r="424" spans="1:28" ht="63" customHeight="1" thickBot="1" x14ac:dyDescent="0.3">
      <c r="A424" s="14">
        <v>412</v>
      </c>
      <c r="B424" s="13" t="s">
        <v>458</v>
      </c>
      <c r="C424" s="13" t="s">
        <v>371</v>
      </c>
      <c r="D424" s="15">
        <f>[1]Лист4!D415</f>
        <v>23824.5</v>
      </c>
      <c r="E424" s="15">
        <f>[2]Лист4!D416</f>
        <v>28060</v>
      </c>
      <c r="F424" s="15">
        <f>[3]Лист4!D416</f>
        <v>24400</v>
      </c>
      <c r="G424" s="16">
        <f>[4]Лист4!D415</f>
        <v>26250</v>
      </c>
      <c r="H424" s="15"/>
      <c r="I424" s="15"/>
      <c r="J424" s="15"/>
      <c r="K424" s="15"/>
      <c r="L424" s="15"/>
      <c r="M424" s="15"/>
      <c r="N424" s="15"/>
      <c r="O424" s="15"/>
      <c r="P424" s="15"/>
      <c r="Q424" s="15"/>
      <c r="R424" s="15"/>
      <c r="S424" s="15"/>
      <c r="T424" s="15"/>
      <c r="U424" s="15"/>
      <c r="V424" s="15"/>
      <c r="W424" s="15"/>
      <c r="X424" s="15"/>
      <c r="Y424" s="15"/>
      <c r="Z424" s="15">
        <f t="shared" si="6"/>
        <v>23824.5</v>
      </c>
      <c r="AA424" s="8"/>
      <c r="AB424" s="7"/>
    </row>
    <row r="425" spans="1:28" ht="63" customHeight="1" thickBot="1" x14ac:dyDescent="0.3">
      <c r="A425" s="14">
        <v>413</v>
      </c>
      <c r="B425" s="13" t="s">
        <v>459</v>
      </c>
      <c r="C425" s="13" t="s">
        <v>371</v>
      </c>
      <c r="D425" s="15">
        <f>[1]Лист4!D416</f>
        <v>27562.5</v>
      </c>
      <c r="E425" s="15">
        <f>[2]Лист4!D417</f>
        <v>36600</v>
      </c>
      <c r="F425" s="15">
        <f>[3]Лист4!D417</f>
        <v>24400</v>
      </c>
      <c r="G425" s="16">
        <f>[4]Лист4!D416</f>
        <v>31500</v>
      </c>
      <c r="H425" s="15"/>
      <c r="I425" s="15"/>
      <c r="J425" s="15"/>
      <c r="K425" s="15"/>
      <c r="L425" s="15"/>
      <c r="M425" s="15"/>
      <c r="N425" s="15"/>
      <c r="O425" s="15"/>
      <c r="P425" s="15"/>
      <c r="Q425" s="15"/>
      <c r="R425" s="15"/>
      <c r="S425" s="15"/>
      <c r="T425" s="15"/>
      <c r="U425" s="15"/>
      <c r="V425" s="15"/>
      <c r="W425" s="15"/>
      <c r="X425" s="15"/>
      <c r="Y425" s="15"/>
      <c r="Z425" s="15">
        <f t="shared" si="6"/>
        <v>24400</v>
      </c>
      <c r="AA425" s="8"/>
      <c r="AB425" s="7"/>
    </row>
    <row r="426" spans="1:28" ht="63" customHeight="1" thickBot="1" x14ac:dyDescent="0.3">
      <c r="A426" s="14">
        <v>414</v>
      </c>
      <c r="B426" s="13" t="s">
        <v>460</v>
      </c>
      <c r="C426" s="13" t="s">
        <v>371</v>
      </c>
      <c r="D426" s="15">
        <f>[1]Лист4!D417</f>
        <v>56385</v>
      </c>
      <c r="E426" s="15">
        <f>[2]Лист4!D418</f>
        <v>79300</v>
      </c>
      <c r="F426" s="15">
        <f>[3]Лист4!D418</f>
        <v>61000</v>
      </c>
      <c r="G426" s="16">
        <f>[4]Лист4!D417</f>
        <v>63000</v>
      </c>
      <c r="H426" s="15"/>
      <c r="I426" s="15"/>
      <c r="J426" s="15"/>
      <c r="K426" s="15"/>
      <c r="L426" s="15"/>
      <c r="M426" s="15"/>
      <c r="N426" s="15"/>
      <c r="O426" s="15"/>
      <c r="P426" s="15"/>
      <c r="Q426" s="15"/>
      <c r="R426" s="15"/>
      <c r="S426" s="15"/>
      <c r="T426" s="15"/>
      <c r="U426" s="15"/>
      <c r="V426" s="15"/>
      <c r="W426" s="15"/>
      <c r="X426" s="15"/>
      <c r="Y426" s="15"/>
      <c r="Z426" s="15">
        <f t="shared" si="6"/>
        <v>56385</v>
      </c>
      <c r="AA426" s="8"/>
      <c r="AB426" s="7"/>
    </row>
    <row r="427" spans="1:28" ht="63" customHeight="1" thickBot="1" x14ac:dyDescent="0.3">
      <c r="A427" s="14">
        <v>415</v>
      </c>
      <c r="B427" s="13" t="s">
        <v>461</v>
      </c>
      <c r="C427" s="13" t="s">
        <v>371</v>
      </c>
      <c r="D427" s="15">
        <f>[1]Лист4!D418</f>
        <v>44100</v>
      </c>
      <c r="E427" s="15">
        <f>[2]Лист4!D419</f>
        <v>59170</v>
      </c>
      <c r="F427" s="15">
        <f>[3]Лист4!D419</f>
        <v>61000</v>
      </c>
      <c r="G427" s="16">
        <f>[4]Лист4!D418</f>
        <v>52500</v>
      </c>
      <c r="H427" s="15"/>
      <c r="I427" s="15"/>
      <c r="J427" s="15"/>
      <c r="K427" s="15"/>
      <c r="L427" s="15"/>
      <c r="M427" s="15"/>
      <c r="N427" s="15"/>
      <c r="O427" s="15"/>
      <c r="P427" s="15"/>
      <c r="Q427" s="15"/>
      <c r="R427" s="15"/>
      <c r="S427" s="15"/>
      <c r="T427" s="15"/>
      <c r="U427" s="15"/>
      <c r="V427" s="15"/>
      <c r="W427" s="15"/>
      <c r="X427" s="15"/>
      <c r="Y427" s="15"/>
      <c r="Z427" s="15">
        <f t="shared" si="6"/>
        <v>44100</v>
      </c>
      <c r="AA427" s="8"/>
      <c r="AB427" s="7"/>
    </row>
    <row r="428" spans="1:28" ht="63" customHeight="1" thickBot="1" x14ac:dyDescent="0.3">
      <c r="A428" s="14">
        <v>416</v>
      </c>
      <c r="B428" s="13" t="s">
        <v>462</v>
      </c>
      <c r="C428" s="13" t="s">
        <v>371</v>
      </c>
      <c r="D428" s="15">
        <f>[1]Лист4!D419</f>
        <v>44100</v>
      </c>
      <c r="E428" s="15">
        <f>[2]Лист4!D420</f>
        <v>54900</v>
      </c>
      <c r="F428" s="15">
        <f>[3]Лист4!D420</f>
        <v>61000</v>
      </c>
      <c r="G428" s="16">
        <f>[4]Лист4!D419</f>
        <v>55000</v>
      </c>
      <c r="H428" s="15"/>
      <c r="I428" s="15"/>
      <c r="J428" s="15"/>
      <c r="K428" s="15"/>
      <c r="L428" s="15"/>
      <c r="M428" s="15"/>
      <c r="N428" s="15"/>
      <c r="O428" s="15"/>
      <c r="P428" s="15"/>
      <c r="Q428" s="15"/>
      <c r="R428" s="15"/>
      <c r="S428" s="15"/>
      <c r="T428" s="15"/>
      <c r="U428" s="15"/>
      <c r="V428" s="15"/>
      <c r="W428" s="15"/>
      <c r="X428" s="15"/>
      <c r="Y428" s="15"/>
      <c r="Z428" s="15">
        <f t="shared" si="6"/>
        <v>44100</v>
      </c>
      <c r="AA428" s="8"/>
      <c r="AB428" s="7"/>
    </row>
    <row r="429" spans="1:28" ht="63" customHeight="1" thickBot="1" x14ac:dyDescent="0.3">
      <c r="A429" s="14">
        <v>417</v>
      </c>
      <c r="B429" s="13" t="s">
        <v>463</v>
      </c>
      <c r="C429" s="13" t="s">
        <v>371</v>
      </c>
      <c r="D429" s="15">
        <f>[1]Лист4!D420</f>
        <v>15881.25</v>
      </c>
      <c r="E429" s="15">
        <f>[2]Лист4!D421</f>
        <v>21350</v>
      </c>
      <c r="F429" s="15">
        <f>[3]Лист4!D421</f>
        <v>12200</v>
      </c>
      <c r="G429" s="16">
        <f>[4]Лист4!D420</f>
        <v>16800</v>
      </c>
      <c r="H429" s="15"/>
      <c r="I429" s="15"/>
      <c r="J429" s="15"/>
      <c r="K429" s="15"/>
      <c r="L429" s="15"/>
      <c r="M429" s="15"/>
      <c r="N429" s="15"/>
      <c r="O429" s="15"/>
      <c r="P429" s="15"/>
      <c r="Q429" s="15"/>
      <c r="R429" s="15"/>
      <c r="S429" s="15"/>
      <c r="T429" s="15"/>
      <c r="U429" s="15"/>
      <c r="V429" s="15"/>
      <c r="W429" s="15"/>
      <c r="X429" s="15"/>
      <c r="Y429" s="15"/>
      <c r="Z429" s="15">
        <f t="shared" si="6"/>
        <v>12200</v>
      </c>
      <c r="AA429" s="8"/>
      <c r="AB429" s="7"/>
    </row>
    <row r="430" spans="1:28" ht="63" customHeight="1" thickBot="1" x14ac:dyDescent="0.3">
      <c r="A430" s="14">
        <v>418</v>
      </c>
      <c r="B430" s="13" t="s">
        <v>464</v>
      </c>
      <c r="C430" s="13" t="s">
        <v>371</v>
      </c>
      <c r="D430" s="15">
        <f>[1]Лист4!D421</f>
        <v>19897.5</v>
      </c>
      <c r="E430" s="15">
        <f>[2]Лист4!D422</f>
        <v>23180</v>
      </c>
      <c r="F430" s="15">
        <f>[3]Лист4!D422</f>
        <v>12200</v>
      </c>
      <c r="G430" s="16">
        <f>[4]Лист4!D421</f>
        <v>26250</v>
      </c>
      <c r="H430" s="15"/>
      <c r="I430" s="15"/>
      <c r="J430" s="15"/>
      <c r="K430" s="15"/>
      <c r="L430" s="15"/>
      <c r="M430" s="15"/>
      <c r="N430" s="15"/>
      <c r="O430" s="15"/>
      <c r="P430" s="15"/>
      <c r="Q430" s="15"/>
      <c r="R430" s="15"/>
      <c r="S430" s="15"/>
      <c r="T430" s="15"/>
      <c r="U430" s="15"/>
      <c r="V430" s="15"/>
      <c r="W430" s="15"/>
      <c r="X430" s="15"/>
      <c r="Y430" s="15"/>
      <c r="Z430" s="15">
        <f t="shared" si="6"/>
        <v>12200</v>
      </c>
      <c r="AA430" s="8"/>
      <c r="AB430" s="7"/>
    </row>
    <row r="431" spans="1:28" ht="63" customHeight="1" thickBot="1" x14ac:dyDescent="0.3">
      <c r="A431" s="14">
        <v>419</v>
      </c>
      <c r="B431" s="13" t="s">
        <v>465</v>
      </c>
      <c r="C431" s="13" t="s">
        <v>447</v>
      </c>
      <c r="D431" s="15">
        <f>[1]Лист4!D422</f>
        <v>15750</v>
      </c>
      <c r="E431" s="15">
        <f>[2]Лист4!D423</f>
        <v>21106</v>
      </c>
      <c r="F431" s="15">
        <f>[3]Лист4!D423</f>
        <v>12200</v>
      </c>
      <c r="G431" s="16">
        <f>[4]Лист4!D422</f>
        <v>16275</v>
      </c>
      <c r="H431" s="15"/>
      <c r="I431" s="15"/>
      <c r="J431" s="15"/>
      <c r="K431" s="15"/>
      <c r="L431" s="15"/>
      <c r="M431" s="15"/>
      <c r="N431" s="15"/>
      <c r="O431" s="15"/>
      <c r="P431" s="15"/>
      <c r="Q431" s="15"/>
      <c r="R431" s="15"/>
      <c r="S431" s="15"/>
      <c r="T431" s="15"/>
      <c r="U431" s="15"/>
      <c r="V431" s="15"/>
      <c r="W431" s="15"/>
      <c r="X431" s="15"/>
      <c r="Y431" s="15"/>
      <c r="Z431" s="15">
        <f t="shared" si="6"/>
        <v>12200</v>
      </c>
      <c r="AA431" s="8"/>
      <c r="AB431" s="7"/>
    </row>
    <row r="432" spans="1:28" ht="63" customHeight="1" thickBot="1" x14ac:dyDescent="0.3">
      <c r="A432" s="14">
        <v>420</v>
      </c>
      <c r="B432" s="13" t="s">
        <v>495</v>
      </c>
      <c r="C432" s="13" t="s">
        <v>371</v>
      </c>
      <c r="D432" s="15">
        <f>[1]Лист4!D423</f>
        <v>25410</v>
      </c>
      <c r="E432" s="15">
        <f>[2]Лист4!D424</f>
        <v>34038</v>
      </c>
      <c r="F432" s="15">
        <f>[3]Лист4!D424</f>
        <v>36600</v>
      </c>
      <c r="G432" s="16">
        <f>[4]Лист4!D423</f>
        <v>35000</v>
      </c>
      <c r="H432" s="15"/>
      <c r="I432" s="15"/>
      <c r="J432" s="15"/>
      <c r="K432" s="15"/>
      <c r="L432" s="15"/>
      <c r="M432" s="15"/>
      <c r="N432" s="15"/>
      <c r="O432" s="15"/>
      <c r="P432" s="15"/>
      <c r="Q432" s="15"/>
      <c r="R432" s="15"/>
      <c r="S432" s="15"/>
      <c r="T432" s="15"/>
      <c r="U432" s="15"/>
      <c r="V432" s="15"/>
      <c r="W432" s="15"/>
      <c r="X432" s="15"/>
      <c r="Y432" s="15"/>
      <c r="Z432" s="15">
        <f t="shared" si="6"/>
        <v>25410</v>
      </c>
      <c r="AA432" s="8"/>
      <c r="AB432" s="7"/>
    </row>
    <row r="433" spans="1:28" ht="63" customHeight="1" thickBot="1" x14ac:dyDescent="0.3">
      <c r="A433" s="14">
        <v>421</v>
      </c>
      <c r="B433" s="13" t="s">
        <v>466</v>
      </c>
      <c r="C433" s="13" t="s">
        <v>371</v>
      </c>
      <c r="D433" s="15">
        <f>[1]Лист4!D424</f>
        <v>25410</v>
      </c>
      <c r="E433" s="15">
        <f>[2]Лист4!D425</f>
        <v>30500</v>
      </c>
      <c r="F433" s="15">
        <f>[3]Лист4!D425</f>
        <v>36600</v>
      </c>
      <c r="G433" s="16">
        <f>[4]Лист4!D424</f>
        <v>31500</v>
      </c>
      <c r="H433" s="15"/>
      <c r="I433" s="15"/>
      <c r="J433" s="15"/>
      <c r="K433" s="15"/>
      <c r="L433" s="15"/>
      <c r="M433" s="15"/>
      <c r="N433" s="15"/>
      <c r="O433" s="15"/>
      <c r="P433" s="15"/>
      <c r="Q433" s="15"/>
      <c r="R433" s="15"/>
      <c r="S433" s="15"/>
      <c r="T433" s="15"/>
      <c r="U433" s="15"/>
      <c r="V433" s="15"/>
      <c r="W433" s="15"/>
      <c r="X433" s="15"/>
      <c r="Y433" s="15"/>
      <c r="Z433" s="15">
        <f t="shared" si="6"/>
        <v>25410</v>
      </c>
      <c r="AA433" s="8"/>
      <c r="AB433" s="7"/>
    </row>
    <row r="434" spans="1:28" ht="63" customHeight="1" thickBot="1" x14ac:dyDescent="0.3">
      <c r="A434" s="14">
        <v>422</v>
      </c>
      <c r="B434" s="13" t="s">
        <v>467</v>
      </c>
      <c r="C434" s="13" t="s">
        <v>371</v>
      </c>
      <c r="D434" s="15">
        <f>[1]Лист4!D425</f>
        <v>13650</v>
      </c>
      <c r="E434" s="15">
        <f>[2]Лист4!D426</f>
        <v>18300</v>
      </c>
      <c r="F434" s="15">
        <f>[3]Лист4!D426</f>
        <v>12200</v>
      </c>
      <c r="G434" s="16">
        <f>[4]Лист4!D425</f>
        <v>16800</v>
      </c>
      <c r="H434" s="15"/>
      <c r="I434" s="15"/>
      <c r="J434" s="15"/>
      <c r="K434" s="15"/>
      <c r="L434" s="15"/>
      <c r="M434" s="15"/>
      <c r="N434" s="15"/>
      <c r="O434" s="15"/>
      <c r="P434" s="15"/>
      <c r="Q434" s="15"/>
      <c r="R434" s="15"/>
      <c r="S434" s="15"/>
      <c r="T434" s="15"/>
      <c r="U434" s="15"/>
      <c r="V434" s="15"/>
      <c r="W434" s="15"/>
      <c r="X434" s="15"/>
      <c r="Y434" s="15"/>
      <c r="Z434" s="15">
        <f t="shared" si="6"/>
        <v>12200</v>
      </c>
      <c r="AA434" s="8"/>
      <c r="AB434" s="7"/>
    </row>
    <row r="435" spans="1:28" ht="63" customHeight="1" thickBot="1" x14ac:dyDescent="0.3">
      <c r="A435" s="14">
        <v>423</v>
      </c>
      <c r="B435" s="13" t="s">
        <v>468</v>
      </c>
      <c r="C435" s="13" t="s">
        <v>371</v>
      </c>
      <c r="D435" s="15">
        <f>[1]Лист4!D426</f>
        <v>20643</v>
      </c>
      <c r="E435" s="15">
        <f>[2]Лист4!D427</f>
        <v>30500</v>
      </c>
      <c r="F435" s="15">
        <f>[3]Лист4!D427</f>
        <v>36600</v>
      </c>
      <c r="G435" s="16">
        <f>[4]Лист4!D426</f>
        <v>26250</v>
      </c>
      <c r="H435" s="15"/>
      <c r="I435" s="15"/>
      <c r="J435" s="15"/>
      <c r="K435" s="15"/>
      <c r="L435" s="15"/>
      <c r="M435" s="15"/>
      <c r="N435" s="15"/>
      <c r="O435" s="15"/>
      <c r="P435" s="15"/>
      <c r="Q435" s="15"/>
      <c r="R435" s="15"/>
      <c r="S435" s="15"/>
      <c r="T435" s="15"/>
      <c r="U435" s="15"/>
      <c r="V435" s="15"/>
      <c r="W435" s="15"/>
      <c r="X435" s="15"/>
      <c r="Y435" s="15"/>
      <c r="Z435" s="15">
        <f t="shared" si="6"/>
        <v>20643</v>
      </c>
      <c r="AA435" s="8"/>
      <c r="AB435" s="7"/>
    </row>
    <row r="436" spans="1:28" ht="30.75" thickBot="1" x14ac:dyDescent="0.3">
      <c r="A436" s="14">
        <v>424</v>
      </c>
      <c r="B436" s="13" t="s">
        <v>479</v>
      </c>
      <c r="C436" s="13" t="s">
        <v>371</v>
      </c>
      <c r="D436" s="15">
        <f>[1]Лист4!D427</f>
        <v>42550.200000000004</v>
      </c>
      <c r="E436" s="15">
        <f>[2]Лист4!D428</f>
        <v>56120</v>
      </c>
      <c r="F436" s="15">
        <f>[3]Лист4!D428</f>
        <v>48800</v>
      </c>
      <c r="G436" s="16">
        <f>[4]Лист4!D427</f>
        <v>52500</v>
      </c>
      <c r="H436" s="15"/>
      <c r="I436" s="15"/>
      <c r="J436" s="15"/>
      <c r="K436" s="15"/>
      <c r="L436" s="15"/>
      <c r="M436" s="15"/>
      <c r="N436" s="15"/>
      <c r="O436" s="15"/>
      <c r="P436" s="15"/>
      <c r="Q436" s="15"/>
      <c r="R436" s="15"/>
      <c r="S436" s="15"/>
      <c r="T436" s="15"/>
      <c r="U436" s="15"/>
      <c r="V436" s="15"/>
      <c r="W436" s="15"/>
      <c r="X436" s="15"/>
      <c r="Y436" s="15"/>
      <c r="Z436" s="15">
        <f t="shared" si="6"/>
        <v>42550.200000000004</v>
      </c>
      <c r="AA436" s="20"/>
      <c r="AB436" s="21"/>
    </row>
    <row r="437" spans="1:28" ht="63" customHeight="1" thickBot="1" x14ac:dyDescent="0.3">
      <c r="A437" s="14">
        <v>425</v>
      </c>
      <c r="B437" s="13" t="s">
        <v>480</v>
      </c>
      <c r="C437" s="13" t="s">
        <v>41</v>
      </c>
      <c r="D437" s="15">
        <f>[1]Лист4!D428</f>
        <v>945000</v>
      </c>
      <c r="E437" s="15">
        <f>[2]Лист4!D429</f>
        <v>1220000</v>
      </c>
      <c r="F437" s="15">
        <f>[3]Лист4!D429</f>
        <v>1464000</v>
      </c>
      <c r="G437" s="16">
        <f>[4]Лист4!D428</f>
        <v>1050000</v>
      </c>
      <c r="H437" s="15"/>
      <c r="I437" s="15"/>
      <c r="J437" s="15"/>
      <c r="K437" s="15"/>
      <c r="L437" s="15"/>
      <c r="M437" s="15"/>
      <c r="N437" s="15"/>
      <c r="O437" s="15"/>
      <c r="P437" s="15"/>
      <c r="Q437" s="15"/>
      <c r="R437" s="15"/>
      <c r="S437" s="15"/>
      <c r="T437" s="15"/>
      <c r="U437" s="15"/>
      <c r="V437" s="15"/>
      <c r="W437" s="15"/>
      <c r="X437" s="15"/>
      <c r="Y437" s="15"/>
      <c r="Z437" s="15">
        <f t="shared" si="6"/>
        <v>945000</v>
      </c>
      <c r="AA437" s="20"/>
      <c r="AB437" s="21"/>
    </row>
    <row r="438" spans="1:28" ht="63" customHeight="1" thickBot="1" x14ac:dyDescent="0.3">
      <c r="A438" s="14">
        <v>426</v>
      </c>
      <c r="B438" s="13" t="s">
        <v>469</v>
      </c>
      <c r="C438" s="13" t="s">
        <v>371</v>
      </c>
      <c r="D438" s="15">
        <f>[1]Лист4!D429</f>
        <v>97020</v>
      </c>
      <c r="E438" s="15">
        <f>[2]Лист4!D430</f>
        <v>128100</v>
      </c>
      <c r="F438" s="15">
        <f>[3]Лист4!D430</f>
        <v>122000</v>
      </c>
      <c r="G438" s="16">
        <f>[4]Лист4!D429</f>
        <v>120000</v>
      </c>
      <c r="H438" s="15"/>
      <c r="I438" s="15"/>
      <c r="J438" s="15"/>
      <c r="K438" s="15"/>
      <c r="L438" s="15"/>
      <c r="M438" s="15"/>
      <c r="N438" s="15"/>
      <c r="O438" s="15"/>
      <c r="P438" s="15"/>
      <c r="Q438" s="15"/>
      <c r="R438" s="15"/>
      <c r="S438" s="15"/>
      <c r="T438" s="15"/>
      <c r="U438" s="15"/>
      <c r="V438" s="15"/>
      <c r="W438" s="15"/>
      <c r="X438" s="15"/>
      <c r="Y438" s="15"/>
      <c r="Z438" s="15">
        <f t="shared" si="6"/>
        <v>97020</v>
      </c>
      <c r="AA438" s="8"/>
      <c r="AB438" s="7"/>
    </row>
    <row r="439" spans="1:28" ht="63" customHeight="1" thickBot="1" x14ac:dyDescent="0.3">
      <c r="A439" s="14">
        <v>427</v>
      </c>
      <c r="B439" s="13" t="s">
        <v>470</v>
      </c>
      <c r="C439" s="13" t="s">
        <v>41</v>
      </c>
      <c r="D439" s="15">
        <f>[1]Лист4!D430</f>
        <v>228690</v>
      </c>
      <c r="E439" s="15">
        <f>[2]Лист4!D431</f>
        <v>305000</v>
      </c>
      <c r="F439" s="15">
        <f>[3]Лист4!D431</f>
        <v>366000</v>
      </c>
      <c r="G439" s="16">
        <f>[4]Лист4!D430</f>
        <v>288750</v>
      </c>
      <c r="H439" s="15"/>
      <c r="I439" s="15"/>
      <c r="J439" s="15"/>
      <c r="K439" s="15"/>
      <c r="L439" s="15"/>
      <c r="M439" s="15"/>
      <c r="N439" s="15"/>
      <c r="O439" s="15"/>
      <c r="P439" s="15"/>
      <c r="Q439" s="15"/>
      <c r="R439" s="15"/>
      <c r="S439" s="15"/>
      <c r="T439" s="15"/>
      <c r="U439" s="15"/>
      <c r="V439" s="15"/>
      <c r="W439" s="15"/>
      <c r="X439" s="15"/>
      <c r="Y439" s="15"/>
      <c r="Z439" s="15">
        <f t="shared" si="6"/>
        <v>228690</v>
      </c>
      <c r="AA439" s="8"/>
      <c r="AB439" s="7"/>
    </row>
    <row r="440" spans="1:28" ht="63" customHeight="1" thickBot="1" x14ac:dyDescent="0.3">
      <c r="A440" s="14">
        <v>428</v>
      </c>
      <c r="B440" s="13" t="s">
        <v>471</v>
      </c>
      <c r="C440" s="13" t="s">
        <v>41</v>
      </c>
      <c r="D440" s="15">
        <f>[1]Лист4!D431</f>
        <v>252000</v>
      </c>
      <c r="E440" s="15">
        <f>[2]Лист4!D432</f>
        <v>305000</v>
      </c>
      <c r="F440" s="15">
        <f>[3]Лист4!D432</f>
        <v>244000</v>
      </c>
      <c r="G440" s="16">
        <f>[4]Лист4!D431</f>
        <v>315000</v>
      </c>
      <c r="H440" s="15"/>
      <c r="I440" s="15"/>
      <c r="J440" s="15"/>
      <c r="K440" s="15"/>
      <c r="L440" s="15"/>
      <c r="M440" s="15"/>
      <c r="N440" s="15"/>
      <c r="O440" s="15"/>
      <c r="P440" s="15"/>
      <c r="Q440" s="15"/>
      <c r="R440" s="15"/>
      <c r="S440" s="15"/>
      <c r="T440" s="15"/>
      <c r="U440" s="15"/>
      <c r="V440" s="15"/>
      <c r="W440" s="15"/>
      <c r="X440" s="15"/>
      <c r="Y440" s="15"/>
      <c r="Z440" s="15">
        <f t="shared" si="6"/>
        <v>244000</v>
      </c>
      <c r="AA440" s="8"/>
      <c r="AB440" s="7"/>
    </row>
    <row r="441" spans="1:28" ht="63" customHeight="1" thickBot="1" x14ac:dyDescent="0.3">
      <c r="A441" s="14">
        <v>429</v>
      </c>
      <c r="B441" s="13" t="s">
        <v>472</v>
      </c>
      <c r="C441" s="13" t="s">
        <v>41</v>
      </c>
      <c r="D441" s="15">
        <f>[1]Лист4!D432</f>
        <v>187110</v>
      </c>
      <c r="E441" s="15">
        <f>[2]Лист4!D433</f>
        <v>250100</v>
      </c>
      <c r="F441" s="15">
        <f>[3]Лист4!D433</f>
        <v>244000</v>
      </c>
      <c r="G441" s="16">
        <f>[4]Лист4!D432</f>
        <v>199500</v>
      </c>
      <c r="H441" s="15"/>
      <c r="I441" s="15"/>
      <c r="J441" s="15"/>
      <c r="K441" s="15"/>
      <c r="L441" s="15"/>
      <c r="M441" s="15"/>
      <c r="N441" s="15"/>
      <c r="O441" s="15"/>
      <c r="P441" s="15"/>
      <c r="Q441" s="15"/>
      <c r="R441" s="15"/>
      <c r="S441" s="15"/>
      <c r="T441" s="15"/>
      <c r="U441" s="15"/>
      <c r="V441" s="15"/>
      <c r="W441" s="15"/>
      <c r="X441" s="15"/>
      <c r="Y441" s="15"/>
      <c r="Z441" s="15">
        <f t="shared" si="6"/>
        <v>187110</v>
      </c>
      <c r="AA441" s="8"/>
      <c r="AB441" s="7"/>
    </row>
    <row r="442" spans="1:28" ht="15.75" thickBot="1" x14ac:dyDescent="0.3">
      <c r="A442" s="32" t="s">
        <v>32</v>
      </c>
      <c r="B442" s="32"/>
      <c r="C442" s="32"/>
      <c r="D442" s="17">
        <f>SUM(D13:D441)</f>
        <v>70003281.584999993</v>
      </c>
      <c r="E442" s="17">
        <f t="shared" ref="E442:G442" si="7">SUM(E13:E441)</f>
        <v>91692352.299999997</v>
      </c>
      <c r="F442" s="17">
        <f>SUM(F13:F441)</f>
        <v>93079274</v>
      </c>
      <c r="G442" s="17">
        <f t="shared" si="7"/>
        <v>84861504.75</v>
      </c>
      <c r="H442" s="18"/>
      <c r="I442" s="18"/>
      <c r="J442" s="18"/>
      <c r="K442" s="18"/>
      <c r="L442" s="18"/>
      <c r="M442" s="18"/>
      <c r="N442" s="18"/>
      <c r="O442" s="18"/>
      <c r="P442" s="18"/>
      <c r="Q442" s="18"/>
      <c r="R442" s="18"/>
      <c r="S442" s="18"/>
      <c r="T442" s="18"/>
      <c r="U442" s="18"/>
      <c r="V442" s="18"/>
      <c r="W442" s="18"/>
      <c r="X442" s="18"/>
      <c r="Y442" s="18"/>
      <c r="Z442" s="15">
        <v>69472955.159999996</v>
      </c>
    </row>
    <row r="443" spans="1:28" ht="15.75" thickBot="1" x14ac:dyDescent="0.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14" t="s">
        <v>20</v>
      </c>
      <c r="Z443" s="19"/>
    </row>
    <row r="444" spans="1:28" ht="15.75" thickBot="1" x14ac:dyDescent="0.3">
      <c r="A444" s="34" t="s">
        <v>496</v>
      </c>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8"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8" x14ac:dyDescent="0.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8" ht="48" customHeight="1" x14ac:dyDescent="0.2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8" x14ac:dyDescent="0.25">
      <c r="A448" s="29"/>
      <c r="B448" s="29"/>
      <c r="C448" s="29"/>
      <c r="E448" s="30"/>
      <c r="F448" s="30"/>
      <c r="G448" s="30"/>
      <c r="H448" s="5"/>
      <c r="I448" s="5"/>
      <c r="J448" s="5"/>
      <c r="K448" s="5"/>
      <c r="L448" s="5"/>
      <c r="M448" s="5"/>
      <c r="N448" s="5"/>
      <c r="O448" s="5"/>
      <c r="P448" s="5"/>
      <c r="Q448" s="5"/>
      <c r="R448" s="5"/>
      <c r="S448" s="5"/>
      <c r="T448" s="5"/>
      <c r="U448" s="5"/>
      <c r="V448" s="5"/>
      <c r="W448" s="5"/>
      <c r="X448" s="5"/>
      <c r="Y448" s="5"/>
    </row>
    <row r="449" spans="1:25" x14ac:dyDescent="0.25">
      <c r="A449" s="31"/>
      <c r="B449" s="31"/>
      <c r="C449" s="31"/>
      <c r="E449" s="31"/>
      <c r="F449" s="31"/>
      <c r="G449" s="31"/>
      <c r="H449"/>
      <c r="I449"/>
      <c r="J449"/>
      <c r="K449"/>
      <c r="L449"/>
      <c r="M449"/>
      <c r="N449"/>
      <c r="O449"/>
      <c r="P449"/>
      <c r="Q449"/>
      <c r="R449"/>
      <c r="S449"/>
      <c r="T449"/>
      <c r="U449"/>
      <c r="V449"/>
      <c r="W449"/>
      <c r="X449"/>
      <c r="Y449"/>
    </row>
  </sheetData>
  <mergeCells count="25">
    <mergeCell ref="A3:Z3"/>
    <mergeCell ref="A6:B6"/>
    <mergeCell ref="C6:Z6"/>
    <mergeCell ref="A7:B7"/>
    <mergeCell ref="C7:Z7"/>
    <mergeCell ref="A8:B8"/>
    <mergeCell ref="C8:Z8"/>
    <mergeCell ref="A9:B9"/>
    <mergeCell ref="C9:Z9"/>
    <mergeCell ref="A10:Z10"/>
    <mergeCell ref="Y11:Y12"/>
    <mergeCell ref="A11:A12"/>
    <mergeCell ref="Z11:Z12"/>
    <mergeCell ref="B11:B12"/>
    <mergeCell ref="C11:C12"/>
    <mergeCell ref="A442:C442"/>
    <mergeCell ref="A443:X443"/>
    <mergeCell ref="A444:Z444"/>
    <mergeCell ref="A445:Z445"/>
    <mergeCell ref="A446:Z446"/>
    <mergeCell ref="A447:Z447"/>
    <mergeCell ref="A448:C448"/>
    <mergeCell ref="E448:G448"/>
    <mergeCell ref="A449:C449"/>
    <mergeCell ref="E449:G449"/>
  </mergeCells>
  <phoneticPr fontId="8" type="noConversion"/>
  <pageMargins left="0.24027777777777801" right="0.24027777777777801" top="0.05" bottom="0.209722222222222" header="0.51180555555555496" footer="0.51180555555555496"/>
  <pageSetup paperSize="9" scale="63" fitToHeight="0" orientation="portrait" useFirstPageNumber="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Аюпов Дамир Айратович</dc:creator>
  <cp:lastModifiedBy>Антонов Кирилл Вальрьевич</cp:lastModifiedBy>
  <cp:revision>7</cp:revision>
  <cp:lastPrinted>2026-03-30T10:39:23Z</cp:lastPrinted>
  <dcterms:created xsi:type="dcterms:W3CDTF">2014-01-17T11:35:00Z</dcterms:created>
  <dcterms:modified xsi:type="dcterms:W3CDTF">2026-09-01T11:35:04Z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1049-11.2.0.10101</vt:lpwstr>
  </property>
  <property fmtid="{D5CDD505-2E9C-101B-9397-08002B2CF9AE}" pid="3" name="Generator">
    <vt:lpwstr>NPOI</vt:lpwstr>
  </property>
  <property fmtid="{D5CDD505-2E9C-101B-9397-08002B2CF9AE}" pid="4" name="Generator Version">
    <vt:lpwstr>2.4.1</vt:lpwstr>
  </property>
</Properties>
</file>