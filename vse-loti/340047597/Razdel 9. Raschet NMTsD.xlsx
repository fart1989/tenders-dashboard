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RMO\Управление закупок\1. УЗиС\1. ЗАКУПКИ\- 2026\3. МПК_К\МПК_К-26-168 Поставка шин пневматических\02 в работе\"/>
    </mc:Choice>
  </mc:AlternateContent>
  <xr:revisionPtr revIDLastSave="0" documentId="13_ncr:1_{325976D6-3EF2-41DC-AB70-6A3BDFE81B1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спнмц (2)" sheetId="3" r:id="rId1"/>
  </sheets>
  <definedNames>
    <definedName name="OLE_LINK1" localSheetId="0">'спнмц (2)'!#REF!</definedName>
    <definedName name="_xlnm.Print_Area" localSheetId="0">'спнмц (2)'!$A$1:$O$44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3" i="3" l="1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I23" i="3"/>
  <c r="I22" i="3"/>
  <c r="K22" i="3" s="1"/>
  <c r="H29" i="3"/>
  <c r="I29" i="3"/>
  <c r="I39" i="3"/>
  <c r="J29" i="3" l="1"/>
  <c r="H23" i="3"/>
  <c r="H24" i="3"/>
  <c r="I24" i="3"/>
  <c r="H25" i="3"/>
  <c r="I25" i="3"/>
  <c r="H26" i="3"/>
  <c r="I26" i="3"/>
  <c r="H27" i="3"/>
  <c r="I27" i="3"/>
  <c r="H28" i="3"/>
  <c r="I28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H40" i="3"/>
  <c r="I40" i="3"/>
  <c r="H41" i="3"/>
  <c r="I41" i="3"/>
  <c r="H42" i="3"/>
  <c r="I42" i="3"/>
  <c r="H43" i="3"/>
  <c r="I43" i="3"/>
  <c r="H22" i="3"/>
  <c r="J22" i="3" s="1"/>
  <c r="J28" i="3" l="1"/>
  <c r="J23" i="3"/>
  <c r="J26" i="3"/>
  <c r="J43" i="3"/>
  <c r="J40" i="3"/>
  <c r="J37" i="3"/>
  <c r="J34" i="3"/>
  <c r="J31" i="3"/>
  <c r="J25" i="3"/>
  <c r="J42" i="3"/>
  <c r="J41" i="3"/>
  <c r="J39" i="3"/>
  <c r="J38" i="3"/>
  <c r="J36" i="3"/>
  <c r="J35" i="3"/>
  <c r="J33" i="3"/>
  <c r="J32" i="3"/>
  <c r="J30" i="3"/>
  <c r="J27" i="3"/>
  <c r="K44" i="3"/>
  <c r="J24" i="3"/>
</calcChain>
</file>

<file path=xl/sharedStrings.xml><?xml version="1.0" encoding="utf-8"?>
<sst xmlns="http://schemas.openxmlformats.org/spreadsheetml/2006/main" count="71" uniqueCount="49">
  <si>
    <t>Наименование товара</t>
  </si>
  <si>
    <t>Сумма, руб.</t>
  </si>
  <si>
    <t>Основные характеристики объекта закупки</t>
  </si>
  <si>
    <t>Соответствие требованиям технического задания</t>
  </si>
  <si>
    <t>№ п/п</t>
  </si>
  <si>
    <t>Обоснование начальной (максимальной) цены договора</t>
  </si>
  <si>
    <t>Используемый метод определения НМЦД</t>
  </si>
  <si>
    <t>Расчет НМЦД</t>
  </si>
  <si>
    <t>Кол-во</t>
  </si>
  <si>
    <t>Ед. изм.</t>
  </si>
  <si>
    <t>Цена единицы товара, руб.</t>
  </si>
  <si>
    <t>Используемый метод определения НМЦ:</t>
  </si>
  <si>
    <t>Срок поставки (оказания услуг, выполнения работ):</t>
  </si>
  <si>
    <t xml:space="preserve">согласно Техническому заданию </t>
  </si>
  <si>
    <t>Расчет НМЦ</t>
  </si>
  <si>
    <t xml:space="preserve">Метод сопоставимых рыночных цен (анализа рынка) </t>
  </si>
  <si>
    <t>Среднее квадратичное отклонение</t>
  </si>
  <si>
    <t>Коэффициент вариации цены, %</t>
  </si>
  <si>
    <t>в соответствии с Методикой определения начальной (максимальной) цены договора для конкурентных процедур закупки и цены договора при проведении закупки у единственного поставщика (Приложение №3 Положения о закупке товаров, работ, услуг ООО «МПК Коломенский», используется метод сопоставимых рыночных цен (анализа рынка) . Расчет произведен с учетом коммерческих предложений потенциальных исполнителей в соответствии с Методикой.</t>
  </si>
  <si>
    <t xml:space="preserve">1 источник </t>
  </si>
  <si>
    <t xml:space="preserve">2 источник </t>
  </si>
  <si>
    <t>3 источник</t>
  </si>
  <si>
    <t>в т.ч. НДС</t>
  </si>
  <si>
    <t>Средняя цена единицы, руб. с НДС</t>
  </si>
  <si>
    <t>шт</t>
  </si>
  <si>
    <t>Камера 16.00 R20</t>
  </si>
  <si>
    <t>Камера 11,2-20</t>
  </si>
  <si>
    <t>Камера 15,5-38 (Ф-2А)</t>
  </si>
  <si>
    <t>Камеры 12.00 R24</t>
  </si>
  <si>
    <t>Шина 5.00-10 АЛТАЙШИНА В-19А 6PR 69/30 (A6) TT с камерой</t>
  </si>
  <si>
    <t>Шина Алтайшина В-19А 5.00-10 в сборе с камерой</t>
  </si>
  <si>
    <t>Шина Алтайшина/Волтайр  Ф-2АД 15.5-38</t>
  </si>
  <si>
    <t>С/х шина 360/70R24 Бел-89 (Белшина) с камерой на шасси МТЗ-82.1 (трактор)</t>
  </si>
  <si>
    <t>Камера для с/х шины 360/70R24 Бел-89 (Белшина)  на шасси МТЗ-82.1 (трактор)</t>
  </si>
  <si>
    <t xml:space="preserve">Шина 11R22.5 Кама NR-702 148/145K TL -50   </t>
  </si>
  <si>
    <t xml:space="preserve">Шина 15.5-25 </t>
  </si>
  <si>
    <t>Шина Волтайр 11.2-20 Ф-35 284 R20 на шасси МТЗ-82.1</t>
  </si>
  <si>
    <t>Комплект из шины с камерой и ободной лентой 12.00R24</t>
  </si>
  <si>
    <t xml:space="preserve">Шина Кама 16.00 R20 </t>
  </si>
  <si>
    <t>Поставка колесной продукции</t>
  </si>
  <si>
    <t>Шина 315/80 R22.5 156/150K</t>
  </si>
  <si>
    <t>Шина индустриальная 11.5/80-15.3 16PR TL в сборе с камерой</t>
  </si>
  <si>
    <t>Шина 10-16,5 12 L5 TL</t>
  </si>
  <si>
    <t>Шины 185/75 R16 104/102R</t>
  </si>
  <si>
    <t>Шины 185/75 R16 Q8PR</t>
  </si>
  <si>
    <t>Шины летние 205/60 R16 92H</t>
  </si>
  <si>
    <t>Шина зимняя 205/60 R16</t>
  </si>
  <si>
    <t>Шина 10-16,5 14PR TL L-5 (блоки) пневматическая, заполненная полиуретаном</t>
  </si>
  <si>
    <t>ИТОГО, руб. НДС: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</si>
</sst>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_р_."/>
    <numFmt numFmtId="165" formatCode="0.000"/>
  </numFmts>
  <fonts count="1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rgb="FF0000FF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thin">
        <color theme="4" tint="-0.49998474074526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</borders>
  <cellStyleXfs count="5">
    <xf numFmtId="0" fontId="0" fillId="0" borderId="0"/>
    <xf numFmtId="0" fontId="4" fillId="0" borderId="0" applyNumberFormat="0" applyFont="0" applyFill="0" applyBorder="0" applyAlignment="0" applyProtection="0">
      <alignment vertical="top"/>
    </xf>
    <xf numFmtId="0" fontId="2" fillId="0" borderId="0"/>
    <xf numFmtId="0" fontId="5" fillId="0" borderId="0"/>
    <xf numFmtId="0" fontId="1" fillId="0" borderId="0"/>
  </cellStyleXfs>
  <cellXfs count="44">
    <xf numFmtId="0" fontId="0" fillId="0" borderId="0" xfId="0"/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6" fillId="2" borderId="10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5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4" fontId="3" fillId="0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1" xr:uid="{00000000-0005-0000-0000-000001000000}"/>
    <cellStyle name="Обычный 3" xfId="3" xr:uid="{00000000-0005-0000-0000-000002000000}"/>
    <cellStyle name="Обычный 4" xfId="2" xr:uid="{00000000-0005-0000-0000-000003000000}"/>
    <cellStyle name="Обычный 4 2" xfId="4" xr:uid="{00000000-0005-0000-0000-000003000000}"/>
  </cellStyles>
  <dxfs count="0"/>
  <tableStyles count="1" defaultTableStyle="TableStyleMedium2" defaultPivotStyle="PivotStyleLight16">
    <tableStyle name="Стиль таблицы 1" pivot="0" count="0" xr9:uid="{00000000-0011-0000-FFFF-FFFF00000000}"/>
  </tableStyles>
  <colors>
    <mruColors>
      <color rgb="FF0000FF"/>
      <color rgb="FFEE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1979-57F8-4C93-ACAA-16B867E0DCCA}">
  <sheetPr>
    <pageSetUpPr fitToPage="1"/>
  </sheetPr>
  <dimension ref="A2:M44"/>
  <sheetViews>
    <sheetView tabSelected="1" view="pageBreakPreview" topLeftCell="A16" zoomScale="115" zoomScaleNormal="100" zoomScaleSheetLayoutView="115" workbookViewId="0">
      <selection activeCell="I20" sqref="I20:I21"/>
    </sheetView>
  </sheetViews>
  <sheetFormatPr defaultRowHeight="12.75" x14ac:dyDescent="0.2"/>
  <cols>
    <col min="1" max="1" width="7.42578125" style="7" bestFit="1" customWidth="1"/>
    <col min="2" max="2" width="65.7109375" style="2" bestFit="1" customWidth="1"/>
    <col min="3" max="3" width="8.85546875" style="2" bestFit="1" customWidth="1"/>
    <col min="4" max="4" width="6.5703125" style="1" customWidth="1"/>
    <col min="5" max="6" width="13.85546875" style="6" customWidth="1"/>
    <col min="7" max="7" width="14.85546875" style="6" customWidth="1"/>
    <col min="8" max="8" width="18" style="6" customWidth="1"/>
    <col min="9" max="9" width="16.85546875" style="6" customWidth="1"/>
    <col min="10" max="10" width="16.5703125" style="6" customWidth="1"/>
    <col min="11" max="11" width="19.5703125" style="7" customWidth="1"/>
    <col min="12" max="12" width="10.85546875" style="7" bestFit="1" customWidth="1"/>
    <col min="13" max="13" width="15.28515625" style="7" customWidth="1"/>
    <col min="14" max="16384" width="9.140625" style="7"/>
  </cols>
  <sheetData>
    <row r="2" spans="1:11" ht="14.25" x14ac:dyDescent="0.2">
      <c r="A2" s="22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15" x14ac:dyDescent="0.2">
      <c r="A3" s="23" t="s">
        <v>39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15.75" x14ac:dyDescent="0.2">
      <c r="A5" s="24" t="s">
        <v>11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15" customHeight="1" x14ac:dyDescent="0.2">
      <c r="A6" s="25" t="s">
        <v>18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11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ht="15.75" x14ac:dyDescent="0.2">
      <c r="A11" s="26" t="s">
        <v>12</v>
      </c>
      <c r="B11" s="26"/>
      <c r="C11" s="10" t="s">
        <v>13</v>
      </c>
      <c r="D11" s="10"/>
      <c r="E11" s="10"/>
      <c r="F11" s="10"/>
      <c r="G11" s="10"/>
      <c r="H11" s="10"/>
      <c r="I11" s="10"/>
      <c r="J11" s="10"/>
      <c r="K11" s="12"/>
    </row>
    <row r="12" spans="1:11" ht="15.75" x14ac:dyDescent="0.2">
      <c r="A12" s="13"/>
      <c r="B12" s="13"/>
      <c r="C12" s="10"/>
      <c r="D12" s="10"/>
      <c r="E12" s="10"/>
      <c r="F12" s="10"/>
      <c r="G12" s="10"/>
      <c r="H12" s="10"/>
      <c r="I12" s="10"/>
      <c r="J12" s="10"/>
      <c r="K12" s="12"/>
    </row>
    <row r="13" spans="1:11" ht="15" customHeight="1" x14ac:dyDescent="0.2">
      <c r="A13" s="27" t="s">
        <v>14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x14ac:dyDescent="0.2">
      <c r="A14" s="28" t="s">
        <v>15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ht="12.75" customHeight="1" x14ac:dyDescent="0.2">
      <c r="K16" s="14" t="s">
        <v>22</v>
      </c>
    </row>
    <row r="17" spans="1:12" ht="14.25" customHeight="1" x14ac:dyDescent="0.2">
      <c r="A17" s="29" t="s">
        <v>2</v>
      </c>
      <c r="B17" s="29"/>
      <c r="C17" s="11"/>
      <c r="D17" s="29" t="s">
        <v>3</v>
      </c>
      <c r="E17" s="29"/>
      <c r="F17" s="29"/>
      <c r="G17" s="29"/>
      <c r="H17" s="29"/>
      <c r="I17" s="29"/>
      <c r="J17" s="29"/>
      <c r="K17" s="29"/>
    </row>
    <row r="18" spans="1:12" ht="14.25" customHeight="1" x14ac:dyDescent="0.2">
      <c r="A18" s="29" t="s">
        <v>6</v>
      </c>
      <c r="B18" s="29"/>
      <c r="C18" s="11"/>
      <c r="D18" s="30" t="s">
        <v>15</v>
      </c>
      <c r="E18" s="31"/>
      <c r="F18" s="31"/>
      <c r="G18" s="31"/>
      <c r="H18" s="31"/>
      <c r="I18" s="31"/>
      <c r="J18" s="31"/>
      <c r="K18" s="32"/>
    </row>
    <row r="19" spans="1:12" ht="14.25" customHeight="1" x14ac:dyDescent="0.2">
      <c r="A19" s="42" t="s">
        <v>7</v>
      </c>
      <c r="B19" s="43"/>
      <c r="C19" s="43"/>
      <c r="D19" s="43"/>
      <c r="E19" s="43"/>
      <c r="F19" s="43"/>
      <c r="G19" s="43"/>
      <c r="H19" s="43"/>
      <c r="I19" s="43"/>
      <c r="J19" s="43"/>
      <c r="K19" s="34"/>
    </row>
    <row r="20" spans="1:12" ht="14.25" customHeight="1" x14ac:dyDescent="0.2">
      <c r="A20" s="33" t="s">
        <v>4</v>
      </c>
      <c r="B20" s="33" t="s">
        <v>0</v>
      </c>
      <c r="C20" s="34" t="s">
        <v>9</v>
      </c>
      <c r="D20" s="29" t="s">
        <v>8</v>
      </c>
      <c r="E20" s="36" t="s">
        <v>10</v>
      </c>
      <c r="F20" s="37"/>
      <c r="G20" s="37"/>
      <c r="H20" s="29" t="s">
        <v>16</v>
      </c>
      <c r="I20" s="29" t="s">
        <v>23</v>
      </c>
      <c r="J20" s="29" t="s">
        <v>17</v>
      </c>
      <c r="K20" s="29" t="s">
        <v>1</v>
      </c>
    </row>
    <row r="21" spans="1:12" ht="30" customHeight="1" x14ac:dyDescent="0.2">
      <c r="A21" s="33"/>
      <c r="B21" s="33"/>
      <c r="C21" s="35"/>
      <c r="D21" s="21"/>
      <c r="E21" s="8" t="s">
        <v>19</v>
      </c>
      <c r="F21" s="8" t="s">
        <v>20</v>
      </c>
      <c r="G21" s="8" t="s">
        <v>21</v>
      </c>
      <c r="H21" s="21"/>
      <c r="I21" s="21"/>
      <c r="J21" s="21"/>
      <c r="K21" s="21"/>
    </row>
    <row r="22" spans="1:12" x14ac:dyDescent="0.2">
      <c r="A22" s="15">
        <v>1</v>
      </c>
      <c r="B22" s="16" t="s">
        <v>34</v>
      </c>
      <c r="C22" s="4" t="s">
        <v>24</v>
      </c>
      <c r="D22" s="5">
        <v>20</v>
      </c>
      <c r="E22" s="9">
        <v>21500</v>
      </c>
      <c r="F22" s="9">
        <v>27147</v>
      </c>
      <c r="G22" s="9">
        <v>26640</v>
      </c>
      <c r="H22" s="9">
        <f>_xlfn.STDEV.P(E22:G22)</f>
        <v>2550.9313767502426</v>
      </c>
      <c r="I22" s="9">
        <f>AVERAGE(E22:G22)</f>
        <v>25095.666666666668</v>
      </c>
      <c r="J22" s="9">
        <f>H22/I22</f>
        <v>0.10164828098145401</v>
      </c>
      <c r="K22" s="9">
        <f>D22*I22</f>
        <v>501913.33333333337</v>
      </c>
      <c r="L22" s="17"/>
    </row>
    <row r="23" spans="1:12" x14ac:dyDescent="0.2">
      <c r="A23" s="15">
        <v>2</v>
      </c>
      <c r="B23" s="20" t="s">
        <v>38</v>
      </c>
      <c r="C23" s="4" t="s">
        <v>24</v>
      </c>
      <c r="D23" s="5">
        <v>70</v>
      </c>
      <c r="E23" s="9">
        <v>62000</v>
      </c>
      <c r="F23" s="9">
        <v>76203</v>
      </c>
      <c r="G23" s="9">
        <v>74850</v>
      </c>
      <c r="H23" s="9">
        <f t="shared" ref="H23:H43" si="0">_xlfn.STDEV.P(E23:G23)</f>
        <v>6400.3326128847057</v>
      </c>
      <c r="I23" s="9">
        <f>AVERAGE(E23:G23)</f>
        <v>71017.666666666672</v>
      </c>
      <c r="J23" s="9">
        <f t="shared" ref="J23:J43" si="1">H23/I23</f>
        <v>9.0123104761041226E-2</v>
      </c>
      <c r="K23" s="9">
        <f t="shared" ref="K23:K43" si="2">D23*I23</f>
        <v>4971236.666666667</v>
      </c>
      <c r="L23" s="17"/>
    </row>
    <row r="24" spans="1:12" x14ac:dyDescent="0.2">
      <c r="A24" s="15">
        <v>3</v>
      </c>
      <c r="B24" s="20" t="s">
        <v>25</v>
      </c>
      <c r="C24" s="4" t="s">
        <v>24</v>
      </c>
      <c r="D24" s="5">
        <v>30</v>
      </c>
      <c r="E24" s="9">
        <v>3900</v>
      </c>
      <c r="F24" s="9">
        <v>5017</v>
      </c>
      <c r="G24" s="9">
        <v>4932</v>
      </c>
      <c r="H24" s="9">
        <f t="shared" si="0"/>
        <v>507.71142284657026</v>
      </c>
      <c r="I24" s="9">
        <f t="shared" ref="I24:I43" si="3">AVERAGE(E24:G24)</f>
        <v>4616.333333333333</v>
      </c>
      <c r="J24" s="9">
        <f t="shared" si="1"/>
        <v>0.10998153430137272</v>
      </c>
      <c r="K24" s="9">
        <f t="shared" si="2"/>
        <v>138490</v>
      </c>
      <c r="L24" s="17"/>
    </row>
    <row r="25" spans="1:12" x14ac:dyDescent="0.2">
      <c r="A25" s="15">
        <v>4</v>
      </c>
      <c r="B25" s="20" t="s">
        <v>40</v>
      </c>
      <c r="C25" s="4" t="s">
        <v>24</v>
      </c>
      <c r="D25" s="5">
        <v>60</v>
      </c>
      <c r="E25" s="9">
        <v>24000</v>
      </c>
      <c r="F25" s="9">
        <v>31929</v>
      </c>
      <c r="G25" s="9">
        <v>31333</v>
      </c>
      <c r="H25" s="9">
        <f t="shared" si="0"/>
        <v>3605.5072997969214</v>
      </c>
      <c r="I25" s="9">
        <f t="shared" si="3"/>
        <v>29087.333333333332</v>
      </c>
      <c r="J25" s="9">
        <f t="shared" si="1"/>
        <v>0.12395454951056319</v>
      </c>
      <c r="K25" s="9">
        <f t="shared" si="2"/>
        <v>1745240</v>
      </c>
      <c r="L25" s="17"/>
    </row>
    <row r="26" spans="1:12" x14ac:dyDescent="0.2">
      <c r="A26" s="15">
        <v>5</v>
      </c>
      <c r="B26" s="20" t="s">
        <v>26</v>
      </c>
      <c r="C26" s="4" t="s">
        <v>24</v>
      </c>
      <c r="D26" s="5">
        <v>4</v>
      </c>
      <c r="E26" s="9">
        <v>6000</v>
      </c>
      <c r="F26" s="9">
        <v>2625</v>
      </c>
      <c r="G26" s="9">
        <v>2580</v>
      </c>
      <c r="H26" s="9">
        <f t="shared" si="0"/>
        <v>1601.7022195152256</v>
      </c>
      <c r="I26" s="9">
        <f t="shared" si="3"/>
        <v>3735</v>
      </c>
      <c r="J26" s="9">
        <f t="shared" si="1"/>
        <v>0.42883593561317956</v>
      </c>
      <c r="K26" s="9">
        <f t="shared" si="2"/>
        <v>14940</v>
      </c>
      <c r="L26" s="17"/>
    </row>
    <row r="27" spans="1:12" x14ac:dyDescent="0.2">
      <c r="A27" s="15">
        <v>6</v>
      </c>
      <c r="B27" s="20" t="s">
        <v>27</v>
      </c>
      <c r="C27" s="4" t="s">
        <v>24</v>
      </c>
      <c r="D27" s="5">
        <v>4</v>
      </c>
      <c r="E27" s="9">
        <v>8000</v>
      </c>
      <c r="F27" s="9">
        <v>5246</v>
      </c>
      <c r="G27" s="9">
        <v>5158</v>
      </c>
      <c r="H27" s="9">
        <f t="shared" si="0"/>
        <v>1319.4790217691561</v>
      </c>
      <c r="I27" s="9">
        <f t="shared" si="3"/>
        <v>6134.666666666667</v>
      </c>
      <c r="J27" s="9">
        <f t="shared" si="1"/>
        <v>0.2150856914424836</v>
      </c>
      <c r="K27" s="9">
        <f t="shared" si="2"/>
        <v>24538.666666666668</v>
      </c>
      <c r="L27" s="17"/>
    </row>
    <row r="28" spans="1:12" x14ac:dyDescent="0.2">
      <c r="A28" s="15">
        <v>7</v>
      </c>
      <c r="B28" s="20" t="s">
        <v>37</v>
      </c>
      <c r="C28" s="4" t="s">
        <v>24</v>
      </c>
      <c r="D28" s="5">
        <v>20</v>
      </c>
      <c r="E28" s="9">
        <v>40000</v>
      </c>
      <c r="F28" s="9">
        <v>49842</v>
      </c>
      <c r="G28" s="9">
        <v>48941</v>
      </c>
      <c r="H28" s="9">
        <f t="shared" si="0"/>
        <v>4442.4498496512788</v>
      </c>
      <c r="I28" s="9">
        <f t="shared" si="3"/>
        <v>46261</v>
      </c>
      <c r="J28" s="9">
        <f t="shared" si="1"/>
        <v>9.603013012367391E-2</v>
      </c>
      <c r="K28" s="9">
        <f t="shared" si="2"/>
        <v>925220</v>
      </c>
      <c r="L28" s="17"/>
    </row>
    <row r="29" spans="1:12" x14ac:dyDescent="0.2">
      <c r="A29" s="15">
        <v>8</v>
      </c>
      <c r="B29" s="20" t="s">
        <v>28</v>
      </c>
      <c r="C29" s="4" t="s">
        <v>24</v>
      </c>
      <c r="D29" s="5">
        <v>20</v>
      </c>
      <c r="E29" s="9">
        <v>2800</v>
      </c>
      <c r="F29" s="9">
        <v>3557</v>
      </c>
      <c r="G29" s="9">
        <v>3497</v>
      </c>
      <c r="H29" s="9">
        <f t="shared" si="0"/>
        <v>343.58534440352503</v>
      </c>
      <c r="I29" s="9">
        <f t="shared" si="3"/>
        <v>3284.6666666666665</v>
      </c>
      <c r="J29" s="9">
        <f t="shared" si="1"/>
        <v>0.10460280426330172</v>
      </c>
      <c r="K29" s="9">
        <f t="shared" si="2"/>
        <v>65693.333333333328</v>
      </c>
      <c r="L29" s="17"/>
    </row>
    <row r="30" spans="1:12" x14ac:dyDescent="0.2">
      <c r="A30" s="15">
        <v>9</v>
      </c>
      <c r="B30" s="20" t="s">
        <v>35</v>
      </c>
      <c r="C30" s="4" t="s">
        <v>24</v>
      </c>
      <c r="D30" s="5">
        <v>4</v>
      </c>
      <c r="E30" s="9">
        <v>48000</v>
      </c>
      <c r="F30" s="9">
        <v>66425</v>
      </c>
      <c r="G30" s="9">
        <v>59906</v>
      </c>
      <c r="H30" s="9">
        <f t="shared" si="0"/>
        <v>7628.3886604941381</v>
      </c>
      <c r="I30" s="9">
        <f t="shared" si="3"/>
        <v>58110.333333333336</v>
      </c>
      <c r="J30" s="9">
        <f t="shared" si="1"/>
        <v>0.1312742196252096</v>
      </c>
      <c r="K30" s="9">
        <f t="shared" si="2"/>
        <v>232441.33333333334</v>
      </c>
      <c r="L30" s="17"/>
    </row>
    <row r="31" spans="1:12" x14ac:dyDescent="0.2">
      <c r="A31" s="15">
        <v>10</v>
      </c>
      <c r="B31" s="16" t="s">
        <v>41</v>
      </c>
      <c r="C31" s="4" t="s">
        <v>24</v>
      </c>
      <c r="D31" s="5">
        <v>4</v>
      </c>
      <c r="E31" s="9">
        <v>17000</v>
      </c>
      <c r="F31" s="9">
        <v>13440</v>
      </c>
      <c r="G31" s="9">
        <v>12109</v>
      </c>
      <c r="H31" s="9">
        <f t="shared" si="0"/>
        <v>2064.7044986308979</v>
      </c>
      <c r="I31" s="9">
        <f t="shared" si="3"/>
        <v>14183</v>
      </c>
      <c r="J31" s="9">
        <f t="shared" si="1"/>
        <v>0.14557600639010773</v>
      </c>
      <c r="K31" s="9">
        <f t="shared" si="2"/>
        <v>56732</v>
      </c>
      <c r="L31" s="17"/>
    </row>
    <row r="32" spans="1:12" x14ac:dyDescent="0.2">
      <c r="A32" s="15">
        <v>11</v>
      </c>
      <c r="B32" s="16" t="s">
        <v>29</v>
      </c>
      <c r="C32" s="4" t="s">
        <v>24</v>
      </c>
      <c r="D32" s="5">
        <v>4</v>
      </c>
      <c r="E32" s="9">
        <v>6900</v>
      </c>
      <c r="F32" s="9">
        <v>3681</v>
      </c>
      <c r="G32" s="9">
        <v>3316</v>
      </c>
      <c r="H32" s="9">
        <f t="shared" si="0"/>
        <v>1610.3913258032105</v>
      </c>
      <c r="I32" s="9">
        <f t="shared" si="3"/>
        <v>4632.333333333333</v>
      </c>
      <c r="J32" s="9">
        <f t="shared" si="1"/>
        <v>0.34764150373531205</v>
      </c>
      <c r="K32" s="9">
        <f t="shared" si="2"/>
        <v>18529.333333333332</v>
      </c>
      <c r="L32" s="17"/>
    </row>
    <row r="33" spans="1:13" x14ac:dyDescent="0.2">
      <c r="A33" s="15">
        <v>12</v>
      </c>
      <c r="B33" s="16" t="s">
        <v>42</v>
      </c>
      <c r="C33" s="4" t="s">
        <v>24</v>
      </c>
      <c r="D33" s="5">
        <v>8</v>
      </c>
      <c r="E33" s="9">
        <v>17500</v>
      </c>
      <c r="F33" s="9">
        <v>21226</v>
      </c>
      <c r="G33" s="9">
        <v>18979</v>
      </c>
      <c r="H33" s="9">
        <f t="shared" si="0"/>
        <v>1531.8661821451637</v>
      </c>
      <c r="I33" s="9">
        <f t="shared" si="3"/>
        <v>19235</v>
      </c>
      <c r="J33" s="9">
        <f t="shared" si="1"/>
        <v>7.9639520776977585E-2</v>
      </c>
      <c r="K33" s="9">
        <f t="shared" si="2"/>
        <v>153880</v>
      </c>
      <c r="L33" s="17"/>
    </row>
    <row r="34" spans="1:13" x14ac:dyDescent="0.2">
      <c r="A34" s="15">
        <v>13</v>
      </c>
      <c r="B34" s="16" t="s">
        <v>30</v>
      </c>
      <c r="C34" s="4" t="s">
        <v>24</v>
      </c>
      <c r="D34" s="5">
        <v>4</v>
      </c>
      <c r="E34" s="9">
        <v>5000</v>
      </c>
      <c r="F34" s="9">
        <v>3779</v>
      </c>
      <c r="G34" s="9">
        <v>3405</v>
      </c>
      <c r="H34" s="9">
        <f t="shared" si="0"/>
        <v>681.07284648723316</v>
      </c>
      <c r="I34" s="9">
        <f t="shared" si="3"/>
        <v>4061.3333333333335</v>
      </c>
      <c r="J34" s="9">
        <f t="shared" si="1"/>
        <v>0.16769685977197138</v>
      </c>
      <c r="K34" s="9">
        <f t="shared" si="2"/>
        <v>16245.333333333334</v>
      </c>
      <c r="L34" s="17"/>
    </row>
    <row r="35" spans="1:13" x14ac:dyDescent="0.2">
      <c r="A35" s="15">
        <v>14</v>
      </c>
      <c r="B35" s="16" t="s">
        <v>31</v>
      </c>
      <c r="C35" s="4" t="s">
        <v>24</v>
      </c>
      <c r="D35" s="5">
        <v>4</v>
      </c>
      <c r="E35" s="9">
        <v>36000</v>
      </c>
      <c r="F35" s="9">
        <v>40445</v>
      </c>
      <c r="G35" s="9">
        <v>36443</v>
      </c>
      <c r="H35" s="9">
        <f t="shared" si="0"/>
        <v>1999.1742184100804</v>
      </c>
      <c r="I35" s="9">
        <f t="shared" si="3"/>
        <v>37629.333333333336</v>
      </c>
      <c r="J35" s="9">
        <f t="shared" si="1"/>
        <v>5.3128079647351716E-2</v>
      </c>
      <c r="K35" s="9">
        <f t="shared" si="2"/>
        <v>150517.33333333334</v>
      </c>
      <c r="L35" s="17"/>
    </row>
    <row r="36" spans="1:13" x14ac:dyDescent="0.2">
      <c r="A36" s="15">
        <v>15</v>
      </c>
      <c r="B36" s="16" t="s">
        <v>32</v>
      </c>
      <c r="C36" s="4" t="s">
        <v>24</v>
      </c>
      <c r="D36" s="5">
        <v>4</v>
      </c>
      <c r="E36" s="9">
        <v>48000</v>
      </c>
      <c r="F36" s="9">
        <v>34868</v>
      </c>
      <c r="G36" s="9">
        <v>32915</v>
      </c>
      <c r="H36" s="9">
        <f t="shared" si="0"/>
        <v>6698.4314747724502</v>
      </c>
      <c r="I36" s="9">
        <f t="shared" si="3"/>
        <v>38594.333333333336</v>
      </c>
      <c r="J36" s="9">
        <f t="shared" si="1"/>
        <v>0.17355997360853795</v>
      </c>
      <c r="K36" s="9">
        <f t="shared" si="2"/>
        <v>154377.33333333334</v>
      </c>
      <c r="L36" s="17"/>
    </row>
    <row r="37" spans="1:13" x14ac:dyDescent="0.2">
      <c r="A37" s="15">
        <v>16</v>
      </c>
      <c r="B37" s="16" t="s">
        <v>33</v>
      </c>
      <c r="C37" s="4" t="s">
        <v>24</v>
      </c>
      <c r="D37" s="5">
        <v>4</v>
      </c>
      <c r="E37" s="9">
        <v>6500</v>
      </c>
      <c r="F37" s="9">
        <v>4509</v>
      </c>
      <c r="G37" s="9">
        <v>3800</v>
      </c>
      <c r="H37" s="9">
        <f t="shared" si="0"/>
        <v>1142.9378324689794</v>
      </c>
      <c r="I37" s="9">
        <f t="shared" si="3"/>
        <v>4936.333333333333</v>
      </c>
      <c r="J37" s="9">
        <f t="shared" si="1"/>
        <v>0.23153578887210063</v>
      </c>
      <c r="K37" s="9">
        <f t="shared" si="2"/>
        <v>19745.333333333332</v>
      </c>
      <c r="L37" s="17"/>
    </row>
    <row r="38" spans="1:13" x14ac:dyDescent="0.2">
      <c r="A38" s="15">
        <v>17</v>
      </c>
      <c r="B38" s="20" t="s">
        <v>43</v>
      </c>
      <c r="C38" s="4" t="s">
        <v>24</v>
      </c>
      <c r="D38" s="5">
        <v>6</v>
      </c>
      <c r="E38" s="9">
        <v>10000</v>
      </c>
      <c r="F38" s="9">
        <v>7751</v>
      </c>
      <c r="G38" s="9">
        <v>7326</v>
      </c>
      <c r="H38" s="9">
        <f t="shared" si="0"/>
        <v>1173.2624031591001</v>
      </c>
      <c r="I38" s="9">
        <f t="shared" si="3"/>
        <v>8359</v>
      </c>
      <c r="J38" s="9">
        <f t="shared" si="1"/>
        <v>0.14035918209822948</v>
      </c>
      <c r="K38" s="9">
        <f t="shared" si="2"/>
        <v>50154</v>
      </c>
      <c r="L38" s="17"/>
    </row>
    <row r="39" spans="1:13" x14ac:dyDescent="0.2">
      <c r="A39" s="15">
        <v>18</v>
      </c>
      <c r="B39" s="20" t="s">
        <v>44</v>
      </c>
      <c r="C39" s="4" t="s">
        <v>24</v>
      </c>
      <c r="D39" s="5">
        <v>6</v>
      </c>
      <c r="E39" s="9">
        <v>8500</v>
      </c>
      <c r="F39" s="9">
        <v>4760</v>
      </c>
      <c r="G39" s="9">
        <v>4494</v>
      </c>
      <c r="H39" s="9">
        <f t="shared" si="0"/>
        <v>1828.9763986084311</v>
      </c>
      <c r="I39" s="9">
        <f>AVERAGE(E39:G39)</f>
        <v>5918</v>
      </c>
      <c r="J39" s="9">
        <f t="shared" si="1"/>
        <v>0.30905312582095829</v>
      </c>
      <c r="K39" s="9">
        <f t="shared" si="2"/>
        <v>35508</v>
      </c>
      <c r="L39" s="17"/>
    </row>
    <row r="40" spans="1:13" x14ac:dyDescent="0.2">
      <c r="A40" s="15">
        <v>19</v>
      </c>
      <c r="B40" s="20" t="s">
        <v>45</v>
      </c>
      <c r="C40" s="4" t="s">
        <v>24</v>
      </c>
      <c r="D40" s="5">
        <v>4</v>
      </c>
      <c r="E40" s="9">
        <v>9000</v>
      </c>
      <c r="F40" s="9">
        <v>5868</v>
      </c>
      <c r="G40" s="9">
        <v>5654</v>
      </c>
      <c r="H40" s="9">
        <f t="shared" si="0"/>
        <v>1529.3766340862178</v>
      </c>
      <c r="I40" s="9">
        <f t="shared" si="3"/>
        <v>6840.666666666667</v>
      </c>
      <c r="J40" s="9">
        <f t="shared" si="1"/>
        <v>0.22357128458525743</v>
      </c>
      <c r="K40" s="9">
        <f t="shared" si="2"/>
        <v>27362.666666666668</v>
      </c>
      <c r="L40" s="17"/>
    </row>
    <row r="41" spans="1:13" x14ac:dyDescent="0.2">
      <c r="A41" s="15">
        <v>20</v>
      </c>
      <c r="B41" s="20" t="s">
        <v>46</v>
      </c>
      <c r="C41" s="4" t="s">
        <v>24</v>
      </c>
      <c r="D41" s="5">
        <v>4</v>
      </c>
      <c r="E41" s="9">
        <v>11000</v>
      </c>
      <c r="F41" s="9">
        <v>6339</v>
      </c>
      <c r="G41" s="9">
        <v>6167</v>
      </c>
      <c r="H41" s="9">
        <f t="shared" si="0"/>
        <v>2238.8586874169218</v>
      </c>
      <c r="I41" s="9">
        <f t="shared" si="3"/>
        <v>7835.333333333333</v>
      </c>
      <c r="J41" s="9">
        <f t="shared" si="1"/>
        <v>0.28573879274443825</v>
      </c>
      <c r="K41" s="9">
        <f t="shared" si="2"/>
        <v>31341.333333333332</v>
      </c>
      <c r="L41" s="17"/>
    </row>
    <row r="42" spans="1:13" x14ac:dyDescent="0.2">
      <c r="A42" s="15">
        <v>21</v>
      </c>
      <c r="B42" s="16" t="s">
        <v>47</v>
      </c>
      <c r="C42" s="4" t="s">
        <v>24</v>
      </c>
      <c r="D42" s="5">
        <v>8</v>
      </c>
      <c r="E42" s="9">
        <v>69000</v>
      </c>
      <c r="F42" s="9">
        <v>60078</v>
      </c>
      <c r="G42" s="9">
        <v>77243</v>
      </c>
      <c r="H42" s="9">
        <f t="shared" si="0"/>
        <v>7009.4092158723015</v>
      </c>
      <c r="I42" s="9">
        <f t="shared" si="3"/>
        <v>68773.666666666672</v>
      </c>
      <c r="J42" s="9">
        <f t="shared" si="1"/>
        <v>0.10191995796655165</v>
      </c>
      <c r="K42" s="9">
        <f t="shared" si="2"/>
        <v>550189.33333333337</v>
      </c>
      <c r="L42" s="17"/>
    </row>
    <row r="43" spans="1:13" x14ac:dyDescent="0.2">
      <c r="A43" s="15">
        <v>22</v>
      </c>
      <c r="B43" s="16" t="s">
        <v>36</v>
      </c>
      <c r="C43" s="4" t="s">
        <v>24</v>
      </c>
      <c r="D43" s="5">
        <v>4</v>
      </c>
      <c r="E43" s="9">
        <v>17500</v>
      </c>
      <c r="F43" s="9">
        <v>15366</v>
      </c>
      <c r="G43" s="9">
        <v>14786</v>
      </c>
      <c r="H43" s="9">
        <f t="shared" si="0"/>
        <v>1166.9595822763815</v>
      </c>
      <c r="I43" s="9">
        <f t="shared" si="3"/>
        <v>15884</v>
      </c>
      <c r="J43" s="9">
        <f t="shared" si="1"/>
        <v>7.3467614094458678E-2</v>
      </c>
      <c r="K43" s="9">
        <f t="shared" si="2"/>
        <v>63536</v>
      </c>
      <c r="L43" s="17"/>
    </row>
    <row r="44" spans="1:13" x14ac:dyDescent="0.2">
      <c r="A44" s="38" t="s">
        <v>48</v>
      </c>
      <c r="B44" s="39"/>
      <c r="C44" s="40"/>
      <c r="D44" s="40"/>
      <c r="E44" s="40"/>
      <c r="F44" s="40"/>
      <c r="G44" s="40"/>
      <c r="H44" s="40"/>
      <c r="I44" s="40"/>
      <c r="J44" s="41"/>
      <c r="K44" s="3">
        <f>SUM(K22:K43)</f>
        <v>9947831.3333333377</v>
      </c>
      <c r="L44" s="18"/>
      <c r="M44" s="19"/>
    </row>
  </sheetData>
  <mergeCells count="22">
    <mergeCell ref="A19:K19"/>
    <mergeCell ref="J20:J21"/>
    <mergeCell ref="K20:K21"/>
    <mergeCell ref="A44:J44"/>
    <mergeCell ref="A20:A21"/>
    <mergeCell ref="B20:B21"/>
    <mergeCell ref="C20:C21"/>
    <mergeCell ref="D20:D21"/>
    <mergeCell ref="E20:G20"/>
    <mergeCell ref="H20:H21"/>
    <mergeCell ref="A2:K2"/>
    <mergeCell ref="A3:K3"/>
    <mergeCell ref="A5:K5"/>
    <mergeCell ref="A6:K10"/>
    <mergeCell ref="A11:B11"/>
    <mergeCell ref="A13:K13"/>
    <mergeCell ref="A14:K15"/>
    <mergeCell ref="A17:B17"/>
    <mergeCell ref="D17:K17"/>
    <mergeCell ref="A18:B18"/>
    <mergeCell ref="D18:K18"/>
    <mergeCell ref="I20:I21"/>
  </mergeCells>
  <pageMargins left="0.43307086614173229" right="0.35433070866141736" top="0.35433070866141736" bottom="0.39370078740157483" header="0.23622047244094491" footer="0.31496062992125984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спнмц (2)</vt:lpstr>
      <vt:lpstr>'спнмц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Эрднеев Аркадий Эрдэмович</cp:lastModifiedBy>
  <cp:lastPrinted>2026-07-22T11:24:02Z</cp:lastPrinted>
  <dcterms:created xsi:type="dcterms:W3CDTF">2014-02-27T09:12:28Z</dcterms:created>
  <dcterms:modified xsi:type="dcterms:W3CDTF">2026-09-01T12:32:07Z</dcterms:modified>
</cp:coreProperties>
</file>