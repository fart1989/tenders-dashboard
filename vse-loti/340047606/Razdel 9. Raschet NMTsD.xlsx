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RMO\Управление закупок\1. УЗиС\1. ЗАКУПКИ\- 2026\3. МПК_К\МПК_К-26-167 Поставка шин цельнолитых\02 к размещению\"/>
    </mc:Choice>
  </mc:AlternateContent>
  <xr:revisionPtr revIDLastSave="0" documentId="13_ncr:1_{A581B072-62B0-4617-B32E-66C710F94B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пнмц (2)" sheetId="3" r:id="rId1"/>
  </sheets>
  <definedNames>
    <definedName name="OLE_LINK1" localSheetId="0">'спнмц (2)'!#REF!</definedName>
    <definedName name="_xlnm.Print_Area" localSheetId="0">'спнмц (2)'!$A$1:$O$38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" i="3" l="1"/>
  <c r="K29" i="3"/>
  <c r="K28" i="3"/>
  <c r="K27" i="3"/>
  <c r="K26" i="3"/>
  <c r="K25" i="3"/>
  <c r="K24" i="3"/>
  <c r="K23" i="3"/>
  <c r="K22" i="3"/>
  <c r="I22" i="3" l="1"/>
  <c r="H23" i="3" l="1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22" i="3"/>
  <c r="J22" i="3" s="1"/>
  <c r="J28" i="3" l="1"/>
  <c r="J23" i="3"/>
  <c r="J26" i="3"/>
  <c r="J25" i="3"/>
  <c r="J30" i="3"/>
  <c r="J29" i="3"/>
  <c r="J27" i="3"/>
  <c r="K31" i="3"/>
  <c r="J24" i="3"/>
</calcChain>
</file>

<file path=xl/sharedStrings.xml><?xml version="1.0" encoding="utf-8"?>
<sst xmlns="http://schemas.openxmlformats.org/spreadsheetml/2006/main" count="45" uniqueCount="35">
  <si>
    <t>Наименование товара</t>
  </si>
  <si>
    <t>Сумма, руб.</t>
  </si>
  <si>
    <t>Основные характеристики объекта закупки</t>
  </si>
  <si>
    <t>Соответствие требованиям технического задания</t>
  </si>
  <si>
    <t>№ п/п</t>
  </si>
  <si>
    <t>Обоснование начальной (максимальной) цены договора</t>
  </si>
  <si>
    <t>Используемый метод определения НМЦД</t>
  </si>
  <si>
    <t>Расчет НМЦД</t>
  </si>
  <si>
    <t>Кол-во</t>
  </si>
  <si>
    <t>Ед. изм.</t>
  </si>
  <si>
    <t>ИТОГО</t>
  </si>
  <si>
    <t>Цена единицы товара, руб.</t>
  </si>
  <si>
    <t>Используемый метод определения НМЦ:</t>
  </si>
  <si>
    <t>Срок поставки (оказания услуг, выполнения работ):</t>
  </si>
  <si>
    <t xml:space="preserve">согласно Техническому заданию </t>
  </si>
  <si>
    <t>Расчет НМЦ</t>
  </si>
  <si>
    <t xml:space="preserve">Метод сопоставимых рыночных цен (анализа рынка) </t>
  </si>
  <si>
    <t>Среднее квадратичное отклонение</t>
  </si>
  <si>
    <t>Коэффициент вариации цены, %</t>
  </si>
  <si>
    <t>в соответствии с Методикой определения начальной (максимальной) цены договора для конкурентных процедур закупки и цены договора при проведении закупки у единственного поставщика (Приложение №3 Положения о закупке товаров, работ, услуг ООО «МПК Коломенский», используется метод сопоставимых рыночных цен (анализа рынка) . Расчет произведен с учетом коммерческих предложений потенциальных исполнителей в соответствии с Методикой.</t>
  </si>
  <si>
    <t xml:space="preserve">1 источник </t>
  </si>
  <si>
    <t xml:space="preserve">2 источник </t>
  </si>
  <si>
    <t>3 источник</t>
  </si>
  <si>
    <t>в т.ч. НДС</t>
  </si>
  <si>
    <t>Средняя цена единицы, руб. с НДС</t>
  </si>
  <si>
    <t>шт</t>
  </si>
  <si>
    <t>Цельнолитая шина 5,00-8 SDS Solid Galaxy</t>
  </si>
  <si>
    <t>Цельнолитая шина 6,5-10 Yardmaster SDS (SH) A5 Solid Galaxy</t>
  </si>
  <si>
    <t>Цельнолитая шина 23,5-25 Ultrapower L5 Solid OTR</t>
  </si>
  <si>
    <t>Цельнолитая индустриальная шина 31х10-20</t>
  </si>
  <si>
    <t>Цельнолитая шина 17,5-25 Ultrapower L5 Solid OTR</t>
  </si>
  <si>
    <t>Цельнолитая шина 18х7-8 Yardmaster SDS (SH) Galaxy</t>
  </si>
  <si>
    <t>Цельнолитая шина 10.00-20/7.50 NEXEN SOLIDPRO 700</t>
  </si>
  <si>
    <t>Спарка 12.00-20 / 8.50 FAGA в сборе (сдвоенные шины)</t>
  </si>
  <si>
    <t>На поставку цельнолитой продукции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</si>
</sst>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_р_."/>
    <numFmt numFmtId="165" formatCode="0.000"/>
  </numFmts>
  <fonts count="1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0000FF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 style="thin">
        <color theme="4" tint="-0.49998474074526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ont="0" applyFill="0" applyBorder="0" applyAlignment="0" applyProtection="0">
      <alignment vertical="top"/>
    </xf>
    <xf numFmtId="0" fontId="2" fillId="0" borderId="0"/>
    <xf numFmtId="0" fontId="5" fillId="0" borderId="0"/>
    <xf numFmtId="0" fontId="1" fillId="0" borderId="0"/>
  </cellStyleXfs>
  <cellXfs count="52">
    <xf numFmtId="0" fontId="0" fillId="0" borderId="0" xfId="0"/>
    <xf numFmtId="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" fontId="6" fillId="2" borderId="2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9" fillId="0" borderId="0" xfId="0" applyFont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65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4" fontId="3" fillId="0" borderId="0" xfId="0" applyNumberFormat="1" applyFont="1" applyFill="1" applyAlignment="1">
      <alignment horizontal="center" vertical="center"/>
    </xf>
    <xf numFmtId="0" fontId="9" fillId="0" borderId="14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 xr:uid="{00000000-0005-0000-0000-000001000000}"/>
    <cellStyle name="Обычный 3" xfId="3" xr:uid="{00000000-0005-0000-0000-000002000000}"/>
    <cellStyle name="Обычный 4" xfId="2" xr:uid="{00000000-0005-0000-0000-000003000000}"/>
    <cellStyle name="Обычный 4 2" xfId="4" xr:uid="{00000000-0005-0000-0000-000003000000}"/>
  </cellStyles>
  <dxfs count="0"/>
  <tableStyles count="1" defaultTableStyle="TableStyleMedium2" defaultPivotStyle="PivotStyleLight16">
    <tableStyle name="Стиль таблицы 1" pivot="0" count="0" xr9:uid="{00000000-0011-0000-FFFF-FFFF00000000}"/>
  </tableStyles>
  <colors>
    <mruColors>
      <color rgb="FF0000FF"/>
      <color rgb="FFEE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1979-57F8-4C93-ACAA-16B867E0DCCA}">
  <sheetPr>
    <pageSetUpPr fitToPage="1"/>
  </sheetPr>
  <dimension ref="A2:M34"/>
  <sheetViews>
    <sheetView tabSelected="1" view="pageBreakPreview" zoomScale="130" zoomScaleNormal="100" zoomScaleSheetLayoutView="130" workbookViewId="0">
      <selection activeCell="A4" sqref="A4"/>
    </sheetView>
  </sheetViews>
  <sheetFormatPr defaultRowHeight="12.75" x14ac:dyDescent="0.2"/>
  <cols>
    <col min="1" max="1" width="7.42578125" style="7" bestFit="1" customWidth="1"/>
    <col min="2" max="2" width="48.7109375" style="2" customWidth="1"/>
    <col min="3" max="3" width="8.85546875" style="2" bestFit="1" customWidth="1"/>
    <col min="4" max="4" width="6.5703125" style="1" customWidth="1"/>
    <col min="5" max="6" width="13.85546875" style="6" customWidth="1"/>
    <col min="7" max="7" width="14.85546875" style="6" customWidth="1"/>
    <col min="8" max="8" width="18" style="6" customWidth="1"/>
    <col min="9" max="9" width="16.85546875" style="6" customWidth="1"/>
    <col min="10" max="10" width="16.5703125" style="6" customWidth="1"/>
    <col min="11" max="11" width="19.5703125" style="7" customWidth="1"/>
    <col min="12" max="12" width="10.85546875" style="7" bestFit="1" customWidth="1"/>
    <col min="13" max="13" width="10" style="7" bestFit="1" customWidth="1"/>
    <col min="14" max="16384" width="9.140625" style="7"/>
  </cols>
  <sheetData>
    <row r="2" spans="1:11" ht="14.25" x14ac:dyDescent="0.2">
      <c r="A2" s="32" t="s">
        <v>5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5" x14ac:dyDescent="0.2">
      <c r="A3" s="33" t="s">
        <v>34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1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15.75" x14ac:dyDescent="0.2">
      <c r="A5" s="34" t="s">
        <v>12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ht="15" customHeight="1" x14ac:dyDescent="0.2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x14ac:dyDescent="0.2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 x14ac:dyDescent="0.2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x14ac:dyDescent="0.2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 ht="15.75" x14ac:dyDescent="0.2">
      <c r="A11" s="36" t="s">
        <v>13</v>
      </c>
      <c r="B11" s="36"/>
      <c r="C11" s="10" t="s">
        <v>14</v>
      </c>
      <c r="D11" s="10"/>
      <c r="E11" s="10"/>
      <c r="F11" s="10"/>
      <c r="G11" s="10"/>
      <c r="H11" s="10"/>
      <c r="I11" s="10"/>
      <c r="J11" s="10"/>
      <c r="K11" s="12"/>
    </row>
    <row r="12" spans="1:11" ht="15.75" x14ac:dyDescent="0.2">
      <c r="A12" s="13"/>
      <c r="B12" s="13"/>
      <c r="C12" s="10"/>
      <c r="D12" s="10"/>
      <c r="E12" s="10"/>
      <c r="F12" s="10"/>
      <c r="G12" s="10"/>
      <c r="H12" s="10"/>
      <c r="I12" s="10"/>
      <c r="J12" s="10"/>
      <c r="K12" s="12"/>
    </row>
    <row r="13" spans="1:11" ht="15" customHeight="1" x14ac:dyDescent="0.2">
      <c r="A13" s="37" t="s">
        <v>15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x14ac:dyDescent="0.2">
      <c r="A14" s="38" t="s">
        <v>16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</row>
    <row r="15" spans="1:11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spans="1:11" ht="12.75" customHeight="1" x14ac:dyDescent="0.2">
      <c r="K16" s="14" t="s">
        <v>23</v>
      </c>
    </row>
    <row r="17" spans="1:13" ht="14.25" customHeight="1" x14ac:dyDescent="0.2">
      <c r="A17" s="39" t="s">
        <v>2</v>
      </c>
      <c r="B17" s="39"/>
      <c r="C17" s="11"/>
      <c r="D17" s="39" t="s">
        <v>3</v>
      </c>
      <c r="E17" s="39"/>
      <c r="F17" s="39"/>
      <c r="G17" s="39"/>
      <c r="H17" s="39"/>
      <c r="I17" s="39"/>
      <c r="J17" s="39"/>
      <c r="K17" s="39"/>
    </row>
    <row r="18" spans="1:13" ht="14.25" customHeight="1" x14ac:dyDescent="0.2">
      <c r="A18" s="39" t="s">
        <v>6</v>
      </c>
      <c r="B18" s="39"/>
      <c r="C18" s="11"/>
      <c r="D18" s="40" t="s">
        <v>16</v>
      </c>
      <c r="E18" s="41"/>
      <c r="F18" s="41"/>
      <c r="G18" s="41"/>
      <c r="H18" s="41"/>
      <c r="I18" s="41"/>
      <c r="J18" s="41"/>
      <c r="K18" s="42"/>
    </row>
    <row r="19" spans="1:13" ht="14.25" customHeight="1" x14ac:dyDescent="0.2">
      <c r="A19" s="30" t="s">
        <v>7</v>
      </c>
      <c r="B19" s="30"/>
      <c r="C19" s="11"/>
      <c r="D19" s="31"/>
      <c r="E19" s="31"/>
      <c r="F19" s="31"/>
      <c r="G19" s="31"/>
      <c r="H19" s="31"/>
      <c r="I19" s="31"/>
      <c r="J19" s="31"/>
      <c r="K19" s="31"/>
    </row>
    <row r="20" spans="1:13" ht="14.25" customHeight="1" x14ac:dyDescent="0.2">
      <c r="A20" s="47" t="s">
        <v>4</v>
      </c>
      <c r="B20" s="47" t="s">
        <v>0</v>
      </c>
      <c r="C20" s="48" t="s">
        <v>9</v>
      </c>
      <c r="D20" s="39" t="s">
        <v>8</v>
      </c>
      <c r="E20" s="50" t="s">
        <v>11</v>
      </c>
      <c r="F20" s="51"/>
      <c r="G20" s="51"/>
      <c r="H20" s="39" t="s">
        <v>17</v>
      </c>
      <c r="I20" s="39" t="s">
        <v>24</v>
      </c>
      <c r="J20" s="39" t="s">
        <v>18</v>
      </c>
      <c r="K20" s="39" t="s">
        <v>1</v>
      </c>
    </row>
    <row r="21" spans="1:13" ht="30" customHeight="1" x14ac:dyDescent="0.2">
      <c r="A21" s="47"/>
      <c r="B21" s="47"/>
      <c r="C21" s="49"/>
      <c r="D21" s="30"/>
      <c r="E21" s="8" t="s">
        <v>20</v>
      </c>
      <c r="F21" s="8" t="s">
        <v>21</v>
      </c>
      <c r="G21" s="8" t="s">
        <v>22</v>
      </c>
      <c r="H21" s="30"/>
      <c r="I21" s="30"/>
      <c r="J21" s="30"/>
      <c r="K21" s="30"/>
    </row>
    <row r="22" spans="1:13" x14ac:dyDescent="0.2">
      <c r="A22" s="16">
        <v>1</v>
      </c>
      <c r="B22" s="17" t="s">
        <v>26</v>
      </c>
      <c r="C22" s="4" t="s">
        <v>25</v>
      </c>
      <c r="D22" s="5">
        <v>12</v>
      </c>
      <c r="E22" s="9">
        <v>10000</v>
      </c>
      <c r="F22" s="9">
        <v>9500</v>
      </c>
      <c r="G22" s="9">
        <v>10638.28</v>
      </c>
      <c r="H22" s="9">
        <f>_xlfn.STDEV.P(E22:G22)</f>
        <v>465.84245271932417</v>
      </c>
      <c r="I22" s="9">
        <f>AVERAGE(E22:G22)</f>
        <v>10046.093333333332</v>
      </c>
      <c r="J22" s="9">
        <f>H22/I22</f>
        <v>4.6370508143064988E-2</v>
      </c>
      <c r="K22" s="9">
        <f>D22*F22</f>
        <v>114000</v>
      </c>
      <c r="L22" s="18"/>
    </row>
    <row r="23" spans="1:13" ht="25.5" x14ac:dyDescent="0.2">
      <c r="A23" s="16">
        <v>2</v>
      </c>
      <c r="B23" s="17" t="s">
        <v>27</v>
      </c>
      <c r="C23" s="4" t="s">
        <v>25</v>
      </c>
      <c r="D23" s="5">
        <v>12</v>
      </c>
      <c r="E23" s="9">
        <v>17000</v>
      </c>
      <c r="F23" s="9">
        <v>15900</v>
      </c>
      <c r="G23" s="9">
        <v>15769.41</v>
      </c>
      <c r="H23" s="9">
        <f t="shared" ref="H23:H30" si="0">_xlfn.STDEV.P(E23:G23)</f>
        <v>551.90634231623847</v>
      </c>
      <c r="I23" s="9">
        <f t="shared" ref="I23:I30" si="1">AVERAGE(E23:G23)</f>
        <v>16223.136666666667</v>
      </c>
      <c r="J23" s="9">
        <f t="shared" ref="J23:J30" si="2">H23/I23</f>
        <v>3.4019706155236223E-2</v>
      </c>
      <c r="K23" s="9">
        <f>D23*G23</f>
        <v>189232.91999999998</v>
      </c>
      <c r="L23" s="18"/>
    </row>
    <row r="24" spans="1:13" x14ac:dyDescent="0.2">
      <c r="A24" s="16">
        <v>3</v>
      </c>
      <c r="B24" s="17" t="s">
        <v>28</v>
      </c>
      <c r="C24" s="4" t="s">
        <v>25</v>
      </c>
      <c r="D24" s="5">
        <v>8</v>
      </c>
      <c r="E24" s="9">
        <v>450000</v>
      </c>
      <c r="F24" s="9">
        <v>465000</v>
      </c>
      <c r="G24" s="9">
        <v>475218.48</v>
      </c>
      <c r="H24" s="9">
        <f t="shared" si="0"/>
        <v>10356.903586072425</v>
      </c>
      <c r="I24" s="9">
        <f t="shared" si="1"/>
        <v>463406.16</v>
      </c>
      <c r="J24" s="9">
        <f t="shared" si="2"/>
        <v>2.2349516428681972E-2</v>
      </c>
      <c r="K24" s="9">
        <f>D24*E24</f>
        <v>3600000</v>
      </c>
      <c r="L24" s="18"/>
    </row>
    <row r="25" spans="1:13" ht="13.5" customHeight="1" x14ac:dyDescent="0.2">
      <c r="A25" s="16">
        <v>4</v>
      </c>
      <c r="B25" s="17" t="s">
        <v>29</v>
      </c>
      <c r="C25" s="4" t="s">
        <v>25</v>
      </c>
      <c r="D25" s="5">
        <v>8</v>
      </c>
      <c r="E25" s="9">
        <v>54000</v>
      </c>
      <c r="F25" s="9">
        <v>80000</v>
      </c>
      <c r="G25" s="9">
        <v>40108.18</v>
      </c>
      <c r="H25" s="9">
        <f t="shared" si="0"/>
        <v>16533.938046148185</v>
      </c>
      <c r="I25" s="9">
        <f t="shared" si="1"/>
        <v>58036.06</v>
      </c>
      <c r="J25" s="9">
        <f t="shared" si="2"/>
        <v>0.28489077387658956</v>
      </c>
      <c r="K25" s="9">
        <f>D25*G25</f>
        <v>320865.44</v>
      </c>
      <c r="L25" s="18"/>
    </row>
    <row r="26" spans="1:13" ht="12.75" customHeight="1" x14ac:dyDescent="0.2">
      <c r="A26" s="16">
        <v>5</v>
      </c>
      <c r="B26" s="17" t="s">
        <v>30</v>
      </c>
      <c r="C26" s="4" t="s">
        <v>25</v>
      </c>
      <c r="D26" s="5">
        <v>32</v>
      </c>
      <c r="E26" s="9">
        <v>280000</v>
      </c>
      <c r="F26" s="9">
        <v>260000</v>
      </c>
      <c r="G26" s="9">
        <v>278119.13</v>
      </c>
      <c r="H26" s="9">
        <f t="shared" si="0"/>
        <v>9017.517174390201</v>
      </c>
      <c r="I26" s="9">
        <f t="shared" si="1"/>
        <v>272706.37666666665</v>
      </c>
      <c r="J26" s="9">
        <f t="shared" si="2"/>
        <v>3.3066763178084595E-2</v>
      </c>
      <c r="K26" s="9">
        <f>D26*F26</f>
        <v>8320000</v>
      </c>
      <c r="L26" s="18"/>
      <c r="M26" s="15"/>
    </row>
    <row r="27" spans="1:13" ht="15" customHeight="1" x14ac:dyDescent="0.2">
      <c r="A27" s="16">
        <v>6</v>
      </c>
      <c r="B27" s="17" t="s">
        <v>31</v>
      </c>
      <c r="C27" s="4" t="s">
        <v>25</v>
      </c>
      <c r="D27" s="5">
        <v>4</v>
      </c>
      <c r="E27" s="9">
        <v>13000</v>
      </c>
      <c r="F27" s="9">
        <v>8500</v>
      </c>
      <c r="G27" s="9">
        <v>12418.16</v>
      </c>
      <c r="H27" s="9">
        <f t="shared" si="0"/>
        <v>1998.3469716298546</v>
      </c>
      <c r="I27" s="9">
        <f t="shared" si="1"/>
        <v>11306.053333333335</v>
      </c>
      <c r="J27" s="9">
        <f t="shared" si="2"/>
        <v>0.17675018087330099</v>
      </c>
      <c r="K27" s="9">
        <f>D27*F27</f>
        <v>34000</v>
      </c>
      <c r="L27" s="18"/>
      <c r="M27" s="15"/>
    </row>
    <row r="28" spans="1:13" ht="27" customHeight="1" x14ac:dyDescent="0.2">
      <c r="A28" s="16">
        <v>7</v>
      </c>
      <c r="B28" s="17" t="s">
        <v>27</v>
      </c>
      <c r="C28" s="4" t="s">
        <v>25</v>
      </c>
      <c r="D28" s="5">
        <v>4</v>
      </c>
      <c r="E28" s="9">
        <v>17000</v>
      </c>
      <c r="F28" s="9">
        <v>11500</v>
      </c>
      <c r="G28" s="9">
        <v>15769.41</v>
      </c>
      <c r="H28" s="9">
        <f t="shared" si="0"/>
        <v>2356.8390671547027</v>
      </c>
      <c r="I28" s="9">
        <f t="shared" si="1"/>
        <v>14756.470000000001</v>
      </c>
      <c r="J28" s="9">
        <f t="shared" si="2"/>
        <v>0.15971564114959083</v>
      </c>
      <c r="K28" s="9">
        <f>D28*F28</f>
        <v>46000</v>
      </c>
      <c r="L28" s="18"/>
      <c r="M28" s="15"/>
    </row>
    <row r="29" spans="1:13" x14ac:dyDescent="0.2">
      <c r="A29" s="16">
        <v>8</v>
      </c>
      <c r="B29" s="17" t="s">
        <v>32</v>
      </c>
      <c r="C29" s="4" t="s">
        <v>25</v>
      </c>
      <c r="D29" s="5">
        <v>8</v>
      </c>
      <c r="E29" s="9">
        <v>85000</v>
      </c>
      <c r="F29" s="9">
        <v>90000</v>
      </c>
      <c r="G29" s="9">
        <v>80536.7</v>
      </c>
      <c r="H29" s="9">
        <f t="shared" si="0"/>
        <v>3865.4465572125914</v>
      </c>
      <c r="I29" s="9">
        <f t="shared" si="1"/>
        <v>85178.900000000009</v>
      </c>
      <c r="J29" s="9">
        <f t="shared" si="2"/>
        <v>4.5380329602901552E-2</v>
      </c>
      <c r="K29" s="9">
        <f>D29*G29</f>
        <v>644293.6</v>
      </c>
      <c r="L29" s="18"/>
    </row>
    <row r="30" spans="1:13" ht="15" customHeight="1" x14ac:dyDescent="0.2">
      <c r="A30" s="16">
        <v>9</v>
      </c>
      <c r="B30" s="17" t="s">
        <v>33</v>
      </c>
      <c r="C30" s="4" t="s">
        <v>25</v>
      </c>
      <c r="D30" s="5">
        <v>4</v>
      </c>
      <c r="E30" s="9">
        <v>380000</v>
      </c>
      <c r="F30" s="9">
        <v>400000</v>
      </c>
      <c r="G30" s="9">
        <v>388521.17</v>
      </c>
      <c r="H30" s="9">
        <f t="shared" si="0"/>
        <v>8194.6722281261646</v>
      </c>
      <c r="I30" s="9">
        <f t="shared" si="1"/>
        <v>389507.05666666664</v>
      </c>
      <c r="J30" s="9">
        <f t="shared" si="2"/>
        <v>2.1038571927951031E-2</v>
      </c>
      <c r="K30" s="9">
        <f>E30*D30</f>
        <v>1520000</v>
      </c>
      <c r="L30" s="18"/>
    </row>
    <row r="31" spans="1:13" x14ac:dyDescent="0.2">
      <c r="A31" s="43" t="s">
        <v>10</v>
      </c>
      <c r="B31" s="44"/>
      <c r="C31" s="45"/>
      <c r="D31" s="45"/>
      <c r="E31" s="45"/>
      <c r="F31" s="45"/>
      <c r="G31" s="45"/>
      <c r="H31" s="45"/>
      <c r="I31" s="45"/>
      <c r="J31" s="46"/>
      <c r="K31" s="3">
        <f>SUM(K22:K30)</f>
        <v>14788391.959999999</v>
      </c>
      <c r="L31" s="19"/>
      <c r="M31" s="20"/>
    </row>
    <row r="32" spans="1:13" x14ac:dyDescent="0.2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x14ac:dyDescent="0.2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6"/>
    </row>
    <row r="34" spans="1:11" ht="12" customHeight="1" x14ac:dyDescent="0.2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9"/>
    </row>
  </sheetData>
  <mergeCells count="24">
    <mergeCell ref="J20:J21"/>
    <mergeCell ref="K20:K21"/>
    <mergeCell ref="A31:J31"/>
    <mergeCell ref="A20:A21"/>
    <mergeCell ref="B20:B21"/>
    <mergeCell ref="C20:C21"/>
    <mergeCell ref="D20:D21"/>
    <mergeCell ref="E20:G20"/>
    <mergeCell ref="H20:H21"/>
    <mergeCell ref="A32:K34"/>
    <mergeCell ref="A19:B19"/>
    <mergeCell ref="D19:K19"/>
    <mergeCell ref="A2:K2"/>
    <mergeCell ref="A3:K3"/>
    <mergeCell ref="A5:K5"/>
    <mergeCell ref="A6:K10"/>
    <mergeCell ref="A11:B11"/>
    <mergeCell ref="A13:K13"/>
    <mergeCell ref="A14:K15"/>
    <mergeCell ref="A17:B17"/>
    <mergeCell ref="D17:K17"/>
    <mergeCell ref="A18:B18"/>
    <mergeCell ref="D18:K18"/>
    <mergeCell ref="I20:I21"/>
  </mergeCells>
  <pageMargins left="0.43307086614173229" right="0.35433070866141736" top="0.35433070866141736" bottom="0.39370078740157483" header="0.23622047244094491" footer="0.31496062992125984"/>
  <pageSetup paperSize="9" scale="6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спнмц (2)</vt:lpstr>
      <vt:lpstr>'спнмц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Эрднеев Аркадий Эрдэмович</cp:lastModifiedBy>
  <cp:lastPrinted>2026-07-22T11:24:02Z</cp:lastPrinted>
  <dcterms:created xsi:type="dcterms:W3CDTF">2014-02-27T09:12:28Z</dcterms:created>
  <dcterms:modified xsi:type="dcterms:W3CDTF">2026-09-03T11:52:55Z</dcterms:modified>
</cp:coreProperties>
</file>