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ykli\Desktop\Работа закупки\Озеленение\Задвижки\"/>
    </mc:Choice>
  </mc:AlternateContent>
  <xr:revisionPtr revIDLastSave="0" documentId="8_{E26EDCCD-8BAF-4821-8C2F-EB53F2CD6E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асчет" sheetId="1" r:id="rId1"/>
    <sheet name="Лист1" sheetId="2" r:id="rId2"/>
  </sheets>
  <definedNames>
    <definedName name="_xlnm._FilterDatabase" localSheetId="0" hidden="1">Расчет!$A$14:$I$15</definedName>
    <definedName name="_xlnm.Print_Area" localSheetId="0">Расчет!$A$1:$I$117</definedName>
  </definedNames>
  <calcPr calcId="181029" fullPrecision="0"/>
</workbook>
</file>

<file path=xl/calcChain.xml><?xml version="1.0" encoding="utf-8"?>
<calcChain xmlns="http://schemas.openxmlformats.org/spreadsheetml/2006/main">
  <c r="I111" i="1" l="1"/>
  <c r="I112" i="1" s="1"/>
  <c r="I110" i="1"/>
  <c r="I108" i="1"/>
  <c r="I106" i="1"/>
  <c r="I101" i="1"/>
  <c r="I102" i="1" s="1"/>
  <c r="I103" i="1" l="1"/>
  <c r="I104" i="1" s="1"/>
  <c r="I77" i="1" l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7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16" i="1" l="1"/>
  <c r="I41" i="1" s="1"/>
  <c r="I46" i="1"/>
  <c r="I71" i="1" s="1"/>
  <c r="I72" i="1" s="1"/>
  <c r="I42" i="1" l="1"/>
</calcChain>
</file>

<file path=xl/sharedStrings.xml><?xml version="1.0" encoding="utf-8"?>
<sst xmlns="http://schemas.openxmlformats.org/spreadsheetml/2006/main" count="210" uniqueCount="69">
  <si>
    <t>Наименование товара</t>
  </si>
  <si>
    <t>Ед. изм</t>
  </si>
  <si>
    <t>№ п/п</t>
  </si>
  <si>
    <t>КП №1</t>
  </si>
  <si>
    <t>КП №2</t>
  </si>
  <si>
    <t>КП №3</t>
  </si>
  <si>
    <t>Ценовые предложения (КП), руб.</t>
  </si>
  <si>
    <t>Используемый метод определения НМЦК с обоснованием</t>
  </si>
  <si>
    <t>Метод сопоставимых рыночных цен (анализ рынка) – выбран как приоритетный в соответствии с п.6 ст.22 Федерального закона от 5 апреля 2013 года N 44-ФЗ «О контрактной системе в сфере закупок товаров, работ, услуг для обеспечения государственных и муниципальных нужд»</t>
  </si>
  <si>
    <t>Расчет НМЦК</t>
  </si>
  <si>
    <t>Дата подготовки обоснования НМЦК</t>
  </si>
  <si>
    <t>Анализ рынка</t>
  </si>
  <si>
    <t>Приложение №1</t>
  </si>
  <si>
    <t xml:space="preserve">Утверждаю </t>
  </si>
  <si>
    <t xml:space="preserve"> Во исполнение положения статьи 22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ГБУ "Озеленение"  было проведено исследование (мониторинг) рынка, в котором использованы сведения о стоимости товара, предложенные тремя потенциальными поставщиками.</t>
  </si>
  <si>
    <t xml:space="preserve">  Способ определения поставщика (подрядчика, исполнителя): электронный аукцион</t>
  </si>
  <si>
    <t>ИТОГО:</t>
  </si>
  <si>
    <t>_________________А.А. Бравин</t>
  </si>
  <si>
    <t xml:space="preserve">А.В. Филинковский </t>
  </si>
  <si>
    <t xml:space="preserve">к протоколу начальной (максимальной) цены контракта </t>
  </si>
  <si>
    <t>Ценовое предложение на 2027 год</t>
  </si>
  <si>
    <t>Ценовое предложение на 2026 год</t>
  </si>
  <si>
    <t>шт.</t>
  </si>
  <si>
    <t>Руководитель ГБУ "Озеленение"</t>
  </si>
  <si>
    <t>"____"_____________2026 г.</t>
  </si>
  <si>
    <t>в т.ч НДС 22 %</t>
  </si>
  <si>
    <t>Ценовое предложение на 2028 год</t>
  </si>
  <si>
    <t xml:space="preserve">Расчет составил Начальник УМТC:                                                       </t>
  </si>
  <si>
    <t>Итого сумма цен единиц товара, работ, услуг в 2026 г., в том числе НДС 22%</t>
  </si>
  <si>
    <t>Итого сумма цен единиц товара, работ, услуг в 2026 - 2028 г.г., включая НДС 22%:</t>
  </si>
  <si>
    <t>Итого сумма цен единиц товара, работ, услуг в 2027 г., в том числе НДС 22%</t>
  </si>
  <si>
    <t xml:space="preserve"> НДС 22%:</t>
  </si>
  <si>
    <t>Предельная цена контракта по данному лоту на 2026г. составляет, в том числе НДС 22%:</t>
  </si>
  <si>
    <t>Предельная цена контракта по данному лоту на 2027г. составляет, в том числе НДС 22%:</t>
  </si>
  <si>
    <t>Предельная цена контракта по данному лоту на 2028г. составляет, в том числе НДС 22%:</t>
  </si>
  <si>
    <t xml:space="preserve">Расчет максимального значения цены Контракта </t>
  </si>
  <si>
    <t>Средняя цена за ед, руб. с НДС 22%</t>
  </si>
  <si>
    <t>Наименование</t>
  </si>
  <si>
    <t>Предельная цена контракта по данному лоту на 2026-2028г. составляет, в том числе НДС 22%:</t>
  </si>
  <si>
    <t>*В случае если в закупочной документации имеются ссылки на конкретные товарные знаки, фирменные наименования, наименования производителей и т.п., считать их сопровождающимися фразой «или эквивалент».</t>
  </si>
  <si>
    <t>НДС 22%:</t>
  </si>
  <si>
    <t>Итого сумма цен единиц товара, работ, услуг в 2028 г., в том числе НДС 22%:</t>
  </si>
  <si>
    <t>на поставку задвижек для трубопроводов.</t>
  </si>
  <si>
    <t xml:space="preserve">Задвижка ст 30с41нж Ду50 Ру16 фл </t>
  </si>
  <si>
    <t xml:space="preserve">Задвижка ст 30с41нж Ду80 Ру16 фл </t>
  </si>
  <si>
    <t xml:space="preserve">Задвижка ст 30с41нж Ду100 Ру16 фл </t>
  </si>
  <si>
    <t xml:space="preserve">Задвижка ст 30с41нж Ду150 Ру16 фл </t>
  </si>
  <si>
    <t xml:space="preserve">Задвижка ст 30с41нж Ду200 Ру16 фл </t>
  </si>
  <si>
    <t xml:space="preserve">Задвижка чуг Ду50 Ру16 30ч6бр </t>
  </si>
  <si>
    <t xml:space="preserve">Задвижка чуг Ду80 Ру16 225C 30ч6бр </t>
  </si>
  <si>
    <t xml:space="preserve">Задвижка чуг Ду100 Ру10 30ч6бр </t>
  </si>
  <si>
    <t>Задвижка стальная клиновая 30с41нж DN 300 PN16 фланцевая 500мм с маховиком</t>
  </si>
  <si>
    <t>Задвижка клиновая сталь 30с64нж Ду 250 Ру25 фл 450мм</t>
  </si>
  <si>
    <t>Задвижка чугунная 30ч6бр DN 200 PN16 параллельная с маховиком 330мм</t>
  </si>
  <si>
    <t xml:space="preserve">Задвижка клиновая сталь 30лс41нжХЛ Ду 150 Ру16 фл </t>
  </si>
  <si>
    <t>Задвижка стальная клиновая 30лс41нж ДУ150 L350 Ру16</t>
  </si>
  <si>
    <t>Задвижка клиновая стальная 30с41нж Ду 125 фланцевая L=325мм</t>
  </si>
  <si>
    <t>Задвижка 30лс41нж DN 125 PN 16 фланцевая клиновая стальная под штурвал с выдвижным шпинделем L=255мм</t>
  </si>
  <si>
    <t>Задвижка клиновая сталь 30лс41нжХЛ Ду 100 Ру16 фл 230мм</t>
  </si>
  <si>
    <t>Задвижка стальная клиновая 30лс41нж ДУ100 L300 Ру16</t>
  </si>
  <si>
    <t>Задвижка клиновая сталь 30лс41нжХЛ Ду 80 Ру16 фл L-280мм</t>
  </si>
  <si>
    <t>Задвижка стальная клиновая 30лс41нж DN 80 PN16 фланцевая исполнение ХЛ1 210мм с маховиком</t>
  </si>
  <si>
    <t>Задвижка стальная клиновая 30с15нж DN 50 PN40 фланцевая 250мм с маховиком</t>
  </si>
  <si>
    <t>Задвижка фланцевая Ду50 Ру16 30лс41нж L180 мм, стальная, клиновая, с выдвижным шпинделем, с маховиком</t>
  </si>
  <si>
    <t>Задвижка клиновая сталь 30лс41нжХЛ Ду 50 Ру16 фл</t>
  </si>
  <si>
    <t>Задвижка с обрезиненным клином DN50 L=150 мм</t>
  </si>
  <si>
    <t>Задвижка клиновая 30ч39р Ду200 Ру10/16 фланцевая, корпус - чугун GGG50, уплотнение - EPDM, со штурвалом и невыдвижным штоком, цвет - синий</t>
  </si>
  <si>
    <r>
      <t>Расчет выполнен в соответствии с методическими рекомендациями, установленными Распоряжением Правительства Москвы от 16.05.2014 N 242-РП. МЦК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19 800 000,00</t>
    </r>
    <r>
      <rPr>
        <sz val="12"/>
        <color theme="1"/>
        <rFont val="Times New Roman"/>
        <family val="1"/>
        <charset val="204"/>
      </rPr>
      <t xml:space="preserve"> р</t>
    </r>
    <r>
      <rPr>
        <sz val="12"/>
        <rFont val="Times New Roman"/>
        <family val="1"/>
        <charset val="204"/>
      </rPr>
      <t>уб.</t>
    </r>
  </si>
  <si>
    <t xml:space="preserve">     Максимальное значение цены Контракта: 19 800 000 руб. (Девятнадцать миллионов восемьсот тысяч рублей 00 копеек), в т.ч. НДС 22% 3 570 491,80 руб. (Три миллиона пятьсот семьдесят тысяч четыреста девяносто один рубль 80 копеек), включая все налоги и сборы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</si>
</sst>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р_._-;\-* #,##0.00_р_._-;_-* &quot;-&quot;??_р_._-;_-@_-"/>
    <numFmt numFmtId="165" formatCode="_-* #,##0.00_р_._-;\-* #,##0.00_р_._-;_-* \-??_р_._-;_-@_-"/>
  </numFmts>
  <fonts count="1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0" fontId="11" fillId="0" borderId="0"/>
    <xf numFmtId="165" fontId="11" fillId="0" borderId="0" applyBorder="0" applyProtection="0"/>
    <xf numFmtId="0" fontId="12" fillId="0" borderId="0"/>
    <xf numFmtId="165" fontId="11" fillId="0" borderId="0" applyBorder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0">
    <xf numFmtId="0" fontId="0" fillId="0" borderId="0" xfId="0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4" fillId="2" borderId="0" xfId="3" applyFont="1" applyFill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9" fontId="1" fillId="0" borderId="0" xfId="7" applyFont="1" applyFill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" fontId="3" fillId="2" borderId="15" xfId="0" applyNumberFormat="1" applyFont="1" applyFill="1" applyBorder="1" applyAlignment="1">
      <alignment horizontal="center" vertical="center"/>
    </xf>
    <xf numFmtId="43" fontId="1" fillId="0" borderId="9" xfId="8" applyFont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43" fontId="3" fillId="2" borderId="9" xfId="8" applyFont="1" applyFill="1" applyBorder="1" applyAlignment="1">
      <alignment horizontal="center" vertical="center"/>
    </xf>
    <xf numFmtId="43" fontId="1" fillId="0" borderId="16" xfId="8" applyFont="1" applyBorder="1" applyAlignment="1">
      <alignment horizontal="center" vertical="center" wrapText="1"/>
    </xf>
    <xf numFmtId="43" fontId="1" fillId="2" borderId="13" xfId="8" applyFont="1" applyFill="1" applyBorder="1" applyAlignment="1">
      <alignment horizontal="center" vertical="center"/>
    </xf>
    <xf numFmtId="43" fontId="5" fillId="2" borderId="0" xfId="8" applyFont="1" applyFill="1" applyAlignment="1">
      <alignment horizontal="center" vertical="center" wrapText="1"/>
    </xf>
    <xf numFmtId="43" fontId="1" fillId="2" borderId="0" xfId="8" applyFont="1" applyFill="1" applyAlignment="1">
      <alignment horizontal="center" vertical="center" wrapText="1"/>
    </xf>
    <xf numFmtId="43" fontId="1" fillId="0" borderId="9" xfId="8" applyFont="1" applyBorder="1" applyAlignment="1">
      <alignment horizontal="left" vertical="center" wrapText="1"/>
    </xf>
    <xf numFmtId="43" fontId="1" fillId="2" borderId="16" xfId="8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43" fontId="1" fillId="0" borderId="9" xfId="8" applyFont="1" applyFill="1" applyBorder="1" applyAlignment="1">
      <alignment horizontal="center" vertical="center"/>
    </xf>
    <xf numFmtId="43" fontId="3" fillId="0" borderId="9" xfId="8" applyFont="1" applyFill="1" applyBorder="1" applyAlignment="1">
      <alignment horizontal="center" vertical="center"/>
    </xf>
    <xf numFmtId="43" fontId="1" fillId="0" borderId="13" xfId="8" applyFont="1" applyFill="1" applyBorder="1" applyAlignment="1">
      <alignment horizontal="center" vertical="center"/>
    </xf>
    <xf numFmtId="43" fontId="3" fillId="0" borderId="16" xfId="8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4" fontId="1" fillId="2" borderId="1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25" xfId="0" applyNumberFormat="1" applyFont="1" applyFill="1" applyBorder="1" applyAlignment="1">
      <alignment horizontal="center" vertical="center"/>
    </xf>
    <xf numFmtId="2" fontId="1" fillId="2" borderId="26" xfId="0" applyNumberFormat="1" applyFont="1" applyFill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right" vertical="center"/>
    </xf>
    <xf numFmtId="2" fontId="3" fillId="0" borderId="2" xfId="0" applyNumberFormat="1" applyFont="1" applyBorder="1" applyAlignment="1">
      <alignment horizontal="right" vertical="center"/>
    </xf>
    <xf numFmtId="2" fontId="3" fillId="0" borderId="4" xfId="0" applyNumberFormat="1" applyFont="1" applyBorder="1" applyAlignment="1">
      <alignment horizontal="right" vertical="center"/>
    </xf>
    <xf numFmtId="2" fontId="3" fillId="0" borderId="10" xfId="0" applyNumberFormat="1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2" fontId="3" fillId="0" borderId="12" xfId="0" applyNumberFormat="1" applyFont="1" applyBorder="1" applyAlignment="1">
      <alignment horizontal="right" vertical="center"/>
    </xf>
    <xf numFmtId="0" fontId="4" fillId="2" borderId="0" xfId="3" applyFont="1" applyFill="1" applyAlignment="1">
      <alignment horizontal="left" vertical="center" wrapText="1"/>
    </xf>
    <xf numFmtId="0" fontId="4" fillId="2" borderId="0" xfId="3" applyFont="1" applyFill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  <xf numFmtId="2" fontId="3" fillId="3" borderId="5" xfId="0" applyNumberFormat="1" applyFont="1" applyFill="1" applyBorder="1" applyAlignment="1">
      <alignment horizontal="center" vertical="center"/>
    </xf>
    <xf numFmtId="2" fontId="3" fillId="3" borderId="6" xfId="0" applyNumberFormat="1" applyFont="1" applyFill="1" applyBorder="1" applyAlignment="1">
      <alignment horizontal="center" vertical="center"/>
    </xf>
    <xf numFmtId="2" fontId="3" fillId="3" borderId="14" xfId="0" applyNumberFormat="1" applyFont="1" applyFill="1" applyBorder="1" applyAlignment="1">
      <alignment horizontal="center" vertical="center"/>
    </xf>
    <xf numFmtId="43" fontId="3" fillId="0" borderId="16" xfId="8" applyFont="1" applyBorder="1" applyAlignment="1">
      <alignment horizontal="center" vertical="center" wrapText="1"/>
    </xf>
    <xf numFmtId="43" fontId="3" fillId="0" borderId="17" xfId="8" applyFont="1" applyBorder="1" applyAlignment="1">
      <alignment horizontal="center" vertical="center" wrapText="1"/>
    </xf>
    <xf numFmtId="2" fontId="3" fillId="2" borderId="8" xfId="0" applyNumberFormat="1" applyFont="1" applyFill="1" applyBorder="1" applyAlignment="1">
      <alignment horizontal="right" vertical="center"/>
    </xf>
    <xf numFmtId="2" fontId="3" fillId="2" borderId="2" xfId="0" applyNumberFormat="1" applyFont="1" applyFill="1" applyBorder="1" applyAlignment="1">
      <alignment horizontal="right" vertical="center"/>
    </xf>
    <xf numFmtId="2" fontId="3" fillId="2" borderId="4" xfId="0" applyNumberFormat="1" applyFont="1" applyFill="1" applyBorder="1" applyAlignment="1">
      <alignment horizontal="right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right" vertical="center"/>
    </xf>
    <xf numFmtId="2" fontId="3" fillId="2" borderId="11" xfId="0" applyNumberFormat="1" applyFont="1" applyFill="1" applyBorder="1" applyAlignment="1">
      <alignment horizontal="right" vertical="center"/>
    </xf>
    <xf numFmtId="2" fontId="3" fillId="2" borderId="12" xfId="0" applyNumberFormat="1" applyFont="1" applyFill="1" applyBorder="1" applyAlignment="1">
      <alignment horizontal="right" vertical="center"/>
    </xf>
    <xf numFmtId="0" fontId="13" fillId="0" borderId="25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9" xfId="0" applyNumberFormat="1" applyFont="1" applyFill="1" applyBorder="1" applyAlignment="1">
      <alignment horizontal="center" vertical="center" wrapText="1"/>
    </xf>
  </cellXfs>
  <cellStyles count="9">
    <cellStyle name="Обычный" xfId="0" builtinId="0"/>
    <cellStyle name="Обычный 2" xfId="1" xr:uid="{00000000-0005-0000-0000-000001000000}"/>
    <cellStyle name="Обычный 2 2" xfId="5" xr:uid="{00000000-0005-0000-0000-000002000000}"/>
    <cellStyle name="Обычный 3" xfId="3" xr:uid="{00000000-0005-0000-0000-000003000000}"/>
    <cellStyle name="Процентный" xfId="7" builtinId="5"/>
    <cellStyle name="Финансовый" xfId="8" builtinId="3"/>
    <cellStyle name="Финансовый 2" xfId="2" xr:uid="{00000000-0005-0000-0000-000006000000}"/>
    <cellStyle name="Финансовый 2 2" xfId="6" xr:uid="{00000000-0005-0000-0000-000007000000}"/>
    <cellStyle name="Финансовый 3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7"/>
  <sheetViews>
    <sheetView tabSelected="1" topLeftCell="A89" zoomScale="90" zoomScaleNormal="90" zoomScaleSheetLayoutView="80" workbookViewId="0">
      <selection activeCell="A114" sqref="A114:I114"/>
    </sheetView>
  </sheetViews>
  <sheetFormatPr defaultColWidth="9.109375" defaultRowHeight="15.6" x14ac:dyDescent="0.3"/>
  <cols>
    <col min="1" max="1" width="7.109375" style="7" bestFit="1" customWidth="1"/>
    <col min="2" max="2" width="28.88671875" style="7" customWidth="1"/>
    <col min="3" max="3" width="25" style="7" customWidth="1"/>
    <col min="4" max="4" width="22.6640625" style="7" customWidth="1"/>
    <col min="5" max="5" width="8.5546875" style="7" bestFit="1" customWidth="1"/>
    <col min="6" max="8" width="11.88671875" style="39" customWidth="1"/>
    <col min="9" max="9" width="32.33203125" style="29" customWidth="1"/>
    <col min="10" max="10" width="9.109375" style="1" customWidth="1"/>
    <col min="11" max="11" width="15.44140625" style="1" bestFit="1" customWidth="1"/>
    <col min="12" max="16384" width="9.109375" style="1"/>
  </cols>
  <sheetData>
    <row r="1" spans="1:9" ht="15.75" customHeight="1" x14ac:dyDescent="0.3">
      <c r="A1" s="79" t="s">
        <v>15</v>
      </c>
      <c r="B1" s="79"/>
      <c r="C1" s="79"/>
      <c r="D1" s="79"/>
      <c r="E1" s="79"/>
      <c r="G1" s="22"/>
      <c r="H1" s="90" t="s">
        <v>12</v>
      </c>
      <c r="I1" s="90"/>
    </row>
    <row r="2" spans="1:9" x14ac:dyDescent="0.3">
      <c r="A2" s="79"/>
      <c r="B2" s="79"/>
      <c r="C2" s="79"/>
      <c r="D2" s="79"/>
      <c r="E2" s="79"/>
      <c r="G2" s="22"/>
      <c r="H2" s="90" t="s">
        <v>19</v>
      </c>
      <c r="I2" s="90"/>
    </row>
    <row r="3" spans="1:9" x14ac:dyDescent="0.3">
      <c r="A3" s="39"/>
      <c r="B3" s="39"/>
      <c r="C3" s="39"/>
      <c r="D3" s="39"/>
      <c r="E3" s="39"/>
      <c r="G3" s="23"/>
      <c r="H3" s="19"/>
      <c r="I3" s="19" t="s">
        <v>13</v>
      </c>
    </row>
    <row r="4" spans="1:9" x14ac:dyDescent="0.3">
      <c r="A4" s="39"/>
      <c r="B4" s="39"/>
      <c r="C4" s="39"/>
      <c r="D4" s="39"/>
      <c r="E4" s="39"/>
      <c r="G4" s="22"/>
      <c r="H4" s="40"/>
      <c r="I4" s="40" t="s">
        <v>23</v>
      </c>
    </row>
    <row r="5" spans="1:9" x14ac:dyDescent="0.3">
      <c r="G5" s="24"/>
      <c r="H5" s="18"/>
      <c r="I5" s="18" t="s">
        <v>17</v>
      </c>
    </row>
    <row r="6" spans="1:9" x14ac:dyDescent="0.3">
      <c r="G6" s="24"/>
      <c r="H6" s="18"/>
      <c r="I6" s="18" t="s">
        <v>24</v>
      </c>
    </row>
    <row r="7" spans="1:9" s="8" customFormat="1" ht="15.75" customHeight="1" x14ac:dyDescent="0.3">
      <c r="A7" s="80" t="s">
        <v>35</v>
      </c>
      <c r="B7" s="80"/>
      <c r="C7" s="80"/>
      <c r="D7" s="80"/>
      <c r="E7" s="80"/>
      <c r="F7" s="80"/>
      <c r="G7" s="80"/>
      <c r="H7" s="80"/>
      <c r="I7" s="80"/>
    </row>
    <row r="8" spans="1:9" s="8" customFormat="1" ht="16.5" customHeight="1" thickBot="1" x14ac:dyDescent="0.35">
      <c r="A8" s="81" t="s">
        <v>42</v>
      </c>
      <c r="B8" s="81"/>
      <c r="C8" s="81"/>
      <c r="D8" s="81"/>
      <c r="E8" s="81"/>
      <c r="F8" s="81"/>
      <c r="G8" s="81"/>
      <c r="H8" s="81"/>
      <c r="I8" s="81"/>
    </row>
    <row r="9" spans="1:9" s="2" customFormat="1" ht="102" customHeight="1" x14ac:dyDescent="0.3">
      <c r="A9" s="85" t="s">
        <v>7</v>
      </c>
      <c r="B9" s="83"/>
      <c r="C9" s="83"/>
      <c r="D9" s="86"/>
      <c r="E9" s="82" t="s">
        <v>8</v>
      </c>
      <c r="F9" s="83"/>
      <c r="G9" s="83"/>
      <c r="H9" s="83"/>
      <c r="I9" s="84"/>
    </row>
    <row r="10" spans="1:9" s="2" customFormat="1" ht="69.75" customHeight="1" x14ac:dyDescent="0.3">
      <c r="A10" s="87" t="s">
        <v>9</v>
      </c>
      <c r="B10" s="88"/>
      <c r="C10" s="88"/>
      <c r="D10" s="89"/>
      <c r="E10" s="106" t="s">
        <v>67</v>
      </c>
      <c r="F10" s="106"/>
      <c r="G10" s="106"/>
      <c r="H10" s="106"/>
      <c r="I10" s="107"/>
    </row>
    <row r="11" spans="1:9" s="2" customFormat="1" ht="21" customHeight="1" x14ac:dyDescent="0.3">
      <c r="A11" s="87" t="s">
        <v>10</v>
      </c>
      <c r="B11" s="88"/>
      <c r="C11" s="88"/>
      <c r="D11" s="89"/>
      <c r="E11" s="108">
        <v>46245</v>
      </c>
      <c r="F11" s="108"/>
      <c r="G11" s="108"/>
      <c r="H11" s="108"/>
      <c r="I11" s="109"/>
    </row>
    <row r="12" spans="1:9" s="6" customFormat="1" ht="19.5" customHeight="1" thickBot="1" x14ac:dyDescent="0.35">
      <c r="A12" s="91" t="s">
        <v>11</v>
      </c>
      <c r="B12" s="92"/>
      <c r="C12" s="92"/>
      <c r="D12" s="92"/>
      <c r="E12" s="92"/>
      <c r="F12" s="92"/>
      <c r="G12" s="92"/>
      <c r="H12" s="92"/>
      <c r="I12" s="93"/>
    </row>
    <row r="13" spans="1:9" s="6" customFormat="1" ht="18.75" customHeight="1" x14ac:dyDescent="0.3">
      <c r="A13" s="62" t="s">
        <v>21</v>
      </c>
      <c r="B13" s="63"/>
      <c r="C13" s="63"/>
      <c r="D13" s="63"/>
      <c r="E13" s="63"/>
      <c r="F13" s="63"/>
      <c r="G13" s="63"/>
      <c r="H13" s="63"/>
      <c r="I13" s="64"/>
    </row>
    <row r="14" spans="1:9" s="9" customFormat="1" ht="27.45" customHeight="1" x14ac:dyDescent="0.3">
      <c r="A14" s="56" t="s">
        <v>2</v>
      </c>
      <c r="B14" s="94" t="s">
        <v>37</v>
      </c>
      <c r="C14" s="95"/>
      <c r="D14" s="96"/>
      <c r="E14" s="58" t="s">
        <v>1</v>
      </c>
      <c r="F14" s="70" t="s">
        <v>6</v>
      </c>
      <c r="G14" s="71"/>
      <c r="H14" s="72"/>
      <c r="I14" s="65" t="s">
        <v>36</v>
      </c>
    </row>
    <row r="15" spans="1:9" s="9" customFormat="1" ht="48.75" customHeight="1" x14ac:dyDescent="0.3">
      <c r="A15" s="57"/>
      <c r="B15" s="97"/>
      <c r="C15" s="98"/>
      <c r="D15" s="99"/>
      <c r="E15" s="59"/>
      <c r="F15" s="38" t="s">
        <v>3</v>
      </c>
      <c r="G15" s="38" t="s">
        <v>4</v>
      </c>
      <c r="H15" s="38" t="s">
        <v>5</v>
      </c>
      <c r="I15" s="66"/>
    </row>
    <row r="16" spans="1:9" s="9" customFormat="1" ht="28.2" customHeight="1" x14ac:dyDescent="0.3">
      <c r="A16" s="37">
        <v>1</v>
      </c>
      <c r="B16" s="76" t="s">
        <v>43</v>
      </c>
      <c r="C16" s="77"/>
      <c r="D16" s="78"/>
      <c r="E16" s="15" t="s">
        <v>22</v>
      </c>
      <c r="F16" s="32">
        <v>6270.16</v>
      </c>
      <c r="G16" s="32">
        <v>5968.71</v>
      </c>
      <c r="H16" s="32">
        <v>5848.13</v>
      </c>
      <c r="I16" s="30">
        <f>ROUND((F16+G16+H16)/3,2)</f>
        <v>6029</v>
      </c>
    </row>
    <row r="17" spans="1:9" s="9" customFormat="1" ht="15.75" customHeight="1" x14ac:dyDescent="0.3">
      <c r="A17" s="37">
        <v>2</v>
      </c>
      <c r="B17" s="76" t="s">
        <v>44</v>
      </c>
      <c r="C17" s="77"/>
      <c r="D17" s="78"/>
      <c r="E17" s="15" t="s">
        <v>22</v>
      </c>
      <c r="F17" s="32">
        <v>9257.0400000000009</v>
      </c>
      <c r="G17" s="32">
        <v>8811.99</v>
      </c>
      <c r="H17" s="32">
        <v>8633.9699999999993</v>
      </c>
      <c r="I17" s="30">
        <f t="shared" ref="I17:I39" si="0">ROUND((F17+G17+H17)/3,2)</f>
        <v>8901</v>
      </c>
    </row>
    <row r="18" spans="1:9" s="9" customFormat="1" ht="15.75" customHeight="1" x14ac:dyDescent="0.3">
      <c r="A18" s="37">
        <v>3</v>
      </c>
      <c r="B18" s="76" t="s">
        <v>45</v>
      </c>
      <c r="C18" s="77"/>
      <c r="D18" s="78"/>
      <c r="E18" s="15" t="s">
        <v>22</v>
      </c>
      <c r="F18" s="32">
        <v>12646.4</v>
      </c>
      <c r="G18" s="32">
        <v>12038.4</v>
      </c>
      <c r="H18" s="32">
        <v>11795.2</v>
      </c>
      <c r="I18" s="30">
        <f t="shared" si="0"/>
        <v>12160</v>
      </c>
    </row>
    <row r="19" spans="1:9" s="9" customFormat="1" ht="15.75" customHeight="1" x14ac:dyDescent="0.3">
      <c r="A19" s="37">
        <v>4</v>
      </c>
      <c r="B19" s="76" t="s">
        <v>46</v>
      </c>
      <c r="C19" s="77"/>
      <c r="D19" s="78"/>
      <c r="E19" s="15" t="s">
        <v>22</v>
      </c>
      <c r="F19" s="32">
        <v>23393.759999999998</v>
      </c>
      <c r="G19" s="32">
        <v>22269.06</v>
      </c>
      <c r="H19" s="32">
        <v>21819.18</v>
      </c>
      <c r="I19" s="30">
        <f t="shared" si="0"/>
        <v>22494</v>
      </c>
    </row>
    <row r="20" spans="1:9" s="9" customFormat="1" ht="15.75" customHeight="1" x14ac:dyDescent="0.3">
      <c r="A20" s="37">
        <v>5</v>
      </c>
      <c r="B20" s="76" t="s">
        <v>47</v>
      </c>
      <c r="C20" s="77"/>
      <c r="D20" s="78"/>
      <c r="E20" s="15" t="s">
        <v>22</v>
      </c>
      <c r="F20" s="32">
        <v>35057.360000000001</v>
      </c>
      <c r="G20" s="32">
        <v>33371.910000000003</v>
      </c>
      <c r="H20" s="32">
        <v>32697.73</v>
      </c>
      <c r="I20" s="30">
        <f t="shared" si="0"/>
        <v>33709</v>
      </c>
    </row>
    <row r="21" spans="1:9" s="9" customFormat="1" ht="15.75" customHeight="1" x14ac:dyDescent="0.3">
      <c r="A21" s="37">
        <v>6</v>
      </c>
      <c r="B21" s="76" t="s">
        <v>48</v>
      </c>
      <c r="C21" s="77"/>
      <c r="D21" s="78"/>
      <c r="E21" s="15" t="s">
        <v>22</v>
      </c>
      <c r="F21" s="32">
        <v>3274.96</v>
      </c>
      <c r="G21" s="32">
        <v>3117.51</v>
      </c>
      <c r="H21" s="32">
        <v>3054.53</v>
      </c>
      <c r="I21" s="30">
        <f t="shared" si="0"/>
        <v>3149</v>
      </c>
    </row>
    <row r="22" spans="1:9" s="9" customFormat="1" ht="15.75" customHeight="1" x14ac:dyDescent="0.3">
      <c r="A22" s="37">
        <v>7</v>
      </c>
      <c r="B22" s="76" t="s">
        <v>49</v>
      </c>
      <c r="C22" s="77"/>
      <c r="D22" s="78"/>
      <c r="E22" s="15" t="s">
        <v>22</v>
      </c>
      <c r="F22" s="32">
        <v>4960.8</v>
      </c>
      <c r="G22" s="32">
        <v>4722.3</v>
      </c>
      <c r="H22" s="32">
        <v>4626.8999999999996</v>
      </c>
      <c r="I22" s="30">
        <f t="shared" si="0"/>
        <v>4770</v>
      </c>
    </row>
    <row r="23" spans="1:9" s="9" customFormat="1" ht="15.75" customHeight="1" x14ac:dyDescent="0.3">
      <c r="A23" s="37">
        <v>8</v>
      </c>
      <c r="B23" s="76" t="s">
        <v>50</v>
      </c>
      <c r="C23" s="77"/>
      <c r="D23" s="78"/>
      <c r="E23" s="15" t="s">
        <v>22</v>
      </c>
      <c r="F23" s="32">
        <v>6431.36</v>
      </c>
      <c r="G23" s="32">
        <v>6122.16</v>
      </c>
      <c r="H23" s="32">
        <v>5998.48</v>
      </c>
      <c r="I23" s="30">
        <f t="shared" si="0"/>
        <v>6184</v>
      </c>
    </row>
    <row r="24" spans="1:9" s="9" customFormat="1" ht="15.75" customHeight="1" x14ac:dyDescent="0.3">
      <c r="A24" s="37">
        <v>9</v>
      </c>
      <c r="B24" s="76" t="s">
        <v>51</v>
      </c>
      <c r="C24" s="77"/>
      <c r="D24" s="78"/>
      <c r="E24" s="15" t="s">
        <v>22</v>
      </c>
      <c r="F24" s="32">
        <v>281857.68</v>
      </c>
      <c r="G24" s="32">
        <v>268306.83</v>
      </c>
      <c r="H24" s="32">
        <v>262886.49</v>
      </c>
      <c r="I24" s="30">
        <f t="shared" si="0"/>
        <v>271017</v>
      </c>
    </row>
    <row r="25" spans="1:9" s="9" customFormat="1" ht="15.75" customHeight="1" x14ac:dyDescent="0.3">
      <c r="A25" s="37">
        <v>10</v>
      </c>
      <c r="B25" s="76" t="s">
        <v>52</v>
      </c>
      <c r="C25" s="77"/>
      <c r="D25" s="78"/>
      <c r="E25" s="15" t="s">
        <v>22</v>
      </c>
      <c r="F25" s="32">
        <v>190261.76000000001</v>
      </c>
      <c r="G25" s="32">
        <v>181114.56</v>
      </c>
      <c r="H25" s="32">
        <v>177455.68</v>
      </c>
      <c r="I25" s="30">
        <f t="shared" si="0"/>
        <v>182944</v>
      </c>
    </row>
    <row r="26" spans="1:9" s="9" customFormat="1" ht="15.75" customHeight="1" x14ac:dyDescent="0.3">
      <c r="A26" s="37">
        <v>11</v>
      </c>
      <c r="B26" s="76" t="s">
        <v>66</v>
      </c>
      <c r="C26" s="77"/>
      <c r="D26" s="78"/>
      <c r="E26" s="15" t="s">
        <v>22</v>
      </c>
      <c r="F26" s="32">
        <v>37970.400000000001</v>
      </c>
      <c r="G26" s="32">
        <v>36144.9</v>
      </c>
      <c r="H26" s="32">
        <v>35414.699999999997</v>
      </c>
      <c r="I26" s="30">
        <f t="shared" si="0"/>
        <v>36510</v>
      </c>
    </row>
    <row r="27" spans="1:9" s="9" customFormat="1" ht="15.75" customHeight="1" x14ac:dyDescent="0.3">
      <c r="A27" s="37">
        <v>12</v>
      </c>
      <c r="B27" s="76" t="s">
        <v>53</v>
      </c>
      <c r="C27" s="77"/>
      <c r="D27" s="78"/>
      <c r="E27" s="15" t="s">
        <v>22</v>
      </c>
      <c r="F27" s="32">
        <v>55881.279999999999</v>
      </c>
      <c r="G27" s="32">
        <v>53194.68</v>
      </c>
      <c r="H27" s="32">
        <v>52120.04</v>
      </c>
      <c r="I27" s="30">
        <f t="shared" si="0"/>
        <v>53732</v>
      </c>
    </row>
    <row r="28" spans="1:9" s="9" customFormat="1" ht="15.75" customHeight="1" x14ac:dyDescent="0.3">
      <c r="A28" s="37">
        <v>13</v>
      </c>
      <c r="B28" s="76" t="s">
        <v>54</v>
      </c>
      <c r="C28" s="77"/>
      <c r="D28" s="78"/>
      <c r="E28" s="15" t="s">
        <v>22</v>
      </c>
      <c r="F28" s="32">
        <v>73299.199999999997</v>
      </c>
      <c r="G28" s="32">
        <v>69775.199999999997</v>
      </c>
      <c r="H28" s="32">
        <v>68365.600000000006</v>
      </c>
      <c r="I28" s="30">
        <f t="shared" si="0"/>
        <v>70480</v>
      </c>
    </row>
    <row r="29" spans="1:9" s="9" customFormat="1" ht="15.75" customHeight="1" x14ac:dyDescent="0.3">
      <c r="A29" s="37">
        <v>14</v>
      </c>
      <c r="B29" s="76" t="s">
        <v>55</v>
      </c>
      <c r="C29" s="77"/>
      <c r="D29" s="78"/>
      <c r="E29" s="15" t="s">
        <v>22</v>
      </c>
      <c r="F29" s="32">
        <v>59266.48</v>
      </c>
      <c r="G29" s="32">
        <v>56417.13</v>
      </c>
      <c r="H29" s="32">
        <v>55277.39</v>
      </c>
      <c r="I29" s="30">
        <f t="shared" si="0"/>
        <v>56987</v>
      </c>
    </row>
    <row r="30" spans="1:9" s="9" customFormat="1" ht="15.75" customHeight="1" x14ac:dyDescent="0.3">
      <c r="A30" s="37">
        <v>15</v>
      </c>
      <c r="B30" s="76" t="s">
        <v>56</v>
      </c>
      <c r="C30" s="77"/>
      <c r="D30" s="78"/>
      <c r="E30" s="15" t="s">
        <v>22</v>
      </c>
      <c r="F30" s="32">
        <v>55550.559999999998</v>
      </c>
      <c r="G30" s="32">
        <v>52879.86</v>
      </c>
      <c r="H30" s="32">
        <v>51811.58</v>
      </c>
      <c r="I30" s="30">
        <f t="shared" si="0"/>
        <v>53414</v>
      </c>
    </row>
    <row r="31" spans="1:9" s="9" customFormat="1" ht="15.75" customHeight="1" x14ac:dyDescent="0.3">
      <c r="A31" s="37">
        <v>16</v>
      </c>
      <c r="B31" s="76" t="s">
        <v>57</v>
      </c>
      <c r="C31" s="77"/>
      <c r="D31" s="78"/>
      <c r="E31" s="15" t="s">
        <v>22</v>
      </c>
      <c r="F31" s="32">
        <v>63702.080000000002</v>
      </c>
      <c r="G31" s="32">
        <v>60639.48</v>
      </c>
      <c r="H31" s="32">
        <v>59414.44</v>
      </c>
      <c r="I31" s="30">
        <f t="shared" si="0"/>
        <v>61252</v>
      </c>
    </row>
    <row r="32" spans="1:9" s="9" customFormat="1" ht="15.75" customHeight="1" x14ac:dyDescent="0.3">
      <c r="A32" s="37">
        <v>17</v>
      </c>
      <c r="B32" s="76" t="s">
        <v>58</v>
      </c>
      <c r="C32" s="77"/>
      <c r="D32" s="78"/>
      <c r="E32" s="15" t="s">
        <v>22</v>
      </c>
      <c r="F32" s="32">
        <v>47168.160000000003</v>
      </c>
      <c r="G32" s="32">
        <v>44900.46</v>
      </c>
      <c r="H32" s="32">
        <v>43993.38</v>
      </c>
      <c r="I32" s="30">
        <f t="shared" si="0"/>
        <v>45354</v>
      </c>
    </row>
    <row r="33" spans="1:11" s="9" customFormat="1" ht="15.75" customHeight="1" x14ac:dyDescent="0.3">
      <c r="A33" s="37">
        <v>18</v>
      </c>
      <c r="B33" s="76" t="s">
        <v>59</v>
      </c>
      <c r="C33" s="77"/>
      <c r="D33" s="78"/>
      <c r="E33" s="15" t="s">
        <v>22</v>
      </c>
      <c r="F33" s="32">
        <v>37092.639999999999</v>
      </c>
      <c r="G33" s="32">
        <v>35309.339999999997</v>
      </c>
      <c r="H33" s="32">
        <v>34596.019999999997</v>
      </c>
      <c r="I33" s="30">
        <f t="shared" si="0"/>
        <v>35666</v>
      </c>
    </row>
    <row r="34" spans="1:11" s="9" customFormat="1" ht="15.75" customHeight="1" x14ac:dyDescent="0.3">
      <c r="A34" s="37">
        <v>19</v>
      </c>
      <c r="B34" s="76" t="s">
        <v>60</v>
      </c>
      <c r="C34" s="77"/>
      <c r="D34" s="78"/>
      <c r="E34" s="15" t="s">
        <v>22</v>
      </c>
      <c r="F34" s="32">
        <v>33343.440000000002</v>
      </c>
      <c r="G34" s="32">
        <v>31740.39</v>
      </c>
      <c r="H34" s="32">
        <v>31099.17</v>
      </c>
      <c r="I34" s="30">
        <f t="shared" si="0"/>
        <v>32061</v>
      </c>
    </row>
    <row r="35" spans="1:11" s="9" customFormat="1" ht="15.75" customHeight="1" x14ac:dyDescent="0.3">
      <c r="A35" s="37">
        <v>20</v>
      </c>
      <c r="B35" s="76" t="s">
        <v>61</v>
      </c>
      <c r="C35" s="77"/>
      <c r="D35" s="78"/>
      <c r="E35" s="15" t="s">
        <v>22</v>
      </c>
      <c r="F35" s="32">
        <v>21278.400000000001</v>
      </c>
      <c r="G35" s="32">
        <v>20255.400000000001</v>
      </c>
      <c r="H35" s="32">
        <v>19846.2</v>
      </c>
      <c r="I35" s="30">
        <f t="shared" si="0"/>
        <v>20460</v>
      </c>
    </row>
    <row r="36" spans="1:11" s="9" customFormat="1" ht="15.75" customHeight="1" x14ac:dyDescent="0.3">
      <c r="A36" s="37">
        <v>21</v>
      </c>
      <c r="B36" s="76" t="s">
        <v>62</v>
      </c>
      <c r="C36" s="77"/>
      <c r="D36" s="78"/>
      <c r="E36" s="15" t="s">
        <v>22</v>
      </c>
      <c r="F36" s="32">
        <v>14829.36</v>
      </c>
      <c r="G36" s="32">
        <v>14116.41</v>
      </c>
      <c r="H36" s="32">
        <v>13831.23</v>
      </c>
      <c r="I36" s="30">
        <f t="shared" si="0"/>
        <v>14259</v>
      </c>
    </row>
    <row r="37" spans="1:11" s="9" customFormat="1" ht="15.75" customHeight="1" x14ac:dyDescent="0.3">
      <c r="A37" s="37">
        <v>22</v>
      </c>
      <c r="B37" s="76" t="s">
        <v>63</v>
      </c>
      <c r="C37" s="77"/>
      <c r="D37" s="78"/>
      <c r="E37" s="15" t="s">
        <v>22</v>
      </c>
      <c r="F37" s="32">
        <v>28412.799999999999</v>
      </c>
      <c r="G37" s="32">
        <v>27046.799999999999</v>
      </c>
      <c r="H37" s="32">
        <v>26500.400000000001</v>
      </c>
      <c r="I37" s="30">
        <f t="shared" si="0"/>
        <v>27320</v>
      </c>
    </row>
    <row r="38" spans="1:11" s="9" customFormat="1" ht="15.75" customHeight="1" x14ac:dyDescent="0.3">
      <c r="A38" s="37">
        <v>23</v>
      </c>
      <c r="B38" s="76" t="s">
        <v>64</v>
      </c>
      <c r="C38" s="77"/>
      <c r="D38" s="78"/>
      <c r="E38" s="15" t="s">
        <v>22</v>
      </c>
      <c r="F38" s="32">
        <v>19480.34</v>
      </c>
      <c r="G38" s="32">
        <v>18543.79</v>
      </c>
      <c r="H38" s="32">
        <v>18169.169999999998</v>
      </c>
      <c r="I38" s="30">
        <f t="shared" si="0"/>
        <v>18731.099999999999</v>
      </c>
    </row>
    <row r="39" spans="1:11" s="9" customFormat="1" ht="15.75" customHeight="1" x14ac:dyDescent="0.3">
      <c r="A39" s="37">
        <v>24</v>
      </c>
      <c r="B39" s="76" t="s">
        <v>65</v>
      </c>
      <c r="C39" s="77"/>
      <c r="D39" s="78"/>
      <c r="E39" s="15" t="s">
        <v>22</v>
      </c>
      <c r="F39" s="32">
        <v>9207.1200000000008</v>
      </c>
      <c r="G39" s="32">
        <v>8764.4699999999993</v>
      </c>
      <c r="H39" s="32">
        <v>8587.41</v>
      </c>
      <c r="I39" s="30">
        <f t="shared" si="0"/>
        <v>8853</v>
      </c>
    </row>
    <row r="40" spans="1:11" s="9" customFormat="1" ht="15.75" customHeight="1" x14ac:dyDescent="0.3">
      <c r="A40" s="100" t="s">
        <v>16</v>
      </c>
      <c r="B40" s="101"/>
      <c r="C40" s="101"/>
      <c r="D40" s="102"/>
      <c r="E40" s="103"/>
      <c r="F40" s="104"/>
      <c r="G40" s="104"/>
      <c r="H40" s="104"/>
      <c r="I40" s="105"/>
      <c r="J40" s="10"/>
      <c r="K40" s="11"/>
    </row>
    <row r="41" spans="1:11" s="7" customFormat="1" x14ac:dyDescent="0.3">
      <c r="A41" s="67" t="s">
        <v>28</v>
      </c>
      <c r="B41" s="68"/>
      <c r="C41" s="68"/>
      <c r="D41" s="68"/>
      <c r="E41" s="68"/>
      <c r="F41" s="68"/>
      <c r="G41" s="68"/>
      <c r="H41" s="69"/>
      <c r="I41" s="25">
        <f>SUM(I16:I39)</f>
        <v>1086436.1000000001</v>
      </c>
      <c r="K41" s="12"/>
    </row>
    <row r="42" spans="1:11" s="7" customFormat="1" ht="16.2" thickBot="1" x14ac:dyDescent="0.35">
      <c r="A42" s="73" t="s">
        <v>25</v>
      </c>
      <c r="B42" s="74"/>
      <c r="C42" s="74"/>
      <c r="D42" s="74"/>
      <c r="E42" s="74"/>
      <c r="F42" s="74"/>
      <c r="G42" s="74"/>
      <c r="H42" s="75"/>
      <c r="I42" s="31">
        <f>SUM(I41/122*22)</f>
        <v>195914.71</v>
      </c>
    </row>
    <row r="43" spans="1:11" s="7" customFormat="1" x14ac:dyDescent="0.3">
      <c r="A43" s="62" t="s">
        <v>20</v>
      </c>
      <c r="B43" s="63"/>
      <c r="C43" s="63"/>
      <c r="D43" s="63"/>
      <c r="E43" s="63"/>
      <c r="F43" s="63"/>
      <c r="G43" s="63"/>
      <c r="H43" s="63"/>
      <c r="I43" s="64"/>
    </row>
    <row r="44" spans="1:11" s="9" customFormat="1" ht="15.75" customHeight="1" x14ac:dyDescent="0.3">
      <c r="A44" s="56" t="s">
        <v>2</v>
      </c>
      <c r="B44" s="94" t="s">
        <v>0</v>
      </c>
      <c r="C44" s="95"/>
      <c r="D44" s="96"/>
      <c r="E44" s="58" t="s">
        <v>1</v>
      </c>
      <c r="F44" s="70" t="s">
        <v>6</v>
      </c>
      <c r="G44" s="71"/>
      <c r="H44" s="72"/>
      <c r="I44" s="65" t="s">
        <v>36</v>
      </c>
    </row>
    <row r="45" spans="1:11" s="9" customFormat="1" ht="38.25" customHeight="1" x14ac:dyDescent="0.3">
      <c r="A45" s="57"/>
      <c r="B45" s="97"/>
      <c r="C45" s="98"/>
      <c r="D45" s="99"/>
      <c r="E45" s="59"/>
      <c r="F45" s="14" t="s">
        <v>3</v>
      </c>
      <c r="G45" s="14" t="s">
        <v>4</v>
      </c>
      <c r="H45" s="14" t="s">
        <v>5</v>
      </c>
      <c r="I45" s="66"/>
    </row>
    <row r="46" spans="1:11" s="9" customFormat="1" ht="15.75" customHeight="1" x14ac:dyDescent="0.3">
      <c r="A46" s="37">
        <v>1</v>
      </c>
      <c r="B46" s="76" t="s">
        <v>43</v>
      </c>
      <c r="C46" s="77"/>
      <c r="D46" s="78"/>
      <c r="E46" s="15" t="s">
        <v>22</v>
      </c>
      <c r="F46" s="32">
        <v>6600.17</v>
      </c>
      <c r="G46" s="32">
        <v>6282.86</v>
      </c>
      <c r="H46" s="32">
        <v>6155.93</v>
      </c>
      <c r="I46" s="26">
        <f>ROUND((F46+G46+H46)/3,2)</f>
        <v>6346.32</v>
      </c>
    </row>
    <row r="47" spans="1:11" s="9" customFormat="1" ht="15.75" customHeight="1" x14ac:dyDescent="0.3">
      <c r="A47" s="37">
        <v>2</v>
      </c>
      <c r="B47" s="76" t="s">
        <v>44</v>
      </c>
      <c r="C47" s="77"/>
      <c r="D47" s="78"/>
      <c r="E47" s="15" t="s">
        <v>22</v>
      </c>
      <c r="F47" s="32">
        <v>9744.25</v>
      </c>
      <c r="G47" s="32">
        <v>9275.7800000000007</v>
      </c>
      <c r="H47" s="32">
        <v>9088.39</v>
      </c>
      <c r="I47" s="26">
        <f t="shared" ref="I47:I69" si="1">ROUND((F47+G47+H47)/3,2)</f>
        <v>9369.4699999999993</v>
      </c>
    </row>
    <row r="48" spans="1:11" s="9" customFormat="1" ht="15.75" customHeight="1" x14ac:dyDescent="0.3">
      <c r="A48" s="37">
        <v>3</v>
      </c>
      <c r="B48" s="76" t="s">
        <v>45</v>
      </c>
      <c r="C48" s="77"/>
      <c r="D48" s="78"/>
      <c r="E48" s="15" t="s">
        <v>22</v>
      </c>
      <c r="F48" s="32">
        <v>13312</v>
      </c>
      <c r="G48" s="32">
        <v>12672</v>
      </c>
      <c r="H48" s="32">
        <v>12416</v>
      </c>
      <c r="I48" s="26">
        <f t="shared" si="1"/>
        <v>12800</v>
      </c>
    </row>
    <row r="49" spans="1:9" s="9" customFormat="1" ht="15.75" customHeight="1" x14ac:dyDescent="0.3">
      <c r="A49" s="37">
        <v>4</v>
      </c>
      <c r="B49" s="76" t="s">
        <v>46</v>
      </c>
      <c r="C49" s="77"/>
      <c r="D49" s="78"/>
      <c r="E49" s="15" t="s">
        <v>22</v>
      </c>
      <c r="F49" s="32">
        <v>24625.01</v>
      </c>
      <c r="G49" s="32">
        <v>23441.11</v>
      </c>
      <c r="H49" s="32">
        <v>22967.55</v>
      </c>
      <c r="I49" s="26">
        <f t="shared" si="1"/>
        <v>23677.89</v>
      </c>
    </row>
    <row r="50" spans="1:9" s="9" customFormat="1" ht="15.75" customHeight="1" x14ac:dyDescent="0.3">
      <c r="A50" s="37">
        <v>5</v>
      </c>
      <c r="B50" s="76" t="s">
        <v>47</v>
      </c>
      <c r="C50" s="77"/>
      <c r="D50" s="78"/>
      <c r="E50" s="15" t="s">
        <v>22</v>
      </c>
      <c r="F50" s="32">
        <v>36902.49</v>
      </c>
      <c r="G50" s="32">
        <v>35128.33</v>
      </c>
      <c r="H50" s="32">
        <v>34418.67</v>
      </c>
      <c r="I50" s="26">
        <f t="shared" si="1"/>
        <v>35483.160000000003</v>
      </c>
    </row>
    <row r="51" spans="1:9" s="9" customFormat="1" ht="15.75" customHeight="1" x14ac:dyDescent="0.3">
      <c r="A51" s="37">
        <v>6</v>
      </c>
      <c r="B51" s="76" t="s">
        <v>48</v>
      </c>
      <c r="C51" s="77"/>
      <c r="D51" s="78"/>
      <c r="E51" s="15" t="s">
        <v>22</v>
      </c>
      <c r="F51" s="32">
        <v>3447.33</v>
      </c>
      <c r="G51" s="32">
        <v>3281.59</v>
      </c>
      <c r="H51" s="32">
        <v>3215.3</v>
      </c>
      <c r="I51" s="26">
        <f t="shared" si="1"/>
        <v>3314.74</v>
      </c>
    </row>
    <row r="52" spans="1:9" s="9" customFormat="1" ht="15.75" customHeight="1" x14ac:dyDescent="0.3">
      <c r="A52" s="37">
        <v>7</v>
      </c>
      <c r="B52" s="76" t="s">
        <v>49</v>
      </c>
      <c r="C52" s="77"/>
      <c r="D52" s="78"/>
      <c r="E52" s="15" t="s">
        <v>22</v>
      </c>
      <c r="F52" s="32">
        <v>5221.8900000000003</v>
      </c>
      <c r="G52" s="32">
        <v>4970.84</v>
      </c>
      <c r="H52" s="32">
        <v>4870.42</v>
      </c>
      <c r="I52" s="26">
        <f t="shared" si="1"/>
        <v>5021.05</v>
      </c>
    </row>
    <row r="53" spans="1:9" s="9" customFormat="1" ht="15.75" customHeight="1" x14ac:dyDescent="0.3">
      <c r="A53" s="37">
        <v>8</v>
      </c>
      <c r="B53" s="76" t="s">
        <v>50</v>
      </c>
      <c r="C53" s="77"/>
      <c r="D53" s="78"/>
      <c r="E53" s="15" t="s">
        <v>22</v>
      </c>
      <c r="F53" s="32">
        <v>6769.85</v>
      </c>
      <c r="G53" s="32">
        <v>6444.38</v>
      </c>
      <c r="H53" s="32">
        <v>6314.19</v>
      </c>
      <c r="I53" s="26">
        <f t="shared" si="1"/>
        <v>6509.47</v>
      </c>
    </row>
    <row r="54" spans="1:9" s="9" customFormat="1" ht="15.75" customHeight="1" x14ac:dyDescent="0.3">
      <c r="A54" s="37">
        <v>9</v>
      </c>
      <c r="B54" s="76" t="s">
        <v>51</v>
      </c>
      <c r="C54" s="77"/>
      <c r="D54" s="78"/>
      <c r="E54" s="15" t="s">
        <v>22</v>
      </c>
      <c r="F54" s="32">
        <v>296692.28999999998</v>
      </c>
      <c r="G54" s="32">
        <v>282428.24</v>
      </c>
      <c r="H54" s="32">
        <v>276722.62</v>
      </c>
      <c r="I54" s="26">
        <f t="shared" si="1"/>
        <v>285281.05</v>
      </c>
    </row>
    <row r="55" spans="1:9" s="9" customFormat="1" ht="15.75" customHeight="1" x14ac:dyDescent="0.3">
      <c r="A55" s="37">
        <v>10</v>
      </c>
      <c r="B55" s="76" t="s">
        <v>52</v>
      </c>
      <c r="C55" s="77"/>
      <c r="D55" s="78"/>
      <c r="E55" s="15" t="s">
        <v>22</v>
      </c>
      <c r="F55" s="32">
        <v>200275.54</v>
      </c>
      <c r="G55" s="32">
        <v>190646.9</v>
      </c>
      <c r="H55" s="32">
        <v>186795.45</v>
      </c>
      <c r="I55" s="26">
        <f t="shared" si="1"/>
        <v>192572.63</v>
      </c>
    </row>
    <row r="56" spans="1:9" s="9" customFormat="1" ht="15.75" customHeight="1" x14ac:dyDescent="0.3">
      <c r="A56" s="37">
        <v>11</v>
      </c>
      <c r="B56" s="76" t="s">
        <v>66</v>
      </c>
      <c r="C56" s="77"/>
      <c r="D56" s="78"/>
      <c r="E56" s="15" t="s">
        <v>22</v>
      </c>
      <c r="F56" s="32">
        <v>39968.839999999997</v>
      </c>
      <c r="G56" s="32">
        <v>38047.26</v>
      </c>
      <c r="H56" s="32">
        <v>37278.629999999997</v>
      </c>
      <c r="I56" s="26">
        <f t="shared" si="1"/>
        <v>38431.58</v>
      </c>
    </row>
    <row r="57" spans="1:9" s="9" customFormat="1" ht="15.75" customHeight="1" x14ac:dyDescent="0.3">
      <c r="A57" s="37">
        <v>12</v>
      </c>
      <c r="B57" s="76" t="s">
        <v>53</v>
      </c>
      <c r="C57" s="77"/>
      <c r="D57" s="78"/>
      <c r="E57" s="15" t="s">
        <v>22</v>
      </c>
      <c r="F57" s="32">
        <v>58822.400000000001</v>
      </c>
      <c r="G57" s="32">
        <v>55994.400000000001</v>
      </c>
      <c r="H57" s="32">
        <v>54863.199999999997</v>
      </c>
      <c r="I57" s="26">
        <f t="shared" si="1"/>
        <v>56560</v>
      </c>
    </row>
    <row r="58" spans="1:9" s="9" customFormat="1" ht="15.75" customHeight="1" x14ac:dyDescent="0.3">
      <c r="A58" s="37">
        <v>13</v>
      </c>
      <c r="B58" s="76" t="s">
        <v>54</v>
      </c>
      <c r="C58" s="77"/>
      <c r="D58" s="78"/>
      <c r="E58" s="15" t="s">
        <v>22</v>
      </c>
      <c r="F58" s="32">
        <v>77157.05</v>
      </c>
      <c r="G58" s="32">
        <v>73447.58</v>
      </c>
      <c r="H58" s="32">
        <v>71963.789999999994</v>
      </c>
      <c r="I58" s="26">
        <f t="shared" si="1"/>
        <v>74189.47</v>
      </c>
    </row>
    <row r="59" spans="1:9" s="9" customFormat="1" ht="15.75" customHeight="1" x14ac:dyDescent="0.3">
      <c r="A59" s="37">
        <v>14</v>
      </c>
      <c r="B59" s="76" t="s">
        <v>55</v>
      </c>
      <c r="C59" s="77"/>
      <c r="D59" s="78"/>
      <c r="E59" s="15" t="s">
        <v>22</v>
      </c>
      <c r="F59" s="32">
        <v>62385.77</v>
      </c>
      <c r="G59" s="32">
        <v>59386.46</v>
      </c>
      <c r="H59" s="32">
        <v>58186.73</v>
      </c>
      <c r="I59" s="26">
        <f t="shared" si="1"/>
        <v>59986.32</v>
      </c>
    </row>
    <row r="60" spans="1:9" s="9" customFormat="1" ht="15.75" customHeight="1" x14ac:dyDescent="0.3">
      <c r="A60" s="37">
        <v>15</v>
      </c>
      <c r="B60" s="76" t="s">
        <v>56</v>
      </c>
      <c r="C60" s="77"/>
      <c r="D60" s="78"/>
      <c r="E60" s="15" t="s">
        <v>22</v>
      </c>
      <c r="F60" s="32">
        <v>58474.27</v>
      </c>
      <c r="G60" s="32">
        <v>55663.01</v>
      </c>
      <c r="H60" s="32">
        <v>54538.5</v>
      </c>
      <c r="I60" s="26">
        <f t="shared" si="1"/>
        <v>56225.26</v>
      </c>
    </row>
    <row r="61" spans="1:9" s="9" customFormat="1" ht="15.75" customHeight="1" x14ac:dyDescent="0.3">
      <c r="A61" s="37">
        <v>16</v>
      </c>
      <c r="B61" s="76" t="s">
        <v>57</v>
      </c>
      <c r="C61" s="77"/>
      <c r="D61" s="78"/>
      <c r="E61" s="15" t="s">
        <v>22</v>
      </c>
      <c r="F61" s="32">
        <v>67054.820000000007</v>
      </c>
      <c r="G61" s="32">
        <v>63831.03</v>
      </c>
      <c r="H61" s="32">
        <v>62541.52</v>
      </c>
      <c r="I61" s="26">
        <f t="shared" si="1"/>
        <v>64475.79</v>
      </c>
    </row>
    <row r="62" spans="1:9" s="9" customFormat="1" ht="15.75" customHeight="1" x14ac:dyDescent="0.3">
      <c r="A62" s="37">
        <v>17</v>
      </c>
      <c r="B62" s="76" t="s">
        <v>58</v>
      </c>
      <c r="C62" s="77"/>
      <c r="D62" s="78"/>
      <c r="E62" s="15" t="s">
        <v>22</v>
      </c>
      <c r="F62" s="32">
        <v>49650.69</v>
      </c>
      <c r="G62" s="32">
        <v>47263.64</v>
      </c>
      <c r="H62" s="32">
        <v>46308.82</v>
      </c>
      <c r="I62" s="26">
        <f t="shared" si="1"/>
        <v>47741.05</v>
      </c>
    </row>
    <row r="63" spans="1:9" s="9" customFormat="1" ht="15.75" customHeight="1" x14ac:dyDescent="0.3">
      <c r="A63" s="37">
        <v>18</v>
      </c>
      <c r="B63" s="76" t="s">
        <v>59</v>
      </c>
      <c r="C63" s="77"/>
      <c r="D63" s="78"/>
      <c r="E63" s="15" t="s">
        <v>22</v>
      </c>
      <c r="F63" s="32">
        <v>39044.89</v>
      </c>
      <c r="G63" s="32">
        <v>37167.730000000003</v>
      </c>
      <c r="H63" s="32">
        <v>36416.870000000003</v>
      </c>
      <c r="I63" s="26">
        <f t="shared" si="1"/>
        <v>37543.160000000003</v>
      </c>
    </row>
    <row r="64" spans="1:9" s="9" customFormat="1" ht="15.75" customHeight="1" x14ac:dyDescent="0.3">
      <c r="A64" s="37">
        <v>19</v>
      </c>
      <c r="B64" s="76" t="s">
        <v>60</v>
      </c>
      <c r="C64" s="77"/>
      <c r="D64" s="78"/>
      <c r="E64" s="15" t="s">
        <v>22</v>
      </c>
      <c r="F64" s="32">
        <v>35098.36</v>
      </c>
      <c r="G64" s="32">
        <v>33410.94</v>
      </c>
      <c r="H64" s="32">
        <v>32735.97</v>
      </c>
      <c r="I64" s="26">
        <f t="shared" si="1"/>
        <v>33748.42</v>
      </c>
    </row>
    <row r="65" spans="1:11" s="9" customFormat="1" ht="15.75" customHeight="1" x14ac:dyDescent="0.3">
      <c r="A65" s="37">
        <v>20</v>
      </c>
      <c r="B65" s="76" t="s">
        <v>61</v>
      </c>
      <c r="C65" s="77"/>
      <c r="D65" s="78"/>
      <c r="E65" s="15" t="s">
        <v>22</v>
      </c>
      <c r="F65" s="32">
        <v>22398.31</v>
      </c>
      <c r="G65" s="32">
        <v>21321.47</v>
      </c>
      <c r="H65" s="32">
        <v>20890.73</v>
      </c>
      <c r="I65" s="26">
        <f t="shared" si="1"/>
        <v>21536.84</v>
      </c>
    </row>
    <row r="66" spans="1:11" s="9" customFormat="1" ht="15.75" customHeight="1" x14ac:dyDescent="0.3">
      <c r="A66" s="37">
        <v>21</v>
      </c>
      <c r="B66" s="76" t="s">
        <v>62</v>
      </c>
      <c r="C66" s="77"/>
      <c r="D66" s="78"/>
      <c r="E66" s="15" t="s">
        <v>22</v>
      </c>
      <c r="F66" s="32">
        <v>15609.85</v>
      </c>
      <c r="G66" s="32">
        <v>14859.38</v>
      </c>
      <c r="H66" s="32">
        <v>14559.19</v>
      </c>
      <c r="I66" s="26">
        <f t="shared" si="1"/>
        <v>15009.47</v>
      </c>
    </row>
    <row r="67" spans="1:11" s="9" customFormat="1" ht="15.75" customHeight="1" x14ac:dyDescent="0.3">
      <c r="A67" s="37">
        <v>22</v>
      </c>
      <c r="B67" s="76" t="s">
        <v>63</v>
      </c>
      <c r="C67" s="77"/>
      <c r="D67" s="78"/>
      <c r="E67" s="15" t="s">
        <v>22</v>
      </c>
      <c r="F67" s="32">
        <v>29908.21</v>
      </c>
      <c r="G67" s="32">
        <v>28470.31</v>
      </c>
      <c r="H67" s="32">
        <v>27895.15</v>
      </c>
      <c r="I67" s="26">
        <f t="shared" si="1"/>
        <v>28757.89</v>
      </c>
    </row>
    <row r="68" spans="1:11" s="9" customFormat="1" ht="15.75" customHeight="1" x14ac:dyDescent="0.3">
      <c r="A68" s="37">
        <v>23</v>
      </c>
      <c r="B68" s="76" t="s">
        <v>64</v>
      </c>
      <c r="C68" s="77"/>
      <c r="D68" s="78"/>
      <c r="E68" s="15" t="s">
        <v>22</v>
      </c>
      <c r="F68" s="32">
        <v>20505.63</v>
      </c>
      <c r="G68" s="32">
        <v>19519.78</v>
      </c>
      <c r="H68" s="32">
        <v>19125.439999999999</v>
      </c>
      <c r="I68" s="26">
        <f t="shared" si="1"/>
        <v>19716.95</v>
      </c>
    </row>
    <row r="69" spans="1:11" s="9" customFormat="1" ht="15.75" customHeight="1" x14ac:dyDescent="0.3">
      <c r="A69" s="37">
        <v>24</v>
      </c>
      <c r="B69" s="76" t="s">
        <v>65</v>
      </c>
      <c r="C69" s="77"/>
      <c r="D69" s="78"/>
      <c r="E69" s="15" t="s">
        <v>22</v>
      </c>
      <c r="F69" s="32">
        <v>9691.7099999999991</v>
      </c>
      <c r="G69" s="32">
        <v>9225.76</v>
      </c>
      <c r="H69" s="32">
        <v>9039.3799999999992</v>
      </c>
      <c r="I69" s="26">
        <f t="shared" si="1"/>
        <v>9318.9500000000007</v>
      </c>
    </row>
    <row r="70" spans="1:11" s="9" customFormat="1" ht="15.75" customHeight="1" x14ac:dyDescent="0.3">
      <c r="A70" s="100" t="s">
        <v>16</v>
      </c>
      <c r="B70" s="101"/>
      <c r="C70" s="101"/>
      <c r="D70" s="102"/>
      <c r="E70" s="103"/>
      <c r="F70" s="104"/>
      <c r="G70" s="104"/>
      <c r="H70" s="104"/>
      <c r="I70" s="105"/>
      <c r="J70" s="10"/>
      <c r="K70" s="11"/>
    </row>
    <row r="71" spans="1:11" s="7" customFormat="1" x14ac:dyDescent="0.3">
      <c r="A71" s="67" t="s">
        <v>30</v>
      </c>
      <c r="B71" s="68"/>
      <c r="C71" s="68"/>
      <c r="D71" s="68"/>
      <c r="E71" s="68"/>
      <c r="F71" s="68"/>
      <c r="G71" s="68"/>
      <c r="H71" s="69"/>
      <c r="I71" s="25">
        <f>SUM(I46:I69)</f>
        <v>1143616.93</v>
      </c>
      <c r="K71" s="12"/>
    </row>
    <row r="72" spans="1:11" s="7" customFormat="1" ht="16.2" thickBot="1" x14ac:dyDescent="0.35">
      <c r="A72" s="73" t="s">
        <v>25</v>
      </c>
      <c r="B72" s="74"/>
      <c r="C72" s="74"/>
      <c r="D72" s="74"/>
      <c r="E72" s="74"/>
      <c r="F72" s="74"/>
      <c r="G72" s="74"/>
      <c r="H72" s="75"/>
      <c r="I72" s="27">
        <f>SUM(I71/122*22)</f>
        <v>206226</v>
      </c>
    </row>
    <row r="73" spans="1:11" s="7" customFormat="1" x14ac:dyDescent="0.3">
      <c r="A73" s="62" t="s">
        <v>26</v>
      </c>
      <c r="B73" s="63"/>
      <c r="C73" s="63"/>
      <c r="D73" s="63"/>
      <c r="E73" s="63"/>
      <c r="F73" s="63"/>
      <c r="G73" s="63"/>
      <c r="H73" s="63"/>
      <c r="I73" s="64"/>
    </row>
    <row r="74" spans="1:11" s="7" customFormat="1" ht="27.45" customHeight="1" x14ac:dyDescent="0.3">
      <c r="A74" s="56" t="s">
        <v>2</v>
      </c>
      <c r="B74" s="94" t="s">
        <v>0</v>
      </c>
      <c r="C74" s="95"/>
      <c r="D74" s="96"/>
      <c r="E74" s="58" t="s">
        <v>1</v>
      </c>
      <c r="F74" s="70" t="s">
        <v>6</v>
      </c>
      <c r="G74" s="71"/>
      <c r="H74" s="72"/>
      <c r="I74" s="65" t="s">
        <v>36</v>
      </c>
    </row>
    <row r="75" spans="1:11" s="7" customFormat="1" ht="53.25" customHeight="1" x14ac:dyDescent="0.3">
      <c r="A75" s="57"/>
      <c r="B75" s="97"/>
      <c r="C75" s="98"/>
      <c r="D75" s="99"/>
      <c r="E75" s="59"/>
      <c r="F75" s="14" t="s">
        <v>3</v>
      </c>
      <c r="G75" s="14" t="s">
        <v>4</v>
      </c>
      <c r="H75" s="14" t="s">
        <v>5</v>
      </c>
      <c r="I75" s="66"/>
    </row>
    <row r="76" spans="1:11" s="7" customFormat="1" ht="15.75" customHeight="1" x14ac:dyDescent="0.3">
      <c r="A76" s="20">
        <v>1</v>
      </c>
      <c r="B76" s="76" t="s">
        <v>43</v>
      </c>
      <c r="C76" s="77"/>
      <c r="D76" s="78"/>
      <c r="E76" s="17" t="s">
        <v>22</v>
      </c>
      <c r="F76" s="41">
        <v>6947.55</v>
      </c>
      <c r="G76" s="41">
        <v>6613.54</v>
      </c>
      <c r="H76" s="41">
        <v>6479.93</v>
      </c>
      <c r="I76" s="21">
        <f t="shared" ref="I76:I99" si="2">ROUND((F76+G76+H76)/3,2)</f>
        <v>6680.34</v>
      </c>
    </row>
    <row r="77" spans="1:11" s="7" customFormat="1" ht="15.75" customHeight="1" x14ac:dyDescent="0.3">
      <c r="A77" s="20">
        <v>2</v>
      </c>
      <c r="B77" s="76" t="s">
        <v>44</v>
      </c>
      <c r="C77" s="77"/>
      <c r="D77" s="78"/>
      <c r="E77" s="17" t="s">
        <v>22</v>
      </c>
      <c r="F77" s="41">
        <v>10257.1</v>
      </c>
      <c r="G77" s="41">
        <v>9763.9699999999993</v>
      </c>
      <c r="H77" s="41">
        <v>9566.7199999999993</v>
      </c>
      <c r="I77" s="21">
        <f t="shared" si="2"/>
        <v>9862.6</v>
      </c>
    </row>
    <row r="78" spans="1:11" s="7" customFormat="1" ht="15.75" customHeight="1" x14ac:dyDescent="0.3">
      <c r="A78" s="20">
        <v>3</v>
      </c>
      <c r="B78" s="76" t="s">
        <v>45</v>
      </c>
      <c r="C78" s="77"/>
      <c r="D78" s="78"/>
      <c r="E78" s="17" t="s">
        <v>22</v>
      </c>
      <c r="F78" s="41">
        <v>14012.63</v>
      </c>
      <c r="G78" s="41">
        <v>13338.94</v>
      </c>
      <c r="H78" s="41">
        <v>13069.47</v>
      </c>
      <c r="I78" s="21">
        <f t="shared" si="2"/>
        <v>13473.68</v>
      </c>
    </row>
    <row r="79" spans="1:11" s="7" customFormat="1" ht="15.75" customHeight="1" x14ac:dyDescent="0.3">
      <c r="A79" s="20">
        <v>4</v>
      </c>
      <c r="B79" s="76" t="s">
        <v>46</v>
      </c>
      <c r="C79" s="77"/>
      <c r="D79" s="78"/>
      <c r="E79" s="17" t="s">
        <v>22</v>
      </c>
      <c r="F79" s="41">
        <v>25921.05</v>
      </c>
      <c r="G79" s="41">
        <v>24674.85</v>
      </c>
      <c r="H79" s="41">
        <v>24176.37</v>
      </c>
      <c r="I79" s="21">
        <f t="shared" si="2"/>
        <v>24924.09</v>
      </c>
    </row>
    <row r="80" spans="1:11" s="7" customFormat="1" ht="15.75" customHeight="1" x14ac:dyDescent="0.3">
      <c r="A80" s="20">
        <v>5</v>
      </c>
      <c r="B80" s="76" t="s">
        <v>47</v>
      </c>
      <c r="C80" s="77"/>
      <c r="D80" s="78"/>
      <c r="E80" s="17" t="s">
        <v>22</v>
      </c>
      <c r="F80" s="41">
        <v>38844.720000000001</v>
      </c>
      <c r="G80" s="41">
        <v>36977.18</v>
      </c>
      <c r="H80" s="41">
        <v>36230.17</v>
      </c>
      <c r="I80" s="21">
        <f t="shared" si="2"/>
        <v>37350.69</v>
      </c>
    </row>
    <row r="81" spans="1:9" s="7" customFormat="1" ht="15.75" customHeight="1" x14ac:dyDescent="0.3">
      <c r="A81" s="20">
        <v>6</v>
      </c>
      <c r="B81" s="76" t="s">
        <v>48</v>
      </c>
      <c r="C81" s="77"/>
      <c r="D81" s="78"/>
      <c r="E81" s="17" t="s">
        <v>22</v>
      </c>
      <c r="F81" s="41">
        <v>3628.77</v>
      </c>
      <c r="G81" s="41">
        <v>3454.31</v>
      </c>
      <c r="H81" s="41">
        <v>3384.52</v>
      </c>
      <c r="I81" s="21">
        <f t="shared" si="2"/>
        <v>3489.2</v>
      </c>
    </row>
    <row r="82" spans="1:9" s="7" customFormat="1" ht="15.75" customHeight="1" x14ac:dyDescent="0.3">
      <c r="A82" s="20">
        <v>7</v>
      </c>
      <c r="B82" s="76" t="s">
        <v>49</v>
      </c>
      <c r="C82" s="77"/>
      <c r="D82" s="78"/>
      <c r="E82" s="17" t="s">
        <v>22</v>
      </c>
      <c r="F82" s="41">
        <v>5496.73</v>
      </c>
      <c r="G82" s="41">
        <v>5232.47</v>
      </c>
      <c r="H82" s="41">
        <v>5126.76</v>
      </c>
      <c r="I82" s="21">
        <f t="shared" si="2"/>
        <v>5285.32</v>
      </c>
    </row>
    <row r="83" spans="1:9" s="7" customFormat="1" ht="15.75" customHeight="1" x14ac:dyDescent="0.3">
      <c r="A83" s="20">
        <v>8</v>
      </c>
      <c r="B83" s="76" t="s">
        <v>50</v>
      </c>
      <c r="C83" s="77"/>
      <c r="D83" s="78"/>
      <c r="E83" s="17" t="s">
        <v>22</v>
      </c>
      <c r="F83" s="41">
        <v>7126.15</v>
      </c>
      <c r="G83" s="41">
        <v>6783.55</v>
      </c>
      <c r="H83" s="41">
        <v>6646.51</v>
      </c>
      <c r="I83" s="21">
        <f t="shared" si="2"/>
        <v>6852.07</v>
      </c>
    </row>
    <row r="84" spans="1:9" s="7" customFormat="1" ht="15.75" customHeight="1" x14ac:dyDescent="0.3">
      <c r="A84" s="20">
        <v>9</v>
      </c>
      <c r="B84" s="76" t="s">
        <v>51</v>
      </c>
      <c r="C84" s="77"/>
      <c r="D84" s="78"/>
      <c r="E84" s="17" t="s">
        <v>22</v>
      </c>
      <c r="F84" s="41">
        <v>312307.67</v>
      </c>
      <c r="G84" s="41">
        <v>297292.88</v>
      </c>
      <c r="H84" s="41">
        <v>291286.96000000002</v>
      </c>
      <c r="I84" s="21">
        <f t="shared" si="2"/>
        <v>300295.84000000003</v>
      </c>
    </row>
    <row r="85" spans="1:9" s="7" customFormat="1" ht="15.75" customHeight="1" x14ac:dyDescent="0.3">
      <c r="A85" s="20">
        <v>10</v>
      </c>
      <c r="B85" s="76" t="s">
        <v>52</v>
      </c>
      <c r="C85" s="77"/>
      <c r="D85" s="78"/>
      <c r="E85" s="17" t="s">
        <v>22</v>
      </c>
      <c r="F85" s="41">
        <v>210816.35</v>
      </c>
      <c r="G85" s="41">
        <v>200680.95</v>
      </c>
      <c r="H85" s="41">
        <v>196626.79</v>
      </c>
      <c r="I85" s="21">
        <f t="shared" si="2"/>
        <v>202708.03</v>
      </c>
    </row>
    <row r="86" spans="1:9" s="7" customFormat="1" ht="15.75" customHeight="1" x14ac:dyDescent="0.3">
      <c r="A86" s="20">
        <v>11</v>
      </c>
      <c r="B86" s="76" t="s">
        <v>66</v>
      </c>
      <c r="C86" s="77"/>
      <c r="D86" s="78"/>
      <c r="E86" s="17" t="s">
        <v>22</v>
      </c>
      <c r="F86" s="41">
        <v>42072.46</v>
      </c>
      <c r="G86" s="41">
        <v>40049.75</v>
      </c>
      <c r="H86" s="41">
        <v>39240.660000000003</v>
      </c>
      <c r="I86" s="21">
        <f t="shared" si="2"/>
        <v>40454.29</v>
      </c>
    </row>
    <row r="87" spans="1:9" s="7" customFormat="1" ht="15.75" customHeight="1" x14ac:dyDescent="0.3">
      <c r="A87" s="20">
        <v>12</v>
      </c>
      <c r="B87" s="76" t="s">
        <v>53</v>
      </c>
      <c r="C87" s="77"/>
      <c r="D87" s="78"/>
      <c r="E87" s="17" t="s">
        <v>22</v>
      </c>
      <c r="F87" s="41">
        <v>61918.31</v>
      </c>
      <c r="G87" s="41">
        <v>58941.47</v>
      </c>
      <c r="H87" s="41">
        <v>57750.73</v>
      </c>
      <c r="I87" s="21">
        <f t="shared" si="2"/>
        <v>59536.84</v>
      </c>
    </row>
    <row r="88" spans="1:9" s="7" customFormat="1" ht="15.75" customHeight="1" x14ac:dyDescent="0.3">
      <c r="A88" s="20">
        <v>13</v>
      </c>
      <c r="B88" s="76" t="s">
        <v>54</v>
      </c>
      <c r="C88" s="77"/>
      <c r="D88" s="78"/>
      <c r="E88" s="17" t="s">
        <v>22</v>
      </c>
      <c r="F88" s="41">
        <v>81217.95</v>
      </c>
      <c r="G88" s="41">
        <v>77313.240000000005</v>
      </c>
      <c r="H88" s="41">
        <v>75751.350000000006</v>
      </c>
      <c r="I88" s="21">
        <f t="shared" si="2"/>
        <v>78094.179999999993</v>
      </c>
    </row>
    <row r="89" spans="1:9" s="7" customFormat="1" ht="15.75" customHeight="1" x14ac:dyDescent="0.3">
      <c r="A89" s="20">
        <v>14</v>
      </c>
      <c r="B89" s="76" t="s">
        <v>55</v>
      </c>
      <c r="C89" s="77"/>
      <c r="D89" s="78"/>
      <c r="E89" s="17" t="s">
        <v>22</v>
      </c>
      <c r="F89" s="41">
        <v>65669.23</v>
      </c>
      <c r="G89" s="41">
        <v>62512.06</v>
      </c>
      <c r="H89" s="41">
        <v>61249.19</v>
      </c>
      <c r="I89" s="21">
        <f t="shared" si="2"/>
        <v>63143.49</v>
      </c>
    </row>
    <row r="90" spans="1:9" s="7" customFormat="1" ht="15.75" customHeight="1" x14ac:dyDescent="0.3">
      <c r="A90" s="20">
        <v>15</v>
      </c>
      <c r="B90" s="76" t="s">
        <v>56</v>
      </c>
      <c r="C90" s="77"/>
      <c r="D90" s="78"/>
      <c r="E90" s="17" t="s">
        <v>22</v>
      </c>
      <c r="F90" s="41">
        <v>61551.86</v>
      </c>
      <c r="G90" s="41">
        <v>58592.639999999999</v>
      </c>
      <c r="H90" s="41">
        <v>57408.95</v>
      </c>
      <c r="I90" s="21">
        <f t="shared" si="2"/>
        <v>59184.480000000003</v>
      </c>
    </row>
    <row r="91" spans="1:9" s="7" customFormat="1" ht="15.75" customHeight="1" x14ac:dyDescent="0.3">
      <c r="A91" s="20">
        <v>16</v>
      </c>
      <c r="B91" s="76" t="s">
        <v>57</v>
      </c>
      <c r="C91" s="77"/>
      <c r="D91" s="78"/>
      <c r="E91" s="17" t="s">
        <v>22</v>
      </c>
      <c r="F91" s="41">
        <v>70584.02</v>
      </c>
      <c r="G91" s="41">
        <v>67190.559999999998</v>
      </c>
      <c r="H91" s="41">
        <v>65833.17</v>
      </c>
      <c r="I91" s="21">
        <f t="shared" si="2"/>
        <v>67869.25</v>
      </c>
    </row>
    <row r="92" spans="1:9" s="7" customFormat="1" ht="15.75" customHeight="1" x14ac:dyDescent="0.3">
      <c r="A92" s="20">
        <v>17</v>
      </c>
      <c r="B92" s="76" t="s">
        <v>58</v>
      </c>
      <c r="C92" s="77"/>
      <c r="D92" s="78"/>
      <c r="E92" s="17" t="s">
        <v>22</v>
      </c>
      <c r="F92" s="41">
        <v>52263.89</v>
      </c>
      <c r="G92" s="41">
        <v>49751.199999999997</v>
      </c>
      <c r="H92" s="41">
        <v>48746.13</v>
      </c>
      <c r="I92" s="21">
        <f t="shared" si="2"/>
        <v>50253.74</v>
      </c>
    </row>
    <row r="93" spans="1:9" s="7" customFormat="1" ht="15.75" customHeight="1" x14ac:dyDescent="0.3">
      <c r="A93" s="20">
        <v>18</v>
      </c>
      <c r="B93" s="76" t="s">
        <v>59</v>
      </c>
      <c r="C93" s="77"/>
      <c r="D93" s="78"/>
      <c r="E93" s="17" t="s">
        <v>22</v>
      </c>
      <c r="F93" s="41">
        <v>41099.879999999997</v>
      </c>
      <c r="G93" s="41">
        <v>39123.93</v>
      </c>
      <c r="H93" s="41">
        <v>38333.550000000003</v>
      </c>
      <c r="I93" s="21">
        <f t="shared" si="2"/>
        <v>39519.120000000003</v>
      </c>
    </row>
    <row r="94" spans="1:9" s="7" customFormat="1" ht="15.75" customHeight="1" x14ac:dyDescent="0.3">
      <c r="A94" s="20">
        <v>19</v>
      </c>
      <c r="B94" s="76" t="s">
        <v>60</v>
      </c>
      <c r="C94" s="77"/>
      <c r="D94" s="78"/>
      <c r="E94" s="17" t="s">
        <v>22</v>
      </c>
      <c r="F94" s="41">
        <v>36945.64</v>
      </c>
      <c r="G94" s="41">
        <v>35169.4</v>
      </c>
      <c r="H94" s="41">
        <v>34458.910000000003</v>
      </c>
      <c r="I94" s="21">
        <f t="shared" si="2"/>
        <v>35524.65</v>
      </c>
    </row>
    <row r="95" spans="1:9" s="7" customFormat="1" ht="15.75" customHeight="1" x14ac:dyDescent="0.3">
      <c r="A95" s="20">
        <v>20</v>
      </c>
      <c r="B95" s="76" t="s">
        <v>61</v>
      </c>
      <c r="C95" s="77"/>
      <c r="D95" s="78"/>
      <c r="E95" s="17" t="s">
        <v>22</v>
      </c>
      <c r="F95" s="41">
        <v>23577.17</v>
      </c>
      <c r="G95" s="41">
        <v>22443.66</v>
      </c>
      <c r="H95" s="41">
        <v>21990.25</v>
      </c>
      <c r="I95" s="21">
        <f t="shared" si="2"/>
        <v>22670.36</v>
      </c>
    </row>
    <row r="96" spans="1:9" s="7" customFormat="1" ht="15.75" customHeight="1" x14ac:dyDescent="0.3">
      <c r="A96" s="20">
        <v>21</v>
      </c>
      <c r="B96" s="76" t="s">
        <v>62</v>
      </c>
      <c r="C96" s="77"/>
      <c r="D96" s="78"/>
      <c r="E96" s="17" t="s">
        <v>22</v>
      </c>
      <c r="F96" s="41">
        <v>16431.419999999998</v>
      </c>
      <c r="G96" s="41">
        <v>15641.45</v>
      </c>
      <c r="H96" s="41">
        <v>15325.46</v>
      </c>
      <c r="I96" s="21">
        <f t="shared" si="2"/>
        <v>15799.44</v>
      </c>
    </row>
    <row r="97" spans="1:9" s="7" customFormat="1" ht="15.75" customHeight="1" x14ac:dyDescent="0.3">
      <c r="A97" s="20">
        <v>22</v>
      </c>
      <c r="B97" s="76" t="s">
        <v>63</v>
      </c>
      <c r="C97" s="77"/>
      <c r="D97" s="78"/>
      <c r="E97" s="17" t="s">
        <v>22</v>
      </c>
      <c r="F97" s="41">
        <v>31482.32</v>
      </c>
      <c r="G97" s="41">
        <v>29968.75</v>
      </c>
      <c r="H97" s="41">
        <v>29363.32</v>
      </c>
      <c r="I97" s="21">
        <f t="shared" si="2"/>
        <v>30271.46</v>
      </c>
    </row>
    <row r="98" spans="1:9" s="7" customFormat="1" ht="15.75" customHeight="1" x14ac:dyDescent="0.3">
      <c r="A98" s="20">
        <v>23</v>
      </c>
      <c r="B98" s="76" t="s">
        <v>64</v>
      </c>
      <c r="C98" s="77"/>
      <c r="D98" s="78"/>
      <c r="E98" s="17" t="s">
        <v>22</v>
      </c>
      <c r="F98" s="41">
        <v>21584.87</v>
      </c>
      <c r="G98" s="41">
        <v>20547.13</v>
      </c>
      <c r="H98" s="41">
        <v>20132.04</v>
      </c>
      <c r="I98" s="21">
        <f t="shared" si="2"/>
        <v>20754.68</v>
      </c>
    </row>
    <row r="99" spans="1:9" s="7" customFormat="1" ht="15.75" customHeight="1" x14ac:dyDescent="0.3">
      <c r="A99" s="20">
        <v>24</v>
      </c>
      <c r="B99" s="76" t="s">
        <v>65</v>
      </c>
      <c r="C99" s="77"/>
      <c r="D99" s="78"/>
      <c r="E99" s="17" t="s">
        <v>22</v>
      </c>
      <c r="F99" s="41">
        <v>10201.799999999999</v>
      </c>
      <c r="G99" s="41">
        <v>9711.33</v>
      </c>
      <c r="H99" s="41">
        <v>9515.14</v>
      </c>
      <c r="I99" s="21">
        <f t="shared" si="2"/>
        <v>9809.42</v>
      </c>
    </row>
    <row r="100" spans="1:9" s="7" customFormat="1" x14ac:dyDescent="0.3">
      <c r="A100" s="42" t="s">
        <v>16</v>
      </c>
      <c r="B100" s="43"/>
      <c r="C100" s="43"/>
      <c r="D100" s="44"/>
      <c r="E100" s="45"/>
      <c r="F100" s="43"/>
      <c r="G100" s="43"/>
      <c r="H100" s="43"/>
      <c r="I100" s="46"/>
    </row>
    <row r="101" spans="1:9" s="7" customFormat="1" x14ac:dyDescent="0.3">
      <c r="A101" s="48" t="s">
        <v>41</v>
      </c>
      <c r="B101" s="49"/>
      <c r="C101" s="49"/>
      <c r="D101" s="49"/>
      <c r="E101" s="49"/>
      <c r="F101" s="49"/>
      <c r="G101" s="49"/>
      <c r="H101" s="50"/>
      <c r="I101" s="36">
        <f>SUM(I76:I99)</f>
        <v>1203807.26</v>
      </c>
    </row>
    <row r="102" spans="1:9" s="7" customFormat="1" x14ac:dyDescent="0.3">
      <c r="A102" s="48" t="s">
        <v>40</v>
      </c>
      <c r="B102" s="49"/>
      <c r="C102" s="49"/>
      <c r="D102" s="49"/>
      <c r="E102" s="49"/>
      <c r="F102" s="49"/>
      <c r="G102" s="49"/>
      <c r="H102" s="50"/>
      <c r="I102" s="33">
        <f>SUM(I101/122*22)</f>
        <v>217080</v>
      </c>
    </row>
    <row r="103" spans="1:9" s="7" customFormat="1" x14ac:dyDescent="0.3">
      <c r="A103" s="48" t="s">
        <v>29</v>
      </c>
      <c r="B103" s="49"/>
      <c r="C103" s="49"/>
      <c r="D103" s="49"/>
      <c r="E103" s="49"/>
      <c r="F103" s="49"/>
      <c r="G103" s="49"/>
      <c r="H103" s="50"/>
      <c r="I103" s="34">
        <f>SUM(I101+I71+I41)</f>
        <v>3433860.29</v>
      </c>
    </row>
    <row r="104" spans="1:9" s="7" customFormat="1" x14ac:dyDescent="0.3">
      <c r="A104" s="48" t="s">
        <v>31</v>
      </c>
      <c r="B104" s="49"/>
      <c r="C104" s="49"/>
      <c r="D104" s="49"/>
      <c r="E104" s="49"/>
      <c r="F104" s="49"/>
      <c r="G104" s="49"/>
      <c r="H104" s="50"/>
      <c r="I104" s="33">
        <f>SUM(I103/122*22)</f>
        <v>619220.71</v>
      </c>
    </row>
    <row r="105" spans="1:9" s="7" customFormat="1" x14ac:dyDescent="0.3">
      <c r="A105" s="48" t="s">
        <v>32</v>
      </c>
      <c r="B105" s="49"/>
      <c r="C105" s="49"/>
      <c r="D105" s="49"/>
      <c r="E105" s="49"/>
      <c r="F105" s="49"/>
      <c r="G105" s="49"/>
      <c r="H105" s="50"/>
      <c r="I105" s="34">
        <v>6500000</v>
      </c>
    </row>
    <row r="106" spans="1:9" s="7" customFormat="1" x14ac:dyDescent="0.3">
      <c r="A106" s="48" t="s">
        <v>31</v>
      </c>
      <c r="B106" s="49"/>
      <c r="C106" s="49"/>
      <c r="D106" s="49"/>
      <c r="E106" s="49"/>
      <c r="F106" s="49"/>
      <c r="G106" s="49"/>
      <c r="H106" s="50"/>
      <c r="I106" s="33">
        <f>I105/122*22</f>
        <v>1172131.1499999999</v>
      </c>
    </row>
    <row r="107" spans="1:9" s="7" customFormat="1" x14ac:dyDescent="0.3">
      <c r="A107" s="48" t="s">
        <v>33</v>
      </c>
      <c r="B107" s="49"/>
      <c r="C107" s="49"/>
      <c r="D107" s="49"/>
      <c r="E107" s="49"/>
      <c r="F107" s="49"/>
      <c r="G107" s="49"/>
      <c r="H107" s="50"/>
      <c r="I107" s="34">
        <v>6600000</v>
      </c>
    </row>
    <row r="108" spans="1:9" s="7" customFormat="1" x14ac:dyDescent="0.3">
      <c r="A108" s="48" t="s">
        <v>31</v>
      </c>
      <c r="B108" s="49"/>
      <c r="C108" s="49"/>
      <c r="D108" s="49"/>
      <c r="E108" s="49"/>
      <c r="F108" s="49"/>
      <c r="G108" s="49"/>
      <c r="H108" s="50"/>
      <c r="I108" s="33">
        <f>I107/122*22</f>
        <v>1190163.93</v>
      </c>
    </row>
    <row r="109" spans="1:9" s="7" customFormat="1" x14ac:dyDescent="0.3">
      <c r="A109" s="48" t="s">
        <v>34</v>
      </c>
      <c r="B109" s="49"/>
      <c r="C109" s="49"/>
      <c r="D109" s="49"/>
      <c r="E109" s="49"/>
      <c r="F109" s="49"/>
      <c r="G109" s="49"/>
      <c r="H109" s="50"/>
      <c r="I109" s="34">
        <v>6700000</v>
      </c>
    </row>
    <row r="110" spans="1:9" s="7" customFormat="1" x14ac:dyDescent="0.3">
      <c r="A110" s="48" t="s">
        <v>31</v>
      </c>
      <c r="B110" s="49"/>
      <c r="C110" s="49"/>
      <c r="D110" s="49"/>
      <c r="E110" s="49"/>
      <c r="F110" s="49"/>
      <c r="G110" s="49"/>
      <c r="H110" s="50"/>
      <c r="I110" s="33">
        <f>I109/122*22</f>
        <v>1208196.72</v>
      </c>
    </row>
    <row r="111" spans="1:9" s="7" customFormat="1" x14ac:dyDescent="0.3">
      <c r="A111" s="48" t="s">
        <v>38</v>
      </c>
      <c r="B111" s="49"/>
      <c r="C111" s="49"/>
      <c r="D111" s="49"/>
      <c r="E111" s="49"/>
      <c r="F111" s="49"/>
      <c r="G111" s="49"/>
      <c r="H111" s="50"/>
      <c r="I111" s="34">
        <f>I105+I107+I109</f>
        <v>19800000</v>
      </c>
    </row>
    <row r="112" spans="1:9" s="7" customFormat="1" ht="16.2" thickBot="1" x14ac:dyDescent="0.35">
      <c r="A112" s="51" t="s">
        <v>31</v>
      </c>
      <c r="B112" s="52"/>
      <c r="C112" s="52"/>
      <c r="D112" s="52"/>
      <c r="E112" s="52"/>
      <c r="F112" s="52"/>
      <c r="G112" s="52"/>
      <c r="H112" s="53"/>
      <c r="I112" s="35">
        <f>I111/122*22</f>
        <v>3570491.8</v>
      </c>
    </row>
    <row r="113" spans="1:9" s="7" customFormat="1" ht="46.5" customHeight="1" x14ac:dyDescent="0.3">
      <c r="A113" s="47" t="s">
        <v>39</v>
      </c>
      <c r="B113" s="47"/>
      <c r="C113" s="47"/>
      <c r="D113" s="47"/>
      <c r="E113" s="47"/>
      <c r="F113" s="47"/>
      <c r="G113" s="47"/>
      <c r="H113" s="47"/>
      <c r="I113" s="47"/>
    </row>
    <row r="114" spans="1:9" s="3" customFormat="1" ht="58.5" customHeight="1" x14ac:dyDescent="0.3">
      <c r="A114" s="60" t="s">
        <v>14</v>
      </c>
      <c r="B114" s="60"/>
      <c r="C114" s="60"/>
      <c r="D114" s="60"/>
      <c r="E114" s="60"/>
      <c r="F114" s="60"/>
      <c r="G114" s="60"/>
      <c r="H114" s="60"/>
      <c r="I114" s="60"/>
    </row>
    <row r="115" spans="1:9" s="4" customFormat="1" ht="54" customHeight="1" x14ac:dyDescent="0.3">
      <c r="A115" s="61" t="s">
        <v>68</v>
      </c>
      <c r="B115" s="61"/>
      <c r="C115" s="61"/>
      <c r="D115" s="61"/>
      <c r="E115" s="61"/>
      <c r="F115" s="61"/>
      <c r="G115" s="61"/>
      <c r="H115" s="61"/>
      <c r="I115" s="61"/>
    </row>
    <row r="116" spans="1:9" x14ac:dyDescent="0.3">
      <c r="A116" s="13"/>
      <c r="B116" s="13"/>
      <c r="C116" s="13"/>
      <c r="D116" s="13"/>
      <c r="E116" s="13"/>
      <c r="F116" s="16"/>
      <c r="G116" s="16"/>
      <c r="H116" s="16"/>
      <c r="I116" s="28"/>
    </row>
    <row r="117" spans="1:9" ht="15.75" customHeight="1" x14ac:dyDescent="0.3">
      <c r="A117" s="54" t="s">
        <v>27</v>
      </c>
      <c r="B117" s="54"/>
      <c r="C117" s="54"/>
      <c r="D117" s="54"/>
      <c r="E117" s="54"/>
      <c r="F117" s="5"/>
      <c r="G117" s="5"/>
      <c r="H117" s="55" t="s">
        <v>18</v>
      </c>
      <c r="I117" s="55"/>
    </row>
  </sheetData>
  <mergeCells count="129">
    <mergeCell ref="B83:D83"/>
    <mergeCell ref="B84:D84"/>
    <mergeCell ref="B85:D85"/>
    <mergeCell ref="B86:D86"/>
    <mergeCell ref="B87:D87"/>
    <mergeCell ref="B82:D82"/>
    <mergeCell ref="B81:D81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98:D98"/>
    <mergeCell ref="B99:D99"/>
    <mergeCell ref="B93:D93"/>
    <mergeCell ref="B94:D94"/>
    <mergeCell ref="B95:D95"/>
    <mergeCell ref="B96:D96"/>
    <mergeCell ref="B97:D97"/>
    <mergeCell ref="B88:D88"/>
    <mergeCell ref="B89:D89"/>
    <mergeCell ref="B90:D90"/>
    <mergeCell ref="B91:D91"/>
    <mergeCell ref="B92:D92"/>
    <mergeCell ref="B63:D63"/>
    <mergeCell ref="B64:D64"/>
    <mergeCell ref="B65:D65"/>
    <mergeCell ref="B66:D66"/>
    <mergeCell ref="B67:D67"/>
    <mergeCell ref="B68:D68"/>
    <mergeCell ref="B55:D55"/>
    <mergeCell ref="B56:D56"/>
    <mergeCell ref="B57:D57"/>
    <mergeCell ref="A42:H42"/>
    <mergeCell ref="A40:D40"/>
    <mergeCell ref="B78:D78"/>
    <mergeCell ref="B79:D79"/>
    <mergeCell ref="B80:D80"/>
    <mergeCell ref="B39:D39"/>
    <mergeCell ref="B34:D34"/>
    <mergeCell ref="B35:D35"/>
    <mergeCell ref="B36:D36"/>
    <mergeCell ref="B37:D37"/>
    <mergeCell ref="B38:D38"/>
    <mergeCell ref="E40:I40"/>
    <mergeCell ref="A70:D70"/>
    <mergeCell ref="E70:I70"/>
    <mergeCell ref="B69:D69"/>
    <mergeCell ref="B44:D45"/>
    <mergeCell ref="B74:D75"/>
    <mergeCell ref="B76:D76"/>
    <mergeCell ref="B77:D77"/>
    <mergeCell ref="B58:D58"/>
    <mergeCell ref="B59:D59"/>
    <mergeCell ref="B60:D60"/>
    <mergeCell ref="B61:D61"/>
    <mergeCell ref="B62:D62"/>
    <mergeCell ref="B29:D29"/>
    <mergeCell ref="B30:D30"/>
    <mergeCell ref="B31:D31"/>
    <mergeCell ref="B32:D32"/>
    <mergeCell ref="B33:D33"/>
    <mergeCell ref="B24:D24"/>
    <mergeCell ref="B25:D25"/>
    <mergeCell ref="B26:D26"/>
    <mergeCell ref="B27:D27"/>
    <mergeCell ref="B28:D28"/>
    <mergeCell ref="B23:D23"/>
    <mergeCell ref="A1:E2"/>
    <mergeCell ref="A7:I7"/>
    <mergeCell ref="A8:I8"/>
    <mergeCell ref="E9:I9"/>
    <mergeCell ref="E10:I10"/>
    <mergeCell ref="A9:D9"/>
    <mergeCell ref="A10:D10"/>
    <mergeCell ref="H1:I1"/>
    <mergeCell ref="H2:I2"/>
    <mergeCell ref="E11:I11"/>
    <mergeCell ref="A11:D11"/>
    <mergeCell ref="A12:I12"/>
    <mergeCell ref="A13:I13"/>
    <mergeCell ref="F14:H14"/>
    <mergeCell ref="B16:D16"/>
    <mergeCell ref="B14:D15"/>
    <mergeCell ref="B17:D17"/>
    <mergeCell ref="B18:D18"/>
    <mergeCell ref="A117:E117"/>
    <mergeCell ref="H117:I117"/>
    <mergeCell ref="A14:A15"/>
    <mergeCell ref="E14:E15"/>
    <mergeCell ref="A114:I114"/>
    <mergeCell ref="A115:I115"/>
    <mergeCell ref="A43:I43"/>
    <mergeCell ref="A44:A45"/>
    <mergeCell ref="E44:E45"/>
    <mergeCell ref="I14:I15"/>
    <mergeCell ref="A41:H41"/>
    <mergeCell ref="A74:A75"/>
    <mergeCell ref="I74:I75"/>
    <mergeCell ref="E74:E75"/>
    <mergeCell ref="F74:H74"/>
    <mergeCell ref="A73:I73"/>
    <mergeCell ref="A71:H71"/>
    <mergeCell ref="A72:H72"/>
    <mergeCell ref="F44:H44"/>
    <mergeCell ref="I44:I45"/>
    <mergeCell ref="B19:D19"/>
    <mergeCell ref="B20:D20"/>
    <mergeCell ref="B21:D21"/>
    <mergeCell ref="B22:D22"/>
    <mergeCell ref="A100:D100"/>
    <mergeCell ref="E100:I100"/>
    <mergeCell ref="A113:I113"/>
    <mergeCell ref="A101:H101"/>
    <mergeCell ref="A102:H102"/>
    <mergeCell ref="A104:H104"/>
    <mergeCell ref="A103:H103"/>
    <mergeCell ref="A105:H105"/>
    <mergeCell ref="A106:H106"/>
    <mergeCell ref="A107:H107"/>
    <mergeCell ref="A112:H112"/>
    <mergeCell ref="A108:H108"/>
    <mergeCell ref="A109:H109"/>
    <mergeCell ref="A110:H110"/>
    <mergeCell ref="A111:H111"/>
  </mergeCells>
  <pageMargins left="0.39370078740157483" right="0.39370078740157483" top="0.39370078740157483" bottom="0.39370078740157483" header="0.31496062992125984" footer="0.31496062992125984"/>
  <pageSetup paperSize="9" scale="7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2" sqref="G22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Расчет</vt:lpstr>
      <vt:lpstr>Лист1</vt:lpstr>
      <vt:lpstr>Расчет!Область_печати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Матвиенко</dc:creator>
  <cp:lastModifiedBy>L G</cp:lastModifiedBy>
  <cp:lastPrinted>2025-04-14T13:12:50Z</cp:lastPrinted>
  <dcterms:created xsi:type="dcterms:W3CDTF">2015-07-13T13:54:06Z</dcterms:created>
  <dcterms:modified xsi:type="dcterms:W3CDTF">2026-08-24T10:48:51Z</dcterms:modified>
</cp:coreProperties>
</file>