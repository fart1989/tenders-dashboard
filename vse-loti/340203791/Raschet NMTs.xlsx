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eva\Desktop\Канаева\Тех задания\2026\Централизованные закупки\закупка аварийного запаса труба стальная Н+В+У\"/>
    </mc:Choice>
  </mc:AlternateContent>
  <xr:revisionPtr revIDLastSave="0" documentId="13_ncr:1_{08326A19-6BF3-426F-B856-9FEB78A28A1A}" xr6:coauthVersionLast="47" xr6:coauthVersionMax="47" xr10:uidLastSave="{00000000-0000-0000-0000-000000000000}"/>
  <bookViews>
    <workbookView xWindow="-120" yWindow="-120" windowWidth="29040" windowHeight="15840" xr2:uid="{AE3C85FA-B5F0-42D2-9251-ABA8E070BD9A}"/>
  </bookViews>
  <sheets>
    <sheet name="расчет" sheetId="1" r:id="rId1"/>
    <sheet name="для Узловой от ЖКР" sheetId="2" state="hidden" r:id="rId2"/>
    <sheet name="табл для штаба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D8" i="3"/>
  <c r="D3" i="3" s="1"/>
  <c r="D4" i="3"/>
  <c r="E4" i="3" l="1"/>
  <c r="E5" i="3"/>
  <c r="E6" i="3"/>
  <c r="E7" i="3"/>
  <c r="E8" i="3"/>
  <c r="E9" i="3"/>
  <c r="E10" i="3"/>
  <c r="E11" i="3"/>
  <c r="E12" i="3"/>
  <c r="E13" i="3"/>
  <c r="E14" i="3"/>
  <c r="E15" i="3"/>
  <c r="E3" i="3"/>
  <c r="C3" i="3" l="1"/>
  <c r="C8" i="3"/>
  <c r="C4" i="3"/>
  <c r="B3" i="3"/>
  <c r="B8" i="3"/>
  <c r="B4" i="3"/>
  <c r="E7" i="2" l="1"/>
  <c r="G6" i="2"/>
  <c r="G5" i="2"/>
  <c r="G4" i="2"/>
  <c r="G3" i="2"/>
  <c r="E75" i="1"/>
  <c r="E56" i="1"/>
  <c r="G7" i="2" l="1"/>
  <c r="G98" i="1" l="1"/>
  <c r="G99" i="1" s="1"/>
  <c r="G102" i="1" s="1"/>
  <c r="G108" i="1" s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4" i="1"/>
  <c r="G5" i="1"/>
  <c r="G6" i="1"/>
  <c r="G7" i="1"/>
  <c r="G8" i="1"/>
  <c r="G9" i="1"/>
  <c r="G10" i="1"/>
  <c r="G11" i="1"/>
  <c r="G12" i="1"/>
  <c r="G13" i="1"/>
  <c r="G14" i="1"/>
  <c r="G3" i="1"/>
  <c r="G37" i="1" l="1"/>
  <c r="G105" i="1" s="1"/>
  <c r="G18" i="1"/>
  <c r="G104" i="1" s="1"/>
  <c r="G94" i="1"/>
  <c r="G75" i="1"/>
  <c r="G56" i="1"/>
  <c r="G106" i="1" l="1"/>
  <c r="G107" i="1" s="1"/>
  <c r="G109" i="1" s="1"/>
</calcChain>
</file>

<file path=xl/sharedStrings.xml><?xml version="1.0" encoding="utf-8"?>
<sst xmlns="http://schemas.openxmlformats.org/spreadsheetml/2006/main" count="239" uniqueCount="50">
  <si>
    <t>ГОСТ</t>
  </si>
  <si>
    <t>Дн</t>
  </si>
  <si>
    <t>Труба стальная электросварная прямошовная</t>
  </si>
  <si>
    <t>10704-91</t>
  </si>
  <si>
    <t>17375-2001</t>
  </si>
  <si>
    <t>Отвод 90°-57х3,5</t>
  </si>
  <si>
    <t>Отвод 90°-76х3,5</t>
  </si>
  <si>
    <t>Отвод 90°-89х4</t>
  </si>
  <si>
    <t>Отвод 90°-159х4,5</t>
  </si>
  <si>
    <t>Отвод 90°-219х6</t>
  </si>
  <si>
    <t xml:space="preserve">Общ. ст-ть, руб. с НДС </t>
  </si>
  <si>
    <t>Кол-во, м/шт</t>
  </si>
  <si>
    <t xml:space="preserve">Наименование </t>
  </si>
  <si>
    <t>Толщ. стенки, мм</t>
  </si>
  <si>
    <t>Отвод 90°-108х4,0</t>
  </si>
  <si>
    <t>Отвод 90°-133х4,5</t>
  </si>
  <si>
    <t>Южный филиал</t>
  </si>
  <si>
    <t xml:space="preserve">Западный филиал </t>
  </si>
  <si>
    <t>Восточный  филиал Новомосковск</t>
  </si>
  <si>
    <t>Восточный  филиал Венев</t>
  </si>
  <si>
    <t>Восточный  филиал Узловая</t>
  </si>
  <si>
    <t>Южный</t>
  </si>
  <si>
    <t>Западный</t>
  </si>
  <si>
    <t>Восточный</t>
  </si>
  <si>
    <t>ООО"АТЭК"</t>
  </si>
  <si>
    <t>ООО АТЭК</t>
  </si>
  <si>
    <t>ИТОГО НМЦ ООО ККС:</t>
  </si>
  <si>
    <t>ИТОГО НМЦ ООО АТЭК:</t>
  </si>
  <si>
    <t>ВСЕГО НМЦ:</t>
  </si>
  <si>
    <t>Средняя ст-ть за 1 ед., руб. с НДС</t>
  </si>
  <si>
    <t>Восточный  филиал г. Узловая (труба от ЖКР)</t>
  </si>
  <si>
    <t>Предприятие</t>
  </si>
  <si>
    <t>ООО "ККС"</t>
  </si>
  <si>
    <t>ВФ ОО "ККС"</t>
  </si>
  <si>
    <t>Новомосковск</t>
  </si>
  <si>
    <t>Венев</t>
  </si>
  <si>
    <t>Узловая</t>
  </si>
  <si>
    <t>ЗФ ОО "ККС"</t>
  </si>
  <si>
    <t>Плавск</t>
  </si>
  <si>
    <t>Дубна</t>
  </si>
  <si>
    <t>Славный</t>
  </si>
  <si>
    <t>ЮФ ОО "ККС"</t>
  </si>
  <si>
    <t>ООО "АТЭК"</t>
  </si>
  <si>
    <t xml:space="preserve">Новогуровский </t>
  </si>
  <si>
    <t>ООО "ЧТК"</t>
  </si>
  <si>
    <t>план</t>
  </si>
  <si>
    <t xml:space="preserve">Итого </t>
  </si>
  <si>
    <t xml:space="preserve">факт 1-2 квартал </t>
  </si>
  <si>
    <t xml:space="preserve">факт июль </t>
  </si>
  <si>
    <t>БП 2026 тыс. руб. 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</si>
</sst>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#,##0\ _₽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sz val="9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/>
    </xf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0" xfId="0" applyFont="1" applyFill="1" applyBorder="1" applyAlignment="1">
      <alignment vertical="center" wrapText="1"/>
    </xf>
    <xf numFmtId="164" fontId="7" fillId="0" borderId="0" xfId="0" applyNumberFormat="1" applyFont="1"/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0" fontId="0" fillId="3" borderId="0" xfId="0" applyFill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0" borderId="0" xfId="0" applyFont="1"/>
    <xf numFmtId="0" fontId="8" fillId="0" borderId="1" xfId="0" applyFont="1" applyBorder="1"/>
    <xf numFmtId="0" fontId="9" fillId="0" borderId="1" xfId="0" applyFont="1" applyBorder="1"/>
    <xf numFmtId="0" fontId="8" fillId="4" borderId="1" xfId="0" applyFont="1" applyFill="1" applyBorder="1" applyAlignment="1">
      <alignment horizontal="center"/>
    </xf>
    <xf numFmtId="4" fontId="9" fillId="0" borderId="1" xfId="0" applyNumberFormat="1" applyFont="1" applyBorder="1"/>
    <xf numFmtId="0" fontId="8" fillId="4" borderId="1" xfId="0" applyFont="1" applyFill="1" applyBorder="1" applyAlignment="1">
      <alignment horizontal="center" wrapText="1"/>
    </xf>
    <xf numFmtId="4" fontId="0" fillId="0" borderId="1" xfId="0" applyNumberFormat="1" applyBorder="1"/>
    <xf numFmtId="0" fontId="5" fillId="0" borderId="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86A5-99C7-4BCD-8E2D-666FA58C850E}">
  <sheetPr>
    <pageSetUpPr fitToPage="1"/>
  </sheetPr>
  <dimension ref="A1:M109"/>
  <sheetViews>
    <sheetView tabSelected="1" topLeftCell="A69" workbookViewId="0">
      <selection activeCell="K75" sqref="K75"/>
    </sheetView>
  </sheetViews>
  <sheetFormatPr defaultRowHeight="15" x14ac:dyDescent="0.25"/>
  <cols>
    <col min="1" max="1" width="25.7109375" customWidth="1"/>
    <col min="5" max="5" width="11.42578125" customWidth="1"/>
    <col min="6" max="6" width="17.28515625" customWidth="1"/>
    <col min="7" max="7" width="17.85546875" style="20" customWidth="1"/>
    <col min="9" max="9" width="16.140625" hidden="1" customWidth="1"/>
    <col min="11" max="11" width="31.42578125" customWidth="1"/>
    <col min="12" max="12" width="20.7109375" style="3" customWidth="1"/>
  </cols>
  <sheetData>
    <row r="1" spans="1:11" x14ac:dyDescent="0.25">
      <c r="A1" s="39" t="s">
        <v>16</v>
      </c>
      <c r="B1" s="39"/>
      <c r="C1" s="39"/>
      <c r="D1" s="39"/>
      <c r="E1" s="39"/>
      <c r="F1" s="39"/>
      <c r="G1" s="39"/>
      <c r="I1" s="5"/>
      <c r="J1" s="4"/>
      <c r="K1" s="4"/>
    </row>
    <row r="2" spans="1:11" ht="24" x14ac:dyDescent="0.25">
      <c r="A2" s="7" t="s">
        <v>12</v>
      </c>
      <c r="B2" s="14" t="s">
        <v>0</v>
      </c>
      <c r="C2" s="15" t="s">
        <v>1</v>
      </c>
      <c r="D2" s="16" t="s">
        <v>13</v>
      </c>
      <c r="E2" s="15" t="s">
        <v>11</v>
      </c>
      <c r="F2" s="16" t="s">
        <v>29</v>
      </c>
      <c r="G2" s="17" t="s">
        <v>10</v>
      </c>
    </row>
    <row r="3" spans="1:11" ht="24" x14ac:dyDescent="0.25">
      <c r="A3" s="10" t="s">
        <v>2</v>
      </c>
      <c r="B3" s="11" t="s">
        <v>3</v>
      </c>
      <c r="C3" s="12">
        <v>57</v>
      </c>
      <c r="D3" s="12">
        <v>3.5</v>
      </c>
      <c r="E3" s="13">
        <v>200</v>
      </c>
      <c r="F3" s="13">
        <v>386.7</v>
      </c>
      <c r="G3" s="18">
        <f>E3*F3</f>
        <v>77340</v>
      </c>
      <c r="I3" s="40"/>
    </row>
    <row r="4" spans="1:11" ht="24" x14ac:dyDescent="0.25">
      <c r="A4" s="7" t="s">
        <v>2</v>
      </c>
      <c r="B4" s="11" t="s">
        <v>3</v>
      </c>
      <c r="C4" s="8">
        <v>76</v>
      </c>
      <c r="D4" s="8">
        <v>3.5</v>
      </c>
      <c r="E4" s="6">
        <v>120</v>
      </c>
      <c r="F4" s="6">
        <v>510.7</v>
      </c>
      <c r="G4" s="18">
        <f t="shared" ref="G4:G14" si="0">E4*F4</f>
        <v>61284</v>
      </c>
      <c r="I4" s="40"/>
    </row>
    <row r="5" spans="1:11" ht="24" x14ac:dyDescent="0.25">
      <c r="A5" s="7" t="s">
        <v>2</v>
      </c>
      <c r="B5" s="11" t="s">
        <v>3</v>
      </c>
      <c r="C5" s="8">
        <v>89</v>
      </c>
      <c r="D5" s="8">
        <v>4</v>
      </c>
      <c r="E5" s="6">
        <v>200</v>
      </c>
      <c r="F5" s="6">
        <v>669.6</v>
      </c>
      <c r="G5" s="18">
        <f t="shared" si="0"/>
        <v>133920</v>
      </c>
      <c r="I5" s="40"/>
    </row>
    <row r="6" spans="1:11" ht="24" x14ac:dyDescent="0.25">
      <c r="A6" s="7" t="s">
        <v>2</v>
      </c>
      <c r="B6" s="11" t="s">
        <v>3</v>
      </c>
      <c r="C6" s="8">
        <v>108</v>
      </c>
      <c r="D6" s="8">
        <v>4</v>
      </c>
      <c r="E6" s="6"/>
      <c r="F6" s="6">
        <v>831.7</v>
      </c>
      <c r="G6" s="18">
        <f t="shared" si="0"/>
        <v>0</v>
      </c>
      <c r="I6" s="40"/>
    </row>
    <row r="7" spans="1:11" ht="24" x14ac:dyDescent="0.25">
      <c r="A7" s="7" t="s">
        <v>2</v>
      </c>
      <c r="B7" s="11" t="s">
        <v>3</v>
      </c>
      <c r="C7" s="8">
        <v>133</v>
      </c>
      <c r="D7" s="8">
        <v>4.5</v>
      </c>
      <c r="E7" s="6"/>
      <c r="F7" s="6">
        <v>1103.7</v>
      </c>
      <c r="G7" s="18">
        <f t="shared" si="0"/>
        <v>0</v>
      </c>
      <c r="I7" s="40"/>
    </row>
    <row r="8" spans="1:11" ht="24" x14ac:dyDescent="0.25">
      <c r="A8" s="7" t="s">
        <v>2</v>
      </c>
      <c r="B8" s="11" t="s">
        <v>3</v>
      </c>
      <c r="C8" s="8">
        <v>159</v>
      </c>
      <c r="D8" s="8">
        <v>4.5</v>
      </c>
      <c r="E8" s="6"/>
      <c r="F8" s="6">
        <v>1436.2</v>
      </c>
      <c r="G8" s="18">
        <f t="shared" si="0"/>
        <v>0</v>
      </c>
      <c r="I8" s="40"/>
    </row>
    <row r="9" spans="1:11" ht="24" x14ac:dyDescent="0.25">
      <c r="A9" s="7" t="s">
        <v>2</v>
      </c>
      <c r="B9" s="11" t="s">
        <v>3</v>
      </c>
      <c r="C9" s="8">
        <v>219</v>
      </c>
      <c r="D9" s="8">
        <v>6</v>
      </c>
      <c r="E9" s="6">
        <v>96</v>
      </c>
      <c r="F9" s="6">
        <v>2541.4</v>
      </c>
      <c r="G9" s="18">
        <f t="shared" si="0"/>
        <v>243974.40000000002</v>
      </c>
      <c r="I9" s="40"/>
    </row>
    <row r="10" spans="1:11" ht="24" x14ac:dyDescent="0.25">
      <c r="A10" s="7" t="s">
        <v>2</v>
      </c>
      <c r="B10" s="11" t="s">
        <v>3</v>
      </c>
      <c r="C10" s="8">
        <v>273</v>
      </c>
      <c r="D10" s="8">
        <v>6</v>
      </c>
      <c r="E10" s="6"/>
      <c r="F10" s="6">
        <v>3052</v>
      </c>
      <c r="G10" s="18">
        <f t="shared" si="0"/>
        <v>0</v>
      </c>
      <c r="I10" s="40"/>
    </row>
    <row r="11" spans="1:11" x14ac:dyDescent="0.25">
      <c r="A11" s="9" t="s">
        <v>5</v>
      </c>
      <c r="B11" s="8" t="s">
        <v>4</v>
      </c>
      <c r="C11" s="8">
        <v>57</v>
      </c>
      <c r="D11" s="8"/>
      <c r="E11" s="6">
        <v>40</v>
      </c>
      <c r="F11" s="6">
        <v>260</v>
      </c>
      <c r="G11" s="18">
        <f t="shared" si="0"/>
        <v>10400</v>
      </c>
      <c r="I11" s="40"/>
    </row>
    <row r="12" spans="1:11" x14ac:dyDescent="0.25">
      <c r="A12" s="9" t="s">
        <v>6</v>
      </c>
      <c r="B12" s="8" t="s">
        <v>4</v>
      </c>
      <c r="C12" s="8">
        <v>76</v>
      </c>
      <c r="D12" s="8"/>
      <c r="E12" s="6">
        <v>30</v>
      </c>
      <c r="F12" s="6">
        <v>355</v>
      </c>
      <c r="G12" s="18">
        <f t="shared" si="0"/>
        <v>10650</v>
      </c>
      <c r="I12" s="40"/>
    </row>
    <row r="13" spans="1:11" x14ac:dyDescent="0.25">
      <c r="A13" s="9" t="s">
        <v>7</v>
      </c>
      <c r="B13" s="8" t="s">
        <v>4</v>
      </c>
      <c r="C13" s="8">
        <v>89</v>
      </c>
      <c r="D13" s="8"/>
      <c r="E13" s="6">
        <v>50</v>
      </c>
      <c r="F13" s="6">
        <v>482</v>
      </c>
      <c r="G13" s="18">
        <f t="shared" si="0"/>
        <v>24100</v>
      </c>
      <c r="I13" s="40"/>
    </row>
    <row r="14" spans="1:11" x14ac:dyDescent="0.25">
      <c r="A14" s="9" t="s">
        <v>14</v>
      </c>
      <c r="B14" s="8" t="s">
        <v>4</v>
      </c>
      <c r="C14" s="8">
        <v>108</v>
      </c>
      <c r="D14" s="8"/>
      <c r="E14" s="6">
        <v>40</v>
      </c>
      <c r="F14" s="6">
        <v>975</v>
      </c>
      <c r="G14" s="18">
        <f t="shared" si="0"/>
        <v>39000</v>
      </c>
      <c r="I14" s="40"/>
    </row>
    <row r="15" spans="1:11" hidden="1" x14ac:dyDescent="0.25">
      <c r="A15" s="9" t="s">
        <v>15</v>
      </c>
      <c r="B15" s="14"/>
      <c r="C15" s="14"/>
      <c r="D15" s="14"/>
      <c r="E15" s="14"/>
      <c r="F15" s="14"/>
      <c r="G15" s="19"/>
      <c r="I15" s="1"/>
      <c r="K15" s="2"/>
    </row>
    <row r="16" spans="1:11" hidden="1" x14ac:dyDescent="0.25">
      <c r="A16" s="9" t="s">
        <v>8</v>
      </c>
      <c r="B16" s="14"/>
      <c r="C16" s="14"/>
      <c r="D16" s="14"/>
      <c r="E16" s="14"/>
      <c r="F16" s="14"/>
      <c r="G16" s="19"/>
    </row>
    <row r="17" spans="1:7" hidden="1" x14ac:dyDescent="0.25">
      <c r="A17" s="9" t="s">
        <v>9</v>
      </c>
      <c r="B17" s="14"/>
      <c r="C17" s="14"/>
      <c r="D17" s="14"/>
      <c r="E17" s="14"/>
      <c r="F17" s="14"/>
      <c r="G17" s="19"/>
    </row>
    <row r="18" spans="1:7" x14ac:dyDescent="0.25">
      <c r="E18">
        <f>E3+E4+E5+E9</f>
        <v>616</v>
      </c>
      <c r="G18" s="20">
        <f xml:space="preserve"> SUM(G3:G17)</f>
        <v>600668.4</v>
      </c>
    </row>
    <row r="20" spans="1:7" x14ac:dyDescent="0.25">
      <c r="A20" s="39" t="s">
        <v>17</v>
      </c>
      <c r="B20" s="39"/>
      <c r="C20" s="39"/>
      <c r="D20" s="39"/>
      <c r="E20" s="39"/>
      <c r="F20" s="39"/>
      <c r="G20" s="39"/>
    </row>
    <row r="21" spans="1:7" ht="24" x14ac:dyDescent="0.25">
      <c r="A21" s="7" t="s">
        <v>12</v>
      </c>
      <c r="B21" s="14" t="s">
        <v>0</v>
      </c>
      <c r="C21" s="15" t="s">
        <v>1</v>
      </c>
      <c r="D21" s="16" t="s">
        <v>13</v>
      </c>
      <c r="E21" s="15" t="s">
        <v>11</v>
      </c>
      <c r="F21" s="16" t="s">
        <v>29</v>
      </c>
      <c r="G21" s="17" t="s">
        <v>10</v>
      </c>
    </row>
    <row r="22" spans="1:7" ht="24" x14ac:dyDescent="0.25">
      <c r="A22" s="10" t="s">
        <v>2</v>
      </c>
      <c r="B22" s="11" t="s">
        <v>3</v>
      </c>
      <c r="C22" s="12">
        <v>57</v>
      </c>
      <c r="D22" s="12">
        <v>3.5</v>
      </c>
      <c r="E22" s="13">
        <v>100</v>
      </c>
      <c r="F22" s="13">
        <v>386.7</v>
      </c>
      <c r="G22" s="18">
        <f>E22*F22</f>
        <v>38670</v>
      </c>
    </row>
    <row r="23" spans="1:7" ht="24" x14ac:dyDescent="0.25">
      <c r="A23" s="7" t="s">
        <v>2</v>
      </c>
      <c r="B23" s="11" t="s">
        <v>3</v>
      </c>
      <c r="C23" s="8">
        <v>76</v>
      </c>
      <c r="D23" s="8">
        <v>3.5</v>
      </c>
      <c r="E23" s="6">
        <v>100</v>
      </c>
      <c r="F23" s="6">
        <v>510.7</v>
      </c>
      <c r="G23" s="18">
        <f t="shared" ref="G23:G36" si="1">E23*F23</f>
        <v>51070</v>
      </c>
    </row>
    <row r="24" spans="1:7" ht="24" x14ac:dyDescent="0.25">
      <c r="A24" s="7" t="s">
        <v>2</v>
      </c>
      <c r="B24" s="11" t="s">
        <v>3</v>
      </c>
      <c r="C24" s="8">
        <v>89</v>
      </c>
      <c r="D24" s="8">
        <v>4</v>
      </c>
      <c r="E24" s="6">
        <v>100</v>
      </c>
      <c r="F24" s="6">
        <v>669.6</v>
      </c>
      <c r="G24" s="18">
        <f t="shared" si="1"/>
        <v>66960</v>
      </c>
    </row>
    <row r="25" spans="1:7" ht="24" x14ac:dyDescent="0.25">
      <c r="A25" s="7" t="s">
        <v>2</v>
      </c>
      <c r="B25" s="11" t="s">
        <v>3</v>
      </c>
      <c r="C25" s="8">
        <v>108</v>
      </c>
      <c r="D25" s="8">
        <v>4</v>
      </c>
      <c r="E25" s="6">
        <v>100</v>
      </c>
      <c r="F25" s="6">
        <v>831.7</v>
      </c>
      <c r="G25" s="18">
        <f t="shared" si="1"/>
        <v>83170</v>
      </c>
    </row>
    <row r="26" spans="1:7" ht="24" x14ac:dyDescent="0.25">
      <c r="A26" s="7" t="s">
        <v>2</v>
      </c>
      <c r="B26" s="11" t="s">
        <v>3</v>
      </c>
      <c r="C26" s="8">
        <v>133</v>
      </c>
      <c r="D26" s="8">
        <v>4.5</v>
      </c>
      <c r="E26" s="6">
        <v>100</v>
      </c>
      <c r="F26" s="6">
        <v>1103.7</v>
      </c>
      <c r="G26" s="18">
        <f t="shared" si="1"/>
        <v>110370</v>
      </c>
    </row>
    <row r="27" spans="1:7" ht="24" x14ac:dyDescent="0.25">
      <c r="A27" s="7" t="s">
        <v>2</v>
      </c>
      <c r="B27" s="11" t="s">
        <v>3</v>
      </c>
      <c r="C27" s="8">
        <v>159</v>
      </c>
      <c r="D27" s="8">
        <v>4.5</v>
      </c>
      <c r="E27" s="6">
        <v>100</v>
      </c>
      <c r="F27" s="6">
        <v>1436.2</v>
      </c>
      <c r="G27" s="18">
        <f t="shared" si="1"/>
        <v>143620</v>
      </c>
    </row>
    <row r="28" spans="1:7" ht="24" x14ac:dyDescent="0.25">
      <c r="A28" s="7" t="s">
        <v>2</v>
      </c>
      <c r="B28" s="11" t="s">
        <v>3</v>
      </c>
      <c r="C28" s="8">
        <v>219</v>
      </c>
      <c r="D28" s="8">
        <v>6</v>
      </c>
      <c r="E28" s="6">
        <v>100</v>
      </c>
      <c r="F28" s="6">
        <v>2541.4</v>
      </c>
      <c r="G28" s="18">
        <f t="shared" si="1"/>
        <v>254140</v>
      </c>
    </row>
    <row r="29" spans="1:7" ht="24" x14ac:dyDescent="0.25">
      <c r="A29" s="7" t="s">
        <v>2</v>
      </c>
      <c r="B29" s="11" t="s">
        <v>3</v>
      </c>
      <c r="C29" s="8">
        <v>273</v>
      </c>
      <c r="D29" s="8">
        <v>6</v>
      </c>
      <c r="E29" s="6"/>
      <c r="F29" s="6">
        <v>3052</v>
      </c>
      <c r="G29" s="18">
        <f t="shared" si="1"/>
        <v>0</v>
      </c>
    </row>
    <row r="30" spans="1:7" x14ac:dyDescent="0.25">
      <c r="A30" s="9" t="s">
        <v>5</v>
      </c>
      <c r="B30" s="8" t="s">
        <v>4</v>
      </c>
      <c r="C30" s="8">
        <v>57</v>
      </c>
      <c r="D30" s="8"/>
      <c r="E30" s="6">
        <v>20</v>
      </c>
      <c r="F30" s="6">
        <v>260</v>
      </c>
      <c r="G30" s="18">
        <f t="shared" si="1"/>
        <v>5200</v>
      </c>
    </row>
    <row r="31" spans="1:7" x14ac:dyDescent="0.25">
      <c r="A31" s="9" t="s">
        <v>6</v>
      </c>
      <c r="B31" s="8" t="s">
        <v>4</v>
      </c>
      <c r="C31" s="8">
        <v>76</v>
      </c>
      <c r="D31" s="8"/>
      <c r="E31" s="6">
        <v>20</v>
      </c>
      <c r="F31" s="6">
        <v>355</v>
      </c>
      <c r="G31" s="18">
        <f t="shared" si="1"/>
        <v>7100</v>
      </c>
    </row>
    <row r="32" spans="1:7" x14ac:dyDescent="0.25">
      <c r="A32" s="9" t="s">
        <v>7</v>
      </c>
      <c r="B32" s="8" t="s">
        <v>4</v>
      </c>
      <c r="C32" s="8">
        <v>89</v>
      </c>
      <c r="D32" s="8"/>
      <c r="E32" s="6">
        <v>20</v>
      </c>
      <c r="F32" s="6">
        <v>482</v>
      </c>
      <c r="G32" s="18">
        <f t="shared" si="1"/>
        <v>9640</v>
      </c>
    </row>
    <row r="33" spans="1:7" x14ac:dyDescent="0.25">
      <c r="A33" s="9" t="s">
        <v>14</v>
      </c>
      <c r="B33" s="8" t="s">
        <v>4</v>
      </c>
      <c r="C33" s="8">
        <v>108</v>
      </c>
      <c r="D33" s="8"/>
      <c r="E33" s="6">
        <v>20</v>
      </c>
      <c r="F33" s="6">
        <v>975</v>
      </c>
      <c r="G33" s="18">
        <f t="shared" si="1"/>
        <v>19500</v>
      </c>
    </row>
    <row r="34" spans="1:7" x14ac:dyDescent="0.25">
      <c r="A34" s="9" t="s">
        <v>15</v>
      </c>
      <c r="B34" s="8" t="s">
        <v>4</v>
      </c>
      <c r="C34" s="8">
        <v>133</v>
      </c>
      <c r="D34" s="14"/>
      <c r="E34" s="14">
        <v>10</v>
      </c>
      <c r="F34" s="6">
        <v>1305</v>
      </c>
      <c r="G34" s="18">
        <f t="shared" si="1"/>
        <v>13050</v>
      </c>
    </row>
    <row r="35" spans="1:7" x14ac:dyDescent="0.25">
      <c r="A35" s="9" t="s">
        <v>8</v>
      </c>
      <c r="B35" s="8" t="s">
        <v>4</v>
      </c>
      <c r="C35" s="8">
        <v>159</v>
      </c>
      <c r="D35" s="14"/>
      <c r="E35" s="14">
        <v>10</v>
      </c>
      <c r="F35" s="6">
        <v>1905</v>
      </c>
      <c r="G35" s="18">
        <f t="shared" si="1"/>
        <v>19050</v>
      </c>
    </row>
    <row r="36" spans="1:7" x14ac:dyDescent="0.25">
      <c r="A36" s="9" t="s">
        <v>9</v>
      </c>
      <c r="B36" s="8" t="s">
        <v>4</v>
      </c>
      <c r="C36" s="8">
        <v>219</v>
      </c>
      <c r="D36" s="14"/>
      <c r="E36" s="14">
        <v>10</v>
      </c>
      <c r="F36" s="6">
        <v>5000</v>
      </c>
      <c r="G36" s="18">
        <f t="shared" si="1"/>
        <v>50000</v>
      </c>
    </row>
    <row r="37" spans="1:7" x14ac:dyDescent="0.25">
      <c r="G37" s="20">
        <f xml:space="preserve"> SUM(G22:G36)</f>
        <v>871540</v>
      </c>
    </row>
    <row r="39" spans="1:7" x14ac:dyDescent="0.25">
      <c r="A39" s="39" t="s">
        <v>18</v>
      </c>
      <c r="B39" s="39"/>
      <c r="C39" s="39"/>
      <c r="D39" s="39"/>
      <c r="E39" s="39"/>
      <c r="F39" s="39"/>
      <c r="G39" s="39"/>
    </row>
    <row r="40" spans="1:7" ht="24" x14ac:dyDescent="0.25">
      <c r="A40" s="7" t="s">
        <v>12</v>
      </c>
      <c r="B40" s="14" t="s">
        <v>0</v>
      </c>
      <c r="C40" s="15" t="s">
        <v>1</v>
      </c>
      <c r="D40" s="16" t="s">
        <v>13</v>
      </c>
      <c r="E40" s="15" t="s">
        <v>11</v>
      </c>
      <c r="F40" s="16" t="s">
        <v>29</v>
      </c>
      <c r="G40" s="17" t="s">
        <v>10</v>
      </c>
    </row>
    <row r="41" spans="1:7" ht="24" x14ac:dyDescent="0.25">
      <c r="A41" s="10" t="s">
        <v>2</v>
      </c>
      <c r="B41" s="11" t="s">
        <v>3</v>
      </c>
      <c r="C41" s="12">
        <v>57</v>
      </c>
      <c r="D41" s="12">
        <v>3.5</v>
      </c>
      <c r="E41" s="13">
        <v>156</v>
      </c>
      <c r="F41" s="13">
        <v>386.7</v>
      </c>
      <c r="G41" s="18">
        <f>E41*F41</f>
        <v>60325.2</v>
      </c>
    </row>
    <row r="42" spans="1:7" ht="24" x14ac:dyDescent="0.25">
      <c r="A42" s="7" t="s">
        <v>2</v>
      </c>
      <c r="B42" s="11" t="s">
        <v>3</v>
      </c>
      <c r="C42" s="8">
        <v>76</v>
      </c>
      <c r="D42" s="8">
        <v>3.5</v>
      </c>
      <c r="E42" s="6"/>
      <c r="F42" s="6">
        <v>510.7</v>
      </c>
      <c r="G42" s="18">
        <f t="shared" ref="G42:G55" si="2">E42*F42</f>
        <v>0</v>
      </c>
    </row>
    <row r="43" spans="1:7" ht="24" x14ac:dyDescent="0.25">
      <c r="A43" s="7" t="s">
        <v>2</v>
      </c>
      <c r="B43" s="11" t="s">
        <v>3</v>
      </c>
      <c r="C43" s="8">
        <v>89</v>
      </c>
      <c r="D43" s="8">
        <v>4</v>
      </c>
      <c r="E43" s="6"/>
      <c r="F43" s="6">
        <v>669.6</v>
      </c>
      <c r="G43" s="18">
        <f t="shared" si="2"/>
        <v>0</v>
      </c>
    </row>
    <row r="44" spans="1:7" ht="24" x14ac:dyDescent="0.25">
      <c r="A44" s="7" t="s">
        <v>2</v>
      </c>
      <c r="B44" s="11" t="s">
        <v>3</v>
      </c>
      <c r="C44" s="8">
        <v>108</v>
      </c>
      <c r="D44" s="8">
        <v>4</v>
      </c>
      <c r="E44" s="6">
        <v>204</v>
      </c>
      <c r="F44" s="6">
        <v>831.7</v>
      </c>
      <c r="G44" s="18">
        <f t="shared" si="2"/>
        <v>169666.80000000002</v>
      </c>
    </row>
    <row r="45" spans="1:7" ht="24" x14ac:dyDescent="0.25">
      <c r="A45" s="7" t="s">
        <v>2</v>
      </c>
      <c r="B45" s="11" t="s">
        <v>3</v>
      </c>
      <c r="C45" s="8">
        <v>133</v>
      </c>
      <c r="D45" s="8">
        <v>4.5</v>
      </c>
      <c r="E45" s="6">
        <v>0</v>
      </c>
      <c r="F45" s="6">
        <v>1103.7</v>
      </c>
      <c r="G45" s="18">
        <f t="shared" si="2"/>
        <v>0</v>
      </c>
    </row>
    <row r="46" spans="1:7" ht="24" x14ac:dyDescent="0.25">
      <c r="A46" s="7" t="s">
        <v>2</v>
      </c>
      <c r="B46" s="11" t="s">
        <v>3</v>
      </c>
      <c r="C46" s="8">
        <v>159</v>
      </c>
      <c r="D46" s="8">
        <v>4.5</v>
      </c>
      <c r="E46" s="6">
        <v>0</v>
      </c>
      <c r="F46" s="6">
        <v>1436.2</v>
      </c>
      <c r="G46" s="18">
        <f t="shared" si="2"/>
        <v>0</v>
      </c>
    </row>
    <row r="47" spans="1:7" ht="24" x14ac:dyDescent="0.25">
      <c r="A47" s="7" t="s">
        <v>2</v>
      </c>
      <c r="B47" s="11" t="s">
        <v>3</v>
      </c>
      <c r="C47" s="8">
        <v>219</v>
      </c>
      <c r="D47" s="8">
        <v>6</v>
      </c>
      <c r="E47" s="6"/>
      <c r="F47" s="6">
        <v>2541.4</v>
      </c>
      <c r="G47" s="18">
        <f t="shared" si="2"/>
        <v>0</v>
      </c>
    </row>
    <row r="48" spans="1:7" ht="24" x14ac:dyDescent="0.25">
      <c r="A48" s="7" t="s">
        <v>2</v>
      </c>
      <c r="B48" s="11" t="s">
        <v>3</v>
      </c>
      <c r="C48" s="8">
        <v>273</v>
      </c>
      <c r="D48" s="8">
        <v>6</v>
      </c>
      <c r="E48" s="6">
        <v>96</v>
      </c>
      <c r="F48" s="6">
        <v>3052</v>
      </c>
      <c r="G48" s="18">
        <f t="shared" si="2"/>
        <v>292992</v>
      </c>
    </row>
    <row r="49" spans="1:7" x14ac:dyDescent="0.25">
      <c r="A49" s="9" t="s">
        <v>5</v>
      </c>
      <c r="B49" s="8" t="s">
        <v>4</v>
      </c>
      <c r="C49" s="8">
        <v>57</v>
      </c>
      <c r="D49" s="8"/>
      <c r="E49" s="6"/>
      <c r="F49" s="6">
        <v>260</v>
      </c>
      <c r="G49" s="18">
        <f t="shared" si="2"/>
        <v>0</v>
      </c>
    </row>
    <row r="50" spans="1:7" x14ac:dyDescent="0.25">
      <c r="A50" s="9" t="s">
        <v>6</v>
      </c>
      <c r="B50" s="8" t="s">
        <v>4</v>
      </c>
      <c r="C50" s="8">
        <v>76</v>
      </c>
      <c r="D50" s="8"/>
      <c r="E50" s="6">
        <v>15</v>
      </c>
      <c r="F50" s="6">
        <v>355</v>
      </c>
      <c r="G50" s="18">
        <f t="shared" si="2"/>
        <v>5325</v>
      </c>
    </row>
    <row r="51" spans="1:7" x14ac:dyDescent="0.25">
      <c r="A51" s="9" t="s">
        <v>7</v>
      </c>
      <c r="B51" s="8" t="s">
        <v>4</v>
      </c>
      <c r="C51" s="8">
        <v>89</v>
      </c>
      <c r="D51" s="8"/>
      <c r="E51" s="6">
        <v>15</v>
      </c>
      <c r="F51" s="6">
        <v>482</v>
      </c>
      <c r="G51" s="18">
        <f t="shared" si="2"/>
        <v>7230</v>
      </c>
    </row>
    <row r="52" spans="1:7" x14ac:dyDescent="0.25">
      <c r="A52" s="9" t="s">
        <v>14</v>
      </c>
      <c r="B52" s="8" t="s">
        <v>4</v>
      </c>
      <c r="C52" s="8">
        <v>108</v>
      </c>
      <c r="D52" s="8"/>
      <c r="E52" s="6">
        <v>15</v>
      </c>
      <c r="F52" s="6">
        <v>975</v>
      </c>
      <c r="G52" s="18">
        <f t="shared" si="2"/>
        <v>14625</v>
      </c>
    </row>
    <row r="53" spans="1:7" x14ac:dyDescent="0.25">
      <c r="A53" s="9" t="s">
        <v>15</v>
      </c>
      <c r="B53" s="8" t="s">
        <v>4</v>
      </c>
      <c r="C53" s="8">
        <v>133</v>
      </c>
      <c r="D53" s="14"/>
      <c r="E53" s="14"/>
      <c r="F53" s="6">
        <v>1305</v>
      </c>
      <c r="G53" s="18">
        <f t="shared" si="2"/>
        <v>0</v>
      </c>
    </row>
    <row r="54" spans="1:7" x14ac:dyDescent="0.25">
      <c r="A54" s="9" t="s">
        <v>8</v>
      </c>
      <c r="B54" s="8" t="s">
        <v>4</v>
      </c>
      <c r="C54" s="8">
        <v>159</v>
      </c>
      <c r="D54" s="14"/>
      <c r="E54" s="14"/>
      <c r="F54" s="6">
        <v>1905</v>
      </c>
      <c r="G54" s="18">
        <f t="shared" si="2"/>
        <v>0</v>
      </c>
    </row>
    <row r="55" spans="1:7" x14ac:dyDescent="0.25">
      <c r="A55" s="9" t="s">
        <v>9</v>
      </c>
      <c r="B55" s="8" t="s">
        <v>4</v>
      </c>
      <c r="C55" s="8">
        <v>219</v>
      </c>
      <c r="D55" s="14"/>
      <c r="E55" s="14"/>
      <c r="F55" s="6">
        <v>5000</v>
      </c>
      <c r="G55" s="18">
        <f t="shared" si="2"/>
        <v>0</v>
      </c>
    </row>
    <row r="56" spans="1:7" x14ac:dyDescent="0.25">
      <c r="E56">
        <f>E41+E44+E48</f>
        <v>456</v>
      </c>
      <c r="G56" s="20">
        <f xml:space="preserve"> SUM(G41:G55)</f>
        <v>550164</v>
      </c>
    </row>
    <row r="58" spans="1:7" x14ac:dyDescent="0.25">
      <c r="A58" s="39" t="s">
        <v>19</v>
      </c>
      <c r="B58" s="39"/>
      <c r="C58" s="39"/>
      <c r="D58" s="39"/>
      <c r="E58" s="39"/>
      <c r="F58" s="39"/>
      <c r="G58" s="39"/>
    </row>
    <row r="59" spans="1:7" ht="24" x14ac:dyDescent="0.25">
      <c r="A59" s="7" t="s">
        <v>12</v>
      </c>
      <c r="B59" s="14" t="s">
        <v>0</v>
      </c>
      <c r="C59" s="15" t="s">
        <v>1</v>
      </c>
      <c r="D59" s="16" t="s">
        <v>13</v>
      </c>
      <c r="E59" s="15" t="s">
        <v>11</v>
      </c>
      <c r="F59" s="16" t="s">
        <v>29</v>
      </c>
      <c r="G59" s="17" t="s">
        <v>10</v>
      </c>
    </row>
    <row r="60" spans="1:7" ht="24" x14ac:dyDescent="0.25">
      <c r="A60" s="10" t="s">
        <v>2</v>
      </c>
      <c r="B60" s="11" t="s">
        <v>3</v>
      </c>
      <c r="C60" s="12">
        <v>57</v>
      </c>
      <c r="D60" s="12">
        <v>3.5</v>
      </c>
      <c r="E60" s="13">
        <v>48</v>
      </c>
      <c r="F60" s="13">
        <v>386.7</v>
      </c>
      <c r="G60" s="18">
        <f>E60*F60</f>
        <v>18561.599999999999</v>
      </c>
    </row>
    <row r="61" spans="1:7" ht="24" x14ac:dyDescent="0.25">
      <c r="A61" s="7" t="s">
        <v>2</v>
      </c>
      <c r="B61" s="11" t="s">
        <v>3</v>
      </c>
      <c r="C61" s="8">
        <v>76</v>
      </c>
      <c r="D61" s="8">
        <v>3.5</v>
      </c>
      <c r="E61" s="6">
        <v>0</v>
      </c>
      <c r="F61" s="6">
        <v>510.7</v>
      </c>
      <c r="G61" s="18">
        <f t="shared" ref="G61:G74" si="3">E61*F61</f>
        <v>0</v>
      </c>
    </row>
    <row r="62" spans="1:7" ht="24" x14ac:dyDescent="0.25">
      <c r="A62" s="7" t="s">
        <v>2</v>
      </c>
      <c r="B62" s="11" t="s">
        <v>3</v>
      </c>
      <c r="C62" s="8">
        <v>89</v>
      </c>
      <c r="D62" s="8">
        <v>4</v>
      </c>
      <c r="E62" s="6"/>
      <c r="F62" s="6">
        <v>669.6</v>
      </c>
      <c r="G62" s="18">
        <f t="shared" si="3"/>
        <v>0</v>
      </c>
    </row>
    <row r="63" spans="1:7" ht="24" x14ac:dyDescent="0.25">
      <c r="A63" s="7" t="s">
        <v>2</v>
      </c>
      <c r="B63" s="11" t="s">
        <v>3</v>
      </c>
      <c r="C63" s="8">
        <v>108</v>
      </c>
      <c r="D63" s="8">
        <v>4</v>
      </c>
      <c r="E63" s="6">
        <v>48</v>
      </c>
      <c r="F63" s="6">
        <v>831.7</v>
      </c>
      <c r="G63" s="18">
        <f t="shared" si="3"/>
        <v>39921.600000000006</v>
      </c>
    </row>
    <row r="64" spans="1:7" ht="24" x14ac:dyDescent="0.25">
      <c r="A64" s="7" t="s">
        <v>2</v>
      </c>
      <c r="B64" s="11" t="s">
        <v>3</v>
      </c>
      <c r="C64" s="8">
        <v>133</v>
      </c>
      <c r="D64" s="8">
        <v>4.5</v>
      </c>
      <c r="E64" s="6"/>
      <c r="F64" s="6">
        <v>1103.7</v>
      </c>
      <c r="G64" s="18">
        <f t="shared" si="3"/>
        <v>0</v>
      </c>
    </row>
    <row r="65" spans="1:7" ht="24" x14ac:dyDescent="0.25">
      <c r="A65" s="7" t="s">
        <v>2</v>
      </c>
      <c r="B65" s="11" t="s">
        <v>3</v>
      </c>
      <c r="C65" s="8">
        <v>159</v>
      </c>
      <c r="D65" s="8">
        <v>4.5</v>
      </c>
      <c r="E65" s="6">
        <v>72</v>
      </c>
      <c r="F65" s="6">
        <v>1436.2</v>
      </c>
      <c r="G65" s="18">
        <f t="shared" si="3"/>
        <v>103406.40000000001</v>
      </c>
    </row>
    <row r="66" spans="1:7" ht="24" x14ac:dyDescent="0.25">
      <c r="A66" s="7" t="s">
        <v>2</v>
      </c>
      <c r="B66" s="11" t="s">
        <v>3</v>
      </c>
      <c r="C66" s="8">
        <v>219</v>
      </c>
      <c r="D66" s="8">
        <v>6</v>
      </c>
      <c r="E66" s="6">
        <v>0</v>
      </c>
      <c r="F66" s="6">
        <v>2541.4</v>
      </c>
      <c r="G66" s="18">
        <f t="shared" si="3"/>
        <v>0</v>
      </c>
    </row>
    <row r="67" spans="1:7" ht="24" x14ac:dyDescent="0.25">
      <c r="A67" s="7" t="s">
        <v>2</v>
      </c>
      <c r="B67" s="11" t="s">
        <v>3</v>
      </c>
      <c r="C67" s="8">
        <v>273</v>
      </c>
      <c r="D67" s="8">
        <v>6</v>
      </c>
      <c r="E67" s="6"/>
      <c r="F67" s="6">
        <v>3052</v>
      </c>
      <c r="G67" s="18">
        <f t="shared" si="3"/>
        <v>0</v>
      </c>
    </row>
    <row r="68" spans="1:7" x14ac:dyDescent="0.25">
      <c r="A68" s="9" t="s">
        <v>5</v>
      </c>
      <c r="B68" s="8" t="s">
        <v>4</v>
      </c>
      <c r="C68" s="8">
        <v>57</v>
      </c>
      <c r="D68" s="8"/>
      <c r="E68" s="6"/>
      <c r="F68" s="6">
        <v>260</v>
      </c>
      <c r="G68" s="18">
        <f t="shared" si="3"/>
        <v>0</v>
      </c>
    </row>
    <row r="69" spans="1:7" x14ac:dyDescent="0.25">
      <c r="A69" s="9" t="s">
        <v>6</v>
      </c>
      <c r="B69" s="8" t="s">
        <v>4</v>
      </c>
      <c r="C69" s="8">
        <v>76</v>
      </c>
      <c r="D69" s="8"/>
      <c r="E69" s="6">
        <v>15</v>
      </c>
      <c r="F69" s="6">
        <v>355</v>
      </c>
      <c r="G69" s="18">
        <f t="shared" si="3"/>
        <v>5325</v>
      </c>
    </row>
    <row r="70" spans="1:7" x14ac:dyDescent="0.25">
      <c r="A70" s="9" t="s">
        <v>7</v>
      </c>
      <c r="B70" s="8" t="s">
        <v>4</v>
      </c>
      <c r="C70" s="8">
        <v>89</v>
      </c>
      <c r="D70" s="8"/>
      <c r="E70" s="6">
        <v>15</v>
      </c>
      <c r="F70" s="6">
        <v>482</v>
      </c>
      <c r="G70" s="18">
        <f t="shared" si="3"/>
        <v>7230</v>
      </c>
    </row>
    <row r="71" spans="1:7" x14ac:dyDescent="0.25">
      <c r="A71" s="9" t="s">
        <v>14</v>
      </c>
      <c r="B71" s="8" t="s">
        <v>4</v>
      </c>
      <c r="C71" s="8">
        <v>108</v>
      </c>
      <c r="D71" s="8"/>
      <c r="E71" s="6">
        <v>15</v>
      </c>
      <c r="F71" s="6">
        <v>975</v>
      </c>
      <c r="G71" s="18">
        <f t="shared" si="3"/>
        <v>14625</v>
      </c>
    </row>
    <row r="72" spans="1:7" x14ac:dyDescent="0.25">
      <c r="A72" s="9" t="s">
        <v>15</v>
      </c>
      <c r="B72" s="8" t="s">
        <v>4</v>
      </c>
      <c r="C72" s="8">
        <v>133</v>
      </c>
      <c r="D72" s="14"/>
      <c r="E72" s="14"/>
      <c r="F72" s="6">
        <v>1305</v>
      </c>
      <c r="G72" s="18">
        <f t="shared" si="3"/>
        <v>0</v>
      </c>
    </row>
    <row r="73" spans="1:7" x14ac:dyDescent="0.25">
      <c r="A73" s="9" t="s">
        <v>8</v>
      </c>
      <c r="B73" s="8" t="s">
        <v>4</v>
      </c>
      <c r="C73" s="8">
        <v>159</v>
      </c>
      <c r="D73" s="14"/>
      <c r="E73" s="14"/>
      <c r="F73" s="6">
        <v>1905</v>
      </c>
      <c r="G73" s="18">
        <f t="shared" si="3"/>
        <v>0</v>
      </c>
    </row>
    <row r="74" spans="1:7" x14ac:dyDescent="0.25">
      <c r="A74" s="9" t="s">
        <v>9</v>
      </c>
      <c r="B74" s="8" t="s">
        <v>4</v>
      </c>
      <c r="C74" s="8">
        <v>219</v>
      </c>
      <c r="D74" s="14"/>
      <c r="E74" s="14"/>
      <c r="F74" s="6">
        <v>5000</v>
      </c>
      <c r="G74" s="18">
        <f t="shared" si="3"/>
        <v>0</v>
      </c>
    </row>
    <row r="75" spans="1:7" x14ac:dyDescent="0.25">
      <c r="E75">
        <f>E60+E63+E65</f>
        <v>168</v>
      </c>
      <c r="G75" s="20">
        <f xml:space="preserve"> SUM(G60:G74)</f>
        <v>189069.6</v>
      </c>
    </row>
    <row r="77" spans="1:7" x14ac:dyDescent="0.25">
      <c r="A77" s="39" t="s">
        <v>20</v>
      </c>
      <c r="B77" s="39"/>
      <c r="C77" s="39"/>
      <c r="D77" s="39"/>
      <c r="E77" s="39"/>
      <c r="F77" s="39"/>
      <c r="G77" s="39"/>
    </row>
    <row r="78" spans="1:7" ht="24" x14ac:dyDescent="0.25">
      <c r="A78" s="7" t="s">
        <v>12</v>
      </c>
      <c r="B78" s="14" t="s">
        <v>0</v>
      </c>
      <c r="C78" s="15" t="s">
        <v>1</v>
      </c>
      <c r="D78" s="16" t="s">
        <v>13</v>
      </c>
      <c r="E78" s="15" t="s">
        <v>11</v>
      </c>
      <c r="F78" s="16" t="s">
        <v>29</v>
      </c>
      <c r="G78" s="17" t="s">
        <v>10</v>
      </c>
    </row>
    <row r="79" spans="1:7" ht="24" x14ac:dyDescent="0.25">
      <c r="A79" s="10" t="s">
        <v>2</v>
      </c>
      <c r="B79" s="11" t="s">
        <v>3</v>
      </c>
      <c r="C79" s="12">
        <v>57</v>
      </c>
      <c r="D79" s="12">
        <v>3.5</v>
      </c>
      <c r="E79" s="13">
        <v>100</v>
      </c>
      <c r="F79" s="13">
        <v>386.7</v>
      </c>
      <c r="G79" s="18">
        <f>E79*F79</f>
        <v>38670</v>
      </c>
    </row>
    <row r="80" spans="1:7" ht="24" x14ac:dyDescent="0.25">
      <c r="A80" s="7" t="s">
        <v>2</v>
      </c>
      <c r="B80" s="11" t="s">
        <v>3</v>
      </c>
      <c r="C80" s="8">
        <v>76</v>
      </c>
      <c r="D80" s="8">
        <v>3.5</v>
      </c>
      <c r="E80" s="6">
        <v>100</v>
      </c>
      <c r="F80" s="6">
        <v>510.7</v>
      </c>
      <c r="G80" s="18">
        <f t="shared" ref="G80:G93" si="4">E80*F80</f>
        <v>51070</v>
      </c>
    </row>
    <row r="81" spans="1:7" ht="24" x14ac:dyDescent="0.25">
      <c r="A81" s="7" t="s">
        <v>2</v>
      </c>
      <c r="B81" s="11" t="s">
        <v>3</v>
      </c>
      <c r="C81" s="8">
        <v>89</v>
      </c>
      <c r="D81" s="8">
        <v>4</v>
      </c>
      <c r="E81" s="6">
        <v>50</v>
      </c>
      <c r="F81" s="6">
        <v>669.6</v>
      </c>
      <c r="G81" s="18">
        <f t="shared" si="4"/>
        <v>33480</v>
      </c>
    </row>
    <row r="82" spans="1:7" ht="24" x14ac:dyDescent="0.25">
      <c r="A82" s="7" t="s">
        <v>2</v>
      </c>
      <c r="B82" s="11" t="s">
        <v>3</v>
      </c>
      <c r="C82" s="8">
        <v>108</v>
      </c>
      <c r="D82" s="8">
        <v>4</v>
      </c>
      <c r="E82" s="6">
        <v>100</v>
      </c>
      <c r="F82" s="6">
        <v>831.7</v>
      </c>
      <c r="G82" s="18">
        <f t="shared" si="4"/>
        <v>83170</v>
      </c>
    </row>
    <row r="83" spans="1:7" ht="24" x14ac:dyDescent="0.25">
      <c r="A83" s="7" t="s">
        <v>2</v>
      </c>
      <c r="B83" s="11" t="s">
        <v>3</v>
      </c>
      <c r="C83" s="8">
        <v>133</v>
      </c>
      <c r="D83" s="8">
        <v>4.5</v>
      </c>
      <c r="E83" s="6">
        <v>24</v>
      </c>
      <c r="F83" s="6">
        <v>1103.7</v>
      </c>
      <c r="G83" s="18">
        <f t="shared" si="4"/>
        <v>26488.800000000003</v>
      </c>
    </row>
    <row r="84" spans="1:7" ht="24" x14ac:dyDescent="0.25">
      <c r="A84" s="7" t="s">
        <v>2</v>
      </c>
      <c r="B84" s="11" t="s">
        <v>3</v>
      </c>
      <c r="C84" s="8">
        <v>159</v>
      </c>
      <c r="D84" s="8">
        <v>4.5</v>
      </c>
      <c r="E84" s="6">
        <v>0</v>
      </c>
      <c r="F84" s="6">
        <v>1436.2</v>
      </c>
      <c r="G84" s="18">
        <f t="shared" si="4"/>
        <v>0</v>
      </c>
    </row>
    <row r="85" spans="1:7" ht="24" x14ac:dyDescent="0.25">
      <c r="A85" s="7" t="s">
        <v>2</v>
      </c>
      <c r="B85" s="11" t="s">
        <v>3</v>
      </c>
      <c r="C85" s="8">
        <v>219</v>
      </c>
      <c r="D85" s="8">
        <v>6</v>
      </c>
      <c r="E85" s="6"/>
      <c r="F85" s="6">
        <v>2541.4</v>
      </c>
      <c r="G85" s="18">
        <f t="shared" si="4"/>
        <v>0</v>
      </c>
    </row>
    <row r="86" spans="1:7" ht="24" x14ac:dyDescent="0.25">
      <c r="A86" s="7" t="s">
        <v>2</v>
      </c>
      <c r="B86" s="11" t="s">
        <v>3</v>
      </c>
      <c r="C86" s="8">
        <v>273</v>
      </c>
      <c r="D86" s="8">
        <v>6</v>
      </c>
      <c r="E86" s="6"/>
      <c r="F86" s="6">
        <v>3052</v>
      </c>
      <c r="G86" s="18">
        <f t="shared" si="4"/>
        <v>0</v>
      </c>
    </row>
    <row r="87" spans="1:7" x14ac:dyDescent="0.25">
      <c r="A87" s="9" t="s">
        <v>5</v>
      </c>
      <c r="B87" s="8" t="s">
        <v>4</v>
      </c>
      <c r="C87" s="8">
        <v>57</v>
      </c>
      <c r="D87" s="8"/>
      <c r="E87" s="6">
        <v>20</v>
      </c>
      <c r="F87" s="6">
        <v>260</v>
      </c>
      <c r="G87" s="18">
        <f t="shared" si="4"/>
        <v>5200</v>
      </c>
    </row>
    <row r="88" spans="1:7" x14ac:dyDescent="0.25">
      <c r="A88" s="9" t="s">
        <v>6</v>
      </c>
      <c r="B88" s="8" t="s">
        <v>4</v>
      </c>
      <c r="C88" s="8">
        <v>76</v>
      </c>
      <c r="D88" s="8"/>
      <c r="E88" s="6">
        <v>20</v>
      </c>
      <c r="F88" s="6">
        <v>355</v>
      </c>
      <c r="G88" s="18">
        <f t="shared" si="4"/>
        <v>7100</v>
      </c>
    </row>
    <row r="89" spans="1:7" x14ac:dyDescent="0.25">
      <c r="A89" s="9" t="s">
        <v>7</v>
      </c>
      <c r="B89" s="8" t="s">
        <v>4</v>
      </c>
      <c r="C89" s="8">
        <v>89</v>
      </c>
      <c r="D89" s="8"/>
      <c r="E89" s="6">
        <v>20</v>
      </c>
      <c r="F89" s="6">
        <v>482</v>
      </c>
      <c r="G89" s="18">
        <f t="shared" si="4"/>
        <v>9640</v>
      </c>
    </row>
    <row r="90" spans="1:7" x14ac:dyDescent="0.25">
      <c r="A90" s="9" t="s">
        <v>14</v>
      </c>
      <c r="B90" s="8" t="s">
        <v>4</v>
      </c>
      <c r="C90" s="8">
        <v>108</v>
      </c>
      <c r="D90" s="8"/>
      <c r="E90" s="6">
        <v>20</v>
      </c>
      <c r="F90" s="6">
        <v>975</v>
      </c>
      <c r="G90" s="18">
        <f t="shared" si="4"/>
        <v>19500</v>
      </c>
    </row>
    <row r="91" spans="1:7" x14ac:dyDescent="0.25">
      <c r="A91" s="9" t="s">
        <v>15</v>
      </c>
      <c r="B91" s="8" t="s">
        <v>4</v>
      </c>
      <c r="C91" s="8">
        <v>133</v>
      </c>
      <c r="D91" s="14"/>
      <c r="E91" s="14">
        <v>4</v>
      </c>
      <c r="F91" s="6">
        <v>1305</v>
      </c>
      <c r="G91" s="18">
        <f t="shared" si="4"/>
        <v>5220</v>
      </c>
    </row>
    <row r="92" spans="1:7" x14ac:dyDescent="0.25">
      <c r="A92" s="9" t="s">
        <v>8</v>
      </c>
      <c r="B92" s="8" t="s">
        <v>4</v>
      </c>
      <c r="C92" s="8">
        <v>159</v>
      </c>
      <c r="D92" s="14"/>
      <c r="E92" s="14">
        <v>5</v>
      </c>
      <c r="F92" s="6">
        <v>1905</v>
      </c>
      <c r="G92" s="18">
        <f t="shared" si="4"/>
        <v>9525</v>
      </c>
    </row>
    <row r="93" spans="1:7" x14ac:dyDescent="0.25">
      <c r="A93" s="9" t="s">
        <v>9</v>
      </c>
      <c r="B93" s="8" t="s">
        <v>4</v>
      </c>
      <c r="C93" s="8">
        <v>219</v>
      </c>
      <c r="D93" s="14"/>
      <c r="E93" s="14">
        <v>0</v>
      </c>
      <c r="F93" s="6">
        <v>5000</v>
      </c>
      <c r="G93" s="18">
        <f t="shared" si="4"/>
        <v>0</v>
      </c>
    </row>
    <row r="94" spans="1:7" x14ac:dyDescent="0.25">
      <c r="G94" s="20">
        <f xml:space="preserve"> SUM(G79:G93)</f>
        <v>289063.8</v>
      </c>
    </row>
    <row r="96" spans="1:7" x14ac:dyDescent="0.25">
      <c r="A96" s="39" t="s">
        <v>24</v>
      </c>
      <c r="B96" s="39"/>
      <c r="C96" s="39"/>
      <c r="D96" s="39"/>
      <c r="E96" s="39"/>
      <c r="F96" s="39"/>
      <c r="G96" s="39"/>
    </row>
    <row r="97" spans="1:7" ht="24" x14ac:dyDescent="0.25">
      <c r="A97" s="7" t="s">
        <v>12</v>
      </c>
      <c r="B97" s="14" t="s">
        <v>0</v>
      </c>
      <c r="C97" s="15" t="s">
        <v>1</v>
      </c>
      <c r="D97" s="16" t="s">
        <v>13</v>
      </c>
      <c r="E97" s="15" t="s">
        <v>11</v>
      </c>
      <c r="F97" s="16" t="s">
        <v>29</v>
      </c>
      <c r="G97" s="17" t="s">
        <v>10</v>
      </c>
    </row>
    <row r="98" spans="1:7" ht="24" x14ac:dyDescent="0.25">
      <c r="A98" s="7" t="s">
        <v>2</v>
      </c>
      <c r="B98" s="11" t="s">
        <v>3</v>
      </c>
      <c r="C98" s="8">
        <v>108</v>
      </c>
      <c r="D98" s="8">
        <v>4</v>
      </c>
      <c r="E98" s="6">
        <v>108</v>
      </c>
      <c r="F98" s="6">
        <v>831.7</v>
      </c>
      <c r="G98" s="18">
        <f t="shared" ref="G98" si="5">E98*F98</f>
        <v>89823.6</v>
      </c>
    </row>
    <row r="99" spans="1:7" x14ac:dyDescent="0.25">
      <c r="G99" s="20">
        <f>G98</f>
        <v>89823.6</v>
      </c>
    </row>
    <row r="102" spans="1:7" x14ac:dyDescent="0.25">
      <c r="A102" t="s">
        <v>25</v>
      </c>
      <c r="G102" s="20">
        <f>G99</f>
        <v>89823.6</v>
      </c>
    </row>
    <row r="103" spans="1:7" x14ac:dyDescent="0.25">
      <c r="A103" s="21"/>
    </row>
    <row r="104" spans="1:7" x14ac:dyDescent="0.25">
      <c r="A104" s="21" t="s">
        <v>21</v>
      </c>
      <c r="G104" s="20">
        <f>G18</f>
        <v>600668.4</v>
      </c>
    </row>
    <row r="105" spans="1:7" x14ac:dyDescent="0.25">
      <c r="A105" s="21" t="s">
        <v>22</v>
      </c>
      <c r="G105" s="20">
        <f>G37</f>
        <v>871540</v>
      </c>
    </row>
    <row r="106" spans="1:7" x14ac:dyDescent="0.25">
      <c r="A106" s="21" t="s">
        <v>23</v>
      </c>
      <c r="G106" s="20">
        <f>G56+G75+G94</f>
        <v>1028297.3999999999</v>
      </c>
    </row>
    <row r="107" spans="1:7" x14ac:dyDescent="0.25">
      <c r="A107" s="21" t="s">
        <v>26</v>
      </c>
      <c r="G107" s="20">
        <f>G104+G105+G106</f>
        <v>2500505.7999999998</v>
      </c>
    </row>
    <row r="108" spans="1:7" x14ac:dyDescent="0.25">
      <c r="A108" s="21" t="s">
        <v>27</v>
      </c>
      <c r="G108" s="20">
        <f>G102</f>
        <v>89823.6</v>
      </c>
    </row>
    <row r="109" spans="1:7" ht="18.75" x14ac:dyDescent="0.3">
      <c r="A109" s="21" t="s">
        <v>28</v>
      </c>
      <c r="G109" s="22">
        <f>G107+G108</f>
        <v>2590329.4</v>
      </c>
    </row>
  </sheetData>
  <mergeCells count="7">
    <mergeCell ref="A77:G77"/>
    <mergeCell ref="A96:G96"/>
    <mergeCell ref="I3:I14"/>
    <mergeCell ref="A1:G1"/>
    <mergeCell ref="A20:G20"/>
    <mergeCell ref="A39:G39"/>
    <mergeCell ref="A58:G58"/>
  </mergeCells>
  <phoneticPr fontId="4" type="noConversion"/>
  <pageMargins left="0.7" right="0.7" top="0.75" bottom="0.75" header="0.3" footer="0.3"/>
  <pageSetup paperSize="9" scale="75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150-48C9-4174-B2FE-598E16AE6384}">
  <dimension ref="A1:G7"/>
  <sheetViews>
    <sheetView workbookViewId="0">
      <selection activeCell="G13" sqref="G13"/>
    </sheetView>
  </sheetViews>
  <sheetFormatPr defaultRowHeight="15" x14ac:dyDescent="0.25"/>
  <cols>
    <col min="1" max="1" width="30" customWidth="1"/>
    <col min="2" max="2" width="17" customWidth="1"/>
    <col min="3" max="4" width="16.42578125" customWidth="1"/>
    <col min="5" max="5" width="17" customWidth="1"/>
    <col min="6" max="6" width="18.5703125" customWidth="1"/>
    <col min="7" max="7" width="37.140625" customWidth="1"/>
  </cols>
  <sheetData>
    <row r="1" spans="1:7" x14ac:dyDescent="0.25">
      <c r="A1" s="39" t="s">
        <v>30</v>
      </c>
      <c r="B1" s="39"/>
      <c r="C1" s="39"/>
      <c r="D1" s="39"/>
      <c r="E1" s="39"/>
      <c r="F1" s="39"/>
      <c r="G1" s="39"/>
    </row>
    <row r="2" spans="1:7" ht="24" x14ac:dyDescent="0.25">
      <c r="A2" s="7" t="s">
        <v>12</v>
      </c>
      <c r="B2" s="14" t="s">
        <v>0</v>
      </c>
      <c r="C2" s="15" t="s">
        <v>1</v>
      </c>
      <c r="D2" s="16" t="s">
        <v>13</v>
      </c>
      <c r="E2" s="15" t="s">
        <v>11</v>
      </c>
      <c r="F2" s="16" t="s">
        <v>29</v>
      </c>
      <c r="G2" s="17" t="s">
        <v>10</v>
      </c>
    </row>
    <row r="3" spans="1:7" s="28" customFormat="1" ht="24" x14ac:dyDescent="0.25">
      <c r="A3" s="23" t="s">
        <v>2</v>
      </c>
      <c r="B3" s="24" t="s">
        <v>3</v>
      </c>
      <c r="C3" s="25">
        <v>57</v>
      </c>
      <c r="D3" s="25">
        <v>3.5</v>
      </c>
      <c r="E3" s="26">
        <v>80</v>
      </c>
      <c r="F3" s="26">
        <v>386.7</v>
      </c>
      <c r="G3" s="27">
        <f>E3*F3</f>
        <v>30936</v>
      </c>
    </row>
    <row r="4" spans="1:7" s="28" customFormat="1" ht="24" x14ac:dyDescent="0.25">
      <c r="A4" s="29" t="s">
        <v>2</v>
      </c>
      <c r="B4" s="24" t="s">
        <v>3</v>
      </c>
      <c r="C4" s="30">
        <v>89</v>
      </c>
      <c r="D4" s="30">
        <v>4</v>
      </c>
      <c r="E4" s="31">
        <v>154</v>
      </c>
      <c r="F4" s="31">
        <v>669.6</v>
      </c>
      <c r="G4" s="27">
        <f t="shared" ref="G4:G6" si="0">E4*F4</f>
        <v>103118.40000000001</v>
      </c>
    </row>
    <row r="5" spans="1:7" s="28" customFormat="1" ht="24" x14ac:dyDescent="0.25">
      <c r="A5" s="29" t="s">
        <v>2</v>
      </c>
      <c r="B5" s="24" t="s">
        <v>3</v>
      </c>
      <c r="C5" s="30">
        <v>108</v>
      </c>
      <c r="D5" s="30">
        <v>4</v>
      </c>
      <c r="E5" s="31">
        <v>182</v>
      </c>
      <c r="F5" s="31">
        <v>831.7</v>
      </c>
      <c r="G5" s="27">
        <f t="shared" si="0"/>
        <v>151369.4</v>
      </c>
    </row>
    <row r="6" spans="1:7" s="28" customFormat="1" ht="24" x14ac:dyDescent="0.25">
      <c r="A6" s="29" t="s">
        <v>2</v>
      </c>
      <c r="B6" s="24" t="s">
        <v>3</v>
      </c>
      <c r="C6" s="30">
        <v>133</v>
      </c>
      <c r="D6" s="30">
        <v>4.5</v>
      </c>
      <c r="E6" s="31">
        <v>48</v>
      </c>
      <c r="F6" s="31">
        <v>1103.7</v>
      </c>
      <c r="G6" s="27">
        <f t="shared" si="0"/>
        <v>52977.600000000006</v>
      </c>
    </row>
    <row r="7" spans="1:7" x14ac:dyDescent="0.25">
      <c r="E7" s="32">
        <f>E3+E4+E5+E6</f>
        <v>464</v>
      </c>
      <c r="G7" s="20">
        <f xml:space="preserve"> SUM(G3:G6)</f>
        <v>338401.4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33AD-9689-4ED0-B6AB-E3977D05A104}">
  <dimension ref="A1:E15"/>
  <sheetViews>
    <sheetView workbookViewId="0">
      <selection activeCell="F25" sqref="F25"/>
    </sheetView>
  </sheetViews>
  <sheetFormatPr defaultRowHeight="15" x14ac:dyDescent="0.25"/>
  <cols>
    <col min="1" max="1" width="38.85546875" customWidth="1"/>
    <col min="2" max="2" width="15.42578125" customWidth="1"/>
    <col min="3" max="3" width="16.5703125" customWidth="1"/>
    <col min="4" max="4" width="12.28515625" customWidth="1"/>
    <col min="5" max="5" width="12.5703125" customWidth="1"/>
    <col min="8" max="8" width="9.140625" customWidth="1"/>
  </cols>
  <sheetData>
    <row r="1" spans="1:5" x14ac:dyDescent="0.25">
      <c r="A1" s="41" t="s">
        <v>31</v>
      </c>
      <c r="B1" s="43" t="s">
        <v>49</v>
      </c>
      <c r="C1" s="43"/>
      <c r="D1" s="43"/>
      <c r="E1" s="43"/>
    </row>
    <row r="2" spans="1:5" ht="29.25" x14ac:dyDescent="0.25">
      <c r="A2" s="42"/>
      <c r="B2" s="35" t="s">
        <v>45</v>
      </c>
      <c r="C2" s="37" t="s">
        <v>47</v>
      </c>
      <c r="D2" s="37" t="s">
        <v>48</v>
      </c>
      <c r="E2" s="37" t="s">
        <v>46</v>
      </c>
    </row>
    <row r="3" spans="1:5" x14ac:dyDescent="0.25">
      <c r="A3" s="33" t="s">
        <v>32</v>
      </c>
      <c r="B3" s="36">
        <f>B4+B8+B12</f>
        <v>95763.244999999995</v>
      </c>
      <c r="C3" s="36">
        <f>C4+C8+C12</f>
        <v>28764.27</v>
      </c>
      <c r="D3" s="36">
        <f>D4+D8+D12</f>
        <v>12171.86</v>
      </c>
      <c r="E3" s="38">
        <f>C3+D3</f>
        <v>40936.130000000005</v>
      </c>
    </row>
    <row r="4" spans="1:5" x14ac:dyDescent="0.25">
      <c r="A4" s="33" t="s">
        <v>33</v>
      </c>
      <c r="B4" s="36">
        <f>B5+B6+B7</f>
        <v>61894.344999999994</v>
      </c>
      <c r="C4" s="36">
        <f>C5+C6+C7</f>
        <v>21070.560000000001</v>
      </c>
      <c r="D4" s="36">
        <f>D5+D6+D7</f>
        <v>7541.88</v>
      </c>
      <c r="E4" s="38">
        <f t="shared" ref="E4:E15" si="0">C4+D4</f>
        <v>28612.440000000002</v>
      </c>
    </row>
    <row r="5" spans="1:5" x14ac:dyDescent="0.25">
      <c r="A5" s="34" t="s">
        <v>34</v>
      </c>
      <c r="B5" s="36">
        <v>40423.06</v>
      </c>
      <c r="C5" s="36">
        <v>13202.77</v>
      </c>
      <c r="D5" s="36">
        <v>3605</v>
      </c>
      <c r="E5" s="38">
        <f t="shared" si="0"/>
        <v>16807.77</v>
      </c>
    </row>
    <row r="6" spans="1:5" x14ac:dyDescent="0.25">
      <c r="A6" s="34" t="s">
        <v>35</v>
      </c>
      <c r="B6" s="36">
        <v>9008.7000000000007</v>
      </c>
      <c r="C6" s="36">
        <v>2316.44</v>
      </c>
      <c r="D6" s="36">
        <v>1345.71</v>
      </c>
      <c r="E6" s="38">
        <f t="shared" si="0"/>
        <v>3662.15</v>
      </c>
    </row>
    <row r="7" spans="1:5" x14ac:dyDescent="0.25">
      <c r="A7" s="34" t="s">
        <v>36</v>
      </c>
      <c r="B7" s="36">
        <v>12462.584999999999</v>
      </c>
      <c r="C7" s="36">
        <v>5551.35</v>
      </c>
      <c r="D7" s="36">
        <v>2591.17</v>
      </c>
      <c r="E7" s="38">
        <f t="shared" si="0"/>
        <v>8142.52</v>
      </c>
    </row>
    <row r="8" spans="1:5" x14ac:dyDescent="0.25">
      <c r="A8" s="33" t="s">
        <v>37</v>
      </c>
      <c r="B8" s="36">
        <f>B9+B10+B11</f>
        <v>6866.9699999999993</v>
      </c>
      <c r="C8" s="36">
        <f>C9+C10+C11</f>
        <v>2328.62</v>
      </c>
      <c r="D8" s="36">
        <f>D9+D10+D11</f>
        <v>665.46</v>
      </c>
      <c r="E8" s="38">
        <f t="shared" si="0"/>
        <v>2994.08</v>
      </c>
    </row>
    <row r="9" spans="1:5" x14ac:dyDescent="0.25">
      <c r="A9" s="34" t="s">
        <v>38</v>
      </c>
      <c r="B9" s="36">
        <v>4713.8999999999996</v>
      </c>
      <c r="C9" s="36">
        <v>1449.37</v>
      </c>
      <c r="D9" s="36">
        <v>388.8</v>
      </c>
      <c r="E9" s="38">
        <f t="shared" si="0"/>
        <v>1838.1699999999998</v>
      </c>
    </row>
    <row r="10" spans="1:5" x14ac:dyDescent="0.25">
      <c r="A10" s="34" t="s">
        <v>39</v>
      </c>
      <c r="B10" s="36">
        <v>1820.32</v>
      </c>
      <c r="C10" s="36">
        <v>853.35</v>
      </c>
      <c r="D10" s="36">
        <v>260.16000000000003</v>
      </c>
      <c r="E10" s="38">
        <f t="shared" si="0"/>
        <v>1113.51</v>
      </c>
    </row>
    <row r="11" spans="1:5" x14ac:dyDescent="0.25">
      <c r="A11" s="34" t="s">
        <v>40</v>
      </c>
      <c r="B11" s="36">
        <v>332.75</v>
      </c>
      <c r="C11" s="36">
        <v>25.9</v>
      </c>
      <c r="D11" s="36">
        <v>16.5</v>
      </c>
      <c r="E11" s="38">
        <f t="shared" si="0"/>
        <v>42.4</v>
      </c>
    </row>
    <row r="12" spans="1:5" x14ac:dyDescent="0.25">
      <c r="A12" s="33" t="s">
        <v>41</v>
      </c>
      <c r="B12" s="36">
        <v>27001.93</v>
      </c>
      <c r="C12" s="36">
        <v>5365.09</v>
      </c>
      <c r="D12" s="36">
        <v>3964.52</v>
      </c>
      <c r="E12" s="38">
        <f t="shared" si="0"/>
        <v>9329.61</v>
      </c>
    </row>
    <row r="13" spans="1:5" x14ac:dyDescent="0.25">
      <c r="A13" s="33" t="s">
        <v>42</v>
      </c>
      <c r="B13" s="36">
        <v>49699.72</v>
      </c>
      <c r="C13" s="36">
        <v>13185.32</v>
      </c>
      <c r="D13" s="36"/>
      <c r="E13" s="38">
        <f t="shared" si="0"/>
        <v>13185.32</v>
      </c>
    </row>
    <row r="14" spans="1:5" x14ac:dyDescent="0.25">
      <c r="A14" s="33" t="s">
        <v>43</v>
      </c>
      <c r="B14" s="36">
        <v>5054.4799999999996</v>
      </c>
      <c r="C14" s="36">
        <v>189.04</v>
      </c>
      <c r="D14" s="36"/>
      <c r="E14" s="38">
        <f t="shared" si="0"/>
        <v>189.04</v>
      </c>
    </row>
    <row r="15" spans="1:5" x14ac:dyDescent="0.25">
      <c r="A15" s="33" t="s">
        <v>44</v>
      </c>
      <c r="B15" s="36">
        <v>2655.71</v>
      </c>
      <c r="C15" s="36">
        <v>182.24</v>
      </c>
      <c r="D15" s="36">
        <v>25.14</v>
      </c>
      <c r="E15" s="38">
        <f t="shared" si="0"/>
        <v>207.38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расчет</vt:lpstr>
      <vt:lpstr>для Узловой от ЖКР</vt:lpstr>
      <vt:lpstr>табл для штаба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Канаева</dc:creator>
  <cp:lastModifiedBy>Екатерина Канаева</cp:lastModifiedBy>
  <cp:lastPrinted>2026-09-02T11:46:31Z</cp:lastPrinted>
  <dcterms:created xsi:type="dcterms:W3CDTF">2025-01-23T11:38:16Z</dcterms:created>
  <dcterms:modified xsi:type="dcterms:W3CDTF">2026-09-02T11:57:17Z</dcterms:modified>
</cp:coreProperties>
</file>