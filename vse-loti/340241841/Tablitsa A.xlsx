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. НОВИКОВ 2024\1. ЗАКУП Новиков\0. ПРОРАБОТКА 2026\Сидорова М\АШК\Конкурентный отбор\"/>
    </mc:Choice>
  </mc:AlternateContent>
  <xr:revisionPtr revIDLastSave="0" documentId="13_ncr:1_{191E13E4-2B18-4B1B-89AF-5BD22A5ADA38}" xr6:coauthVersionLast="36" xr6:coauthVersionMax="36" xr10:uidLastSave="{00000000-0000-0000-0000-000000000000}"/>
  <bookViews>
    <workbookView xWindow="0" yWindow="0" windowWidth="28800" windowHeight="12225" xr2:uid="{981E1FE8-40B5-482E-ACA0-A76C6972AD3B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M3" i="1"/>
  <c r="O3" i="1" s="1"/>
  <c r="N3" i="1" s="1"/>
  <c r="M4" i="1"/>
  <c r="O4" i="1" s="1"/>
  <c r="N4" i="1" s="1"/>
  <c r="M5" i="1"/>
  <c r="O5" i="1" s="1"/>
  <c r="N5" i="1" s="1"/>
  <c r="M6" i="1"/>
  <c r="O6" i="1" s="1"/>
  <c r="N6" i="1" s="1"/>
  <c r="M7" i="1"/>
  <c r="O7" i="1" s="1"/>
  <c r="N7" i="1" s="1"/>
  <c r="M8" i="1"/>
  <c r="O8" i="1" s="1"/>
  <c r="N8" i="1" s="1"/>
  <c r="M9" i="1"/>
  <c r="O9" i="1" s="1"/>
  <c r="N9" i="1" s="1"/>
  <c r="M10" i="1"/>
  <c r="O10" i="1" s="1"/>
  <c r="N10" i="1" s="1"/>
  <c r="M11" i="1"/>
  <c r="O11" i="1" s="1"/>
  <c r="N11" i="1" s="1"/>
  <c r="M12" i="1"/>
  <c r="O12" i="1" s="1"/>
  <c r="N12" i="1" s="1"/>
  <c r="M2" i="1" l="1"/>
  <c r="M13" i="1" s="1"/>
  <c r="O13" i="1" l="1"/>
  <c r="O2" i="1"/>
  <c r="N2" i="1" s="1"/>
  <c r="N13" i="1" s="1"/>
</calcChain>
</file>

<file path=xl/sharedStrings.xml><?xml version="1.0" encoding="utf-8"?>
<sst xmlns="http://schemas.openxmlformats.org/spreadsheetml/2006/main" count="116" uniqueCount="38">
  <si>
    <t>Краткое наименование МТР</t>
  </si>
  <si>
    <t>Тип, марка МТР</t>
  </si>
  <si>
    <t>Полные технические характеристики МТР (описание предмета потребности)</t>
  </si>
  <si>
    <t>Предприятие-изготовитель</t>
  </si>
  <si>
    <t>Страна происхождения</t>
  </si>
  <si>
    <t>Кол-во</t>
  </si>
  <si>
    <t>Ед. изм.</t>
  </si>
  <si>
    <t>п/п</t>
  </si>
  <si>
    <t>РФ</t>
  </si>
  <si>
    <t>Допустимость эквивалентов</t>
  </si>
  <si>
    <t>нет</t>
  </si>
  <si>
    <t>Валюта</t>
  </si>
  <si>
    <t>RUB</t>
  </si>
  <si>
    <t>Ставка НДС</t>
  </si>
  <si>
    <t>Цена без НДС</t>
  </si>
  <si>
    <t>Сумма без НДС</t>
  </si>
  <si>
    <t>Сумма НДС</t>
  </si>
  <si>
    <t>Сумма с НДС</t>
  </si>
  <si>
    <t>Заказчик/Место поставки</t>
  </si>
  <si>
    <t xml:space="preserve">Срок поставки с даты подписания спецификации </t>
  </si>
  <si>
    <t>Труба</t>
  </si>
  <si>
    <t>Труба 27*4  ст.12х18Н10Т</t>
  </si>
  <si>
    <t>Труба 34*4 Н/Ж</t>
  </si>
  <si>
    <t>Труба 76*5  12х18Н10Т</t>
  </si>
  <si>
    <t>Труба 89*5 н/ж AISI 321</t>
  </si>
  <si>
    <t>Труба Ду108-7 08х18н10т</t>
  </si>
  <si>
    <t>Труба Ду159-7 08х18н10т</t>
  </si>
  <si>
    <t>Труба 27*4  ст.12х18Н10Т ГОСТ 9941-2022</t>
  </si>
  <si>
    <t>Труба 34*4 Н/Ж ГОСТ 9941-2022</t>
  </si>
  <si>
    <t>Труба 76*5  12х18Н10Т ГОСТ 9941-2022</t>
  </si>
  <si>
    <t>Труба 89*5 н/ж AISI 321 ГОСТ 9941-2022</t>
  </si>
  <si>
    <t>Труба Ду108-7 08х18н10т ГОСТ 9941-2022</t>
  </si>
  <si>
    <t>60 календарных дней</t>
  </si>
  <si>
    <t>Алтайский край</t>
  </si>
  <si>
    <t>кг</t>
  </si>
  <si>
    <t>м</t>
  </si>
  <si>
    <t>шт</t>
  </si>
  <si>
    <t>Труба Ду159-7 08х18н10т ГОСТ 9941-2022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</si>
</sst>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1"/>
    </font>
    <font>
      <sz val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17" fontId="4" fillId="0" borderId="5" xfId="0" applyNumberFormat="1" applyFont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2" fontId="5" fillId="0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849B-7E6F-49EC-A7FD-5866F7C9DA88}">
  <sheetPr>
    <pageSetUpPr fitToPage="1"/>
  </sheetPr>
  <dimension ref="A1:Q13"/>
  <sheetViews>
    <sheetView tabSelected="1" topLeftCell="B1" workbookViewId="0">
      <selection activeCell="B15" sqref="B15"/>
    </sheetView>
  </sheetViews>
  <sheetFormatPr defaultRowHeight="15" x14ac:dyDescent="0.25"/>
  <cols>
    <col min="1" max="1" width="6.42578125" style="1" customWidth="1"/>
    <col min="2" max="2" width="16.7109375" style="1" customWidth="1"/>
    <col min="3" max="3" width="27.7109375" style="1" customWidth="1"/>
    <col min="4" max="4" width="36.28515625" style="1" customWidth="1"/>
    <col min="5" max="5" width="13.5703125" style="1" customWidth="1"/>
    <col min="6" max="6" width="13" style="1" customWidth="1"/>
    <col min="7" max="7" width="13.42578125" style="1" customWidth="1"/>
    <col min="8" max="8" width="10.5703125" style="19" customWidth="1"/>
    <col min="9" max="9" width="6.42578125" style="1" customWidth="1"/>
    <col min="10" max="10" width="7.7109375" style="1" customWidth="1"/>
    <col min="11" max="11" width="7.85546875" style="1" customWidth="1"/>
    <col min="12" max="12" width="9.140625" style="1"/>
    <col min="13" max="13" width="13" style="1" customWidth="1"/>
    <col min="14" max="14" width="11.85546875" style="1" customWidth="1"/>
    <col min="15" max="15" width="13.85546875" style="1" customWidth="1"/>
    <col min="16" max="16" width="19.7109375" style="1" customWidth="1"/>
    <col min="17" max="17" width="30.85546875" style="1" customWidth="1"/>
    <col min="18" max="16384" width="9.140625" style="1"/>
  </cols>
  <sheetData>
    <row r="1" spans="1:17" s="2" customFormat="1" ht="38.25" x14ac:dyDescent="0.25">
      <c r="A1" s="3" t="s">
        <v>7</v>
      </c>
      <c r="B1" s="3" t="s">
        <v>0</v>
      </c>
      <c r="C1" s="3" t="s">
        <v>1</v>
      </c>
      <c r="D1" s="3" t="s">
        <v>2</v>
      </c>
      <c r="E1" s="4" t="s">
        <v>3</v>
      </c>
      <c r="F1" s="9" t="s">
        <v>9</v>
      </c>
      <c r="G1" s="4" t="s">
        <v>4</v>
      </c>
      <c r="H1" s="18" t="s">
        <v>5</v>
      </c>
      <c r="I1" s="3" t="s">
        <v>6</v>
      </c>
      <c r="J1" s="3" t="s">
        <v>11</v>
      </c>
      <c r="K1" s="3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3" t="s">
        <v>19</v>
      </c>
      <c r="Q1" s="3" t="s">
        <v>18</v>
      </c>
    </row>
    <row r="2" spans="1:17" x14ac:dyDescent="0.25">
      <c r="A2" s="5">
        <v>1</v>
      </c>
      <c r="B2" s="5" t="s">
        <v>20</v>
      </c>
      <c r="C2" s="23" t="s">
        <v>21</v>
      </c>
      <c r="D2" s="23" t="s">
        <v>27</v>
      </c>
      <c r="E2" s="7"/>
      <c r="F2" s="8" t="s">
        <v>10</v>
      </c>
      <c r="G2" s="8" t="s">
        <v>8</v>
      </c>
      <c r="H2" s="24">
        <v>3150</v>
      </c>
      <c r="I2" s="17" t="s">
        <v>34</v>
      </c>
      <c r="J2" s="6" t="s">
        <v>12</v>
      </c>
      <c r="K2" s="10">
        <v>0.22</v>
      </c>
      <c r="L2" s="14">
        <v>689.67</v>
      </c>
      <c r="M2" s="14">
        <f>ROUND(L2*H2,2)</f>
        <v>2172460.5</v>
      </c>
      <c r="N2" s="14">
        <f>O2-M2</f>
        <v>477941.31000000006</v>
      </c>
      <c r="O2" s="14">
        <f>ROUND(M2*1.22,2)</f>
        <v>2650401.81</v>
      </c>
      <c r="P2" s="11" t="s">
        <v>32</v>
      </c>
      <c r="Q2" s="5" t="s">
        <v>33</v>
      </c>
    </row>
    <row r="3" spans="1:17" x14ac:dyDescent="0.25">
      <c r="A3" s="5">
        <v>2</v>
      </c>
      <c r="B3" s="5" t="s">
        <v>20</v>
      </c>
      <c r="C3" s="23" t="s">
        <v>21</v>
      </c>
      <c r="D3" s="23" t="s">
        <v>27</v>
      </c>
      <c r="E3" s="7"/>
      <c r="F3" s="8" t="s">
        <v>10</v>
      </c>
      <c r="G3" s="8" t="s">
        <v>8</v>
      </c>
      <c r="H3" s="24">
        <v>3150</v>
      </c>
      <c r="I3" s="17" t="s">
        <v>34</v>
      </c>
      <c r="J3" s="6" t="s">
        <v>12</v>
      </c>
      <c r="K3" s="10">
        <v>0.22</v>
      </c>
      <c r="L3" s="14">
        <v>689.67</v>
      </c>
      <c r="M3" s="14">
        <f t="shared" ref="M3:M12" si="0">ROUND(L3*H3,2)</f>
        <v>2172460.5</v>
      </c>
      <c r="N3" s="14">
        <f t="shared" ref="N3:N12" si="1">O3-M3</f>
        <v>477941.31000000006</v>
      </c>
      <c r="O3" s="14">
        <f t="shared" ref="O3:O12" si="2">ROUND(M3*1.22,2)</f>
        <v>2650401.81</v>
      </c>
      <c r="P3" s="11" t="s">
        <v>32</v>
      </c>
      <c r="Q3" s="5" t="s">
        <v>33</v>
      </c>
    </row>
    <row r="4" spans="1:17" x14ac:dyDescent="0.25">
      <c r="A4" s="5">
        <v>3</v>
      </c>
      <c r="B4" s="5" t="s">
        <v>20</v>
      </c>
      <c r="C4" s="23" t="s">
        <v>22</v>
      </c>
      <c r="D4" s="23" t="s">
        <v>28</v>
      </c>
      <c r="E4" s="5"/>
      <c r="F4" s="8" t="s">
        <v>10</v>
      </c>
      <c r="G4" s="8" t="s">
        <v>8</v>
      </c>
      <c r="H4" s="24">
        <v>4750</v>
      </c>
      <c r="I4" s="17" t="s">
        <v>34</v>
      </c>
      <c r="J4" s="6" t="s">
        <v>12</v>
      </c>
      <c r="K4" s="10">
        <v>0.22</v>
      </c>
      <c r="L4" s="14">
        <v>670.33</v>
      </c>
      <c r="M4" s="14">
        <f t="shared" si="0"/>
        <v>3184067.5</v>
      </c>
      <c r="N4" s="14">
        <f t="shared" si="1"/>
        <v>700494.85000000009</v>
      </c>
      <c r="O4" s="14">
        <f t="shared" si="2"/>
        <v>3884562.35</v>
      </c>
      <c r="P4" s="11" t="s">
        <v>32</v>
      </c>
      <c r="Q4" s="5" t="s">
        <v>33</v>
      </c>
    </row>
    <row r="5" spans="1:17" x14ac:dyDescent="0.25">
      <c r="A5" s="5">
        <v>4</v>
      </c>
      <c r="B5" s="5" t="s">
        <v>20</v>
      </c>
      <c r="C5" s="23" t="s">
        <v>22</v>
      </c>
      <c r="D5" s="23" t="s">
        <v>28</v>
      </c>
      <c r="E5" s="5"/>
      <c r="F5" s="8" t="s">
        <v>10</v>
      </c>
      <c r="G5" s="8" t="s">
        <v>8</v>
      </c>
      <c r="H5" s="24">
        <v>4750</v>
      </c>
      <c r="I5" s="17" t="s">
        <v>34</v>
      </c>
      <c r="J5" s="6" t="s">
        <v>12</v>
      </c>
      <c r="K5" s="10">
        <v>0.22</v>
      </c>
      <c r="L5" s="14">
        <v>670.33</v>
      </c>
      <c r="M5" s="14">
        <f t="shared" si="0"/>
        <v>3184067.5</v>
      </c>
      <c r="N5" s="14">
        <f t="shared" si="1"/>
        <v>700494.85000000009</v>
      </c>
      <c r="O5" s="14">
        <f t="shared" si="2"/>
        <v>3884562.35</v>
      </c>
      <c r="P5" s="11" t="s">
        <v>32</v>
      </c>
      <c r="Q5" s="5" t="s">
        <v>33</v>
      </c>
    </row>
    <row r="6" spans="1:17" ht="19.5" customHeight="1" x14ac:dyDescent="0.25">
      <c r="A6" s="5">
        <v>5</v>
      </c>
      <c r="B6" s="5" t="s">
        <v>20</v>
      </c>
      <c r="C6" s="23" t="s">
        <v>23</v>
      </c>
      <c r="D6" s="23" t="s">
        <v>29</v>
      </c>
      <c r="E6" s="5"/>
      <c r="F6" s="8" t="s">
        <v>10</v>
      </c>
      <c r="G6" s="8" t="s">
        <v>8</v>
      </c>
      <c r="H6" s="24">
        <v>120</v>
      </c>
      <c r="I6" s="17" t="s">
        <v>35</v>
      </c>
      <c r="J6" s="6" t="s">
        <v>12</v>
      </c>
      <c r="K6" s="10">
        <v>0.22</v>
      </c>
      <c r="L6" s="14">
        <v>5332.33</v>
      </c>
      <c r="M6" s="14">
        <f t="shared" si="0"/>
        <v>639879.6</v>
      </c>
      <c r="N6" s="14">
        <f t="shared" si="1"/>
        <v>140773.51</v>
      </c>
      <c r="O6" s="14">
        <f t="shared" si="2"/>
        <v>780653.11</v>
      </c>
      <c r="P6" s="11" t="s">
        <v>32</v>
      </c>
      <c r="Q6" s="5" t="s">
        <v>33</v>
      </c>
    </row>
    <row r="7" spans="1:17" ht="18.75" customHeight="1" x14ac:dyDescent="0.25">
      <c r="A7" s="5">
        <v>6</v>
      </c>
      <c r="B7" s="5" t="s">
        <v>20</v>
      </c>
      <c r="C7" s="23" t="s">
        <v>23</v>
      </c>
      <c r="D7" s="23" t="s">
        <v>29</v>
      </c>
      <c r="E7" s="5"/>
      <c r="F7" s="8" t="s">
        <v>10</v>
      </c>
      <c r="G7" s="8" t="s">
        <v>8</v>
      </c>
      <c r="H7" s="24">
        <v>120</v>
      </c>
      <c r="I7" s="17" t="s">
        <v>35</v>
      </c>
      <c r="J7" s="6" t="s">
        <v>12</v>
      </c>
      <c r="K7" s="10">
        <v>0.22</v>
      </c>
      <c r="L7" s="14">
        <v>5332.33</v>
      </c>
      <c r="M7" s="14">
        <f t="shared" si="0"/>
        <v>639879.6</v>
      </c>
      <c r="N7" s="14">
        <f t="shared" si="1"/>
        <v>140773.51</v>
      </c>
      <c r="O7" s="14">
        <f t="shared" si="2"/>
        <v>780653.11</v>
      </c>
      <c r="P7" s="11" t="s">
        <v>32</v>
      </c>
      <c r="Q7" s="5" t="s">
        <v>33</v>
      </c>
    </row>
    <row r="8" spans="1:17" ht="18.75" customHeight="1" x14ac:dyDescent="0.25">
      <c r="A8" s="5">
        <v>7</v>
      </c>
      <c r="B8" s="5" t="s">
        <v>20</v>
      </c>
      <c r="C8" s="23" t="s">
        <v>24</v>
      </c>
      <c r="D8" s="23" t="s">
        <v>30</v>
      </c>
      <c r="E8" s="5"/>
      <c r="F8" s="8" t="s">
        <v>10</v>
      </c>
      <c r="G8" s="8" t="s">
        <v>8</v>
      </c>
      <c r="H8" s="24">
        <v>1650</v>
      </c>
      <c r="I8" s="17" t="s">
        <v>34</v>
      </c>
      <c r="J8" s="6" t="s">
        <v>12</v>
      </c>
      <c r="K8" s="10">
        <v>0.22</v>
      </c>
      <c r="L8" s="14">
        <v>646.33000000000004</v>
      </c>
      <c r="M8" s="14">
        <f t="shared" si="0"/>
        <v>1066444.5</v>
      </c>
      <c r="N8" s="14">
        <f t="shared" si="1"/>
        <v>234617.79000000004</v>
      </c>
      <c r="O8" s="14">
        <f t="shared" si="2"/>
        <v>1301062.29</v>
      </c>
      <c r="P8" s="11" t="s">
        <v>32</v>
      </c>
      <c r="Q8" s="5" t="s">
        <v>33</v>
      </c>
    </row>
    <row r="9" spans="1:17" x14ac:dyDescent="0.25">
      <c r="A9" s="5">
        <v>8</v>
      </c>
      <c r="B9" s="5" t="s">
        <v>20</v>
      </c>
      <c r="C9" s="23" t="s">
        <v>24</v>
      </c>
      <c r="D9" s="23" t="s">
        <v>30</v>
      </c>
      <c r="E9" s="5"/>
      <c r="F9" s="8" t="s">
        <v>10</v>
      </c>
      <c r="G9" s="8" t="s">
        <v>8</v>
      </c>
      <c r="H9" s="24">
        <v>1650</v>
      </c>
      <c r="I9" s="17" t="s">
        <v>34</v>
      </c>
      <c r="J9" s="6" t="s">
        <v>12</v>
      </c>
      <c r="K9" s="10">
        <v>0.22</v>
      </c>
      <c r="L9" s="14">
        <v>646.33000000000004</v>
      </c>
      <c r="M9" s="14">
        <f t="shared" si="0"/>
        <v>1066444.5</v>
      </c>
      <c r="N9" s="14">
        <f t="shared" si="1"/>
        <v>234617.79000000004</v>
      </c>
      <c r="O9" s="14">
        <f t="shared" si="2"/>
        <v>1301062.29</v>
      </c>
      <c r="P9" s="11" t="s">
        <v>32</v>
      </c>
      <c r="Q9" s="5" t="s">
        <v>33</v>
      </c>
    </row>
    <row r="10" spans="1:17" x14ac:dyDescent="0.25">
      <c r="A10" s="5">
        <v>9</v>
      </c>
      <c r="B10" s="5" t="s">
        <v>20</v>
      </c>
      <c r="C10" s="23" t="s">
        <v>25</v>
      </c>
      <c r="D10" s="23" t="s">
        <v>31</v>
      </c>
      <c r="E10" s="5"/>
      <c r="F10" s="8" t="s">
        <v>10</v>
      </c>
      <c r="G10" s="8" t="s">
        <v>8</v>
      </c>
      <c r="H10" s="24">
        <v>25</v>
      </c>
      <c r="I10" s="17" t="s">
        <v>36</v>
      </c>
      <c r="J10" s="6" t="s">
        <v>12</v>
      </c>
      <c r="K10" s="10">
        <v>0.22</v>
      </c>
      <c r="L10" s="14">
        <v>644.5</v>
      </c>
      <c r="M10" s="14">
        <f t="shared" si="0"/>
        <v>16112.5</v>
      </c>
      <c r="N10" s="14">
        <f t="shared" si="1"/>
        <v>3544.75</v>
      </c>
      <c r="O10" s="14">
        <f t="shared" si="2"/>
        <v>19657.25</v>
      </c>
      <c r="P10" s="11" t="s">
        <v>32</v>
      </c>
      <c r="Q10" s="5" t="s">
        <v>33</v>
      </c>
    </row>
    <row r="11" spans="1:17" x14ac:dyDescent="0.25">
      <c r="A11" s="5">
        <v>10</v>
      </c>
      <c r="B11" s="5" t="s">
        <v>20</v>
      </c>
      <c r="C11" s="23" t="s">
        <v>26</v>
      </c>
      <c r="D11" s="23" t="s">
        <v>37</v>
      </c>
      <c r="E11" s="5"/>
      <c r="F11" s="8" t="s">
        <v>10</v>
      </c>
      <c r="G11" s="8" t="s">
        <v>8</v>
      </c>
      <c r="H11" s="24">
        <v>4800</v>
      </c>
      <c r="I11" s="17" t="s">
        <v>34</v>
      </c>
      <c r="J11" s="6" t="s">
        <v>12</v>
      </c>
      <c r="K11" s="10">
        <v>0.22</v>
      </c>
      <c r="L11" s="14">
        <v>660</v>
      </c>
      <c r="M11" s="14">
        <f t="shared" si="0"/>
        <v>3168000</v>
      </c>
      <c r="N11" s="14">
        <f t="shared" si="1"/>
        <v>696960</v>
      </c>
      <c r="O11" s="14">
        <f t="shared" si="2"/>
        <v>3864960</v>
      </c>
      <c r="P11" s="11" t="s">
        <v>32</v>
      </c>
      <c r="Q11" s="5" t="s">
        <v>33</v>
      </c>
    </row>
    <row r="12" spans="1:17" x14ac:dyDescent="0.25">
      <c r="A12" s="5">
        <v>11</v>
      </c>
      <c r="B12" s="5" t="s">
        <v>20</v>
      </c>
      <c r="C12" s="23" t="s">
        <v>26</v>
      </c>
      <c r="D12" s="23" t="s">
        <v>37</v>
      </c>
      <c r="E12" s="5"/>
      <c r="F12" s="8" t="s">
        <v>10</v>
      </c>
      <c r="G12" s="8" t="s">
        <v>8</v>
      </c>
      <c r="H12" s="24">
        <v>4800</v>
      </c>
      <c r="I12" s="17" t="s">
        <v>34</v>
      </c>
      <c r="J12" s="6" t="s">
        <v>12</v>
      </c>
      <c r="K12" s="10">
        <v>0.22</v>
      </c>
      <c r="L12" s="14">
        <v>660</v>
      </c>
      <c r="M12" s="14">
        <f t="shared" si="0"/>
        <v>3168000</v>
      </c>
      <c r="N12" s="14">
        <f t="shared" si="1"/>
        <v>696960</v>
      </c>
      <c r="O12" s="14">
        <f t="shared" si="2"/>
        <v>3864960</v>
      </c>
      <c r="P12" s="11" t="s">
        <v>32</v>
      </c>
      <c r="Q12" s="5" t="s">
        <v>33</v>
      </c>
    </row>
    <row r="13" spans="1:17" x14ac:dyDescent="0.25">
      <c r="A13" s="20"/>
      <c r="B13" s="21"/>
      <c r="C13" s="21"/>
      <c r="D13" s="21"/>
      <c r="E13" s="21"/>
      <c r="F13" s="21"/>
      <c r="G13" s="22"/>
      <c r="H13" s="25">
        <f>SUM(H2:H12)</f>
        <v>28965</v>
      </c>
      <c r="I13" s="13"/>
      <c r="J13" s="13"/>
      <c r="K13" s="13"/>
      <c r="L13" s="15"/>
      <c r="M13" s="16">
        <f>SUM(M2:M12)</f>
        <v>20477816.699999999</v>
      </c>
      <c r="N13" s="16">
        <f>SUM(N2:N12)</f>
        <v>4505119.67</v>
      </c>
      <c r="O13" s="16">
        <f t="shared" ref="O13" si="3">ROUND(M13*1.22,2)</f>
        <v>24982936.370000001</v>
      </c>
      <c r="P13" s="13"/>
    </row>
  </sheetData>
  <mergeCells count="1">
    <mergeCell ref="A13:G13"/>
  </mergeCells>
  <pageMargins left="0.7" right="0.7" top="0.75" bottom="0.75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Соколова Виктория Александровна</dc:creator>
  <cp:lastModifiedBy>Сидорова Мария Алексеевна</cp:lastModifiedBy>
  <cp:lastPrinted>2026-03-12T12:42:15Z</cp:lastPrinted>
  <dcterms:created xsi:type="dcterms:W3CDTF">2026-02-24T10:52:55Z</dcterms:created>
  <dcterms:modified xsi:type="dcterms:W3CDTF">2026-08-19T12:30:20Z</dcterms:modified>
</cp:coreProperties>
</file>