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deeva_ovl\Desktop\2026-2029\0Выполнено\08.05.10030 Модернизация напорных трубопроводов циркуляционной воды № 1 и 2\Стоимость\Сентябрь 2025\Ексель\"/>
    </mc:Choice>
  </mc:AlternateContent>
  <xr:revisionPtr revIDLastSave="0" documentId="13_ncr:1_{8FE70200-A0F0-479B-9BB9-3AFC23CD3D19}" xr6:coauthVersionLast="36" xr6:coauthVersionMax="36" xr10:uidLastSave="{00000000-0000-0000-0000-000000000000}"/>
  <bookViews>
    <workbookView xWindow="0" yWindow="0" windowWidth="28800" windowHeight="10425" xr2:uid="{00000000-000D-0000-FFFF-FFFF00000000}"/>
  </bookViews>
  <sheets>
    <sheet name="Циркводовода ресурс - Ведомость" sheetId="1" r:id="rId1"/>
  </sheets>
  <definedNames>
    <definedName name="_xlnm.Print_Titles" localSheetId="0">'Циркводовода ресурс - Ведомость'!$14:$14</definedName>
    <definedName name="_xlnm.Print_Area" localSheetId="0">'Циркводовода ресурс - Ведомость'!$A$1:$L$174</definedName>
  </definedNames>
  <calcPr calcId="191029"/>
</workbook>
</file>

<file path=xl/calcChain.xml><?xml version="1.0" encoding="utf-8"?>
<calcChain xmlns="http://schemas.openxmlformats.org/spreadsheetml/2006/main">
  <c r="M75" i="1" l="1"/>
  <c r="A168" i="1" l="1"/>
  <c r="A166" i="1"/>
  <c r="A164" i="1"/>
  <c r="A159" i="1"/>
  <c r="A158" i="1"/>
  <c r="A153" i="1"/>
  <c r="A151" i="1"/>
  <c r="A150" i="1"/>
  <c r="A149" i="1"/>
  <c r="A147" i="1"/>
  <c r="A146" i="1"/>
  <c r="A144" i="1"/>
  <c r="A143" i="1"/>
  <c r="A142" i="1"/>
  <c r="A137" i="1"/>
  <c r="A136" i="1"/>
  <c r="A135" i="1"/>
  <c r="A134" i="1"/>
  <c r="A133" i="1"/>
  <c r="A128" i="1"/>
  <c r="A127" i="1"/>
  <c r="A125" i="1"/>
  <c r="A124" i="1"/>
  <c r="A119" i="1"/>
  <c r="A118" i="1"/>
  <c r="A113" i="1"/>
  <c r="A112" i="1"/>
  <c r="A107" i="1"/>
  <c r="A105" i="1"/>
  <c r="A104" i="1"/>
  <c r="A103" i="1"/>
  <c r="A102" i="1"/>
  <c r="A100" i="1"/>
  <c r="A99" i="1"/>
  <c r="A92" i="1"/>
  <c r="A91" i="1"/>
  <c r="A89" i="1"/>
  <c r="A88" i="1"/>
  <c r="A87" i="1"/>
  <c r="A86" i="1"/>
  <c r="A85" i="1"/>
  <c r="A84" i="1"/>
  <c r="A80" i="1"/>
  <c r="A78" i="1"/>
  <c r="A77" i="1"/>
  <c r="A76" i="1"/>
  <c r="A75" i="1"/>
  <c r="A74" i="1"/>
  <c r="A73" i="1"/>
  <c r="A71" i="1"/>
  <c r="A70" i="1"/>
  <c r="A69" i="1"/>
  <c r="A68" i="1"/>
  <c r="A67" i="1"/>
  <c r="A60" i="1"/>
  <c r="A59" i="1"/>
  <c r="A58" i="1"/>
  <c r="A57" i="1"/>
  <c r="A56" i="1"/>
  <c r="A55" i="1"/>
  <c r="A54" i="1"/>
  <c r="A38" i="1"/>
  <c r="A37" i="1"/>
  <c r="A36" i="1"/>
  <c r="A35" i="1"/>
  <c r="A34" i="1"/>
  <c r="A31" i="1"/>
  <c r="A30" i="1"/>
  <c r="A28" i="1"/>
  <c r="A27" i="1"/>
  <c r="A26" i="1"/>
  <c r="A25" i="1"/>
  <c r="A24" i="1"/>
  <c r="A23" i="1"/>
  <c r="A22" i="1"/>
  <c r="A21" i="1"/>
  <c r="A20" i="1"/>
  <c r="A19" i="1"/>
  <c r="A18" i="1"/>
  <c r="A17" i="1"/>
</calcChain>
</file>

<file path=xl/sharedStrings.xml><?xml version="1.0" encoding="utf-8"?>
<sst xmlns="http://schemas.openxmlformats.org/spreadsheetml/2006/main" count="514" uniqueCount="222">
  <si>
    <t>Ведомость объёмов работ</t>
  </si>
  <si>
    <t>№ п/п</t>
  </si>
  <si>
    <t>№ в ЛСР</t>
  </si>
  <si>
    <t>Наименование работ</t>
  </si>
  <si>
    <t>Ед.
изм.</t>
  </si>
  <si>
    <t>Кол-во</t>
  </si>
  <si>
    <t>Ссылки на чертежи</t>
  </si>
  <si>
    <t>Раздел 1. Новый раздел</t>
  </si>
  <si>
    <t>Земляные работы, устройство колодцев</t>
  </si>
  <si>
    <t>1</t>
  </si>
  <si>
    <t>Разборка покрытий и оснований: цементно-бетонных</t>
  </si>
  <si>
    <t xml:space="preserve">1 </t>
  </si>
  <si>
    <t>53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</si>
  <si>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</si>
  <si>
    <t>т</t>
  </si>
  <si>
    <t xml:space="preserve"> </t>
  </si>
  <si>
    <t>3</t>
  </si>
  <si>
    <t>Погрузка в автотранспортное средство: бетоны и растворы</t>
  </si>
  <si>
    <t>4</t>
  </si>
  <si>
    <t>Разработка грунта в траншеях экскаватором «обратная лопата» с ковшом вместимостью 0,5 (0,5-0,63) м3, в отвал группа грунтов: 2</t>
  </si>
  <si>
    <t>5</t>
  </si>
  <si>
    <t>Разработка грунта вручную в траншеях глубиной до 2 м без креплений с откосами, группа грунтов: 2</t>
  </si>
  <si>
    <t>6</t>
  </si>
  <si>
    <t>Устройство основания под трубопроводы: песчаного</t>
  </si>
  <si>
    <t>93</t>
  </si>
  <si>
    <t>Песок природный для строительных работ I класс, мелкий</t>
  </si>
  <si>
    <t>м3</t>
  </si>
  <si>
    <t>8</t>
  </si>
  <si>
    <t>Засыпка траншей и котлованов с перемещением грунта до 5 м бульдозерами мощностью: 59 кВт (80 л.с.), группа грунтов 1</t>
  </si>
  <si>
    <t>7</t>
  </si>
  <si>
    <t>11</t>
  </si>
  <si>
    <t>Планировка площадей бульдозерами мощностью: 59 кВт (80л.с.)</t>
  </si>
  <si>
    <t>12</t>
  </si>
  <si>
    <t>Уплотнение грунта пневматическими трамбовками, группа грунтов: 1-2</t>
  </si>
  <si>
    <t>13</t>
  </si>
  <si>
    <t>Устройство бетонной подготовки</t>
  </si>
  <si>
    <t>Вода</t>
  </si>
  <si>
    <t>Пленка полиэтиленовая, толщина 0,15 мм</t>
  </si>
  <si>
    <t>м2</t>
  </si>
  <si>
    <t>9</t>
  </si>
  <si>
    <t>Смеси бетонные тяжелого бетона (БСТ), класс В15 (М200)</t>
  </si>
  <si>
    <t>15</t>
  </si>
  <si>
    <t>Разборка монолитных железобетонных конструкций гидромолотом на базе экскаватора</t>
  </si>
  <si>
    <t>Ацетилен газообразный технический</t>
  </si>
  <si>
    <t>Кислород газообразный технический</t>
  </si>
  <si>
    <t>16</t>
  </si>
  <si>
    <t>17</t>
  </si>
  <si>
    <t>Устройство водопроводных бетонных колодцев с монолитными стенами и покрытием из сборного железобетона: круглых в мокрых грунтах //Демонтаж</t>
  </si>
  <si>
    <t>Мастика битумная кровельная горячая МБКГ-55, МБКГ-65, МБКГ-75, МБКГ-85</t>
  </si>
  <si>
    <t>Топливо дизельное</t>
  </si>
  <si>
    <t>Каболка</t>
  </si>
  <si>
    <t>Гвозди строительные</t>
  </si>
  <si>
    <t>Известь строительная негашеная комовая, сорт I</t>
  </si>
  <si>
    <t>Смеси бетонные тяжелого бетона (БСТ), класс В7,5 (М100)</t>
  </si>
  <si>
    <t>Смеси асфальтобетонные плотные мелкозернистые, тип Б, марка I</t>
  </si>
  <si>
    <t>Раствор хризотилцементный</t>
  </si>
  <si>
    <t>Раствор готовый кладочный, цементный, М50</t>
  </si>
  <si>
    <t>Проволока светлая, диаметр 1,1 мм</t>
  </si>
  <si>
    <t>Сталь арматурная горячекатаная периодического профиля, класс A-III, диаметр 12 мм</t>
  </si>
  <si>
    <t>Лесоматериалы круглые хвойных пород неокоренные, длина 3-6,5 м, диаметр 14-24 см, сорт II-III</t>
  </si>
  <si>
    <t>Бруски обрезные хвойных пород (ель, сосна), естественной влажности, длина 2-6,5 м, ширина 20-90 мм, толщина 20-90 мм, сорт III</t>
  </si>
  <si>
    <t>Доска обрезная хвойных пород, естественной влажности, длина 2-6,5 м, ширина 100-250 мм, толщина 44-50 мм, сорт III</t>
  </si>
  <si>
    <t>18</t>
  </si>
  <si>
    <t>Устройство подстилающих и выравнивающих слоев оснований: из песка</t>
  </si>
  <si>
    <t>10</t>
  </si>
  <si>
    <t>20</t>
  </si>
  <si>
    <t>Устройство водопроводных бетонных колодцев с монолитными стенами и покрытием из сборного железобетона: круглых в мокрых грунтах</t>
  </si>
  <si>
    <t>79</t>
  </si>
  <si>
    <t>Кольцо стеновое КС 15-9  (D=1,5м / H=0,9м)</t>
  </si>
  <si>
    <t>шт</t>
  </si>
  <si>
    <t>2</t>
  </si>
  <si>
    <t>Крышка колодца ПП 15-1  (D=1,7м)</t>
  </si>
  <si>
    <t>21</t>
  </si>
  <si>
    <t>люк полимерный средний тип «С»  (нагрузка 7 тонн)</t>
  </si>
  <si>
    <t>22</t>
  </si>
  <si>
    <t>днище колодца ПН 15-1  ( D=1,7М. )</t>
  </si>
  <si>
    <t>25</t>
  </si>
  <si>
    <t>26</t>
  </si>
  <si>
    <t>27</t>
  </si>
  <si>
    <t>Устройство камер со стенками: из монолитного бетона</t>
  </si>
  <si>
    <t>Битум нефтяной строительный кровельный БНК-90/30</t>
  </si>
  <si>
    <t>Электроды сварочные для сварки низколегированных и углеродистых сталей АНО-6, Э42, диаметр 6 мм</t>
  </si>
  <si>
    <t>Доска обрезная хвойных пород, естественной влажности, длина 2-6,5 м, ширина 100-250 мм, толщина 25 мм, сорт III</t>
  </si>
  <si>
    <t>30</t>
  </si>
  <si>
    <t>Люк чугунный круглый легкий, номинальная нагрузка 15 кН, диаметр лаза 600 мм</t>
  </si>
  <si>
    <t>14</t>
  </si>
  <si>
    <t>19</t>
  </si>
  <si>
    <t>Сталь арматурная горячекатаная периодического профиля, класс A-III, диаметр 20-22 мм</t>
  </si>
  <si>
    <t>28</t>
  </si>
  <si>
    <t>Сталь арматурная горячекатаная периодического профиля, класс A-II, диаметр 10 мм</t>
  </si>
  <si>
    <t>32</t>
  </si>
  <si>
    <t>Устройство плит перекрытий каналов площадью: свыше 1 до 5 м2</t>
  </si>
  <si>
    <t>71</t>
  </si>
  <si>
    <t>Плиты перекрытия многопустотные ПБ30-12-8 /бетон B30, объем 0,45 м3, расход арматуры 8,95 кг/</t>
  </si>
  <si>
    <t>34</t>
  </si>
  <si>
    <t>29</t>
  </si>
  <si>
    <t>кг</t>
  </si>
  <si>
    <t>Электроды сварочные для сварки низколегированных и углеродистых сталей УОНИ 13/45, Э42А, диаметр 4-5 мм</t>
  </si>
  <si>
    <t>40</t>
  </si>
  <si>
    <t>Очистка поверхности щетками</t>
  </si>
  <si>
    <t>41</t>
  </si>
  <si>
    <t>Обеспыливание поверхности</t>
  </si>
  <si>
    <t>42</t>
  </si>
  <si>
    <t>Огрунтовка металлических поверхностей за один раз: грунтовкой ГФ-021</t>
  </si>
  <si>
    <t>Грунтовка ГФ-021</t>
  </si>
  <si>
    <t>43</t>
  </si>
  <si>
    <t>Окраска металлических огрунтованных поверхностей: эмалью ХВ-125</t>
  </si>
  <si>
    <t>Эмаль ХВ-125, цветная</t>
  </si>
  <si>
    <t>Растворитель Р-4</t>
  </si>
  <si>
    <t>Проволока горячекатаная в мотках, диаметр 6,3-6,5 мм</t>
  </si>
  <si>
    <t>Благоустройство</t>
  </si>
  <si>
    <t>45</t>
  </si>
  <si>
    <t>46</t>
  </si>
  <si>
    <t>47</t>
  </si>
  <si>
    <t>Устройство подстилающих и выравнивающих слоев оснований: из песчано-гравийной смеси, дресвы</t>
  </si>
  <si>
    <t>35</t>
  </si>
  <si>
    <t>Смесь песчано-гравийная природная</t>
  </si>
  <si>
    <t>49</t>
  </si>
  <si>
    <t>52</t>
  </si>
  <si>
    <t>37</t>
  </si>
  <si>
    <t>54</t>
  </si>
  <si>
    <t>Устройство фундаментных плит железобетонных: плоских</t>
  </si>
  <si>
    <t>50</t>
  </si>
  <si>
    <t>Смеси бетонные тяжелого бетона (БСТ), класс В25 (М350)</t>
  </si>
  <si>
    <t>48</t>
  </si>
  <si>
    <t>Прокат арматурный для железобетонных конструкций, класс A500C, диаметр 10 мм</t>
  </si>
  <si>
    <t>Демонтаж участков напорного циркуляционного водовода</t>
  </si>
  <si>
    <t>58</t>
  </si>
  <si>
    <t>Лист паронитовый марки ПМБ (ПОН-А, ПОН-Б), толщина от 0,4 до 5 мм</t>
  </si>
  <si>
    <t>Электроды сварочные для сварки низколегированных и углеродистых сталей Э55, диаметр 4 мм</t>
  </si>
  <si>
    <t>59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</si>
  <si>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1020 мм</t>
  </si>
  <si>
    <t>60</t>
  </si>
  <si>
    <t>61</t>
  </si>
  <si>
    <t>Монтаж участков напорного циркуляционного водовода</t>
  </si>
  <si>
    <t>62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</si>
  <si>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1420 мм
прим</t>
  </si>
  <si>
    <t>39</t>
  </si>
  <si>
    <t>Труба электросварная Диам.: 1820 мм, ГОСТ 10706-76</t>
  </si>
  <si>
    <t>64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</si>
  <si>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325 мм</t>
  </si>
  <si>
    <t>63</t>
  </si>
  <si>
    <t>Труба электросварная Диам.: 325 мм, ГОСТ 10706-76</t>
  </si>
  <si>
    <t>66</t>
  </si>
  <si>
    <t>65</t>
  </si>
  <si>
    <t>Труба электросварная Диам.: 1020 мм, ГОСТ 10706-76</t>
  </si>
  <si>
    <t>68</t>
  </si>
  <si>
    <t>Арматура фланцевая с электрическим приводом на номинальное давление до 4 МПа, номинальный диаметр: 1000 мм</t>
  </si>
  <si>
    <t>Прокладки резиновые (пластина техническая прессованная)</t>
  </si>
  <si>
    <t>67</t>
  </si>
  <si>
    <t>Задвижка  30ч930бр Dу=1000, Ру10  с электроприводом Н-Г-06(Г-07)У2</t>
  </si>
  <si>
    <t>70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</si>
  <si>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219 мм</t>
  </si>
  <si>
    <t>69</t>
  </si>
  <si>
    <t>Труба электросварная Диам.: 219*4 мм, ГОСТ 10706-76</t>
  </si>
  <si>
    <t>73</t>
  </si>
  <si>
    <t>Отвод 90 219х3</t>
  </si>
  <si>
    <t>75</t>
  </si>
  <si>
    <t>Тройник нержавеющий 219,0х3,0 матовый</t>
  </si>
  <si>
    <t>82</t>
  </si>
  <si>
    <t>Фланец 1000-16-11-1</t>
  </si>
  <si>
    <t>78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</si>
  <si>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89 мм</t>
  </si>
  <si>
    <t>76</t>
  </si>
  <si>
    <t>Труба электросварная Диам.: 89*4 мм, ГОСТ 10706-76</t>
  </si>
  <si>
    <t>77</t>
  </si>
  <si>
    <t>Фланец 80-16-11-1</t>
  </si>
  <si>
    <t>81</t>
  </si>
  <si>
    <t>Арматура фланцевая с электрическим приводом на номинальное давление до 4 МПа, номинальный диаметр: 200 мм</t>
  </si>
  <si>
    <t>84</t>
  </si>
  <si>
    <t>Задвижка клиновая 30нж41нж DN.ru Ду200 Ру16 фланцевая</t>
  </si>
  <si>
    <t>83</t>
  </si>
  <si>
    <t>Арматура фланцевая с электрическим приводом на номинальное давление до 4 МПа, номинальный диаметр: 80 мм</t>
  </si>
  <si>
    <t>86</t>
  </si>
  <si>
    <t>Задвижка30с41нж Ду 80 мм</t>
  </si>
  <si>
    <t>85</t>
  </si>
  <si>
    <t>Монтаж свободно-подвижных опор при прокладке изолированных трубопроводов надземным способом номинальным диаметром: 700-800</t>
  </si>
  <si>
    <t>74</t>
  </si>
  <si>
    <t>Опора неподвижная бугельная Дн 1020</t>
  </si>
  <si>
    <t>Дренажные насосы</t>
  </si>
  <si>
    <t>87</t>
  </si>
  <si>
    <t>Установка насосов центробежных с электродвигателем, масса агрегата: до 0,1 т</t>
  </si>
  <si>
    <t>Болты стальные с шестигранной головкой, в комплекте с шестигранной гайкой и плоской круглой шайбой, диаметр резьбы М12, длина болта 16-160 мм</t>
  </si>
  <si>
    <t>51</t>
  </si>
  <si>
    <t>Насос дренажной воды типа ГНОМ 100-25</t>
  </si>
  <si>
    <t>89</t>
  </si>
  <si>
    <t>Установка насосов центробежных с электродвигателем, масса агрегата: до 0,3 т</t>
  </si>
  <si>
    <t>56</t>
  </si>
  <si>
    <t>Насос циркуляционной вертикальный ONIS INL 150-200-17-15/4(380В)</t>
  </si>
  <si>
    <t>АКЗ</t>
  </si>
  <si>
    <t>91</t>
  </si>
  <si>
    <t>92</t>
  </si>
  <si>
    <t>Окраска металлических огрунтованных поверхностей: эмалью ПФ-115</t>
  </si>
  <si>
    <t>Эмаль ПФ-115</t>
  </si>
  <si>
    <t>Уайт-спирит</t>
  </si>
  <si>
    <t>Заказчик</t>
  </si>
  <si>
    <t>Марка, ГОСТ, ТУ, изготовитель</t>
  </si>
  <si>
    <t>Подрядчик</t>
  </si>
  <si>
    <t>Ед.изм.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</si>
  <si>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1420 мм //1800 мм // Демонтаж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</si>
  <si>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1020 мм // Демонтаж</t>
  </si>
  <si>
    <t>Трубопровод из стальных труб с фланцами и сварными стыками на номинальное давление не более 10 МПа, из готовых узлов в каналах и траншеях, диаметр труб наружный: 630 мм //Демонтаж</t>
  </si>
  <si>
    <t>Арматура приварная с ручным приводом или без привода водопроводная на номинальное давление до 4 МПа, номинальный диаметр: 1000 мм // Демонтаж</t>
  </si>
  <si>
    <t>Модернизация напорных трубопроводов циркуляционной воды №1 и 2 Уфимская ТЭЦ-4 ООО "БГК"</t>
  </si>
  <si>
    <t>Утилизация</t>
  </si>
  <si>
    <t>Утилизация/ вывоз на полигон</t>
  </si>
  <si>
    <t>Утилизация/негативное воздействие 4класс</t>
  </si>
  <si>
    <t>тн</t>
  </si>
  <si>
    <t>м</t>
  </si>
  <si>
    <t>Ед. изм.</t>
  </si>
  <si>
    <t>Устройство стяжек: бетонных толщиной 100 мм</t>
  </si>
  <si>
    <t>УТВЕРЖДАЮ:</t>
  </si>
  <si>
    <t>Директор Уфимской ТЭЦ-4 ООО "БГК"</t>
  </si>
  <si>
    <t>________________________</t>
  </si>
  <si>
    <t>А.П. Пономарев</t>
  </si>
  <si>
    <t>"______"_____________2025г.</t>
  </si>
  <si>
    <t xml:space="preserve">Начальник ПТО Уфимской ТЭЦ-4                                               </t>
  </si>
  <si>
    <t>Галеев Р.З.</t>
  </si>
  <si>
    <t xml:space="preserve">Начальник ОППР Уфимской ТЭЦ-4                                    </t>
  </si>
  <si>
    <t>Хайруллин А.Т.</t>
  </si>
  <si>
    <t xml:space="preserve">Начальник ТЦ Уфимской ТЭЦ-4 </t>
  </si>
  <si>
    <t>Савельев Д.В.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</si>
</sst>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16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14"/>
      <color rgb="FF000000"/>
      <name val="Arial"/>
      <charset val="204"/>
    </font>
    <font>
      <b/>
      <sz val="9"/>
      <color rgb="FF000000"/>
      <name val="Arial"/>
      <charset val="204"/>
    </font>
    <font>
      <b/>
      <sz val="8"/>
      <color rgb="FF000000"/>
      <name val="Arial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12"/>
      <color rgb="FF000000"/>
      <name val="Times New Roman"/>
      <family val="1"/>
      <charset val="204"/>
    </font>
    <font>
      <u/>
      <sz val="12"/>
      <color rgb="FF000000"/>
      <name val="Times New Roman"/>
      <family val="1"/>
      <charset val="204"/>
    </font>
    <font>
      <b/>
      <u/>
      <sz val="14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sz val="8"/>
      <color rgb="FFFFFFFF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7" fillId="0" borderId="0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1" xfId="0" applyNumberFormat="1" applyFont="1" applyFill="1" applyBorder="1" applyAlignment="1" applyProtection="1">
      <alignment horizontal="center" vertical="top"/>
    </xf>
    <xf numFmtId="49" fontId="10" fillId="0" borderId="1" xfId="0" applyNumberFormat="1" applyFont="1" applyFill="1" applyBorder="1" applyAlignment="1" applyProtection="1">
      <alignment horizontal="center" vertical="top" wrapText="1"/>
    </xf>
    <xf numFmtId="0" fontId="10" fillId="0" borderId="1" xfId="0" applyNumberFormat="1" applyFont="1" applyFill="1" applyBorder="1" applyAlignment="1" applyProtection="1">
      <alignment horizontal="left" vertical="top" wrapText="1"/>
    </xf>
    <xf numFmtId="0" fontId="10" fillId="0" borderId="1" xfId="0" applyNumberFormat="1" applyFont="1" applyFill="1" applyBorder="1" applyAlignment="1" applyProtection="1">
      <alignment horizontal="center" vertical="top" wrapText="1"/>
    </xf>
    <xf numFmtId="2" fontId="10" fillId="0" borderId="1" xfId="0" applyNumberFormat="1" applyFont="1" applyFill="1" applyBorder="1" applyAlignment="1" applyProtection="1">
      <alignment horizontal="right" vertical="top" wrapText="1"/>
    </xf>
    <xf numFmtId="0" fontId="10" fillId="0" borderId="1" xfId="0" applyNumberFormat="1" applyFont="1" applyFill="1" applyBorder="1" applyAlignment="1" applyProtection="1">
      <alignment horizontal="right" vertical="top" wrapText="1"/>
    </xf>
    <xf numFmtId="0" fontId="10" fillId="0" borderId="1" xfId="0" applyFont="1" applyBorder="1"/>
    <xf numFmtId="0" fontId="10" fillId="0" borderId="0" xfId="0" applyNumberFormat="1" applyFont="1" applyFill="1" applyBorder="1" applyAlignment="1" applyProtection="1"/>
    <xf numFmtId="0" fontId="10" fillId="0" borderId="0" xfId="0" applyFont="1"/>
    <xf numFmtId="0" fontId="11" fillId="0" borderId="0" xfId="0" applyNumberFormat="1" applyFont="1" applyFill="1" applyBorder="1" applyAlignment="1" applyProtection="1">
      <alignment wrapText="1"/>
    </xf>
    <xf numFmtId="164" fontId="10" fillId="0" borderId="1" xfId="0" applyNumberFormat="1" applyFont="1" applyFill="1" applyBorder="1" applyAlignment="1" applyProtection="1">
      <alignment horizontal="right" vertical="top" wrapText="1"/>
    </xf>
    <xf numFmtId="1" fontId="10" fillId="0" borderId="1" xfId="0" applyNumberFormat="1" applyFont="1" applyFill="1" applyBorder="1" applyAlignment="1" applyProtection="1">
      <alignment horizontal="right" vertical="top" wrapText="1"/>
    </xf>
    <xf numFmtId="165" fontId="10" fillId="0" borderId="1" xfId="0" applyNumberFormat="1" applyFont="1" applyFill="1" applyBorder="1" applyAlignment="1" applyProtection="1">
      <alignment horizontal="right" vertical="top" wrapText="1"/>
    </xf>
    <xf numFmtId="49" fontId="10" fillId="0" borderId="1" xfId="0" applyNumberFormat="1" applyFont="1" applyFill="1" applyBorder="1" applyAlignment="1" applyProtection="1">
      <alignment horizontal="right" vertical="top" wrapText="1"/>
    </xf>
    <xf numFmtId="49" fontId="10" fillId="0" borderId="1" xfId="0" applyNumberFormat="1" applyFont="1" applyFill="1" applyBorder="1" applyAlignment="1" applyProtection="1">
      <alignment vertical="top" wrapText="1"/>
    </xf>
    <xf numFmtId="166" fontId="10" fillId="0" borderId="1" xfId="0" applyNumberFormat="1" applyFont="1" applyFill="1" applyBorder="1" applyAlignment="1" applyProtection="1">
      <alignment horizontal="right" vertical="top" wrapText="1"/>
    </xf>
    <xf numFmtId="167" fontId="10" fillId="0" borderId="1" xfId="0" applyNumberFormat="1" applyFont="1" applyFill="1" applyBorder="1" applyAlignment="1" applyProtection="1">
      <alignment horizontal="right" vertical="top" wrapText="1"/>
    </xf>
    <xf numFmtId="168" fontId="10" fillId="0" borderId="1" xfId="0" applyNumberFormat="1" applyFont="1" applyFill="1" applyBorder="1" applyAlignment="1" applyProtection="1">
      <alignment horizontal="right" vertical="top" wrapText="1"/>
    </xf>
    <xf numFmtId="169" fontId="10" fillId="0" borderId="1" xfId="0" applyNumberFormat="1" applyFont="1" applyFill="1" applyBorder="1" applyAlignment="1" applyProtection="1">
      <alignment horizontal="right" vertical="top" wrapText="1"/>
    </xf>
    <xf numFmtId="0" fontId="6" fillId="0" borderId="0" xfId="0" applyFont="1" applyFill="1" applyAlignment="1">
      <alignment horizontal="right"/>
    </xf>
    <xf numFmtId="2" fontId="10" fillId="0" borderId="1" xfId="0" applyNumberFormat="1" applyFont="1" applyFill="1" applyBorder="1" applyAlignment="1" applyProtection="1">
      <alignment horizontal="center" vertical="top" wrapText="1"/>
    </xf>
    <xf numFmtId="167" fontId="10" fillId="0" borderId="1" xfId="0" applyNumberFormat="1" applyFont="1" applyFill="1" applyBorder="1" applyAlignment="1" applyProtection="1">
      <alignment horizontal="center" vertical="top" wrapText="1"/>
    </xf>
    <xf numFmtId="164" fontId="10" fillId="0" borderId="1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1" fontId="10" fillId="0" borderId="1" xfId="0" applyNumberFormat="1" applyFont="1" applyFill="1" applyBorder="1" applyAlignment="1" applyProtection="1">
      <alignment horizontal="center" vertical="top" wrapText="1"/>
    </xf>
    <xf numFmtId="165" fontId="10" fillId="0" borderId="1" xfId="0" applyNumberFormat="1" applyFont="1" applyFill="1" applyBorder="1" applyAlignment="1" applyProtection="1">
      <alignment horizontal="center" vertical="top" wrapText="1"/>
    </xf>
    <xf numFmtId="166" fontId="10" fillId="0" borderId="1" xfId="0" applyNumberFormat="1" applyFont="1" applyFill="1" applyBorder="1" applyAlignment="1" applyProtection="1">
      <alignment horizontal="center" vertical="top" wrapText="1"/>
    </xf>
    <xf numFmtId="168" fontId="10" fillId="0" borderId="1" xfId="0" applyNumberFormat="1" applyFont="1" applyFill="1" applyBorder="1" applyAlignment="1" applyProtection="1">
      <alignment horizontal="center" vertical="top" wrapText="1"/>
    </xf>
    <xf numFmtId="169" fontId="10" fillId="0" borderId="1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center" vertical="top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0" fontId="10" fillId="0" borderId="4" xfId="0" applyNumberFormat="1" applyFont="1" applyFill="1" applyBorder="1" applyAlignment="1" applyProtection="1">
      <alignment horizontal="center" vertical="top"/>
    </xf>
    <xf numFmtId="49" fontId="10" fillId="0" borderId="4" xfId="0" applyNumberFormat="1" applyFont="1" applyFill="1" applyBorder="1" applyAlignment="1" applyProtection="1">
      <alignment horizontal="right" vertical="top" wrapText="1"/>
    </xf>
    <xf numFmtId="49" fontId="10" fillId="0" borderId="4" xfId="0" applyNumberFormat="1" applyFont="1" applyFill="1" applyBorder="1" applyAlignment="1" applyProtection="1">
      <alignment vertical="top" wrapText="1"/>
    </xf>
    <xf numFmtId="49" fontId="10" fillId="0" borderId="4" xfId="0" applyNumberFormat="1" applyFont="1" applyFill="1" applyBorder="1" applyAlignment="1" applyProtection="1">
      <alignment horizontal="center" vertical="top" wrapText="1"/>
    </xf>
    <xf numFmtId="167" fontId="10" fillId="0" borderId="4" xfId="0" applyNumberFormat="1" applyFont="1" applyFill="1" applyBorder="1" applyAlignment="1" applyProtection="1">
      <alignment horizontal="center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165" fontId="10" fillId="0" borderId="4" xfId="0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center" vertical="top"/>
    </xf>
    <xf numFmtId="49" fontId="10" fillId="0" borderId="5" xfId="0" applyNumberFormat="1" applyFont="1" applyFill="1" applyBorder="1" applyAlignment="1" applyProtection="1">
      <alignment horizontal="right" vertical="top" wrapText="1"/>
    </xf>
    <xf numFmtId="49" fontId="10" fillId="0" borderId="5" xfId="0" applyNumberFormat="1" applyFont="1" applyFill="1" applyBorder="1" applyAlignment="1" applyProtection="1">
      <alignment vertical="top" wrapText="1"/>
    </xf>
    <xf numFmtId="49" fontId="10" fillId="0" borderId="5" xfId="0" applyNumberFormat="1" applyFont="1" applyFill="1" applyBorder="1" applyAlignment="1" applyProtection="1">
      <alignment horizontal="center" vertical="top" wrapText="1"/>
    </xf>
    <xf numFmtId="2" fontId="10" fillId="0" borderId="5" xfId="0" applyNumberFormat="1" applyFont="1" applyFill="1" applyBorder="1" applyAlignment="1" applyProtection="1">
      <alignment horizontal="center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167" fontId="10" fillId="0" borderId="5" xfId="0" applyNumberFormat="1" applyFont="1" applyFill="1" applyBorder="1" applyAlignment="1" applyProtection="1">
      <alignment horizontal="right" vertical="top" wrapText="1"/>
    </xf>
    <xf numFmtId="49" fontId="10" fillId="0" borderId="6" xfId="0" applyNumberFormat="1" applyFont="1" applyFill="1" applyBorder="1" applyAlignment="1" applyProtection="1">
      <alignment vertical="top" wrapText="1"/>
    </xf>
    <xf numFmtId="49" fontId="10" fillId="0" borderId="6" xfId="0" applyNumberFormat="1" applyFont="1" applyFill="1" applyBorder="1" applyAlignment="1" applyProtection="1">
      <alignment horizontal="center" vertical="top" wrapText="1"/>
    </xf>
    <xf numFmtId="167" fontId="10" fillId="0" borderId="6" xfId="0" applyNumberFormat="1" applyFont="1" applyFill="1" applyBorder="1" applyAlignment="1" applyProtection="1">
      <alignment horizontal="center" vertical="top" wrapText="1"/>
    </xf>
    <xf numFmtId="0" fontId="10" fillId="0" borderId="6" xfId="0" applyNumberFormat="1" applyFont="1" applyFill="1" applyBorder="1" applyAlignment="1" applyProtection="1">
      <alignment horizontal="left" vertical="top" wrapText="1"/>
    </xf>
    <xf numFmtId="167" fontId="10" fillId="0" borderId="3" xfId="0" applyNumberFormat="1" applyFont="1" applyFill="1" applyBorder="1" applyAlignment="1" applyProtection="1">
      <alignment horizontal="right" vertical="top" wrapText="1"/>
    </xf>
    <xf numFmtId="49" fontId="10" fillId="0" borderId="6" xfId="0" applyNumberFormat="1" applyFont="1" applyFill="1" applyBorder="1" applyAlignment="1" applyProtection="1">
      <alignment vertical="top"/>
    </xf>
    <xf numFmtId="49" fontId="11" fillId="0" borderId="6" xfId="0" applyNumberFormat="1" applyFont="1" applyFill="1" applyBorder="1" applyAlignment="1" applyProtection="1">
      <alignment vertical="top"/>
    </xf>
    <xf numFmtId="0" fontId="12" fillId="0" borderId="0" xfId="0" applyNumberFormat="1" applyFont="1" applyFill="1" applyBorder="1" applyAlignment="1" applyProtection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NumberFormat="1" applyFont="1" applyFill="1" applyBorder="1" applyAlignment="1" applyProtection="1"/>
    <xf numFmtId="49" fontId="7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/>
    <xf numFmtId="0" fontId="15" fillId="0" borderId="0" xfId="0" applyFont="1"/>
    <xf numFmtId="0" fontId="7" fillId="0" borderId="0" xfId="0" applyFont="1"/>
    <xf numFmtId="0" fontId="11" fillId="0" borderId="1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I177"/>
  <sheetViews>
    <sheetView tabSelected="1" topLeftCell="A158" workbookViewId="0">
      <selection activeCell="C87" sqref="C87"/>
    </sheetView>
  </sheetViews>
  <sheetFormatPr defaultColWidth="9.140625" defaultRowHeight="11.25" customHeight="1" x14ac:dyDescent="0.2"/>
  <cols>
    <col min="1" max="1" width="5.5703125" style="1" customWidth="1"/>
    <col min="2" max="2" width="5.5703125" style="2" customWidth="1"/>
    <col min="3" max="3" width="44.42578125" style="2" customWidth="1"/>
    <col min="4" max="4" width="8.5703125" style="2" customWidth="1"/>
    <col min="5" max="5" width="10.28515625" style="54" customWidth="1"/>
    <col min="6" max="6" width="10.85546875" style="2" customWidth="1"/>
    <col min="7" max="8" width="12.5703125" style="2" customWidth="1"/>
    <col min="9" max="9" width="8.42578125" style="2" customWidth="1"/>
    <col min="10" max="10" width="12.5703125" style="2" customWidth="1"/>
    <col min="11" max="11" width="19.28515625" style="2" customWidth="1"/>
    <col min="12" max="12" width="9.7109375" style="2" customWidth="1"/>
    <col min="13" max="13" width="11.140625" style="2" customWidth="1"/>
    <col min="14" max="14" width="4.7109375" style="2" hidden="1" customWidth="1"/>
    <col min="15" max="20" width="9.140625" style="2"/>
    <col min="21" max="22" width="135.28515625" style="3" hidden="1" customWidth="1"/>
    <col min="23" max="24" width="55.140625" style="3" hidden="1" customWidth="1"/>
    <col min="25" max="28" width="69" style="3" hidden="1" customWidth="1"/>
    <col min="29" max="30" width="55.140625" style="3" hidden="1" customWidth="1"/>
    <col min="31" max="34" width="69" style="3" hidden="1" customWidth="1"/>
    <col min="35" max="16384" width="9.140625" style="2"/>
  </cols>
  <sheetData>
    <row r="1" spans="1:243" s="16" customFormat="1" ht="24" customHeight="1" x14ac:dyDescent="0.25">
      <c r="H1" s="79"/>
      <c r="I1" s="79"/>
      <c r="J1" s="80"/>
      <c r="K1" s="80"/>
      <c r="L1" s="81" t="s">
        <v>211</v>
      </c>
      <c r="M1" s="80"/>
      <c r="N1" s="80"/>
      <c r="O1" s="81"/>
      <c r="Q1" s="82"/>
      <c r="R1" s="82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</row>
    <row r="2" spans="1:243" s="16" customFormat="1" ht="24.75" customHeight="1" x14ac:dyDescent="0.25">
      <c r="H2" s="79"/>
      <c r="I2" s="79"/>
      <c r="J2" s="80"/>
      <c r="K2" s="80"/>
      <c r="L2" s="81" t="s">
        <v>212</v>
      </c>
      <c r="M2" s="80"/>
      <c r="N2" s="80"/>
      <c r="O2" s="81"/>
      <c r="Q2" s="82"/>
      <c r="R2" s="82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</row>
    <row r="3" spans="1:243" s="16" customFormat="1" ht="10.5" customHeight="1" x14ac:dyDescent="0.25">
      <c r="H3" s="79"/>
      <c r="I3" s="79"/>
      <c r="J3" s="80"/>
      <c r="K3" s="80"/>
      <c r="L3" s="80"/>
      <c r="M3" s="80"/>
      <c r="N3" s="80"/>
      <c r="O3" s="80"/>
      <c r="Q3" s="82"/>
      <c r="R3" s="82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</row>
    <row r="4" spans="1:243" s="16" customFormat="1" ht="18.75" customHeight="1" x14ac:dyDescent="0.25">
      <c r="H4" s="79"/>
      <c r="I4" s="79"/>
      <c r="J4" s="80" t="s">
        <v>213</v>
      </c>
      <c r="K4" s="80"/>
      <c r="L4" s="81" t="s">
        <v>214</v>
      </c>
      <c r="M4" s="80"/>
      <c r="N4" s="80"/>
      <c r="O4" s="81"/>
      <c r="Q4" s="82"/>
      <c r="R4" s="82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</row>
    <row r="5" spans="1:243" s="16" customFormat="1" ht="16.5" customHeight="1" x14ac:dyDescent="0.25">
      <c r="H5" s="79"/>
      <c r="I5" s="79"/>
      <c r="J5" s="80"/>
      <c r="K5" s="80"/>
      <c r="L5" s="81" t="s">
        <v>215</v>
      </c>
      <c r="M5" s="80"/>
      <c r="N5" s="80"/>
      <c r="O5" s="81"/>
      <c r="Q5" s="82"/>
      <c r="R5" s="82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</row>
    <row r="6" spans="1:243" s="16" customFormat="1" ht="11.25" customHeight="1" x14ac:dyDescent="0.2">
      <c r="A6" s="15"/>
      <c r="J6" s="44"/>
      <c r="K6" s="44"/>
      <c r="L6" s="44"/>
      <c r="M6" s="44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9" spans="1:243" customFormat="1" ht="18" customHeight="1" x14ac:dyDescent="0.25">
      <c r="A9" s="88" t="s">
        <v>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243" customFormat="1" ht="18" customHeight="1" x14ac:dyDescent="0.25">
      <c r="A10" s="4"/>
      <c r="B10" s="4"/>
      <c r="C10" s="22"/>
      <c r="D10" s="23" t="s">
        <v>203</v>
      </c>
      <c r="E10" s="24"/>
      <c r="F10" s="24"/>
      <c r="G10" s="24"/>
      <c r="H10" s="24"/>
      <c r="I10" s="24"/>
      <c r="J10" s="24"/>
      <c r="K10" s="24"/>
      <c r="L10" s="4"/>
    </row>
    <row r="11" spans="1:243" customFormat="1" ht="18" customHeight="1" x14ac:dyDescent="0.25">
      <c r="A11" s="4"/>
      <c r="B11" s="4"/>
      <c r="C11" s="4"/>
      <c r="D11" s="4"/>
      <c r="E11" s="14"/>
      <c r="F11" s="4"/>
      <c r="G11" s="4"/>
      <c r="H11" s="4"/>
      <c r="I11" s="4"/>
      <c r="J11" s="4"/>
      <c r="K11" s="4"/>
      <c r="L11" s="4"/>
    </row>
    <row r="12" spans="1:243" customFormat="1" ht="11.25" customHeight="1" x14ac:dyDescent="0.25">
      <c r="A12" s="5"/>
      <c r="E12" s="48"/>
    </row>
    <row r="13" spans="1:243" customFormat="1" ht="36" customHeight="1" x14ac:dyDescent="0.25">
      <c r="A13" s="6" t="s">
        <v>1</v>
      </c>
      <c r="B13" s="7" t="s">
        <v>2</v>
      </c>
      <c r="C13" s="7" t="s">
        <v>3</v>
      </c>
      <c r="D13" s="57" t="s">
        <v>4</v>
      </c>
      <c r="E13" s="57" t="s">
        <v>5</v>
      </c>
      <c r="F13" s="57" t="s">
        <v>6</v>
      </c>
      <c r="G13" s="18" t="s">
        <v>195</v>
      </c>
      <c r="H13" s="19" t="s">
        <v>196</v>
      </c>
      <c r="I13" s="18" t="s">
        <v>209</v>
      </c>
      <c r="J13" s="18" t="s">
        <v>5</v>
      </c>
      <c r="K13" s="18" t="s">
        <v>197</v>
      </c>
      <c r="L13" s="55" t="s">
        <v>198</v>
      </c>
      <c r="M13" s="56" t="s">
        <v>5</v>
      </c>
    </row>
    <row r="14" spans="1:243" customFormat="1" ht="15" x14ac:dyDescent="0.25">
      <c r="A14" s="8">
        <v>1</v>
      </c>
      <c r="B14" s="9">
        <v>2</v>
      </c>
      <c r="C14" s="9">
        <v>3</v>
      </c>
      <c r="D14" s="9">
        <v>4</v>
      </c>
      <c r="E14" s="9">
        <v>5</v>
      </c>
      <c r="F14" s="9">
        <v>6</v>
      </c>
      <c r="G14" s="10">
        <v>7</v>
      </c>
      <c r="H14" s="10">
        <v>8</v>
      </c>
      <c r="I14" s="10">
        <v>9</v>
      </c>
      <c r="J14" s="10">
        <v>10</v>
      </c>
      <c r="K14" s="9">
        <v>11</v>
      </c>
      <c r="L14" s="11">
        <v>12</v>
      </c>
      <c r="M14" s="20">
        <v>13</v>
      </c>
    </row>
    <row r="15" spans="1:243" customFormat="1" ht="15" x14ac:dyDescent="0.25">
      <c r="A15" s="89" t="s">
        <v>7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21"/>
      <c r="U15" s="12" t="s">
        <v>7</v>
      </c>
    </row>
    <row r="16" spans="1:243" customFormat="1" ht="15" x14ac:dyDescent="0.25">
      <c r="A16" s="90" t="s">
        <v>8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21"/>
      <c r="U16" s="12"/>
      <c r="V16" s="13" t="s">
        <v>8</v>
      </c>
    </row>
    <row r="17" spans="1:22" s="33" customFormat="1" ht="25.5" x14ac:dyDescent="0.2">
      <c r="A17" s="25">
        <f>IF(N17&lt;&gt;"",COUNTA(N$1:N17),"")</f>
        <v>1</v>
      </c>
      <c r="B17" s="26" t="s">
        <v>9</v>
      </c>
      <c r="C17" s="27" t="s">
        <v>10</v>
      </c>
      <c r="D17" s="28" t="s">
        <v>26</v>
      </c>
      <c r="E17" s="45">
        <v>12</v>
      </c>
      <c r="F17" s="27"/>
      <c r="G17" s="27"/>
      <c r="H17" s="27"/>
      <c r="I17" s="27"/>
      <c r="J17" s="27"/>
      <c r="K17" s="30"/>
      <c r="L17" s="27"/>
      <c r="M17" s="31"/>
      <c r="N17" s="32" t="s">
        <v>11</v>
      </c>
      <c r="U17" s="34"/>
      <c r="V17" s="34"/>
    </row>
    <row r="18" spans="1:22" s="33" customFormat="1" ht="89.25" x14ac:dyDescent="0.2">
      <c r="A18" s="25">
        <f>IF(N18&lt;&gt;"",COUNTA(N$1:N18),"")</f>
        <v>2</v>
      </c>
      <c r="B18" s="26" t="s">
        <v>12</v>
      </c>
      <c r="C18" s="27" t="s">
        <v>13</v>
      </c>
      <c r="D18" s="28" t="s">
        <v>14</v>
      </c>
      <c r="E18" s="47">
        <v>20.399999999999999</v>
      </c>
      <c r="F18" s="27"/>
      <c r="G18" s="27"/>
      <c r="H18" s="27"/>
      <c r="I18" s="27"/>
      <c r="J18" s="27"/>
      <c r="K18" s="30"/>
      <c r="L18" s="27"/>
      <c r="M18" s="31"/>
      <c r="N18" s="32" t="s">
        <v>11</v>
      </c>
      <c r="U18" s="34"/>
      <c r="V18" s="34"/>
    </row>
    <row r="19" spans="1:22" s="33" customFormat="1" ht="25.5" x14ac:dyDescent="0.2">
      <c r="A19" s="25">
        <f>IF(N19&lt;&gt;"",COUNTA(N$1:N19),"")</f>
        <v>3</v>
      </c>
      <c r="B19" s="26" t="s">
        <v>16</v>
      </c>
      <c r="C19" s="27" t="s">
        <v>17</v>
      </c>
      <c r="D19" s="28" t="s">
        <v>14</v>
      </c>
      <c r="E19" s="47">
        <v>20.399999999999999</v>
      </c>
      <c r="F19" s="27"/>
      <c r="G19" s="27"/>
      <c r="H19" s="27"/>
      <c r="I19" s="27"/>
      <c r="J19" s="27"/>
      <c r="K19" s="30"/>
      <c r="L19" s="27"/>
      <c r="M19" s="31"/>
      <c r="N19" s="32" t="s">
        <v>11</v>
      </c>
      <c r="U19" s="34"/>
      <c r="V19" s="34"/>
    </row>
    <row r="20" spans="1:22" s="33" customFormat="1" ht="38.25" x14ac:dyDescent="0.2">
      <c r="A20" s="25">
        <f>IF(N20&lt;&gt;"",COUNTA(N$1:N20),"")</f>
        <v>4</v>
      </c>
      <c r="B20" s="26" t="s">
        <v>18</v>
      </c>
      <c r="C20" s="27" t="s">
        <v>19</v>
      </c>
      <c r="D20" s="28" t="s">
        <v>26</v>
      </c>
      <c r="E20" s="45">
        <v>250</v>
      </c>
      <c r="F20" s="27"/>
      <c r="G20" s="27"/>
      <c r="H20" s="27"/>
      <c r="I20" s="27"/>
      <c r="J20" s="27"/>
      <c r="K20" s="30"/>
      <c r="L20" s="27"/>
      <c r="M20" s="31"/>
      <c r="N20" s="32" t="s">
        <v>11</v>
      </c>
      <c r="U20" s="34"/>
      <c r="V20" s="34"/>
    </row>
    <row r="21" spans="1:22" s="33" customFormat="1" ht="25.5" x14ac:dyDescent="0.2">
      <c r="A21" s="25">
        <f>IF(N21&lt;&gt;"",COUNTA(N$1:N21),"")</f>
        <v>5</v>
      </c>
      <c r="B21" s="26" t="s">
        <v>20</v>
      </c>
      <c r="C21" s="27" t="s">
        <v>21</v>
      </c>
      <c r="D21" s="28" t="s">
        <v>26</v>
      </c>
      <c r="E21" s="45">
        <v>6</v>
      </c>
      <c r="F21" s="27"/>
      <c r="G21" s="27"/>
      <c r="H21" s="27"/>
      <c r="I21" s="27"/>
      <c r="J21" s="27"/>
      <c r="K21" s="30"/>
      <c r="L21" s="27"/>
      <c r="M21" s="31"/>
      <c r="N21" s="32" t="s">
        <v>11</v>
      </c>
      <c r="U21" s="34"/>
      <c r="V21" s="34"/>
    </row>
    <row r="22" spans="1:22" s="33" customFormat="1" ht="25.5" x14ac:dyDescent="0.2">
      <c r="A22" s="25">
        <f>IF(N22&lt;&gt;"",COUNTA(N$1:N22),"")</f>
        <v>6</v>
      </c>
      <c r="B22" s="26" t="s">
        <v>22</v>
      </c>
      <c r="C22" s="27" t="s">
        <v>23</v>
      </c>
      <c r="D22" s="28" t="s">
        <v>38</v>
      </c>
      <c r="E22" s="47">
        <v>6</v>
      </c>
      <c r="F22" s="27"/>
      <c r="G22" s="27"/>
      <c r="H22" s="27"/>
      <c r="I22" s="27"/>
      <c r="J22" s="27"/>
      <c r="K22" s="30"/>
      <c r="L22" s="27"/>
      <c r="M22" s="31"/>
      <c r="N22" s="32" t="s">
        <v>11</v>
      </c>
      <c r="U22" s="34"/>
      <c r="V22" s="34"/>
    </row>
    <row r="23" spans="1:22" s="33" customFormat="1" ht="38.25" x14ac:dyDescent="0.2">
      <c r="A23" s="25">
        <f>IF(N23&lt;&gt;"",COUNTA(N$1:N23),"")</f>
        <v>7</v>
      </c>
      <c r="B23" s="26" t="s">
        <v>24</v>
      </c>
      <c r="C23" s="27"/>
      <c r="D23" s="28"/>
      <c r="E23" s="47"/>
      <c r="F23" s="27"/>
      <c r="G23" s="27"/>
      <c r="H23" s="27"/>
      <c r="I23" s="27"/>
      <c r="J23" s="27"/>
      <c r="K23" s="27" t="s">
        <v>25</v>
      </c>
      <c r="L23" s="28" t="s">
        <v>26</v>
      </c>
      <c r="M23" s="35">
        <v>6.6</v>
      </c>
      <c r="N23" s="32" t="s">
        <v>11</v>
      </c>
      <c r="U23" s="34"/>
      <c r="V23" s="34"/>
    </row>
    <row r="24" spans="1:22" s="33" customFormat="1" ht="38.25" x14ac:dyDescent="0.2">
      <c r="A24" s="25">
        <f>IF(N24&lt;&gt;"",COUNTA(N$1:N24),"")</f>
        <v>8</v>
      </c>
      <c r="B24" s="26" t="s">
        <v>27</v>
      </c>
      <c r="C24" s="27" t="s">
        <v>28</v>
      </c>
      <c r="D24" s="28" t="s">
        <v>26</v>
      </c>
      <c r="E24" s="45">
        <v>250</v>
      </c>
      <c r="F24" s="27"/>
      <c r="G24" s="27"/>
      <c r="H24" s="27"/>
      <c r="I24" s="27"/>
      <c r="J24" s="27"/>
      <c r="K24" s="30"/>
      <c r="L24" s="27"/>
      <c r="M24" s="31"/>
      <c r="N24" s="32" t="s">
        <v>11</v>
      </c>
      <c r="U24" s="34"/>
      <c r="V24" s="34"/>
    </row>
    <row r="25" spans="1:22" s="33" customFormat="1" ht="38.25" x14ac:dyDescent="0.2">
      <c r="A25" s="25">
        <f>IF(N25&lt;&gt;"",COUNTA(N$1:N25),"")</f>
        <v>9</v>
      </c>
      <c r="B25" s="26" t="s">
        <v>29</v>
      </c>
      <c r="C25" s="27"/>
      <c r="D25" s="28"/>
      <c r="E25" s="49"/>
      <c r="F25" s="27"/>
      <c r="G25" s="27"/>
      <c r="H25" s="27"/>
      <c r="I25" s="27"/>
      <c r="J25" s="27"/>
      <c r="K25" s="27" t="s">
        <v>25</v>
      </c>
      <c r="L25" s="28" t="s">
        <v>26</v>
      </c>
      <c r="M25" s="36">
        <v>275</v>
      </c>
      <c r="N25" s="32" t="s">
        <v>11</v>
      </c>
      <c r="U25" s="34"/>
      <c r="V25" s="34"/>
    </row>
    <row r="26" spans="1:22" s="33" customFormat="1" ht="25.5" x14ac:dyDescent="0.2">
      <c r="A26" s="25">
        <f>IF(N26&lt;&gt;"",COUNTA(N$1:N26),"")</f>
        <v>10</v>
      </c>
      <c r="B26" s="26" t="s">
        <v>30</v>
      </c>
      <c r="C26" s="27" t="s">
        <v>31</v>
      </c>
      <c r="D26" s="28" t="s">
        <v>38</v>
      </c>
      <c r="E26" s="50">
        <v>105</v>
      </c>
      <c r="F26" s="27"/>
      <c r="G26" s="27"/>
      <c r="H26" s="27"/>
      <c r="I26" s="27"/>
      <c r="J26" s="27"/>
      <c r="K26" s="30"/>
      <c r="L26" s="27"/>
      <c r="M26" s="31"/>
      <c r="N26" s="32" t="s">
        <v>11</v>
      </c>
      <c r="U26" s="34"/>
      <c r="V26" s="34"/>
    </row>
    <row r="27" spans="1:22" s="33" customFormat="1" ht="25.5" x14ac:dyDescent="0.2">
      <c r="A27" s="25">
        <f>IF(N27&lt;&gt;"",COUNTA(N$1:N27),"")</f>
        <v>11</v>
      </c>
      <c r="B27" s="26" t="s">
        <v>32</v>
      </c>
      <c r="C27" s="27" t="s">
        <v>33</v>
      </c>
      <c r="D27" s="28" t="s">
        <v>26</v>
      </c>
      <c r="E27" s="47">
        <v>250</v>
      </c>
      <c r="F27" s="27"/>
      <c r="G27" s="27"/>
      <c r="H27" s="27"/>
      <c r="I27" s="27"/>
      <c r="J27" s="27"/>
      <c r="K27" s="30"/>
      <c r="L27" s="27"/>
      <c r="M27" s="31"/>
      <c r="N27" s="32" t="s">
        <v>11</v>
      </c>
      <c r="U27" s="34"/>
      <c r="V27" s="34"/>
    </row>
    <row r="28" spans="1:22" s="33" customFormat="1" ht="12.75" x14ac:dyDescent="0.2">
      <c r="A28" s="25">
        <f>IF(N28&lt;&gt;"",COUNTA(N$1:N28),"")</f>
        <v>12</v>
      </c>
      <c r="B28" s="26" t="s">
        <v>34</v>
      </c>
      <c r="C28" s="27" t="s">
        <v>35</v>
      </c>
      <c r="D28" s="28" t="s">
        <v>26</v>
      </c>
      <c r="E28" s="50">
        <v>20.399999999999999</v>
      </c>
      <c r="F28" s="27"/>
      <c r="G28" s="27"/>
      <c r="H28" s="27"/>
      <c r="I28" s="27"/>
      <c r="J28" s="27"/>
      <c r="K28" s="30"/>
      <c r="L28" s="27"/>
      <c r="M28" s="31"/>
      <c r="N28" s="32" t="s">
        <v>11</v>
      </c>
      <c r="U28" s="34"/>
      <c r="V28" s="34"/>
    </row>
    <row r="29" spans="1:22" s="33" customFormat="1" ht="38.25" x14ac:dyDescent="0.2">
      <c r="A29" s="25"/>
      <c r="B29" s="38"/>
      <c r="C29" s="39"/>
      <c r="D29" s="26"/>
      <c r="E29" s="49"/>
      <c r="F29" s="27"/>
      <c r="G29" s="27"/>
      <c r="H29" s="27"/>
      <c r="I29" s="27"/>
      <c r="J29" s="27"/>
      <c r="K29" s="39" t="s">
        <v>37</v>
      </c>
      <c r="L29" s="26" t="s">
        <v>38</v>
      </c>
      <c r="M29" s="36">
        <v>51</v>
      </c>
      <c r="U29" s="34"/>
      <c r="V29" s="34"/>
    </row>
    <row r="30" spans="1:22" s="33" customFormat="1" ht="51" x14ac:dyDescent="0.2">
      <c r="A30" s="25">
        <f>IF(N30&lt;&gt;"",COUNTA(N$1:N30),"")</f>
        <v>13</v>
      </c>
      <c r="B30" s="26" t="s">
        <v>39</v>
      </c>
      <c r="C30" s="27"/>
      <c r="D30" s="28"/>
      <c r="E30" s="50"/>
      <c r="F30" s="27"/>
      <c r="G30" s="27"/>
      <c r="H30" s="27"/>
      <c r="I30" s="27"/>
      <c r="J30" s="27"/>
      <c r="K30" s="27" t="s">
        <v>40</v>
      </c>
      <c r="L30" s="28" t="s">
        <v>26</v>
      </c>
      <c r="M30" s="37">
        <v>20.808</v>
      </c>
      <c r="N30" s="32" t="s">
        <v>11</v>
      </c>
      <c r="U30" s="34"/>
      <c r="V30" s="34"/>
    </row>
    <row r="31" spans="1:22" s="33" customFormat="1" ht="25.5" x14ac:dyDescent="0.2">
      <c r="A31" s="25">
        <f>IF(N31&lt;&gt;"",COUNTA(N$1:N31),"")</f>
        <v>14</v>
      </c>
      <c r="B31" s="26" t="s">
        <v>41</v>
      </c>
      <c r="C31" s="27" t="s">
        <v>42</v>
      </c>
      <c r="D31" s="28" t="s">
        <v>26</v>
      </c>
      <c r="E31" s="45">
        <v>54.34</v>
      </c>
      <c r="F31" s="27"/>
      <c r="G31" s="27"/>
      <c r="H31" s="27"/>
      <c r="I31" s="27"/>
      <c r="J31" s="27"/>
      <c r="K31" s="30"/>
      <c r="L31" s="27" t="s">
        <v>15</v>
      </c>
      <c r="M31" s="31"/>
      <c r="N31" s="32" t="s">
        <v>11</v>
      </c>
      <c r="U31" s="34"/>
      <c r="V31" s="34"/>
    </row>
    <row r="32" spans="1:22" s="33" customFormat="1" ht="38.25" x14ac:dyDescent="0.2">
      <c r="A32" s="25"/>
      <c r="B32" s="38"/>
      <c r="C32" s="39"/>
      <c r="D32" s="26"/>
      <c r="E32" s="51"/>
      <c r="F32" s="27"/>
      <c r="G32" s="27"/>
      <c r="H32" s="27"/>
      <c r="I32" s="27"/>
      <c r="J32" s="27"/>
      <c r="K32" s="39" t="s">
        <v>43</v>
      </c>
      <c r="L32" s="26" t="s">
        <v>26</v>
      </c>
      <c r="M32" s="40">
        <v>16.845400000000001</v>
      </c>
      <c r="U32" s="34"/>
      <c r="V32" s="34"/>
    </row>
    <row r="33" spans="1:22" s="33" customFormat="1" ht="38.25" x14ac:dyDescent="0.2">
      <c r="A33" s="25"/>
      <c r="B33" s="38"/>
      <c r="C33" s="39"/>
      <c r="D33" s="26"/>
      <c r="E33" s="51"/>
      <c r="F33" s="27"/>
      <c r="G33" s="27"/>
      <c r="H33" s="27"/>
      <c r="I33" s="27"/>
      <c r="J33" s="27"/>
      <c r="K33" s="39" t="s">
        <v>44</v>
      </c>
      <c r="L33" s="26" t="s">
        <v>26</v>
      </c>
      <c r="M33" s="40">
        <v>79.336399999999998</v>
      </c>
      <c r="U33" s="34"/>
      <c r="V33" s="34"/>
    </row>
    <row r="34" spans="1:22" s="33" customFormat="1" ht="38.25" x14ac:dyDescent="0.2">
      <c r="A34" s="25">
        <f>IF(N34&lt;&gt;"",COUNTA(N$1:N34),"")</f>
        <v>15</v>
      </c>
      <c r="B34" s="26" t="s">
        <v>45</v>
      </c>
      <c r="C34" s="27" t="s">
        <v>19</v>
      </c>
      <c r="D34" s="28" t="s">
        <v>26</v>
      </c>
      <c r="E34" s="51">
        <v>2967.6</v>
      </c>
      <c r="F34" s="27"/>
      <c r="G34" s="27"/>
      <c r="H34" s="27"/>
      <c r="I34" s="27"/>
      <c r="J34" s="27"/>
      <c r="K34" s="30"/>
      <c r="L34" s="27"/>
      <c r="M34" s="31"/>
      <c r="N34" s="32" t="s">
        <v>11</v>
      </c>
      <c r="U34" s="34"/>
      <c r="V34" s="34"/>
    </row>
    <row r="35" spans="1:22" s="33" customFormat="1" ht="51" x14ac:dyDescent="0.2">
      <c r="A35" s="25">
        <f>IF(N35&lt;&gt;"",COUNTA(N$1:N35),"")</f>
        <v>16</v>
      </c>
      <c r="B35" s="26" t="s">
        <v>46</v>
      </c>
      <c r="C35" s="27" t="s">
        <v>47</v>
      </c>
      <c r="D35" s="28" t="s">
        <v>26</v>
      </c>
      <c r="E35" s="50">
        <v>22.64</v>
      </c>
      <c r="F35" s="27"/>
      <c r="G35" s="27"/>
      <c r="H35" s="27"/>
      <c r="I35" s="27"/>
      <c r="J35" s="27"/>
      <c r="K35" s="30"/>
      <c r="L35" s="27"/>
      <c r="M35" s="31"/>
      <c r="N35" s="32" t="s">
        <v>11</v>
      </c>
      <c r="U35" s="34"/>
      <c r="V35" s="34"/>
    </row>
    <row r="36" spans="1:22" s="33" customFormat="1" ht="25.5" x14ac:dyDescent="0.2">
      <c r="A36" s="25">
        <f>IF(N36&lt;&gt;"",COUNTA(N$1:N36),"")</f>
        <v>17</v>
      </c>
      <c r="B36" s="26" t="s">
        <v>62</v>
      </c>
      <c r="C36" s="27" t="s">
        <v>63</v>
      </c>
      <c r="D36" s="28" t="s">
        <v>26</v>
      </c>
      <c r="E36" s="50">
        <v>0.8</v>
      </c>
      <c r="F36" s="27"/>
      <c r="G36" s="27"/>
      <c r="H36" s="27"/>
      <c r="I36" s="27"/>
      <c r="J36" s="27"/>
      <c r="K36" s="30"/>
      <c r="L36" s="27"/>
      <c r="M36" s="31"/>
      <c r="N36" s="32" t="s">
        <v>11</v>
      </c>
      <c r="U36" s="34"/>
      <c r="V36" s="34"/>
    </row>
    <row r="37" spans="1:22" s="33" customFormat="1" ht="38.25" x14ac:dyDescent="0.2">
      <c r="A37" s="25">
        <f>IF(N37&lt;&gt;"",COUNTA(N$1:N37),"")</f>
        <v>18</v>
      </c>
      <c r="B37" s="26" t="s">
        <v>64</v>
      </c>
      <c r="C37" s="27"/>
      <c r="D37" s="28"/>
      <c r="E37" s="49"/>
      <c r="F37" s="27"/>
      <c r="G37" s="27"/>
      <c r="H37" s="27"/>
      <c r="I37" s="27"/>
      <c r="J37" s="27"/>
      <c r="K37" s="27" t="s">
        <v>25</v>
      </c>
      <c r="L37" s="28" t="s">
        <v>26</v>
      </c>
      <c r="M37" s="35">
        <v>0.8</v>
      </c>
      <c r="N37" s="32" t="s">
        <v>11</v>
      </c>
      <c r="U37" s="34"/>
      <c r="V37" s="34"/>
    </row>
    <row r="38" spans="1:22" s="33" customFormat="1" ht="38.25" x14ac:dyDescent="0.2">
      <c r="A38" s="25">
        <f>IF(N38&lt;&gt;"",COUNTA(N$1:N38),"")</f>
        <v>19</v>
      </c>
      <c r="B38" s="26" t="s">
        <v>65</v>
      </c>
      <c r="C38" s="27" t="s">
        <v>66</v>
      </c>
      <c r="D38" s="28" t="s">
        <v>26</v>
      </c>
      <c r="E38" s="47">
        <v>81</v>
      </c>
      <c r="F38" s="27"/>
      <c r="G38" s="27"/>
      <c r="H38" s="27"/>
      <c r="I38" s="27"/>
      <c r="J38" s="27"/>
      <c r="K38" s="30"/>
      <c r="L38" s="27"/>
      <c r="M38" s="31"/>
      <c r="N38" s="32" t="s">
        <v>11</v>
      </c>
      <c r="U38" s="34"/>
      <c r="V38" s="34"/>
    </row>
    <row r="39" spans="1:22" s="33" customFormat="1" ht="51" x14ac:dyDescent="0.2">
      <c r="A39" s="25"/>
      <c r="B39" s="38"/>
      <c r="C39" s="39"/>
      <c r="D39" s="26"/>
      <c r="E39" s="50"/>
      <c r="F39" s="27"/>
      <c r="G39" s="27"/>
      <c r="H39" s="27"/>
      <c r="I39" s="27"/>
      <c r="J39" s="27"/>
      <c r="K39" s="39" t="s">
        <v>48</v>
      </c>
      <c r="L39" s="26" t="s">
        <v>14</v>
      </c>
      <c r="M39" s="37">
        <v>1.2150000000000001</v>
      </c>
      <c r="U39" s="34"/>
      <c r="V39" s="34"/>
    </row>
    <row r="40" spans="1:22" s="33" customFormat="1" ht="12.75" x14ac:dyDescent="0.2">
      <c r="A40" s="25"/>
      <c r="B40" s="38"/>
      <c r="C40" s="39"/>
      <c r="D40" s="26"/>
      <c r="E40" s="50"/>
      <c r="F40" s="27"/>
      <c r="G40" s="27"/>
      <c r="H40" s="27"/>
      <c r="I40" s="27"/>
      <c r="J40" s="27"/>
      <c r="K40" s="39" t="s">
        <v>49</v>
      </c>
      <c r="L40" s="26" t="s">
        <v>14</v>
      </c>
      <c r="M40" s="37">
        <v>0.16200000000000001</v>
      </c>
      <c r="U40" s="34"/>
      <c r="V40" s="34"/>
    </row>
    <row r="41" spans="1:22" s="33" customFormat="1" ht="12.75" x14ac:dyDescent="0.2">
      <c r="A41" s="25"/>
      <c r="B41" s="38"/>
      <c r="C41" s="39"/>
      <c r="D41" s="26"/>
      <c r="E41" s="46"/>
      <c r="F41" s="27"/>
      <c r="G41" s="27"/>
      <c r="H41" s="27"/>
      <c r="I41" s="27"/>
      <c r="J41" s="27"/>
      <c r="K41" s="39" t="s">
        <v>36</v>
      </c>
      <c r="L41" s="26" t="s">
        <v>26</v>
      </c>
      <c r="M41" s="41">
        <v>0.37097999999999998</v>
      </c>
      <c r="U41" s="34"/>
      <c r="V41" s="34"/>
    </row>
    <row r="42" spans="1:22" s="33" customFormat="1" ht="12.75" x14ac:dyDescent="0.2">
      <c r="A42" s="25"/>
      <c r="B42" s="38"/>
      <c r="C42" s="39"/>
      <c r="D42" s="26"/>
      <c r="E42" s="51"/>
      <c r="F42" s="27"/>
      <c r="G42" s="27"/>
      <c r="H42" s="27"/>
      <c r="I42" s="27"/>
      <c r="J42" s="27"/>
      <c r="K42" s="39" t="s">
        <v>50</v>
      </c>
      <c r="L42" s="26" t="s">
        <v>14</v>
      </c>
      <c r="M42" s="40">
        <v>0.21870000000000001</v>
      </c>
      <c r="U42" s="34"/>
      <c r="V42" s="34"/>
    </row>
    <row r="43" spans="1:22" s="33" customFormat="1" ht="12.75" x14ac:dyDescent="0.2">
      <c r="A43" s="25"/>
      <c r="B43" s="38"/>
      <c r="C43" s="39"/>
      <c r="D43" s="26"/>
      <c r="E43" s="51"/>
      <c r="F43" s="27"/>
      <c r="G43" s="27"/>
      <c r="H43" s="27"/>
      <c r="I43" s="27"/>
      <c r="J43" s="27"/>
      <c r="K43" s="39" t="s">
        <v>51</v>
      </c>
      <c r="L43" s="26" t="s">
        <v>14</v>
      </c>
      <c r="M43" s="40">
        <v>2.4299999999999999E-2</v>
      </c>
      <c r="U43" s="34"/>
      <c r="V43" s="34"/>
    </row>
    <row r="44" spans="1:22" s="33" customFormat="1" ht="38.25" x14ac:dyDescent="0.2">
      <c r="A44" s="25"/>
      <c r="B44" s="38"/>
      <c r="C44" s="39"/>
      <c r="D44" s="26"/>
      <c r="E44" s="46"/>
      <c r="F44" s="27"/>
      <c r="G44" s="27"/>
      <c r="H44" s="27"/>
      <c r="I44" s="27"/>
      <c r="J44" s="27"/>
      <c r="K44" s="39" t="s">
        <v>52</v>
      </c>
      <c r="L44" s="26" t="s">
        <v>14</v>
      </c>
      <c r="M44" s="41">
        <v>0.13041</v>
      </c>
      <c r="U44" s="34"/>
      <c r="V44" s="34"/>
    </row>
    <row r="45" spans="1:22" s="33" customFormat="1" ht="51" x14ac:dyDescent="0.2">
      <c r="A45" s="25"/>
      <c r="B45" s="38"/>
      <c r="C45" s="39"/>
      <c r="D45" s="26"/>
      <c r="E45" s="45"/>
      <c r="F45" s="27"/>
      <c r="G45" s="27"/>
      <c r="H45" s="27"/>
      <c r="I45" s="27"/>
      <c r="J45" s="27"/>
      <c r="K45" s="39" t="s">
        <v>53</v>
      </c>
      <c r="L45" s="26" t="s">
        <v>26</v>
      </c>
      <c r="M45" s="29">
        <v>77.760000000000005</v>
      </c>
      <c r="U45" s="34"/>
      <c r="V45" s="34"/>
    </row>
    <row r="46" spans="1:22" s="33" customFormat="1" ht="63.75" x14ac:dyDescent="0.2">
      <c r="A46" s="25"/>
      <c r="B46" s="38"/>
      <c r="C46" s="39"/>
      <c r="D46" s="26"/>
      <c r="E46" s="50"/>
      <c r="F46" s="27"/>
      <c r="G46" s="27"/>
      <c r="H46" s="27"/>
      <c r="I46" s="27"/>
      <c r="J46" s="27"/>
      <c r="K46" s="39" t="s">
        <v>54</v>
      </c>
      <c r="L46" s="26" t="s">
        <v>14</v>
      </c>
      <c r="M46" s="37">
        <v>4.1310000000000002</v>
      </c>
      <c r="U46" s="34"/>
      <c r="V46" s="34"/>
    </row>
    <row r="47" spans="1:22" s="33" customFormat="1" ht="25.5" x14ac:dyDescent="0.2">
      <c r="A47" s="25"/>
      <c r="B47" s="38"/>
      <c r="C47" s="39"/>
      <c r="D47" s="26"/>
      <c r="E47" s="51"/>
      <c r="F47" s="27"/>
      <c r="G47" s="27"/>
      <c r="H47" s="27"/>
      <c r="I47" s="27"/>
      <c r="J47" s="27"/>
      <c r="K47" s="39" t="s">
        <v>55</v>
      </c>
      <c r="L47" s="26" t="s">
        <v>26</v>
      </c>
      <c r="M47" s="40">
        <v>0.14580000000000001</v>
      </c>
      <c r="U47" s="34"/>
      <c r="V47" s="34"/>
    </row>
    <row r="48" spans="1:22" s="33" customFormat="1" ht="38.25" x14ac:dyDescent="0.2">
      <c r="A48" s="25"/>
      <c r="B48" s="38"/>
      <c r="C48" s="39"/>
      <c r="D48" s="26"/>
      <c r="E48" s="45"/>
      <c r="F48" s="27"/>
      <c r="G48" s="27"/>
      <c r="H48" s="27"/>
      <c r="I48" s="27"/>
      <c r="J48" s="27"/>
      <c r="K48" s="39" t="s">
        <v>56</v>
      </c>
      <c r="L48" s="26" t="s">
        <v>26</v>
      </c>
      <c r="M48" s="29">
        <v>1.62</v>
      </c>
      <c r="U48" s="34"/>
      <c r="V48" s="34"/>
    </row>
    <row r="49" spans="1:22" s="33" customFormat="1" ht="25.5" x14ac:dyDescent="0.2">
      <c r="A49" s="25"/>
      <c r="B49" s="38"/>
      <c r="C49" s="39"/>
      <c r="D49" s="26"/>
      <c r="E49" s="46"/>
      <c r="F49" s="27"/>
      <c r="G49" s="27"/>
      <c r="H49" s="27"/>
      <c r="I49" s="27"/>
      <c r="J49" s="27"/>
      <c r="K49" s="39" t="s">
        <v>57</v>
      </c>
      <c r="L49" s="26" t="s">
        <v>14</v>
      </c>
      <c r="M49" s="41">
        <v>1.2149999999999999E-2</v>
      </c>
      <c r="U49" s="34"/>
      <c r="V49" s="34"/>
    </row>
    <row r="50" spans="1:22" s="33" customFormat="1" ht="63.75" x14ac:dyDescent="0.2">
      <c r="A50" s="25"/>
      <c r="B50" s="38"/>
      <c r="C50" s="39"/>
      <c r="D50" s="26"/>
      <c r="E50" s="50"/>
      <c r="F50" s="27"/>
      <c r="G50" s="27"/>
      <c r="H50" s="27"/>
      <c r="I50" s="27"/>
      <c r="J50" s="27"/>
      <c r="K50" s="39" t="s">
        <v>58</v>
      </c>
      <c r="L50" s="26" t="s">
        <v>14</v>
      </c>
      <c r="M50" s="37">
        <v>2.9969999999999999</v>
      </c>
      <c r="U50" s="34"/>
      <c r="V50" s="34"/>
    </row>
    <row r="51" spans="1:22" s="33" customFormat="1" ht="63.75" x14ac:dyDescent="0.2">
      <c r="A51" s="25"/>
      <c r="B51" s="38"/>
      <c r="C51" s="39"/>
      <c r="D51" s="26"/>
      <c r="E51" s="51"/>
      <c r="F51" s="27"/>
      <c r="G51" s="27"/>
      <c r="H51" s="27"/>
      <c r="I51" s="27"/>
      <c r="J51" s="27"/>
      <c r="K51" s="39" t="s">
        <v>59</v>
      </c>
      <c r="L51" s="26" t="s">
        <v>26</v>
      </c>
      <c r="M51" s="40">
        <v>0.3402</v>
      </c>
      <c r="U51" s="34"/>
      <c r="V51" s="34"/>
    </row>
    <row r="52" spans="1:22" s="33" customFormat="1" ht="89.25" x14ac:dyDescent="0.2">
      <c r="A52" s="25"/>
      <c r="B52" s="38"/>
      <c r="C52" s="39"/>
      <c r="D52" s="26"/>
      <c r="E52" s="51"/>
      <c r="F52" s="27"/>
      <c r="G52" s="27"/>
      <c r="H52" s="27"/>
      <c r="I52" s="27"/>
      <c r="J52" s="27"/>
      <c r="K52" s="39" t="s">
        <v>60</v>
      </c>
      <c r="L52" s="26" t="s">
        <v>26</v>
      </c>
      <c r="M52" s="40">
        <v>0.20250000000000001</v>
      </c>
      <c r="U52" s="34"/>
      <c r="V52" s="34"/>
    </row>
    <row r="53" spans="1:22" s="33" customFormat="1" ht="89.25" x14ac:dyDescent="0.2">
      <c r="A53" s="25"/>
      <c r="B53" s="38"/>
      <c r="C53" s="39"/>
      <c r="D53" s="26"/>
      <c r="E53" s="50"/>
      <c r="F53" s="27"/>
      <c r="G53" s="27"/>
      <c r="H53" s="27"/>
      <c r="I53" s="27"/>
      <c r="J53" s="27"/>
      <c r="K53" s="39" t="s">
        <v>61</v>
      </c>
      <c r="L53" s="26" t="s">
        <v>26</v>
      </c>
      <c r="M53" s="37">
        <v>9.0719999999999992</v>
      </c>
      <c r="U53" s="34"/>
      <c r="V53" s="34"/>
    </row>
    <row r="54" spans="1:22" s="33" customFormat="1" ht="25.5" x14ac:dyDescent="0.2">
      <c r="A54" s="25">
        <f>IF(N54&lt;&gt;"",COUNTA(N$1:N54),"")</f>
        <v>20</v>
      </c>
      <c r="B54" s="26" t="s">
        <v>67</v>
      </c>
      <c r="C54" s="27"/>
      <c r="D54" s="28"/>
      <c r="E54" s="49"/>
      <c r="F54" s="27"/>
      <c r="G54" s="27"/>
      <c r="H54" s="27"/>
      <c r="I54" s="27"/>
      <c r="J54" s="27"/>
      <c r="K54" s="27" t="s">
        <v>68</v>
      </c>
      <c r="L54" s="28" t="s">
        <v>69</v>
      </c>
      <c r="M54" s="36">
        <v>60</v>
      </c>
      <c r="N54" s="32" t="s">
        <v>11</v>
      </c>
      <c r="U54" s="34"/>
      <c r="V54" s="34"/>
    </row>
    <row r="55" spans="1:22" s="33" customFormat="1" ht="25.5" x14ac:dyDescent="0.2">
      <c r="A55" s="25">
        <f>IF(N55&lt;&gt;"",COUNTA(N$1:N55),"")</f>
        <v>21</v>
      </c>
      <c r="B55" s="26" t="s">
        <v>70</v>
      </c>
      <c r="C55" s="27"/>
      <c r="D55" s="28"/>
      <c r="E55" s="49"/>
      <c r="F55" s="27"/>
      <c r="G55" s="27"/>
      <c r="H55" s="27"/>
      <c r="I55" s="27"/>
      <c r="J55" s="27"/>
      <c r="K55" s="27" t="s">
        <v>71</v>
      </c>
      <c r="L55" s="28" t="s">
        <v>69</v>
      </c>
      <c r="M55" s="36">
        <v>10</v>
      </c>
      <c r="N55" s="32" t="s">
        <v>11</v>
      </c>
      <c r="U55" s="34"/>
      <c r="V55" s="34"/>
    </row>
    <row r="56" spans="1:22" s="33" customFormat="1" ht="38.25" x14ac:dyDescent="0.2">
      <c r="A56" s="25">
        <f>IF(N56&lt;&gt;"",COUNTA(N$1:N56),"")</f>
        <v>22</v>
      </c>
      <c r="B56" s="26" t="s">
        <v>72</v>
      </c>
      <c r="C56" s="27"/>
      <c r="D56" s="28"/>
      <c r="E56" s="49"/>
      <c r="F56" s="27"/>
      <c r="G56" s="27"/>
      <c r="H56" s="27"/>
      <c r="I56" s="27"/>
      <c r="J56" s="27"/>
      <c r="K56" s="27" t="s">
        <v>73</v>
      </c>
      <c r="L56" s="28" t="s">
        <v>69</v>
      </c>
      <c r="M56" s="36">
        <v>10</v>
      </c>
      <c r="N56" s="32" t="s">
        <v>11</v>
      </c>
      <c r="U56" s="34"/>
      <c r="V56" s="34"/>
    </row>
    <row r="57" spans="1:22" s="33" customFormat="1" ht="25.5" x14ac:dyDescent="0.2">
      <c r="A57" s="25">
        <f>IF(N57&lt;&gt;"",COUNTA(N$1:N57),"")</f>
        <v>23</v>
      </c>
      <c r="B57" s="26" t="s">
        <v>74</v>
      </c>
      <c r="C57" s="27"/>
      <c r="D57" s="28"/>
      <c r="E57" s="49"/>
      <c r="F57" s="27"/>
      <c r="G57" s="27"/>
      <c r="H57" s="27"/>
      <c r="I57" s="27"/>
      <c r="J57" s="27"/>
      <c r="K57" s="27" t="s">
        <v>75</v>
      </c>
      <c r="L57" s="28" t="s">
        <v>69</v>
      </c>
      <c r="M57" s="36">
        <v>10</v>
      </c>
      <c r="N57" s="32" t="s">
        <v>11</v>
      </c>
      <c r="U57" s="34"/>
      <c r="V57" s="34"/>
    </row>
    <row r="58" spans="1:22" s="33" customFormat="1" ht="38.25" x14ac:dyDescent="0.2">
      <c r="A58" s="25">
        <f>IF(N58&lt;&gt;"",COUNTA(N$1:N58),"")</f>
        <v>24</v>
      </c>
      <c r="B58" s="26" t="s">
        <v>76</v>
      </c>
      <c r="C58" s="27" t="s">
        <v>19</v>
      </c>
      <c r="D58" s="28" t="s">
        <v>26</v>
      </c>
      <c r="E58" s="45">
        <v>1440</v>
      </c>
      <c r="F58" s="27"/>
      <c r="G58" s="27"/>
      <c r="H58" s="27"/>
      <c r="I58" s="27"/>
      <c r="J58" s="27"/>
      <c r="K58" s="30"/>
      <c r="L58" s="27"/>
      <c r="M58" s="31"/>
      <c r="N58" s="32" t="s">
        <v>11</v>
      </c>
      <c r="U58" s="34"/>
      <c r="V58" s="34"/>
    </row>
    <row r="59" spans="1:22" s="33" customFormat="1" ht="25.5" x14ac:dyDescent="0.2">
      <c r="A59" s="25">
        <f>IF(N59&lt;&gt;"",COUNTA(N$1:N59),"")</f>
        <v>25</v>
      </c>
      <c r="B59" s="26" t="s">
        <v>77</v>
      </c>
      <c r="C59" s="27" t="s">
        <v>21</v>
      </c>
      <c r="D59" s="28" t="s">
        <v>26</v>
      </c>
      <c r="E59" s="45">
        <v>3</v>
      </c>
      <c r="F59" s="27"/>
      <c r="G59" s="27"/>
      <c r="H59" s="27"/>
      <c r="I59" s="27"/>
      <c r="J59" s="27"/>
      <c r="K59" s="30"/>
      <c r="L59" s="27"/>
      <c r="M59" s="31"/>
      <c r="N59" s="32" t="s">
        <v>11</v>
      </c>
      <c r="U59" s="34"/>
      <c r="V59" s="34"/>
    </row>
    <row r="60" spans="1:22" s="33" customFormat="1" ht="25.5" x14ac:dyDescent="0.2">
      <c r="A60" s="25">
        <f>IF(N60&lt;&gt;"",COUNTA(N$1:N60),"")</f>
        <v>26</v>
      </c>
      <c r="B60" s="26" t="s">
        <v>78</v>
      </c>
      <c r="C60" s="27" t="s">
        <v>79</v>
      </c>
      <c r="D60" s="28" t="s">
        <v>26</v>
      </c>
      <c r="E60" s="45">
        <v>143</v>
      </c>
      <c r="F60" s="27"/>
      <c r="G60" s="27"/>
      <c r="H60" s="27"/>
      <c r="I60" s="27"/>
      <c r="J60" s="27"/>
      <c r="K60" s="30"/>
      <c r="L60" s="27"/>
      <c r="M60" s="31"/>
      <c r="N60" s="32" t="s">
        <v>11</v>
      </c>
      <c r="U60" s="34"/>
      <c r="V60" s="34"/>
    </row>
    <row r="61" spans="1:22" s="33" customFormat="1" ht="38.25" x14ac:dyDescent="0.2">
      <c r="A61" s="25"/>
      <c r="B61" s="38"/>
      <c r="C61" s="39"/>
      <c r="D61" s="26"/>
      <c r="E61" s="51"/>
      <c r="F61" s="27"/>
      <c r="G61" s="27"/>
      <c r="H61" s="27"/>
      <c r="I61" s="27"/>
      <c r="J61" s="27"/>
      <c r="K61" s="39" t="s">
        <v>80</v>
      </c>
      <c r="L61" s="26" t="s">
        <v>14</v>
      </c>
      <c r="M61" s="40">
        <v>1.2012</v>
      </c>
      <c r="U61" s="34"/>
      <c r="V61" s="34"/>
    </row>
    <row r="62" spans="1:22" s="33" customFormat="1" ht="12.75" x14ac:dyDescent="0.2">
      <c r="A62" s="25"/>
      <c r="B62" s="38"/>
      <c r="C62" s="39"/>
      <c r="D62" s="26"/>
      <c r="E62" s="46"/>
      <c r="F62" s="27"/>
      <c r="G62" s="27"/>
      <c r="H62" s="27"/>
      <c r="I62" s="27"/>
      <c r="J62" s="27"/>
      <c r="K62" s="39" t="s">
        <v>49</v>
      </c>
      <c r="L62" s="26" t="s">
        <v>14</v>
      </c>
      <c r="M62" s="41">
        <v>6.0060000000000002E-2</v>
      </c>
      <c r="U62" s="34"/>
      <c r="V62" s="34"/>
    </row>
    <row r="63" spans="1:22" s="33" customFormat="1" ht="76.5" x14ac:dyDescent="0.2">
      <c r="A63" s="25"/>
      <c r="B63" s="38"/>
      <c r="C63" s="39"/>
      <c r="D63" s="26"/>
      <c r="E63" s="52"/>
      <c r="F63" s="27"/>
      <c r="G63" s="27"/>
      <c r="H63" s="27"/>
      <c r="I63" s="27"/>
      <c r="J63" s="27"/>
      <c r="K63" s="39" t="s">
        <v>81</v>
      </c>
      <c r="L63" s="26" t="s">
        <v>14</v>
      </c>
      <c r="M63" s="42">
        <v>4.9620999999999998E-2</v>
      </c>
      <c r="U63" s="34"/>
      <c r="V63" s="34"/>
    </row>
    <row r="64" spans="1:22" s="33" customFormat="1" ht="12.75" x14ac:dyDescent="0.2">
      <c r="A64" s="25"/>
      <c r="B64" s="38"/>
      <c r="C64" s="39"/>
      <c r="D64" s="26"/>
      <c r="E64" s="52"/>
      <c r="F64" s="27"/>
      <c r="G64" s="27"/>
      <c r="H64" s="27"/>
      <c r="I64" s="27"/>
      <c r="J64" s="27"/>
      <c r="K64" s="39" t="s">
        <v>51</v>
      </c>
      <c r="L64" s="26" t="s">
        <v>14</v>
      </c>
      <c r="M64" s="42">
        <v>2.6169000000000001E-2</v>
      </c>
      <c r="U64" s="34"/>
      <c r="V64" s="34"/>
    </row>
    <row r="65" spans="1:22" s="33" customFormat="1" ht="38.25" x14ac:dyDescent="0.2">
      <c r="A65" s="25"/>
      <c r="B65" s="38"/>
      <c r="C65" s="39"/>
      <c r="D65" s="26"/>
      <c r="E65" s="50"/>
      <c r="F65" s="27"/>
      <c r="G65" s="27"/>
      <c r="H65" s="27"/>
      <c r="I65" s="27"/>
      <c r="J65" s="27"/>
      <c r="K65" s="39" t="s">
        <v>56</v>
      </c>
      <c r="L65" s="26" t="s">
        <v>26</v>
      </c>
      <c r="M65" s="37">
        <v>2.7170000000000001</v>
      </c>
      <c r="U65" s="34"/>
      <c r="V65" s="34"/>
    </row>
    <row r="66" spans="1:22" s="33" customFormat="1" ht="89.25" x14ac:dyDescent="0.2">
      <c r="A66" s="25"/>
      <c r="B66" s="38"/>
      <c r="C66" s="39"/>
      <c r="D66" s="26"/>
      <c r="E66" s="50"/>
      <c r="F66" s="27"/>
      <c r="G66" s="27"/>
      <c r="H66" s="27"/>
      <c r="I66" s="27"/>
      <c r="J66" s="27"/>
      <c r="K66" s="39" t="s">
        <v>82</v>
      </c>
      <c r="L66" s="26" t="s">
        <v>26</v>
      </c>
      <c r="M66" s="37">
        <v>0.71499999999999997</v>
      </c>
      <c r="U66" s="34"/>
      <c r="V66" s="34"/>
    </row>
    <row r="67" spans="1:22" s="33" customFormat="1" ht="63.75" x14ac:dyDescent="0.2">
      <c r="A67" s="25">
        <f>IF(N67&lt;&gt;"",COUNTA(N$1:N67),"")</f>
        <v>27</v>
      </c>
      <c r="B67" s="26" t="s">
        <v>83</v>
      </c>
      <c r="C67" s="27"/>
      <c r="D67" s="28"/>
      <c r="E67" s="49"/>
      <c r="F67" s="27"/>
      <c r="G67" s="27"/>
      <c r="H67" s="27"/>
      <c r="I67" s="27"/>
      <c r="J67" s="27"/>
      <c r="K67" s="27" t="s">
        <v>84</v>
      </c>
      <c r="L67" s="28" t="s">
        <v>69</v>
      </c>
      <c r="M67" s="36">
        <v>16</v>
      </c>
      <c r="N67" s="32" t="s">
        <v>11</v>
      </c>
      <c r="U67" s="34"/>
      <c r="V67" s="34"/>
    </row>
    <row r="68" spans="1:22" s="33" customFormat="1" ht="51" x14ac:dyDescent="0.2">
      <c r="A68" s="25">
        <f>IF(N68&lt;&gt;"",COUNTA(N$1:N68),"")</f>
        <v>28</v>
      </c>
      <c r="B68" s="26" t="s">
        <v>85</v>
      </c>
      <c r="C68" s="27"/>
      <c r="D68" s="28"/>
      <c r="E68" s="50"/>
      <c r="F68" s="27"/>
      <c r="G68" s="27"/>
      <c r="H68" s="27"/>
      <c r="I68" s="27"/>
      <c r="J68" s="27"/>
      <c r="K68" s="27" t="s">
        <v>40</v>
      </c>
      <c r="L68" s="28" t="s">
        <v>26</v>
      </c>
      <c r="M68" s="37">
        <v>129.55799999999999</v>
      </c>
      <c r="N68" s="32" t="s">
        <v>11</v>
      </c>
      <c r="U68" s="34"/>
      <c r="V68" s="34"/>
    </row>
    <row r="69" spans="1:22" s="33" customFormat="1" ht="63.75" x14ac:dyDescent="0.2">
      <c r="A69" s="25">
        <f>IF(N69&lt;&gt;"",COUNTA(N$1:N69),"")</f>
        <v>29</v>
      </c>
      <c r="B69" s="26" t="s">
        <v>86</v>
      </c>
      <c r="C69" s="27"/>
      <c r="D69" s="28"/>
      <c r="E69" s="49"/>
      <c r="F69" s="27"/>
      <c r="G69" s="27"/>
      <c r="H69" s="27"/>
      <c r="I69" s="27"/>
      <c r="J69" s="27"/>
      <c r="K69" s="27" t="s">
        <v>87</v>
      </c>
      <c r="L69" s="28" t="s">
        <v>14</v>
      </c>
      <c r="M69" s="36">
        <v>73</v>
      </c>
      <c r="N69" s="32" t="s">
        <v>11</v>
      </c>
      <c r="U69" s="34"/>
      <c r="V69" s="34"/>
    </row>
    <row r="70" spans="1:22" s="33" customFormat="1" ht="63.75" x14ac:dyDescent="0.2">
      <c r="A70" s="25">
        <f>IF(N70&lt;&gt;"",COUNTA(N$1:N70),"")</f>
        <v>30</v>
      </c>
      <c r="B70" s="26" t="s">
        <v>88</v>
      </c>
      <c r="C70" s="27"/>
      <c r="D70" s="28"/>
      <c r="E70" s="49"/>
      <c r="F70" s="27"/>
      <c r="G70" s="27"/>
      <c r="H70" s="27"/>
      <c r="I70" s="27"/>
      <c r="J70" s="27"/>
      <c r="K70" s="27" t="s">
        <v>89</v>
      </c>
      <c r="L70" s="28" t="s">
        <v>14</v>
      </c>
      <c r="M70" s="36">
        <v>2</v>
      </c>
      <c r="N70" s="32" t="s">
        <v>11</v>
      </c>
      <c r="U70" s="34"/>
      <c r="V70" s="34"/>
    </row>
    <row r="71" spans="1:22" s="33" customFormat="1" ht="25.5" x14ac:dyDescent="0.2">
      <c r="A71" s="25">
        <f>IF(N71&lt;&gt;"",COUNTA(N$1:N71),"")</f>
        <v>31</v>
      </c>
      <c r="B71" s="26" t="s">
        <v>90</v>
      </c>
      <c r="C71" s="27" t="s">
        <v>91</v>
      </c>
      <c r="D71" s="28" t="s">
        <v>69</v>
      </c>
      <c r="E71" s="45">
        <v>26</v>
      </c>
      <c r="F71" s="27"/>
      <c r="G71" s="27"/>
      <c r="H71" s="27"/>
      <c r="I71" s="27"/>
      <c r="J71" s="27"/>
      <c r="K71" s="30"/>
      <c r="L71" s="27"/>
      <c r="M71" s="31"/>
      <c r="N71" s="32" t="s">
        <v>11</v>
      </c>
      <c r="U71" s="34"/>
      <c r="V71" s="34"/>
    </row>
    <row r="72" spans="1:22" s="33" customFormat="1" ht="38.25" x14ac:dyDescent="0.2">
      <c r="A72" s="25"/>
      <c r="B72" s="38"/>
      <c r="C72" s="39"/>
      <c r="D72" s="26"/>
      <c r="E72" s="51"/>
      <c r="F72" s="27"/>
      <c r="G72" s="27"/>
      <c r="H72" s="27"/>
      <c r="I72" s="27"/>
      <c r="J72" s="27"/>
      <c r="K72" s="39" t="s">
        <v>56</v>
      </c>
      <c r="L72" s="26" t="s">
        <v>26</v>
      </c>
      <c r="M72" s="40">
        <v>0.15079999999999999</v>
      </c>
      <c r="U72" s="34"/>
      <c r="V72" s="34"/>
    </row>
    <row r="73" spans="1:22" s="33" customFormat="1" ht="63.75" x14ac:dyDescent="0.2">
      <c r="A73" s="25">
        <f>IF(N73&lt;&gt;"",COUNTA(N$1:N73),"")</f>
        <v>32</v>
      </c>
      <c r="B73" s="26" t="s">
        <v>92</v>
      </c>
      <c r="C73" s="27"/>
      <c r="D73" s="28"/>
      <c r="E73" s="49"/>
      <c r="F73" s="27"/>
      <c r="G73" s="27"/>
      <c r="H73" s="27"/>
      <c r="I73" s="27"/>
      <c r="J73" s="27"/>
      <c r="K73" s="27" t="s">
        <v>93</v>
      </c>
      <c r="L73" s="28" t="s">
        <v>69</v>
      </c>
      <c r="M73" s="36">
        <v>26</v>
      </c>
      <c r="N73" s="32" t="s">
        <v>11</v>
      </c>
      <c r="U73" s="34"/>
      <c r="V73" s="34"/>
    </row>
    <row r="74" spans="1:22" s="33" customFormat="1" ht="12.75" x14ac:dyDescent="0.2">
      <c r="A74" s="25">
        <f>IF(N74&lt;&gt;"",COUNTA(N$1:N74),"")</f>
        <v>33</v>
      </c>
      <c r="B74" s="26" t="s">
        <v>94</v>
      </c>
      <c r="C74" s="27" t="s">
        <v>210</v>
      </c>
      <c r="D74" s="28" t="s">
        <v>38</v>
      </c>
      <c r="E74" s="45">
        <v>157</v>
      </c>
      <c r="F74" s="27"/>
      <c r="G74" s="27"/>
      <c r="H74" s="27"/>
      <c r="I74" s="27"/>
      <c r="J74" s="27"/>
      <c r="K74" s="30"/>
      <c r="L74" s="27"/>
      <c r="M74" s="31"/>
      <c r="N74" s="32" t="s">
        <v>11</v>
      </c>
      <c r="U74" s="34"/>
      <c r="V74" s="34"/>
    </row>
    <row r="75" spans="1:22" s="33" customFormat="1" ht="51" x14ac:dyDescent="0.2">
      <c r="A75" s="25">
        <f>IF(N75&lt;&gt;"",COUNTA(N$1:N75),"")</f>
        <v>34</v>
      </c>
      <c r="B75" s="26" t="s">
        <v>95</v>
      </c>
      <c r="C75" s="27"/>
      <c r="D75" s="28"/>
      <c r="E75" s="51"/>
      <c r="F75" s="27"/>
      <c r="G75" s="27"/>
      <c r="H75" s="27"/>
      <c r="I75" s="27"/>
      <c r="J75" s="27"/>
      <c r="K75" s="27" t="s">
        <v>53</v>
      </c>
      <c r="L75" s="28" t="s">
        <v>26</v>
      </c>
      <c r="M75" s="40">
        <f>3.2028+12.8112</f>
        <v>16.013999999999999</v>
      </c>
      <c r="N75" s="32" t="s">
        <v>11</v>
      </c>
      <c r="U75" s="34"/>
      <c r="V75" s="34"/>
    </row>
    <row r="76" spans="1:22" s="33" customFormat="1" ht="12.75" x14ac:dyDescent="0.2">
      <c r="A76" s="25">
        <f>IF(N76&lt;&gt;"",COUNTA(N$1:N76),"")</f>
        <v>35</v>
      </c>
      <c r="B76" s="26" t="s">
        <v>98</v>
      </c>
      <c r="C76" s="27" t="s">
        <v>99</v>
      </c>
      <c r="D76" s="28" t="s">
        <v>38</v>
      </c>
      <c r="E76" s="49">
        <v>15</v>
      </c>
      <c r="F76" s="27"/>
      <c r="G76" s="27"/>
      <c r="H76" s="27"/>
      <c r="I76" s="27"/>
      <c r="J76" s="27"/>
      <c r="K76" s="30"/>
      <c r="L76" s="27" t="s">
        <v>15</v>
      </c>
      <c r="M76" s="31"/>
      <c r="N76" s="32" t="s">
        <v>11</v>
      </c>
      <c r="U76" s="34"/>
      <c r="V76" s="34"/>
    </row>
    <row r="77" spans="1:22" s="33" customFormat="1" ht="12.75" x14ac:dyDescent="0.2">
      <c r="A77" s="25">
        <f>IF(N77&lt;&gt;"",COUNTA(N$1:N77),"")</f>
        <v>36</v>
      </c>
      <c r="B77" s="26" t="s">
        <v>100</v>
      </c>
      <c r="C77" s="27" t="s">
        <v>101</v>
      </c>
      <c r="D77" s="28" t="s">
        <v>38</v>
      </c>
      <c r="E77" s="49">
        <v>15</v>
      </c>
      <c r="F77" s="27"/>
      <c r="G77" s="27"/>
      <c r="H77" s="27"/>
      <c r="I77" s="27"/>
      <c r="J77" s="27"/>
      <c r="K77" s="30"/>
      <c r="L77" s="27" t="s">
        <v>15</v>
      </c>
      <c r="M77" s="31"/>
      <c r="N77" s="32" t="s">
        <v>11</v>
      </c>
      <c r="U77" s="34"/>
      <c r="V77" s="34"/>
    </row>
    <row r="78" spans="1:22" s="33" customFormat="1" ht="25.5" x14ac:dyDescent="0.2">
      <c r="A78" s="25">
        <f>IF(N78&lt;&gt;"",COUNTA(N$1:N78),"")</f>
        <v>37</v>
      </c>
      <c r="B78" s="26" t="s">
        <v>102</v>
      </c>
      <c r="C78" s="27" t="s">
        <v>103</v>
      </c>
      <c r="D78" s="28" t="s">
        <v>38</v>
      </c>
      <c r="E78" s="45">
        <v>15</v>
      </c>
      <c r="F78" s="27"/>
      <c r="G78" s="27"/>
      <c r="H78" s="27"/>
      <c r="I78" s="27"/>
      <c r="J78" s="27"/>
      <c r="K78" s="30"/>
      <c r="L78" s="27"/>
      <c r="M78" s="31"/>
      <c r="N78" s="32" t="s">
        <v>11</v>
      </c>
      <c r="U78" s="34"/>
      <c r="V78" s="34"/>
    </row>
    <row r="79" spans="1:22" s="33" customFormat="1" ht="12.75" x14ac:dyDescent="0.2">
      <c r="A79" s="25"/>
      <c r="B79" s="38"/>
      <c r="C79" s="39"/>
      <c r="D79" s="26"/>
      <c r="E79" s="46"/>
      <c r="F79" s="27"/>
      <c r="G79" s="27"/>
      <c r="H79" s="27"/>
      <c r="I79" s="27"/>
      <c r="J79" s="27"/>
      <c r="K79" s="39" t="s">
        <v>104</v>
      </c>
      <c r="L79" s="26" t="s">
        <v>14</v>
      </c>
      <c r="M79" s="41">
        <v>1.3500000000000001E-3</v>
      </c>
      <c r="U79" s="34"/>
      <c r="V79" s="34"/>
    </row>
    <row r="80" spans="1:22" s="33" customFormat="1" ht="25.5" x14ac:dyDescent="0.2">
      <c r="A80" s="25">
        <f>IF(N80&lt;&gt;"",COUNTA(N$1:N80),"")</f>
        <v>38</v>
      </c>
      <c r="B80" s="26" t="s">
        <v>105</v>
      </c>
      <c r="C80" s="27" t="s">
        <v>106</v>
      </c>
      <c r="D80" s="28" t="s">
        <v>38</v>
      </c>
      <c r="E80" s="45">
        <v>15</v>
      </c>
      <c r="F80" s="27"/>
      <c r="G80" s="27"/>
      <c r="H80" s="27"/>
      <c r="I80" s="27"/>
      <c r="J80" s="27"/>
      <c r="K80" s="30"/>
      <c r="L80" s="27"/>
      <c r="M80" s="31"/>
      <c r="N80" s="32" t="s">
        <v>11</v>
      </c>
      <c r="U80" s="34"/>
      <c r="V80" s="34"/>
    </row>
    <row r="81" spans="1:22" s="33" customFormat="1" ht="25.5" x14ac:dyDescent="0.2">
      <c r="A81" s="25"/>
      <c r="B81" s="38"/>
      <c r="C81" s="39"/>
      <c r="D81" s="26"/>
      <c r="E81" s="46"/>
      <c r="F81" s="27"/>
      <c r="G81" s="27"/>
      <c r="H81" s="27"/>
      <c r="I81" s="27"/>
      <c r="J81" s="27"/>
      <c r="K81" s="39" t="s">
        <v>107</v>
      </c>
      <c r="L81" s="26" t="s">
        <v>14</v>
      </c>
      <c r="M81" s="41">
        <v>3.4499999999999999E-3</v>
      </c>
      <c r="U81" s="34"/>
      <c r="V81" s="34"/>
    </row>
    <row r="82" spans="1:22" s="33" customFormat="1" ht="12.75" x14ac:dyDescent="0.2">
      <c r="A82" s="25"/>
      <c r="B82" s="38"/>
      <c r="C82" s="39"/>
      <c r="D82" s="26"/>
      <c r="E82" s="46"/>
      <c r="F82" s="27"/>
      <c r="G82" s="27"/>
      <c r="H82" s="27"/>
      <c r="I82" s="27"/>
      <c r="J82" s="27"/>
      <c r="K82" s="39" t="s">
        <v>108</v>
      </c>
      <c r="L82" s="26" t="s">
        <v>14</v>
      </c>
      <c r="M82" s="41">
        <v>1.65E-3</v>
      </c>
      <c r="U82" s="34"/>
      <c r="V82" s="34"/>
    </row>
    <row r="83" spans="1:22" s="33" customFormat="1" ht="12.75" x14ac:dyDescent="0.2">
      <c r="A83" s="87" t="s">
        <v>110</v>
      </c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31"/>
      <c r="U83" s="34"/>
      <c r="V83" s="34" t="s">
        <v>110</v>
      </c>
    </row>
    <row r="84" spans="1:22" s="33" customFormat="1" ht="38.25" x14ac:dyDescent="0.2">
      <c r="A84" s="25">
        <f>IF(N84&lt;&gt;"",COUNTA(N$1:N84),"")</f>
        <v>39</v>
      </c>
      <c r="B84" s="26" t="s">
        <v>111</v>
      </c>
      <c r="C84" s="27" t="s">
        <v>28</v>
      </c>
      <c r="D84" s="28" t="s">
        <v>26</v>
      </c>
      <c r="E84" s="50">
        <v>2957</v>
      </c>
      <c r="F84" s="27"/>
      <c r="G84" s="27"/>
      <c r="H84" s="27"/>
      <c r="I84" s="27"/>
      <c r="J84" s="27"/>
      <c r="K84" s="30"/>
      <c r="L84" s="27"/>
      <c r="M84" s="31"/>
      <c r="N84" s="32" t="s">
        <v>11</v>
      </c>
      <c r="U84" s="34"/>
      <c r="V84" s="34"/>
    </row>
    <row r="85" spans="1:22" s="33" customFormat="1" ht="25.5" x14ac:dyDescent="0.2">
      <c r="A85" s="25">
        <f>IF(N85&lt;&gt;"",COUNTA(N$1:N85),"")</f>
        <v>40</v>
      </c>
      <c r="B85" s="26" t="s">
        <v>112</v>
      </c>
      <c r="C85" s="27" t="s">
        <v>33</v>
      </c>
      <c r="D85" s="28" t="s">
        <v>26</v>
      </c>
      <c r="E85" s="45">
        <v>2957</v>
      </c>
      <c r="F85" s="27"/>
      <c r="G85" s="27"/>
      <c r="H85" s="27"/>
      <c r="I85" s="27"/>
      <c r="J85" s="27"/>
      <c r="K85" s="30"/>
      <c r="L85" s="27"/>
      <c r="M85" s="31"/>
      <c r="N85" s="32" t="s">
        <v>11</v>
      </c>
      <c r="U85" s="34"/>
      <c r="V85" s="34"/>
    </row>
    <row r="86" spans="1:22" s="33" customFormat="1" ht="25.5" x14ac:dyDescent="0.2">
      <c r="A86" s="25">
        <f>IF(N86&lt;&gt;"",COUNTA(N$1:N86),"")</f>
        <v>41</v>
      </c>
      <c r="B86" s="26" t="s">
        <v>113</v>
      </c>
      <c r="C86" s="27" t="s">
        <v>114</v>
      </c>
      <c r="D86" s="28" t="s">
        <v>26</v>
      </c>
      <c r="E86" s="45">
        <v>648</v>
      </c>
      <c r="F86" s="27"/>
      <c r="G86" s="27"/>
      <c r="H86" s="27"/>
      <c r="I86" s="27"/>
      <c r="J86" s="27"/>
      <c r="K86" s="30"/>
      <c r="L86" s="27"/>
      <c r="M86" s="31"/>
      <c r="N86" s="32" t="s">
        <v>11</v>
      </c>
      <c r="U86" s="34"/>
      <c r="V86" s="34"/>
    </row>
    <row r="87" spans="1:22" s="33" customFormat="1" ht="25.5" x14ac:dyDescent="0.2">
      <c r="A87" s="25">
        <f>IF(N87&lt;&gt;"",COUNTA(N$1:N87),"")</f>
        <v>42</v>
      </c>
      <c r="B87" s="26" t="s">
        <v>115</v>
      </c>
      <c r="C87" s="27" t="s">
        <v>116</v>
      </c>
      <c r="D87" s="28" t="s">
        <v>26</v>
      </c>
      <c r="E87" s="47">
        <v>712.8</v>
      </c>
      <c r="F87" s="27"/>
      <c r="G87" s="27"/>
      <c r="H87" s="27"/>
      <c r="I87" s="27"/>
      <c r="J87" s="27"/>
      <c r="K87" s="27" t="s">
        <v>116</v>
      </c>
      <c r="L87" s="28" t="s">
        <v>26</v>
      </c>
      <c r="M87" s="35">
        <v>712.8</v>
      </c>
      <c r="N87" s="32" t="s">
        <v>11</v>
      </c>
      <c r="U87" s="34"/>
      <c r="V87" s="34"/>
    </row>
    <row r="88" spans="1:22" s="33" customFormat="1" ht="25.5" x14ac:dyDescent="0.2">
      <c r="A88" s="25">
        <f>IF(N88&lt;&gt;"",COUNTA(N$1:N88),"")</f>
        <v>43</v>
      </c>
      <c r="B88" s="26" t="s">
        <v>117</v>
      </c>
      <c r="C88" s="27" t="s">
        <v>33</v>
      </c>
      <c r="D88" s="28" t="s">
        <v>26</v>
      </c>
      <c r="E88" s="45">
        <v>648</v>
      </c>
      <c r="F88" s="27"/>
      <c r="G88" s="27"/>
      <c r="H88" s="27"/>
      <c r="I88" s="27"/>
      <c r="J88" s="27"/>
      <c r="K88" s="30"/>
      <c r="L88" s="27"/>
      <c r="M88" s="31"/>
      <c r="N88" s="32" t="s">
        <v>11</v>
      </c>
      <c r="U88" s="34"/>
      <c r="V88" s="34"/>
    </row>
    <row r="89" spans="1:22" s="33" customFormat="1" ht="12.75" x14ac:dyDescent="0.2">
      <c r="A89" s="25">
        <f>IF(N89&lt;&gt;"",COUNTA(N$1:N89),"")</f>
        <v>44</v>
      </c>
      <c r="B89" s="26" t="s">
        <v>118</v>
      </c>
      <c r="C89" s="27" t="s">
        <v>35</v>
      </c>
      <c r="D89" s="28" t="s">
        <v>26</v>
      </c>
      <c r="E89" s="51">
        <v>54.34</v>
      </c>
      <c r="F89" s="27"/>
      <c r="G89" s="27"/>
      <c r="H89" s="27"/>
      <c r="I89" s="27"/>
      <c r="J89" s="27"/>
      <c r="K89" s="30"/>
      <c r="L89" s="27"/>
      <c r="M89" s="31"/>
      <c r="N89" s="32" t="s">
        <v>11</v>
      </c>
      <c r="U89" s="34"/>
      <c r="V89" s="34"/>
    </row>
    <row r="90" spans="1:22" s="33" customFormat="1" ht="38.25" x14ac:dyDescent="0.2">
      <c r="A90" s="25"/>
      <c r="B90" s="38"/>
      <c r="C90" s="39"/>
      <c r="D90" s="26"/>
      <c r="E90" s="45"/>
      <c r="F90" s="27"/>
      <c r="G90" s="27"/>
      <c r="H90" s="27"/>
      <c r="I90" s="27"/>
      <c r="J90" s="27"/>
      <c r="K90" s="39" t="s">
        <v>37</v>
      </c>
      <c r="L90" s="26" t="s">
        <v>38</v>
      </c>
      <c r="M90" s="29">
        <v>135.85</v>
      </c>
      <c r="U90" s="34"/>
      <c r="V90" s="34"/>
    </row>
    <row r="91" spans="1:22" s="33" customFormat="1" ht="51" x14ac:dyDescent="0.2">
      <c r="A91" s="25">
        <f>IF(N91&lt;&gt;"",COUNTA(N$1:N91),"")</f>
        <v>45</v>
      </c>
      <c r="B91" s="26" t="s">
        <v>119</v>
      </c>
      <c r="C91" s="27"/>
      <c r="D91" s="28"/>
      <c r="E91" s="51"/>
      <c r="F91" s="27"/>
      <c r="G91" s="27"/>
      <c r="H91" s="27"/>
      <c r="I91" s="27"/>
      <c r="J91" s="27"/>
      <c r="K91" s="27" t="s">
        <v>53</v>
      </c>
      <c r="L91" s="28" t="s">
        <v>26</v>
      </c>
      <c r="M91" s="40">
        <v>55.4268</v>
      </c>
      <c r="N91" s="32" t="s">
        <v>11</v>
      </c>
      <c r="U91" s="34"/>
      <c r="V91" s="34"/>
    </row>
    <row r="92" spans="1:22" s="33" customFormat="1" ht="25.5" x14ac:dyDescent="0.2">
      <c r="A92" s="25">
        <f>IF(N92&lt;&gt;"",COUNTA(N$1:N92),"")</f>
        <v>46</v>
      </c>
      <c r="B92" s="26" t="s">
        <v>120</v>
      </c>
      <c r="C92" s="27" t="s">
        <v>121</v>
      </c>
      <c r="D92" s="28" t="s">
        <v>26</v>
      </c>
      <c r="E92" s="51">
        <v>54.34</v>
      </c>
      <c r="F92" s="27"/>
      <c r="G92" s="27"/>
      <c r="H92" s="27"/>
      <c r="I92" s="27"/>
      <c r="J92" s="27"/>
      <c r="K92" s="30"/>
      <c r="L92" s="27"/>
      <c r="M92" s="31"/>
      <c r="N92" s="32" t="s">
        <v>11</v>
      </c>
      <c r="U92" s="34"/>
      <c r="V92" s="34"/>
    </row>
    <row r="93" spans="1:22" s="33" customFormat="1" ht="38.25" x14ac:dyDescent="0.2">
      <c r="A93" s="25"/>
      <c r="B93" s="38"/>
      <c r="C93" s="39"/>
      <c r="D93" s="26"/>
      <c r="E93" s="50"/>
      <c r="F93" s="27"/>
      <c r="G93" s="27"/>
      <c r="H93" s="27"/>
      <c r="I93" s="27"/>
      <c r="J93" s="27"/>
      <c r="K93" s="39" t="s">
        <v>37</v>
      </c>
      <c r="L93" s="26" t="s">
        <v>38</v>
      </c>
      <c r="M93" s="37">
        <v>16.302</v>
      </c>
      <c r="U93" s="34"/>
      <c r="V93" s="34"/>
    </row>
    <row r="94" spans="1:22" s="33" customFormat="1" ht="76.5" x14ac:dyDescent="0.2">
      <c r="A94" s="25"/>
      <c r="B94" s="38"/>
      <c r="C94" s="39"/>
      <c r="D94" s="26"/>
      <c r="E94" s="50"/>
      <c r="F94" s="27"/>
      <c r="G94" s="27"/>
      <c r="H94" s="27"/>
      <c r="I94" s="27"/>
      <c r="J94" s="27"/>
      <c r="K94" s="39" t="s">
        <v>97</v>
      </c>
      <c r="L94" s="26" t="s">
        <v>96</v>
      </c>
      <c r="M94" s="37">
        <v>2.7170000000000001</v>
      </c>
      <c r="U94" s="34"/>
      <c r="V94" s="34"/>
    </row>
    <row r="95" spans="1:22" s="33" customFormat="1" ht="12.75" x14ac:dyDescent="0.2">
      <c r="A95" s="25"/>
      <c r="B95" s="38"/>
      <c r="C95" s="39"/>
      <c r="D95" s="26"/>
      <c r="E95" s="53"/>
      <c r="F95" s="27"/>
      <c r="G95" s="27"/>
      <c r="H95" s="27"/>
      <c r="I95" s="27"/>
      <c r="J95" s="27"/>
      <c r="K95" s="39" t="s">
        <v>51</v>
      </c>
      <c r="L95" s="26" t="s">
        <v>14</v>
      </c>
      <c r="M95" s="43">
        <v>1.0868E-3</v>
      </c>
      <c r="U95" s="34"/>
      <c r="V95" s="34"/>
    </row>
    <row r="96" spans="1:22" s="33" customFormat="1" ht="38.25" x14ac:dyDescent="0.2">
      <c r="A96" s="25"/>
      <c r="B96" s="38"/>
      <c r="C96" s="39"/>
      <c r="D96" s="26"/>
      <c r="E96" s="52"/>
      <c r="F96" s="27"/>
      <c r="G96" s="27"/>
      <c r="H96" s="27"/>
      <c r="I96" s="27"/>
      <c r="J96" s="27"/>
      <c r="K96" s="39" t="s">
        <v>52</v>
      </c>
      <c r="L96" s="26" t="s">
        <v>14</v>
      </c>
      <c r="M96" s="42">
        <v>5.4339999999999996E-3</v>
      </c>
      <c r="U96" s="34"/>
      <c r="V96" s="34"/>
    </row>
    <row r="97" spans="1:22" s="33" customFormat="1" ht="51" x14ac:dyDescent="0.2">
      <c r="A97" s="25"/>
      <c r="B97" s="38"/>
      <c r="C97" s="39"/>
      <c r="D97" s="26"/>
      <c r="E97" s="53"/>
      <c r="F97" s="27"/>
      <c r="G97" s="27"/>
      <c r="H97" s="27"/>
      <c r="I97" s="27"/>
      <c r="J97" s="27"/>
      <c r="K97" s="39" t="s">
        <v>109</v>
      </c>
      <c r="L97" s="26" t="s">
        <v>14</v>
      </c>
      <c r="M97" s="43">
        <v>5.5427000000000002E-3</v>
      </c>
      <c r="U97" s="34"/>
      <c r="V97" s="34"/>
    </row>
    <row r="98" spans="1:22" s="33" customFormat="1" ht="89.25" x14ac:dyDescent="0.2">
      <c r="A98" s="25"/>
      <c r="B98" s="38"/>
      <c r="C98" s="39"/>
      <c r="D98" s="26"/>
      <c r="E98" s="52"/>
      <c r="F98" s="27"/>
      <c r="G98" s="27"/>
      <c r="H98" s="27"/>
      <c r="I98" s="27"/>
      <c r="J98" s="27"/>
      <c r="K98" s="39" t="s">
        <v>61</v>
      </c>
      <c r="L98" s="26" t="s">
        <v>26</v>
      </c>
      <c r="M98" s="42">
        <v>2.1735999999999998E-2</v>
      </c>
      <c r="U98" s="34"/>
      <c r="V98" s="34"/>
    </row>
    <row r="99" spans="1:22" s="33" customFormat="1" ht="51" x14ac:dyDescent="0.2">
      <c r="A99" s="25">
        <f>IF(N99&lt;&gt;"",COUNTA(N$1:N99),"")</f>
        <v>47</v>
      </c>
      <c r="B99" s="26" t="s">
        <v>122</v>
      </c>
      <c r="C99" s="27"/>
      <c r="D99" s="28"/>
      <c r="E99" s="51"/>
      <c r="F99" s="27"/>
      <c r="G99" s="27"/>
      <c r="H99" s="27"/>
      <c r="I99" s="27"/>
      <c r="J99" s="27"/>
      <c r="K99" s="27" t="s">
        <v>123</v>
      </c>
      <c r="L99" s="28" t="s">
        <v>26</v>
      </c>
      <c r="M99" s="40">
        <v>55.155099999999997</v>
      </c>
      <c r="N99" s="32" t="s">
        <v>11</v>
      </c>
      <c r="U99" s="34"/>
      <c r="V99" s="34"/>
    </row>
    <row r="100" spans="1:22" s="33" customFormat="1" ht="51" x14ac:dyDescent="0.2">
      <c r="A100" s="25">
        <f>IF(N100&lt;&gt;"",COUNTA(N$1:N100),"")</f>
        <v>48</v>
      </c>
      <c r="B100" s="26" t="s">
        <v>124</v>
      </c>
      <c r="C100" s="27"/>
      <c r="D100" s="28"/>
      <c r="E100" s="46"/>
      <c r="F100" s="27"/>
      <c r="G100" s="27"/>
      <c r="H100" s="27"/>
      <c r="I100" s="27"/>
      <c r="J100" s="27"/>
      <c r="K100" s="27" t="s">
        <v>125</v>
      </c>
      <c r="L100" s="28" t="s">
        <v>14</v>
      </c>
      <c r="M100" s="41">
        <v>4.4015399999999998</v>
      </c>
      <c r="N100" s="32" t="s">
        <v>11</v>
      </c>
      <c r="U100" s="34"/>
      <c r="V100" s="34"/>
    </row>
    <row r="101" spans="1:22" s="33" customFormat="1" ht="12.75" x14ac:dyDescent="0.2">
      <c r="A101" s="87" t="s">
        <v>126</v>
      </c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31"/>
      <c r="U101" s="34"/>
      <c r="V101" s="34" t="s">
        <v>126</v>
      </c>
    </row>
    <row r="102" spans="1:22" s="33" customFormat="1" ht="63.75" x14ac:dyDescent="0.2">
      <c r="A102" s="25">
        <f>IF(N102&lt;&gt;"",COUNTA(N$1:N102),"")</f>
        <v>49</v>
      </c>
      <c r="B102" s="26" t="s">
        <v>127</v>
      </c>
      <c r="C102" s="27" t="s">
        <v>199</v>
      </c>
      <c r="D102" s="28" t="s">
        <v>208</v>
      </c>
      <c r="E102" s="47">
        <v>10</v>
      </c>
      <c r="F102" s="27"/>
      <c r="G102" s="27"/>
      <c r="H102" s="27"/>
      <c r="I102" s="27"/>
      <c r="J102" s="27"/>
      <c r="K102" s="30"/>
      <c r="L102" s="27"/>
      <c r="M102" s="31"/>
      <c r="N102" s="32" t="s">
        <v>11</v>
      </c>
      <c r="U102" s="34"/>
      <c r="V102" s="34"/>
    </row>
    <row r="103" spans="1:22" s="33" customFormat="1" ht="63.75" x14ac:dyDescent="0.2">
      <c r="A103" s="25">
        <f>IF(N103&lt;&gt;"",COUNTA(N$1:N103),"")</f>
        <v>50</v>
      </c>
      <c r="B103" s="26" t="s">
        <v>130</v>
      </c>
      <c r="C103" s="27" t="s">
        <v>200</v>
      </c>
      <c r="D103" s="28" t="s">
        <v>208</v>
      </c>
      <c r="E103" s="47">
        <v>158.4</v>
      </c>
      <c r="F103" s="27"/>
      <c r="G103" s="27"/>
      <c r="H103" s="27"/>
      <c r="I103" s="27"/>
      <c r="J103" s="27"/>
      <c r="K103" s="30"/>
      <c r="L103" s="27"/>
      <c r="M103" s="31"/>
      <c r="N103" s="32" t="s">
        <v>11</v>
      </c>
      <c r="U103" s="34"/>
      <c r="V103" s="34"/>
    </row>
    <row r="104" spans="1:22" s="33" customFormat="1" ht="63.75" x14ac:dyDescent="0.2">
      <c r="A104" s="25">
        <f>IF(N104&lt;&gt;"",COUNTA(N$1:N104),"")</f>
        <v>51</v>
      </c>
      <c r="B104" s="26" t="s">
        <v>132</v>
      </c>
      <c r="C104" s="27" t="s">
        <v>201</v>
      </c>
      <c r="D104" s="28" t="s">
        <v>208</v>
      </c>
      <c r="E104" s="47">
        <v>44.6</v>
      </c>
      <c r="F104" s="27"/>
      <c r="G104" s="27"/>
      <c r="H104" s="27"/>
      <c r="I104" s="27"/>
      <c r="J104" s="27"/>
      <c r="K104" s="30"/>
      <c r="L104" s="27"/>
      <c r="M104" s="31"/>
      <c r="N104" s="32" t="s">
        <v>11</v>
      </c>
      <c r="U104" s="34"/>
      <c r="V104" s="34"/>
    </row>
    <row r="105" spans="1:22" s="33" customFormat="1" ht="51" x14ac:dyDescent="0.2">
      <c r="A105" s="25">
        <f>IF(N105&lt;&gt;"",COUNTA(N$1:N105),"")</f>
        <v>52</v>
      </c>
      <c r="B105" s="26" t="s">
        <v>133</v>
      </c>
      <c r="C105" s="27" t="s">
        <v>202</v>
      </c>
      <c r="D105" s="28" t="s">
        <v>69</v>
      </c>
      <c r="E105" s="49">
        <v>8</v>
      </c>
      <c r="F105" s="27"/>
      <c r="G105" s="27"/>
      <c r="H105" s="27"/>
      <c r="I105" s="27"/>
      <c r="J105" s="27"/>
      <c r="K105" s="30"/>
      <c r="L105" s="27"/>
      <c r="M105" s="31"/>
      <c r="N105" s="32" t="s">
        <v>11</v>
      </c>
      <c r="U105" s="34"/>
      <c r="V105" s="34"/>
    </row>
    <row r="106" spans="1:22" s="33" customFormat="1" ht="12.75" x14ac:dyDescent="0.2">
      <c r="A106" s="87" t="s">
        <v>134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31"/>
      <c r="U106" s="34"/>
      <c r="V106" s="34" t="s">
        <v>134</v>
      </c>
    </row>
    <row r="107" spans="1:22" s="33" customFormat="1" ht="63.75" x14ac:dyDescent="0.2">
      <c r="A107" s="25">
        <f>IF(N107&lt;&gt;"",COUNTA(N$1:N107),"")</f>
        <v>53</v>
      </c>
      <c r="B107" s="26" t="s">
        <v>135</v>
      </c>
      <c r="C107" s="27" t="s">
        <v>136</v>
      </c>
      <c r="D107" s="28" t="s">
        <v>208</v>
      </c>
      <c r="E107" s="47">
        <v>10</v>
      </c>
      <c r="F107" s="27"/>
      <c r="G107" s="27"/>
      <c r="H107" s="27"/>
      <c r="I107" s="27"/>
      <c r="J107" s="27"/>
      <c r="K107" s="30"/>
      <c r="L107" s="27"/>
      <c r="M107" s="31"/>
      <c r="N107" s="32" t="s">
        <v>11</v>
      </c>
      <c r="U107" s="34"/>
      <c r="V107" s="34"/>
    </row>
    <row r="108" spans="1:22" s="33" customFormat="1" ht="51" x14ac:dyDescent="0.2">
      <c r="A108" s="25"/>
      <c r="B108" s="38"/>
      <c r="C108" s="39"/>
      <c r="D108" s="26"/>
      <c r="E108" s="47"/>
      <c r="F108" s="27"/>
      <c r="G108" s="27"/>
      <c r="H108" s="27"/>
      <c r="I108" s="27"/>
      <c r="J108" s="27"/>
      <c r="K108" s="39" t="s">
        <v>128</v>
      </c>
      <c r="L108" s="26" t="s">
        <v>96</v>
      </c>
      <c r="M108" s="35">
        <v>0.4</v>
      </c>
      <c r="U108" s="34"/>
      <c r="V108" s="34"/>
    </row>
    <row r="109" spans="1:22" s="33" customFormat="1" ht="38.25" x14ac:dyDescent="0.2">
      <c r="A109" s="25"/>
      <c r="B109" s="38"/>
      <c r="C109" s="39"/>
      <c r="D109" s="26"/>
      <c r="E109" s="45"/>
      <c r="F109" s="27"/>
      <c r="G109" s="27"/>
      <c r="H109" s="27"/>
      <c r="I109" s="27"/>
      <c r="J109" s="27"/>
      <c r="K109" s="39" t="s">
        <v>43</v>
      </c>
      <c r="L109" s="26" t="s">
        <v>26</v>
      </c>
      <c r="M109" s="29">
        <v>0.05</v>
      </c>
      <c r="U109" s="34"/>
      <c r="V109" s="34"/>
    </row>
    <row r="110" spans="1:22" s="33" customFormat="1" ht="38.25" x14ac:dyDescent="0.2">
      <c r="A110" s="25"/>
      <c r="B110" s="38"/>
      <c r="C110" s="39"/>
      <c r="D110" s="26"/>
      <c r="E110" s="45"/>
      <c r="F110" s="27"/>
      <c r="G110" s="27"/>
      <c r="H110" s="27"/>
      <c r="I110" s="27"/>
      <c r="J110" s="27"/>
      <c r="K110" s="39" t="s">
        <v>44</v>
      </c>
      <c r="L110" s="26" t="s">
        <v>26</v>
      </c>
      <c r="M110" s="29">
        <v>0.35</v>
      </c>
      <c r="U110" s="34"/>
      <c r="V110" s="34"/>
    </row>
    <row r="111" spans="1:22" s="33" customFormat="1" ht="63.75" x14ac:dyDescent="0.2">
      <c r="A111" s="25"/>
      <c r="B111" s="38"/>
      <c r="C111" s="39"/>
      <c r="D111" s="26"/>
      <c r="E111" s="51"/>
      <c r="F111" s="27"/>
      <c r="G111" s="27"/>
      <c r="H111" s="27"/>
      <c r="I111" s="27"/>
      <c r="J111" s="27"/>
      <c r="K111" s="39" t="s">
        <v>129</v>
      </c>
      <c r="L111" s="26" t="s">
        <v>14</v>
      </c>
      <c r="M111" s="40">
        <v>1.01E-2</v>
      </c>
      <c r="U111" s="34"/>
      <c r="V111" s="34"/>
    </row>
    <row r="112" spans="1:22" s="33" customFormat="1" ht="38.25" x14ac:dyDescent="0.2">
      <c r="A112" s="25">
        <f>IF(N112&lt;&gt;"",COUNTA(N$1:N112),"")</f>
        <v>54</v>
      </c>
      <c r="B112" s="26" t="s">
        <v>137</v>
      </c>
      <c r="C112" s="27"/>
      <c r="D112" s="28"/>
      <c r="E112" s="50"/>
      <c r="F112" s="27"/>
      <c r="G112" s="27"/>
      <c r="H112" s="27"/>
      <c r="I112" s="27"/>
      <c r="J112" s="27"/>
      <c r="K112" s="27" t="s">
        <v>138</v>
      </c>
      <c r="L112" s="28" t="s">
        <v>14</v>
      </c>
      <c r="M112" s="37">
        <v>3.9420000000000002</v>
      </c>
      <c r="N112" s="32" t="s">
        <v>11</v>
      </c>
      <c r="U112" s="34"/>
      <c r="V112" s="34"/>
    </row>
    <row r="113" spans="1:22" s="33" customFormat="1" ht="51" x14ac:dyDescent="0.2">
      <c r="A113" s="25">
        <f>IF(N113&lt;&gt;"",COUNTA(N$1:N113),"")</f>
        <v>55</v>
      </c>
      <c r="B113" s="26" t="s">
        <v>139</v>
      </c>
      <c r="C113" s="27" t="s">
        <v>140</v>
      </c>
      <c r="D113" s="28" t="s">
        <v>208</v>
      </c>
      <c r="E113" s="47">
        <v>4160</v>
      </c>
      <c r="F113" s="27"/>
      <c r="G113" s="27"/>
      <c r="H113" s="27"/>
      <c r="I113" s="27"/>
      <c r="J113" s="27"/>
      <c r="K113" s="30"/>
      <c r="L113" s="27"/>
      <c r="M113" s="31"/>
      <c r="N113" s="32" t="s">
        <v>11</v>
      </c>
      <c r="U113" s="34"/>
      <c r="V113" s="34"/>
    </row>
    <row r="114" spans="1:22" s="33" customFormat="1" ht="51" x14ac:dyDescent="0.2">
      <c r="A114" s="25"/>
      <c r="B114" s="38"/>
      <c r="C114" s="39"/>
      <c r="D114" s="26"/>
      <c r="E114" s="51"/>
      <c r="F114" s="27"/>
      <c r="G114" s="27"/>
      <c r="H114" s="27"/>
      <c r="I114" s="27"/>
      <c r="J114" s="27"/>
      <c r="K114" s="39" t="s">
        <v>128</v>
      </c>
      <c r="L114" s="26" t="s">
        <v>96</v>
      </c>
      <c r="M114" s="40">
        <v>10.150399999999999</v>
      </c>
      <c r="U114" s="34"/>
      <c r="V114" s="34"/>
    </row>
    <row r="115" spans="1:22" s="33" customFormat="1" ht="38.25" x14ac:dyDescent="0.2">
      <c r="A115" s="25"/>
      <c r="B115" s="38"/>
      <c r="C115" s="39"/>
      <c r="D115" s="26"/>
      <c r="E115" s="50"/>
      <c r="F115" s="27"/>
      <c r="G115" s="27"/>
      <c r="H115" s="27"/>
      <c r="I115" s="27"/>
      <c r="J115" s="27"/>
      <c r="K115" s="39" t="s">
        <v>43</v>
      </c>
      <c r="L115" s="26" t="s">
        <v>26</v>
      </c>
      <c r="M115" s="37">
        <v>6.6559999999999997</v>
      </c>
      <c r="U115" s="34"/>
      <c r="V115" s="34"/>
    </row>
    <row r="116" spans="1:22" s="33" customFormat="1" ht="38.25" x14ac:dyDescent="0.2">
      <c r="A116" s="25"/>
      <c r="B116" s="38"/>
      <c r="C116" s="39"/>
      <c r="D116" s="26"/>
      <c r="E116" s="50"/>
      <c r="F116" s="27"/>
      <c r="G116" s="27"/>
      <c r="H116" s="27"/>
      <c r="I116" s="27"/>
      <c r="J116" s="27"/>
      <c r="K116" s="39" t="s">
        <v>44</v>
      </c>
      <c r="L116" s="26" t="s">
        <v>26</v>
      </c>
      <c r="M116" s="37">
        <v>34.944000000000003</v>
      </c>
      <c r="U116" s="34"/>
      <c r="V116" s="34"/>
    </row>
    <row r="117" spans="1:22" s="33" customFormat="1" ht="63.75" x14ac:dyDescent="0.2">
      <c r="A117" s="25"/>
      <c r="B117" s="38"/>
      <c r="C117" s="39"/>
      <c r="D117" s="26"/>
      <c r="E117" s="46"/>
      <c r="F117" s="27"/>
      <c r="G117" s="27"/>
      <c r="H117" s="27"/>
      <c r="I117" s="27"/>
      <c r="J117" s="27"/>
      <c r="K117" s="39" t="s">
        <v>129</v>
      </c>
      <c r="L117" s="26" t="s">
        <v>14</v>
      </c>
      <c r="M117" s="41">
        <v>0.69055999999999995</v>
      </c>
      <c r="U117" s="34"/>
      <c r="V117" s="34"/>
    </row>
    <row r="118" spans="1:22" s="33" customFormat="1" ht="38.25" x14ac:dyDescent="0.2">
      <c r="A118" s="25">
        <f>IF(N118&lt;&gt;"",COUNTA(N$1:N118),"")</f>
        <v>56</v>
      </c>
      <c r="B118" s="26" t="s">
        <v>141</v>
      </c>
      <c r="C118" s="27"/>
      <c r="D118" s="28"/>
      <c r="E118" s="50"/>
      <c r="F118" s="27"/>
      <c r="G118" s="27"/>
      <c r="H118" s="27"/>
      <c r="I118" s="27"/>
      <c r="J118" s="27"/>
      <c r="K118" s="27" t="s">
        <v>142</v>
      </c>
      <c r="L118" s="28" t="s">
        <v>14</v>
      </c>
      <c r="M118" s="37">
        <v>1.847</v>
      </c>
      <c r="N118" s="32" t="s">
        <v>11</v>
      </c>
      <c r="U118" s="34"/>
      <c r="V118" s="34"/>
    </row>
    <row r="119" spans="1:22" s="33" customFormat="1" ht="51" x14ac:dyDescent="0.2">
      <c r="A119" s="25">
        <f>IF(N119&lt;&gt;"",COUNTA(N$1:N119),"")</f>
        <v>57</v>
      </c>
      <c r="B119" s="26" t="s">
        <v>143</v>
      </c>
      <c r="C119" s="27" t="s">
        <v>131</v>
      </c>
      <c r="D119" s="28" t="s">
        <v>208</v>
      </c>
      <c r="E119" s="47">
        <v>174.4</v>
      </c>
      <c r="F119" s="27"/>
      <c r="G119" s="27"/>
      <c r="H119" s="27"/>
      <c r="I119" s="27"/>
      <c r="J119" s="27"/>
      <c r="K119" s="30"/>
      <c r="L119" s="27"/>
      <c r="M119" s="31"/>
      <c r="N119" s="32" t="s">
        <v>11</v>
      </c>
      <c r="U119" s="34"/>
      <c r="V119" s="34"/>
    </row>
    <row r="120" spans="1:22" s="33" customFormat="1" ht="51" x14ac:dyDescent="0.2">
      <c r="A120" s="25"/>
      <c r="B120" s="38"/>
      <c r="C120" s="39"/>
      <c r="D120" s="26"/>
      <c r="E120" s="50"/>
      <c r="F120" s="27"/>
      <c r="G120" s="27"/>
      <c r="H120" s="27"/>
      <c r="I120" s="27"/>
      <c r="J120" s="27"/>
      <c r="K120" s="39" t="s">
        <v>128</v>
      </c>
      <c r="L120" s="26" t="s">
        <v>96</v>
      </c>
      <c r="M120" s="37">
        <v>3.488</v>
      </c>
      <c r="U120" s="34"/>
      <c r="V120" s="34"/>
    </row>
    <row r="121" spans="1:22" s="33" customFormat="1" ht="38.25" x14ac:dyDescent="0.2">
      <c r="A121" s="25"/>
      <c r="B121" s="38"/>
      <c r="C121" s="39"/>
      <c r="D121" s="26"/>
      <c r="E121" s="51"/>
      <c r="F121" s="27"/>
      <c r="G121" s="27"/>
      <c r="H121" s="27"/>
      <c r="I121" s="27"/>
      <c r="J121" s="27"/>
      <c r="K121" s="39" t="s">
        <v>43</v>
      </c>
      <c r="L121" s="26" t="s">
        <v>26</v>
      </c>
      <c r="M121" s="40">
        <v>0.5232</v>
      </c>
      <c r="U121" s="34"/>
      <c r="V121" s="34"/>
    </row>
    <row r="122" spans="1:22" s="33" customFormat="1" ht="38.25" x14ac:dyDescent="0.2">
      <c r="A122" s="25"/>
      <c r="B122" s="38"/>
      <c r="C122" s="39"/>
      <c r="D122" s="26"/>
      <c r="E122" s="51"/>
      <c r="F122" s="27"/>
      <c r="G122" s="27"/>
      <c r="H122" s="27"/>
      <c r="I122" s="27"/>
      <c r="J122" s="27"/>
      <c r="K122" s="39" t="s">
        <v>44</v>
      </c>
      <c r="L122" s="26" t="s">
        <v>26</v>
      </c>
      <c r="M122" s="40">
        <v>3.6623999999999999</v>
      </c>
      <c r="U122" s="34"/>
      <c r="V122" s="34"/>
    </row>
    <row r="123" spans="1:22" s="33" customFormat="1" ht="63.75" x14ac:dyDescent="0.2">
      <c r="A123" s="25"/>
      <c r="B123" s="38"/>
      <c r="C123" s="39"/>
      <c r="D123" s="26"/>
      <c r="E123" s="53"/>
      <c r="F123" s="27"/>
      <c r="G123" s="27"/>
      <c r="H123" s="27"/>
      <c r="I123" s="27"/>
      <c r="J123" s="27"/>
      <c r="K123" s="39" t="s">
        <v>129</v>
      </c>
      <c r="L123" s="26" t="s">
        <v>14</v>
      </c>
      <c r="M123" s="43">
        <v>0.1389968</v>
      </c>
      <c r="U123" s="34"/>
      <c r="V123" s="34"/>
    </row>
    <row r="124" spans="1:22" s="33" customFormat="1" ht="38.25" x14ac:dyDescent="0.2">
      <c r="A124" s="25">
        <f>IF(N124&lt;&gt;"",COUNTA(N$1:N124),"")</f>
        <v>58</v>
      </c>
      <c r="B124" s="26" t="s">
        <v>144</v>
      </c>
      <c r="C124" s="27"/>
      <c r="D124" s="28"/>
      <c r="E124" s="50"/>
      <c r="F124" s="27"/>
      <c r="G124" s="27"/>
      <c r="H124" s="27"/>
      <c r="I124" s="27"/>
      <c r="J124" s="27"/>
      <c r="K124" s="27" t="s">
        <v>145</v>
      </c>
      <c r="L124" s="28" t="s">
        <v>14</v>
      </c>
      <c r="M124" s="37">
        <v>34.508000000000003</v>
      </c>
      <c r="N124" s="32" t="s">
        <v>11</v>
      </c>
      <c r="U124" s="34"/>
      <c r="V124" s="34"/>
    </row>
    <row r="125" spans="1:22" s="33" customFormat="1" ht="38.25" x14ac:dyDescent="0.2">
      <c r="A125" s="25">
        <f>IF(N125&lt;&gt;"",COUNTA(N$1:N125),"")</f>
        <v>59</v>
      </c>
      <c r="B125" s="26" t="s">
        <v>146</v>
      </c>
      <c r="C125" s="27" t="s">
        <v>147</v>
      </c>
      <c r="D125" s="28" t="s">
        <v>69</v>
      </c>
      <c r="E125" s="49">
        <v>8</v>
      </c>
      <c r="F125" s="27"/>
      <c r="G125" s="27"/>
      <c r="H125" s="27"/>
      <c r="I125" s="27"/>
      <c r="J125" s="27"/>
      <c r="K125" s="30"/>
      <c r="L125" s="27" t="s">
        <v>15</v>
      </c>
      <c r="M125" s="31"/>
      <c r="N125" s="32" t="s">
        <v>11</v>
      </c>
      <c r="U125" s="34"/>
      <c r="V125" s="34"/>
    </row>
    <row r="126" spans="1:22" s="33" customFormat="1" ht="38.25" x14ac:dyDescent="0.2">
      <c r="A126" s="25"/>
      <c r="B126" s="38"/>
      <c r="C126" s="39"/>
      <c r="D126" s="26"/>
      <c r="E126" s="47"/>
      <c r="F126" s="27"/>
      <c r="G126" s="27"/>
      <c r="H126" s="27"/>
      <c r="I126" s="27"/>
      <c r="J126" s="27"/>
      <c r="K126" s="39" t="s">
        <v>148</v>
      </c>
      <c r="L126" s="26" t="s">
        <v>96</v>
      </c>
      <c r="M126" s="35">
        <v>16.8</v>
      </c>
      <c r="U126" s="34"/>
      <c r="V126" s="34"/>
    </row>
    <row r="127" spans="1:22" s="33" customFormat="1" ht="51" x14ac:dyDescent="0.2">
      <c r="A127" s="25">
        <f>IF(N127&lt;&gt;"",COUNTA(N$1:N127),"")</f>
        <v>60</v>
      </c>
      <c r="B127" s="26" t="s">
        <v>149</v>
      </c>
      <c r="C127" s="27"/>
      <c r="D127" s="28"/>
      <c r="E127" s="49"/>
      <c r="F127" s="27"/>
      <c r="G127" s="27"/>
      <c r="H127" s="27"/>
      <c r="I127" s="27"/>
      <c r="J127" s="27"/>
      <c r="K127" s="27" t="s">
        <v>150</v>
      </c>
      <c r="L127" s="28" t="s">
        <v>69</v>
      </c>
      <c r="M127" s="36">
        <v>8</v>
      </c>
      <c r="N127" s="32" t="s">
        <v>11</v>
      </c>
      <c r="U127" s="34"/>
      <c r="V127" s="34"/>
    </row>
    <row r="128" spans="1:22" s="33" customFormat="1" ht="51" x14ac:dyDescent="0.2">
      <c r="A128" s="25">
        <f>IF(N128&lt;&gt;"",COUNTA(N$1:N128),"")</f>
        <v>61</v>
      </c>
      <c r="B128" s="26" t="s">
        <v>151</v>
      </c>
      <c r="C128" s="27" t="s">
        <v>152</v>
      </c>
      <c r="D128" s="28" t="s">
        <v>208</v>
      </c>
      <c r="E128" s="45">
        <v>199</v>
      </c>
      <c r="F128" s="27"/>
      <c r="G128" s="27"/>
      <c r="H128" s="27"/>
      <c r="I128" s="27"/>
      <c r="J128" s="27"/>
      <c r="K128" s="30"/>
      <c r="L128" s="27"/>
      <c r="M128" s="31"/>
      <c r="N128" s="32" t="s">
        <v>11</v>
      </c>
      <c r="U128" s="34"/>
      <c r="V128" s="34"/>
    </row>
    <row r="129" spans="1:22" s="33" customFormat="1" ht="51" x14ac:dyDescent="0.2">
      <c r="A129" s="25"/>
      <c r="B129" s="38"/>
      <c r="C129" s="39"/>
      <c r="D129" s="26"/>
      <c r="E129" s="46"/>
      <c r="F129" s="27"/>
      <c r="G129" s="27"/>
      <c r="H129" s="27"/>
      <c r="I129" s="27"/>
      <c r="J129" s="27"/>
      <c r="K129" s="39" t="s">
        <v>128</v>
      </c>
      <c r="L129" s="26" t="s">
        <v>96</v>
      </c>
      <c r="M129" s="41">
        <v>0.30646000000000001</v>
      </c>
      <c r="U129" s="34"/>
      <c r="V129" s="34"/>
    </row>
    <row r="130" spans="1:22" s="33" customFormat="1" ht="38.25" x14ac:dyDescent="0.2">
      <c r="A130" s="25"/>
      <c r="B130" s="38"/>
      <c r="C130" s="39"/>
      <c r="D130" s="26"/>
      <c r="E130" s="51"/>
      <c r="F130" s="27"/>
      <c r="G130" s="27"/>
      <c r="H130" s="27"/>
      <c r="I130" s="27"/>
      <c r="J130" s="27"/>
      <c r="K130" s="39" t="s">
        <v>43</v>
      </c>
      <c r="L130" s="26" t="s">
        <v>26</v>
      </c>
      <c r="M130" s="40">
        <v>0.17910000000000001</v>
      </c>
      <c r="U130" s="34"/>
      <c r="V130" s="34"/>
    </row>
    <row r="131" spans="1:22" s="33" customFormat="1" ht="38.25" x14ac:dyDescent="0.2">
      <c r="A131" s="25"/>
      <c r="B131" s="38"/>
      <c r="C131" s="39"/>
      <c r="D131" s="26"/>
      <c r="E131" s="50"/>
      <c r="F131" s="27"/>
      <c r="G131" s="27"/>
      <c r="H131" s="27"/>
      <c r="I131" s="27"/>
      <c r="J131" s="27"/>
      <c r="K131" s="39" t="s">
        <v>44</v>
      </c>
      <c r="L131" s="26" t="s">
        <v>26</v>
      </c>
      <c r="M131" s="37">
        <v>1.194</v>
      </c>
      <c r="U131" s="34"/>
      <c r="V131" s="34"/>
    </row>
    <row r="132" spans="1:22" s="33" customFormat="1" ht="63.75" x14ac:dyDescent="0.2">
      <c r="A132" s="25"/>
      <c r="B132" s="38"/>
      <c r="C132" s="39"/>
      <c r="D132" s="26"/>
      <c r="E132" s="53"/>
      <c r="F132" s="27"/>
      <c r="G132" s="27"/>
      <c r="H132" s="27"/>
      <c r="I132" s="27"/>
      <c r="J132" s="27"/>
      <c r="K132" s="39" t="s">
        <v>129</v>
      </c>
      <c r="L132" s="26" t="s">
        <v>14</v>
      </c>
      <c r="M132" s="43">
        <v>9.6515000000000004E-3</v>
      </c>
      <c r="U132" s="34"/>
      <c r="V132" s="34"/>
    </row>
    <row r="133" spans="1:22" s="33" customFormat="1" ht="38.25" x14ac:dyDescent="0.2">
      <c r="A133" s="25">
        <f>IF(N133&lt;&gt;"",COUNTA(N$1:N133),"")</f>
        <v>62</v>
      </c>
      <c r="B133" s="26" t="s">
        <v>153</v>
      </c>
      <c r="C133" s="27"/>
      <c r="D133" s="28"/>
      <c r="E133" s="50"/>
      <c r="F133" s="27"/>
      <c r="G133" s="27"/>
      <c r="H133" s="27"/>
      <c r="I133" s="27"/>
      <c r="J133" s="27"/>
      <c r="K133" s="27" t="s">
        <v>154</v>
      </c>
      <c r="L133" s="28" t="s">
        <v>14</v>
      </c>
      <c r="M133" s="37">
        <v>4.1989999999999998</v>
      </c>
      <c r="N133" s="32" t="s">
        <v>11</v>
      </c>
      <c r="U133" s="34"/>
      <c r="V133" s="34"/>
    </row>
    <row r="134" spans="1:22" s="33" customFormat="1" ht="12.75" x14ac:dyDescent="0.2">
      <c r="A134" s="25">
        <f>IF(N134&lt;&gt;"",COUNTA(N$1:N134),"")</f>
        <v>63</v>
      </c>
      <c r="B134" s="26" t="s">
        <v>155</v>
      </c>
      <c r="C134" s="27"/>
      <c r="D134" s="28"/>
      <c r="E134" s="49"/>
      <c r="F134" s="27"/>
      <c r="G134" s="27"/>
      <c r="H134" s="27"/>
      <c r="I134" s="27"/>
      <c r="J134" s="27"/>
      <c r="K134" s="27" t="s">
        <v>156</v>
      </c>
      <c r="L134" s="28" t="s">
        <v>69</v>
      </c>
      <c r="M134" s="36">
        <v>14</v>
      </c>
      <c r="N134" s="32" t="s">
        <v>11</v>
      </c>
      <c r="U134" s="34"/>
      <c r="V134" s="34"/>
    </row>
    <row r="135" spans="1:22" s="33" customFormat="1" ht="38.25" x14ac:dyDescent="0.2">
      <c r="A135" s="25">
        <f>IF(N135&lt;&gt;"",COUNTA(N$1:N135),"")</f>
        <v>64</v>
      </c>
      <c r="B135" s="26" t="s">
        <v>157</v>
      </c>
      <c r="C135" s="27"/>
      <c r="D135" s="28"/>
      <c r="E135" s="49"/>
      <c r="F135" s="27"/>
      <c r="G135" s="27"/>
      <c r="H135" s="27"/>
      <c r="I135" s="27"/>
      <c r="J135" s="27"/>
      <c r="K135" s="27" t="s">
        <v>158</v>
      </c>
      <c r="L135" s="28" t="s">
        <v>69</v>
      </c>
      <c r="M135" s="36">
        <v>2</v>
      </c>
      <c r="N135" s="32" t="s">
        <v>11</v>
      </c>
      <c r="U135" s="34"/>
      <c r="V135" s="34"/>
    </row>
    <row r="136" spans="1:22" s="33" customFormat="1" ht="12.75" x14ac:dyDescent="0.2">
      <c r="A136" s="25">
        <f>IF(N136&lt;&gt;"",COUNTA(N$1:N136),"")</f>
        <v>65</v>
      </c>
      <c r="B136" s="26" t="s">
        <v>159</v>
      </c>
      <c r="C136" s="27"/>
      <c r="D136" s="28"/>
      <c r="E136" s="49"/>
      <c r="F136" s="27"/>
      <c r="G136" s="27"/>
      <c r="H136" s="27"/>
      <c r="I136" s="27"/>
      <c r="J136" s="27"/>
      <c r="K136" s="27" t="s">
        <v>160</v>
      </c>
      <c r="L136" s="28" t="s">
        <v>69</v>
      </c>
      <c r="M136" s="36">
        <v>16</v>
      </c>
      <c r="N136" s="32" t="s">
        <v>11</v>
      </c>
      <c r="U136" s="34"/>
      <c r="V136" s="34"/>
    </row>
    <row r="137" spans="1:22" s="33" customFormat="1" ht="51" x14ac:dyDescent="0.2">
      <c r="A137" s="25">
        <f>IF(N137&lt;&gt;"",COUNTA(N$1:N137),"")</f>
        <v>66</v>
      </c>
      <c r="B137" s="26" t="s">
        <v>161</v>
      </c>
      <c r="C137" s="27" t="s">
        <v>162</v>
      </c>
      <c r="D137" s="28" t="s">
        <v>208</v>
      </c>
      <c r="E137" s="45">
        <v>48</v>
      </c>
      <c r="F137" s="27"/>
      <c r="G137" s="27"/>
      <c r="H137" s="27"/>
      <c r="I137" s="27"/>
      <c r="J137" s="27"/>
      <c r="K137" s="30"/>
      <c r="L137" s="27"/>
      <c r="M137" s="31"/>
      <c r="N137" s="32" t="s">
        <v>11</v>
      </c>
      <c r="U137" s="34"/>
      <c r="V137" s="34"/>
    </row>
    <row r="138" spans="1:22" s="33" customFormat="1" ht="51" x14ac:dyDescent="0.2">
      <c r="A138" s="25"/>
      <c r="B138" s="38"/>
      <c r="C138" s="39"/>
      <c r="D138" s="26"/>
      <c r="E138" s="46"/>
      <c r="F138" s="27"/>
      <c r="G138" s="27"/>
      <c r="H138" s="27"/>
      <c r="I138" s="27"/>
      <c r="J138" s="27"/>
      <c r="K138" s="39" t="s">
        <v>128</v>
      </c>
      <c r="L138" s="26" t="s">
        <v>96</v>
      </c>
      <c r="M138" s="41">
        <v>2.112E-2</v>
      </c>
      <c r="U138" s="34"/>
      <c r="V138" s="34"/>
    </row>
    <row r="139" spans="1:22" s="33" customFormat="1" ht="38.25" x14ac:dyDescent="0.2">
      <c r="A139" s="25"/>
      <c r="B139" s="38"/>
      <c r="C139" s="39"/>
      <c r="D139" s="26"/>
      <c r="E139" s="46"/>
      <c r="F139" s="27"/>
      <c r="G139" s="27"/>
      <c r="H139" s="27"/>
      <c r="I139" s="27"/>
      <c r="J139" s="27"/>
      <c r="K139" s="39" t="s">
        <v>43</v>
      </c>
      <c r="L139" s="26" t="s">
        <v>26</v>
      </c>
      <c r="M139" s="41">
        <v>1.1039999999999999E-2</v>
      </c>
      <c r="U139" s="34"/>
      <c r="V139" s="34"/>
    </row>
    <row r="140" spans="1:22" s="33" customFormat="1" ht="38.25" x14ac:dyDescent="0.2">
      <c r="A140" s="25"/>
      <c r="B140" s="38"/>
      <c r="C140" s="39"/>
      <c r="D140" s="26"/>
      <c r="E140" s="50"/>
      <c r="F140" s="27"/>
      <c r="G140" s="27"/>
      <c r="H140" s="27"/>
      <c r="I140" s="27"/>
      <c r="J140" s="27"/>
      <c r="K140" s="39" t="s">
        <v>44</v>
      </c>
      <c r="L140" s="26" t="s">
        <v>26</v>
      </c>
      <c r="M140" s="37">
        <v>4.8000000000000001E-2</v>
      </c>
      <c r="U140" s="34"/>
      <c r="V140" s="34"/>
    </row>
    <row r="141" spans="1:22" s="33" customFormat="1" ht="63.75" x14ac:dyDescent="0.2">
      <c r="A141" s="25"/>
      <c r="B141" s="38"/>
      <c r="C141" s="39"/>
      <c r="D141" s="26"/>
      <c r="E141" s="52"/>
      <c r="F141" s="27"/>
      <c r="G141" s="27"/>
      <c r="H141" s="27"/>
      <c r="I141" s="27"/>
      <c r="J141" s="27"/>
      <c r="K141" s="39" t="s">
        <v>129</v>
      </c>
      <c r="L141" s="26" t="s">
        <v>14</v>
      </c>
      <c r="M141" s="42">
        <v>3.3599999999999998E-4</v>
      </c>
      <c r="U141" s="34"/>
      <c r="V141" s="34"/>
    </row>
    <row r="142" spans="1:22" s="33" customFormat="1" ht="38.25" x14ac:dyDescent="0.2">
      <c r="A142" s="25">
        <f>IF(N142&lt;&gt;"",COUNTA(N$1:N142),"")</f>
        <v>67</v>
      </c>
      <c r="B142" s="26" t="s">
        <v>163</v>
      </c>
      <c r="C142" s="27"/>
      <c r="D142" s="28"/>
      <c r="E142" s="50"/>
      <c r="F142" s="27"/>
      <c r="G142" s="27"/>
      <c r="H142" s="27"/>
      <c r="I142" s="27"/>
      <c r="J142" s="27"/>
      <c r="K142" s="27" t="s">
        <v>164</v>
      </c>
      <c r="L142" s="28" t="s">
        <v>14</v>
      </c>
      <c r="M142" s="37">
        <v>0.45100000000000001</v>
      </c>
      <c r="N142" s="32" t="s">
        <v>11</v>
      </c>
      <c r="U142" s="34"/>
      <c r="V142" s="34"/>
    </row>
    <row r="143" spans="1:22" s="33" customFormat="1" ht="12.75" x14ac:dyDescent="0.2">
      <c r="A143" s="25">
        <f>IF(N143&lt;&gt;"",COUNTA(N$1:N143),"")</f>
        <v>68</v>
      </c>
      <c r="B143" s="26" t="s">
        <v>165</v>
      </c>
      <c r="C143" s="27"/>
      <c r="D143" s="28"/>
      <c r="E143" s="49"/>
      <c r="F143" s="27"/>
      <c r="G143" s="27"/>
      <c r="H143" s="27"/>
      <c r="I143" s="27"/>
      <c r="J143" s="27"/>
      <c r="K143" s="27" t="s">
        <v>166</v>
      </c>
      <c r="L143" s="28" t="s">
        <v>69</v>
      </c>
      <c r="M143" s="36">
        <v>16</v>
      </c>
      <c r="N143" s="32" t="s">
        <v>11</v>
      </c>
      <c r="U143" s="34"/>
      <c r="V143" s="34"/>
    </row>
    <row r="144" spans="1:22" s="33" customFormat="1" ht="38.25" x14ac:dyDescent="0.2">
      <c r="A144" s="25">
        <f>IF(N144&lt;&gt;"",COUNTA(N$1:N144),"")</f>
        <v>69</v>
      </c>
      <c r="B144" s="26" t="s">
        <v>167</v>
      </c>
      <c r="C144" s="27" t="s">
        <v>168</v>
      </c>
      <c r="D144" s="28" t="s">
        <v>69</v>
      </c>
      <c r="E144" s="49">
        <v>6</v>
      </c>
      <c r="F144" s="27"/>
      <c r="G144" s="27"/>
      <c r="H144" s="27"/>
      <c r="I144" s="27"/>
      <c r="J144" s="27"/>
      <c r="K144" s="30"/>
      <c r="L144" s="27" t="s">
        <v>15</v>
      </c>
      <c r="M144" s="31"/>
      <c r="N144" s="32" t="s">
        <v>11</v>
      </c>
      <c r="U144" s="34"/>
      <c r="V144" s="34"/>
    </row>
    <row r="145" spans="1:22" s="33" customFormat="1" ht="38.25" x14ac:dyDescent="0.2">
      <c r="A145" s="25"/>
      <c r="B145" s="38"/>
      <c r="C145" s="39"/>
      <c r="D145" s="26"/>
      <c r="E145" s="47"/>
      <c r="F145" s="27"/>
      <c r="G145" s="27"/>
      <c r="H145" s="27"/>
      <c r="I145" s="27"/>
      <c r="J145" s="27"/>
      <c r="K145" s="39" t="s">
        <v>148</v>
      </c>
      <c r="L145" s="26" t="s">
        <v>96</v>
      </c>
      <c r="M145" s="35">
        <v>2.1</v>
      </c>
      <c r="U145" s="34"/>
      <c r="V145" s="34"/>
    </row>
    <row r="146" spans="1:22" s="33" customFormat="1" ht="38.25" x14ac:dyDescent="0.2">
      <c r="A146" s="25">
        <f>IF(N146&lt;&gt;"",COUNTA(N$1:N146),"")</f>
        <v>70</v>
      </c>
      <c r="B146" s="26" t="s">
        <v>169</v>
      </c>
      <c r="C146" s="27"/>
      <c r="D146" s="28"/>
      <c r="E146" s="49"/>
      <c r="F146" s="27"/>
      <c r="G146" s="27"/>
      <c r="H146" s="27"/>
      <c r="I146" s="27"/>
      <c r="J146" s="27"/>
      <c r="K146" s="27" t="s">
        <v>170</v>
      </c>
      <c r="L146" s="28" t="s">
        <v>69</v>
      </c>
      <c r="M146" s="36">
        <v>6</v>
      </c>
      <c r="N146" s="32" t="s">
        <v>11</v>
      </c>
      <c r="U146" s="34"/>
      <c r="V146" s="34"/>
    </row>
    <row r="147" spans="1:22" s="33" customFormat="1" ht="38.25" x14ac:dyDescent="0.2">
      <c r="A147" s="25">
        <f>IF(N147&lt;&gt;"",COUNTA(N$1:N147),"")</f>
        <v>71</v>
      </c>
      <c r="B147" s="26" t="s">
        <v>171</v>
      </c>
      <c r="C147" s="27" t="s">
        <v>172</v>
      </c>
      <c r="D147" s="28" t="s">
        <v>69</v>
      </c>
      <c r="E147" s="49">
        <v>8</v>
      </c>
      <c r="F147" s="27"/>
      <c r="G147" s="27"/>
      <c r="H147" s="27"/>
      <c r="I147" s="27"/>
      <c r="J147" s="27"/>
      <c r="K147" s="30"/>
      <c r="L147" s="27" t="s">
        <v>15</v>
      </c>
      <c r="M147" s="31"/>
      <c r="N147" s="32" t="s">
        <v>11</v>
      </c>
      <c r="U147" s="34"/>
      <c r="V147" s="34"/>
    </row>
    <row r="148" spans="1:22" s="33" customFormat="1" ht="38.25" x14ac:dyDescent="0.2">
      <c r="A148" s="25"/>
      <c r="B148" s="38"/>
      <c r="C148" s="39"/>
      <c r="D148" s="26"/>
      <c r="E148" s="45"/>
      <c r="F148" s="27"/>
      <c r="G148" s="27"/>
      <c r="H148" s="27"/>
      <c r="I148" s="27"/>
      <c r="J148" s="27"/>
      <c r="K148" s="39" t="s">
        <v>148</v>
      </c>
      <c r="L148" s="26" t="s">
        <v>96</v>
      </c>
      <c r="M148" s="29">
        <v>0.96</v>
      </c>
      <c r="U148" s="34"/>
      <c r="V148" s="34"/>
    </row>
    <row r="149" spans="1:22" s="33" customFormat="1" ht="25.5" x14ac:dyDescent="0.2">
      <c r="A149" s="25">
        <f>IF(N149&lt;&gt;"",COUNTA(N$1:N149),"")</f>
        <v>72</v>
      </c>
      <c r="B149" s="26" t="s">
        <v>173</v>
      </c>
      <c r="C149" s="27"/>
      <c r="D149" s="28"/>
      <c r="E149" s="49"/>
      <c r="F149" s="27"/>
      <c r="G149" s="27"/>
      <c r="H149" s="27"/>
      <c r="I149" s="27"/>
      <c r="J149" s="27"/>
      <c r="K149" s="27" t="s">
        <v>174</v>
      </c>
      <c r="L149" s="28" t="s">
        <v>69</v>
      </c>
      <c r="M149" s="36">
        <v>8</v>
      </c>
      <c r="N149" s="32" t="s">
        <v>11</v>
      </c>
      <c r="U149" s="34"/>
      <c r="V149" s="34"/>
    </row>
    <row r="150" spans="1:22" s="33" customFormat="1" ht="38.25" x14ac:dyDescent="0.2">
      <c r="A150" s="25">
        <f>IF(N150&lt;&gt;"",COUNTA(N$1:N150),"")</f>
        <v>73</v>
      </c>
      <c r="B150" s="26" t="s">
        <v>175</v>
      </c>
      <c r="C150" s="27" t="s">
        <v>176</v>
      </c>
      <c r="D150" s="28" t="s">
        <v>69</v>
      </c>
      <c r="E150" s="49">
        <v>16</v>
      </c>
      <c r="F150" s="27"/>
      <c r="G150" s="27"/>
      <c r="H150" s="27"/>
      <c r="I150" s="27"/>
      <c r="J150" s="27"/>
      <c r="K150" s="30"/>
      <c r="L150" s="27" t="s">
        <v>15</v>
      </c>
      <c r="M150" s="31"/>
      <c r="N150" s="32" t="s">
        <v>11</v>
      </c>
      <c r="U150" s="34"/>
      <c r="V150" s="34"/>
    </row>
    <row r="151" spans="1:22" s="33" customFormat="1" ht="25.5" x14ac:dyDescent="0.2">
      <c r="A151" s="25">
        <f>IF(N151&lt;&gt;"",COUNTA(N$1:N151),"")</f>
        <v>74</v>
      </c>
      <c r="B151" s="26" t="s">
        <v>177</v>
      </c>
      <c r="C151" s="27"/>
      <c r="D151" s="28"/>
      <c r="E151" s="49"/>
      <c r="F151" s="27"/>
      <c r="G151" s="27"/>
      <c r="H151" s="27"/>
      <c r="I151" s="27"/>
      <c r="J151" s="27"/>
      <c r="K151" s="27" t="s">
        <v>178</v>
      </c>
      <c r="L151" s="28" t="s">
        <v>69</v>
      </c>
      <c r="M151" s="36">
        <v>16</v>
      </c>
      <c r="N151" s="32" t="s">
        <v>11</v>
      </c>
      <c r="U151" s="34"/>
      <c r="V151" s="34"/>
    </row>
    <row r="152" spans="1:22" s="33" customFormat="1" ht="12.75" x14ac:dyDescent="0.2">
      <c r="A152" s="87" t="s">
        <v>179</v>
      </c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31"/>
      <c r="U152" s="34"/>
      <c r="V152" s="34" t="s">
        <v>179</v>
      </c>
    </row>
    <row r="153" spans="1:22" s="33" customFormat="1" ht="25.5" x14ac:dyDescent="0.2">
      <c r="A153" s="25">
        <f>IF(N153&lt;&gt;"",COUNTA(N$1:N153),"")</f>
        <v>75</v>
      </c>
      <c r="B153" s="26" t="s">
        <v>180</v>
      </c>
      <c r="C153" s="27" t="s">
        <v>181</v>
      </c>
      <c r="D153" s="28" t="s">
        <v>69</v>
      </c>
      <c r="E153" s="49">
        <v>2</v>
      </c>
      <c r="F153" s="27"/>
      <c r="G153" s="27"/>
      <c r="H153" s="27"/>
      <c r="I153" s="27"/>
      <c r="J153" s="27"/>
      <c r="K153" s="30"/>
      <c r="L153" s="27" t="s">
        <v>15</v>
      </c>
      <c r="M153" s="31"/>
      <c r="N153" s="32" t="s">
        <v>11</v>
      </c>
      <c r="U153" s="34"/>
      <c r="V153" s="34"/>
    </row>
    <row r="154" spans="1:22" s="33" customFormat="1" ht="76.5" x14ac:dyDescent="0.2">
      <c r="A154" s="25"/>
      <c r="B154" s="38"/>
      <c r="C154" s="39"/>
      <c r="D154" s="26"/>
      <c r="E154" s="45"/>
      <c r="F154" s="27"/>
      <c r="G154" s="27"/>
      <c r="H154" s="27"/>
      <c r="I154" s="27"/>
      <c r="J154" s="27"/>
      <c r="K154" s="39" t="s">
        <v>97</v>
      </c>
      <c r="L154" s="26" t="s">
        <v>96</v>
      </c>
      <c r="M154" s="29">
        <v>0.78</v>
      </c>
      <c r="U154" s="34"/>
      <c r="V154" s="34"/>
    </row>
    <row r="155" spans="1:22" s="33" customFormat="1" ht="102" x14ac:dyDescent="0.2">
      <c r="A155" s="25"/>
      <c r="B155" s="38"/>
      <c r="C155" s="39"/>
      <c r="D155" s="26"/>
      <c r="E155" s="46"/>
      <c r="F155" s="27"/>
      <c r="G155" s="27"/>
      <c r="H155" s="27"/>
      <c r="I155" s="27"/>
      <c r="J155" s="27"/>
      <c r="K155" s="39" t="s">
        <v>182</v>
      </c>
      <c r="L155" s="26" t="s">
        <v>14</v>
      </c>
      <c r="M155" s="41">
        <v>2.5400000000000002E-3</v>
      </c>
      <c r="U155" s="34"/>
      <c r="V155" s="34"/>
    </row>
    <row r="156" spans="1:22" s="33" customFormat="1" ht="38.25" x14ac:dyDescent="0.2">
      <c r="A156" s="25"/>
      <c r="B156" s="38"/>
      <c r="C156" s="39"/>
      <c r="D156" s="26"/>
      <c r="E156" s="45"/>
      <c r="F156" s="27"/>
      <c r="G156" s="27"/>
      <c r="H156" s="27"/>
      <c r="I156" s="27"/>
      <c r="J156" s="27"/>
      <c r="K156" s="39" t="s">
        <v>148</v>
      </c>
      <c r="L156" s="26" t="s">
        <v>96</v>
      </c>
      <c r="M156" s="29">
        <v>0.14000000000000001</v>
      </c>
      <c r="U156" s="34"/>
      <c r="V156" s="34"/>
    </row>
    <row r="157" spans="1:22" s="33" customFormat="1" ht="38.25" x14ac:dyDescent="0.2">
      <c r="A157" s="25"/>
      <c r="B157" s="38"/>
      <c r="C157" s="39"/>
      <c r="D157" s="26"/>
      <c r="E157" s="50"/>
      <c r="F157" s="27"/>
      <c r="G157" s="27"/>
      <c r="H157" s="27"/>
      <c r="I157" s="27"/>
      <c r="J157" s="27"/>
      <c r="K157" s="39" t="s">
        <v>56</v>
      </c>
      <c r="L157" s="26" t="s">
        <v>26</v>
      </c>
      <c r="M157" s="37">
        <v>2.8000000000000001E-2</v>
      </c>
      <c r="U157" s="34"/>
      <c r="V157" s="34"/>
    </row>
    <row r="158" spans="1:22" s="33" customFormat="1" ht="38.25" x14ac:dyDescent="0.2">
      <c r="A158" s="25">
        <f>IF(N158&lt;&gt;"",COUNTA(N$1:N158),"")</f>
        <v>76</v>
      </c>
      <c r="B158" s="26" t="s">
        <v>183</v>
      </c>
      <c r="C158" s="27"/>
      <c r="D158" s="28"/>
      <c r="E158" s="49"/>
      <c r="F158" s="27"/>
      <c r="G158" s="27"/>
      <c r="H158" s="27"/>
      <c r="I158" s="27"/>
      <c r="J158" s="27"/>
      <c r="K158" s="27" t="s">
        <v>184</v>
      </c>
      <c r="L158" s="28" t="s">
        <v>69</v>
      </c>
      <c r="M158" s="36">
        <v>2</v>
      </c>
      <c r="N158" s="32" t="s">
        <v>11</v>
      </c>
      <c r="U158" s="34"/>
      <c r="V158" s="34"/>
    </row>
    <row r="159" spans="1:22" s="33" customFormat="1" ht="25.5" x14ac:dyDescent="0.2">
      <c r="A159" s="25">
        <f>IF(N159&lt;&gt;"",COUNTA(N$1:N159),"")</f>
        <v>77</v>
      </c>
      <c r="B159" s="26" t="s">
        <v>185</v>
      </c>
      <c r="C159" s="27" t="s">
        <v>186</v>
      </c>
      <c r="D159" s="28" t="s">
        <v>69</v>
      </c>
      <c r="E159" s="49">
        <v>1</v>
      </c>
      <c r="F159" s="27"/>
      <c r="G159" s="27"/>
      <c r="H159" s="27"/>
      <c r="I159" s="27"/>
      <c r="J159" s="27"/>
      <c r="K159" s="30"/>
      <c r="L159" s="27" t="s">
        <v>15</v>
      </c>
      <c r="M159" s="31"/>
      <c r="N159" s="32" t="s">
        <v>11</v>
      </c>
      <c r="U159" s="34"/>
      <c r="V159" s="34"/>
    </row>
    <row r="160" spans="1:22" s="33" customFormat="1" ht="76.5" x14ac:dyDescent="0.2">
      <c r="A160" s="25"/>
      <c r="B160" s="38"/>
      <c r="C160" s="39"/>
      <c r="D160" s="26"/>
      <c r="E160" s="47"/>
      <c r="F160" s="27"/>
      <c r="G160" s="27"/>
      <c r="H160" s="27"/>
      <c r="I160" s="27"/>
      <c r="J160" s="27"/>
      <c r="K160" s="39" t="s">
        <v>97</v>
      </c>
      <c r="L160" s="26" t="s">
        <v>96</v>
      </c>
      <c r="M160" s="35">
        <v>0.5</v>
      </c>
      <c r="U160" s="34"/>
      <c r="V160" s="34"/>
    </row>
    <row r="161" spans="1:22" s="33" customFormat="1" ht="102" x14ac:dyDescent="0.2">
      <c r="A161" s="25"/>
      <c r="B161" s="38"/>
      <c r="C161" s="39"/>
      <c r="D161" s="26"/>
      <c r="E161" s="46"/>
      <c r="F161" s="27"/>
      <c r="G161" s="27"/>
      <c r="H161" s="27"/>
      <c r="I161" s="27"/>
      <c r="J161" s="27"/>
      <c r="K161" s="39" t="s">
        <v>182</v>
      </c>
      <c r="L161" s="26" t="s">
        <v>14</v>
      </c>
      <c r="M161" s="41">
        <v>1.99E-3</v>
      </c>
      <c r="U161" s="34"/>
      <c r="V161" s="34"/>
    </row>
    <row r="162" spans="1:22" s="33" customFormat="1" ht="38.25" x14ac:dyDescent="0.2">
      <c r="A162" s="25"/>
      <c r="B162" s="38"/>
      <c r="C162" s="39"/>
      <c r="D162" s="26"/>
      <c r="E162" s="45"/>
      <c r="F162" s="27"/>
      <c r="G162" s="27"/>
      <c r="H162" s="27"/>
      <c r="I162" s="27"/>
      <c r="J162" s="27"/>
      <c r="K162" s="39" t="s">
        <v>148</v>
      </c>
      <c r="L162" s="26" t="s">
        <v>96</v>
      </c>
      <c r="M162" s="29">
        <v>0.09</v>
      </c>
      <c r="U162" s="34"/>
      <c r="V162" s="34"/>
    </row>
    <row r="163" spans="1:22" s="33" customFormat="1" ht="38.25" x14ac:dyDescent="0.2">
      <c r="A163" s="25"/>
      <c r="B163" s="38"/>
      <c r="C163" s="39"/>
      <c r="D163" s="26"/>
      <c r="E163" s="50"/>
      <c r="F163" s="27"/>
      <c r="G163" s="27"/>
      <c r="H163" s="27"/>
      <c r="I163" s="27"/>
      <c r="J163" s="27"/>
      <c r="K163" s="39" t="s">
        <v>56</v>
      </c>
      <c r="L163" s="26" t="s">
        <v>26</v>
      </c>
      <c r="M163" s="37">
        <v>1.7999999999999999E-2</v>
      </c>
      <c r="U163" s="34"/>
      <c r="V163" s="34"/>
    </row>
    <row r="164" spans="1:22" s="33" customFormat="1" ht="63.75" x14ac:dyDescent="0.2">
      <c r="A164" s="25">
        <f>IF(N164&lt;&gt;"",COUNTA(N$1:N164),"")</f>
        <v>78</v>
      </c>
      <c r="B164" s="26" t="s">
        <v>187</v>
      </c>
      <c r="C164" s="27"/>
      <c r="D164" s="28"/>
      <c r="E164" s="49"/>
      <c r="F164" s="27"/>
      <c r="G164" s="27"/>
      <c r="H164" s="27"/>
      <c r="I164" s="27"/>
      <c r="J164" s="27"/>
      <c r="K164" s="27" t="s">
        <v>188</v>
      </c>
      <c r="L164" s="28" t="s">
        <v>69</v>
      </c>
      <c r="M164" s="36">
        <v>1</v>
      </c>
      <c r="N164" s="32" t="s">
        <v>11</v>
      </c>
      <c r="U164" s="34"/>
      <c r="V164" s="34"/>
    </row>
    <row r="165" spans="1:22" s="33" customFormat="1" ht="12.75" x14ac:dyDescent="0.2">
      <c r="A165" s="87" t="s">
        <v>189</v>
      </c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31"/>
      <c r="U165" s="34"/>
      <c r="V165" s="34" t="s">
        <v>189</v>
      </c>
    </row>
    <row r="166" spans="1:22" s="33" customFormat="1" ht="25.5" x14ac:dyDescent="0.2">
      <c r="A166" s="25">
        <f>IF(N166&lt;&gt;"",COUNTA(N$1:N166),"")</f>
        <v>79</v>
      </c>
      <c r="B166" s="26" t="s">
        <v>190</v>
      </c>
      <c r="C166" s="27" t="s">
        <v>103</v>
      </c>
      <c r="D166" s="28" t="s">
        <v>38</v>
      </c>
      <c r="E166" s="45">
        <v>792</v>
      </c>
      <c r="F166" s="27"/>
      <c r="G166" s="27"/>
      <c r="H166" s="27"/>
      <c r="I166" s="27"/>
      <c r="J166" s="27"/>
      <c r="K166" s="30"/>
      <c r="L166" s="27"/>
      <c r="M166" s="31"/>
      <c r="N166" s="32" t="s">
        <v>11</v>
      </c>
      <c r="U166" s="34"/>
      <c r="V166" s="34"/>
    </row>
    <row r="167" spans="1:22" s="33" customFormat="1" ht="12.75" x14ac:dyDescent="0.2">
      <c r="A167" s="25"/>
      <c r="B167" s="38"/>
      <c r="C167" s="39"/>
      <c r="D167" s="26"/>
      <c r="E167" s="46"/>
      <c r="F167" s="27"/>
      <c r="G167" s="27"/>
      <c r="H167" s="27"/>
      <c r="I167" s="27"/>
      <c r="J167" s="27"/>
      <c r="K167" s="39" t="s">
        <v>104</v>
      </c>
      <c r="L167" s="26" t="s">
        <v>14</v>
      </c>
      <c r="M167" s="41">
        <v>7.1279999999999996E-2</v>
      </c>
      <c r="U167" s="34"/>
      <c r="V167" s="34"/>
    </row>
    <row r="168" spans="1:22" s="33" customFormat="1" ht="25.5" x14ac:dyDescent="0.2">
      <c r="A168" s="25">
        <f>IF(N168&lt;&gt;"",COUNTA(N$1:N168),"")</f>
        <v>80</v>
      </c>
      <c r="B168" s="26" t="s">
        <v>191</v>
      </c>
      <c r="C168" s="27" t="s">
        <v>192</v>
      </c>
      <c r="D168" s="28" t="s">
        <v>38</v>
      </c>
      <c r="E168" s="45">
        <v>792</v>
      </c>
      <c r="F168" s="27"/>
      <c r="G168" s="27"/>
      <c r="H168" s="27"/>
      <c r="I168" s="27"/>
      <c r="J168" s="27"/>
      <c r="K168" s="30"/>
      <c r="L168" s="27"/>
      <c r="M168" s="31"/>
      <c r="N168" s="32" t="s">
        <v>11</v>
      </c>
      <c r="U168" s="34"/>
      <c r="V168" s="34"/>
    </row>
    <row r="169" spans="1:22" s="33" customFormat="1" ht="12.75" x14ac:dyDescent="0.2">
      <c r="A169" s="25"/>
      <c r="B169" s="38"/>
      <c r="C169" s="39"/>
      <c r="D169" s="26"/>
      <c r="E169" s="46"/>
      <c r="F169" s="27"/>
      <c r="G169" s="27"/>
      <c r="H169" s="27"/>
      <c r="I169" s="27"/>
      <c r="J169" s="27"/>
      <c r="K169" s="39" t="s">
        <v>193</v>
      </c>
      <c r="L169" s="26" t="s">
        <v>14</v>
      </c>
      <c r="M169" s="41">
        <v>7.1279999999999996E-2</v>
      </c>
      <c r="U169" s="34"/>
      <c r="V169" s="34"/>
    </row>
    <row r="170" spans="1:22" s="33" customFormat="1" ht="12.75" x14ac:dyDescent="0.2">
      <c r="A170" s="58"/>
      <c r="B170" s="59"/>
      <c r="C170" s="60"/>
      <c r="D170" s="61"/>
      <c r="E170" s="62"/>
      <c r="F170" s="63"/>
      <c r="G170" s="63"/>
      <c r="H170" s="63"/>
      <c r="I170" s="63"/>
      <c r="J170" s="63"/>
      <c r="K170" s="60" t="s">
        <v>194</v>
      </c>
      <c r="L170" s="61" t="s">
        <v>96</v>
      </c>
      <c r="M170" s="64">
        <v>11.087999999999999</v>
      </c>
      <c r="U170" s="34"/>
      <c r="V170" s="34"/>
    </row>
    <row r="171" spans="1:22" s="33" customFormat="1" ht="12.75" x14ac:dyDescent="0.2">
      <c r="A171" s="78" t="s">
        <v>204</v>
      </c>
      <c r="B171" s="77"/>
      <c r="C171" s="77"/>
      <c r="D171" s="73"/>
      <c r="E171" s="74"/>
      <c r="F171" s="75"/>
      <c r="G171" s="75"/>
      <c r="H171" s="75"/>
      <c r="I171" s="75"/>
      <c r="J171" s="75"/>
      <c r="K171" s="72"/>
      <c r="L171" s="73"/>
      <c r="M171" s="76"/>
      <c r="U171" s="34"/>
      <c r="V171" s="34"/>
    </row>
    <row r="172" spans="1:22" s="33" customFormat="1" ht="12.75" x14ac:dyDescent="0.2">
      <c r="A172" s="65"/>
      <c r="B172" s="66"/>
      <c r="C172" s="67" t="s">
        <v>205</v>
      </c>
      <c r="D172" s="68" t="s">
        <v>26</v>
      </c>
      <c r="E172" s="69">
        <v>8.16</v>
      </c>
      <c r="F172" s="70"/>
      <c r="G172" s="70"/>
      <c r="H172" s="70"/>
      <c r="I172" s="70"/>
      <c r="J172" s="70"/>
      <c r="K172" s="67"/>
      <c r="L172" s="68"/>
      <c r="M172" s="71"/>
      <c r="U172" s="34"/>
      <c r="V172" s="34"/>
    </row>
    <row r="173" spans="1:22" s="33" customFormat="1" ht="13.5" customHeight="1" x14ac:dyDescent="0.2">
      <c r="A173" s="25"/>
      <c r="B173" s="38"/>
      <c r="C173" s="39" t="s">
        <v>206</v>
      </c>
      <c r="D173" s="26" t="s">
        <v>207</v>
      </c>
      <c r="E173" s="47">
        <v>20.399999999999999</v>
      </c>
      <c r="F173" s="27"/>
      <c r="G173" s="27"/>
      <c r="H173" s="27"/>
      <c r="I173" s="27"/>
      <c r="J173" s="27"/>
      <c r="K173" s="31"/>
      <c r="L173" s="31"/>
      <c r="M173" s="31"/>
      <c r="U173" s="34"/>
      <c r="V173" s="34"/>
    </row>
    <row r="174" spans="1:22" customFormat="1" ht="36.75" customHeight="1" x14ac:dyDescent="0.25">
      <c r="E174" s="48"/>
    </row>
    <row r="175" spans="1:22" s="86" customFormat="1" ht="24.75" customHeight="1" x14ac:dyDescent="0.25">
      <c r="A175" s="83"/>
      <c r="B175" s="84" t="s">
        <v>216</v>
      </c>
      <c r="C175" s="85"/>
      <c r="G175" s="86" t="s">
        <v>217</v>
      </c>
    </row>
    <row r="176" spans="1:22" s="86" customFormat="1" ht="33" customHeight="1" x14ac:dyDescent="0.25">
      <c r="A176" s="83"/>
      <c r="B176" s="84" t="s">
        <v>218</v>
      </c>
      <c r="C176" s="85"/>
      <c r="G176" s="86" t="s">
        <v>219</v>
      </c>
    </row>
    <row r="177" spans="1:7" s="86" customFormat="1" ht="36" customHeight="1" x14ac:dyDescent="0.25">
      <c r="A177" s="83"/>
      <c r="B177" s="84" t="s">
        <v>220</v>
      </c>
      <c r="C177" s="84"/>
      <c r="G177" s="86" t="s">
        <v>221</v>
      </c>
    </row>
  </sheetData>
  <mergeCells count="8">
    <mergeCell ref="A106:L106"/>
    <mergeCell ref="A152:L152"/>
    <mergeCell ref="A165:L165"/>
    <mergeCell ref="A9:L9"/>
    <mergeCell ref="A15:L15"/>
    <mergeCell ref="A16:L16"/>
    <mergeCell ref="A83:L83"/>
    <mergeCell ref="A101:L101"/>
  </mergeCells>
  <printOptions horizontalCentered="1"/>
  <pageMargins left="0" right="0" top="0.19685039370078741" bottom="0" header="0.19685039370078741" footer="0.19685039370078741"/>
  <pageSetup paperSize="9" scale="90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Циркводовода ресурс - Ведомость</vt:lpstr>
      <vt:lpstr>'Циркводовода ресурс - Ведомость'!Заголовки_для_печати</vt:lpstr>
      <vt:lpstr>'Циркводовода ресурс - Ведомость'!Область_печати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Авдеева Ольга Владимировна</cp:lastModifiedBy>
  <cp:lastPrinted>2025-08-08T04:57:46Z</cp:lastPrinted>
  <dcterms:created xsi:type="dcterms:W3CDTF">2020-09-30T08:50:27Z</dcterms:created>
  <dcterms:modified xsi:type="dcterms:W3CDTF">2025-09-03T09:20:42Z</dcterms:modified>
</cp:coreProperties>
</file>