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Закупки актуальные\Актуальные закупки\2026\Сорокина\_Многолотовые\СГРЭС (1000505712_1000506420_) + НГРЭС_1000507565 _ отводы\1_Закупочная документация\Публикация\"/>
    </mc:Choice>
  </mc:AlternateContent>
  <workbookProtection workbookAlgorithmName="SHA-512" workbookHashValue="byFNPGv/1MVe/6550d3b6Kd30ZnrvRlbg6pMDh/EUyDFT5Soaq2ZIOAonveaLzpv7fe6g/NdhCR6EwpA6A0OXw==" workbookSaltValue="7YPlt6ypfz3hC6x4frf+Uw==" workbookSpinCount="100000" lockStructure="1"/>
  <bookViews>
    <workbookView xWindow="0" yWindow="0" windowWidth="19200" windowHeight="6900"/>
  </bookViews>
  <sheets>
    <sheet name="1" sheetId="1" r:id="rId1"/>
    <sheet name="Экспорт" sheetId="2" state="hidden" r:id="rId2"/>
  </sheets>
  <definedNames>
    <definedName name="_AMO_UniqueIdentifier" hidden="1">"'9173c995-4706-4134-9ae9-ffcd566cb937'"</definedName>
    <definedName name="_xlnm._FilterDatabase" localSheetId="0" hidden="1">'1'!$A$38:$N$47</definedName>
    <definedName name="n_1">{"","одинz","дваz","триz","четыреz","пятьz","шестьz","семьz","восемьz","девятьz"}</definedName>
    <definedName name="n_2">{"десятьz","одиннадцатьz","двенадцатьz","тринадцатьz","четырнадцатьz","пятнадцатьz","шестнадцатьz","семнадцатьz","восемнадцатьz","девятнадцатьz"}</definedName>
    <definedName name="n_3">{"";1;"двадцатьz";"тридцатьz";"сорокz";"пятьдесятz";"шестьдесятz";"семьдесятz";"восемьдесятz";"девяностоz"}</definedName>
    <definedName name="n_4">{"","стоz","двестиz","тристаz","четырестаz","пятьсотz","шестьсотz","семьсотz","восемьсотz","девятьсотz"}</definedName>
    <definedName name="n_5">{"","однаz","двеz","триz","четыреz","пятьz","шестьz","семьz","восемьz","девятьz"}</definedName>
    <definedName name="n0">"000000000000"&amp;MID(1/2,2,1)&amp;"00"</definedName>
    <definedName name="n0x">IF(n_3=1,n_2,n_3&amp;n_1)</definedName>
    <definedName name="n1x">IF(n_3=1,n_2,n_3&amp;n_5)</definedName>
    <definedName name="мил">{0,"овz";1,"z";2,"аz";5,"овz"}</definedName>
    <definedName name="_xlnm.Print_Area" localSheetId="0">'1'!$A$1:$N$53</definedName>
    <definedName name="тыс">{0,"тысячz";1,"тысячаz";2,"тысячиz";5,"тысячz"}</definedName>
  </definedName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6" i="1" l="1"/>
  <c r="K45" i="1"/>
  <c r="K47" i="1" l="1"/>
  <c r="AZ17" i="2" l="1"/>
  <c r="AM2" i="2" s="1"/>
  <c r="AZ16" i="2"/>
  <c r="AU8" i="2"/>
  <c r="AU7" i="2"/>
  <c r="AU6" i="2"/>
  <c r="AU5" i="2"/>
  <c r="AU4" i="2"/>
  <c r="AU3" i="2"/>
  <c r="AU2" i="2"/>
  <c r="AS2" i="2"/>
  <c r="AR2" i="2"/>
  <c r="AQ2" i="2"/>
  <c r="AP2" i="2"/>
  <c r="AO2" i="2"/>
  <c r="AN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S2" i="2"/>
  <c r="T2" i="2" s="1"/>
  <c r="O2" i="2"/>
  <c r="N2" i="2"/>
  <c r="Q2" i="2" s="1"/>
  <c r="L2" i="2"/>
  <c r="K2" i="2"/>
  <c r="J2" i="2"/>
  <c r="H2" i="2"/>
  <c r="I2" i="2" s="1"/>
  <c r="G2" i="2"/>
  <c r="F2" i="2"/>
  <c r="A2" i="2"/>
  <c r="AB82" i="1"/>
  <c r="AB81" i="1"/>
  <c r="AB80" i="1"/>
  <c r="AA80" i="1"/>
  <c r="AD80" i="1" s="1"/>
  <c r="AB79" i="1"/>
  <c r="AB78" i="1"/>
  <c r="X78" i="1"/>
  <c r="V78" i="1"/>
  <c r="AB77" i="1"/>
  <c r="T75" i="1"/>
  <c r="T74" i="1"/>
  <c r="T73" i="1"/>
  <c r="T72" i="1"/>
  <c r="X2" i="2" s="1"/>
  <c r="Y2" i="2" s="1"/>
  <c r="B2" i="2"/>
  <c r="A47" i="1"/>
  <c r="A45" i="1"/>
  <c r="K38" i="1"/>
  <c r="J38" i="1"/>
  <c r="K20" i="1"/>
  <c r="H20" i="1"/>
  <c r="E2" i="2" l="1"/>
  <c r="D2" i="2"/>
  <c r="C2" i="2"/>
  <c r="R2" i="2"/>
  <c r="AA77" i="1"/>
  <c r="K46" i="1"/>
  <c r="AE81" i="1"/>
  <c r="AE82" i="1"/>
  <c r="AE80" i="1"/>
  <c r="AC82" i="1"/>
  <c r="P2" i="2"/>
  <c r="AC80" i="1"/>
  <c r="AC81" i="1"/>
  <c r="M2" i="2"/>
  <c r="T78" i="1" l="1"/>
  <c r="AC78" i="1"/>
  <c r="AC79" i="1"/>
  <c r="AD77" i="1"/>
  <c r="AC77" i="1"/>
  <c r="V2" i="2"/>
  <c r="AT23" i="2" s="1"/>
  <c r="AT19" i="2"/>
  <c r="AV25" i="2" l="1"/>
  <c r="AV24" i="2"/>
  <c r="AV23" i="2"/>
  <c r="W2" i="2" s="1"/>
  <c r="AV21" i="2"/>
  <c r="AV20" i="2"/>
  <c r="AV19" i="2"/>
  <c r="U2" i="2" s="1"/>
  <c r="AE79" i="1"/>
  <c r="AE77" i="1"/>
  <c r="T77" i="1" s="1"/>
  <c r="AE78" i="1"/>
</calcChain>
</file>

<file path=xl/comments1.xml><?xml version="1.0" encoding="utf-8"?>
<comments xmlns="http://schemas.openxmlformats.org/spreadsheetml/2006/main">
  <authors>
    <author>Kuligin Alexander (OGK5 RG)</author>
  </authors>
  <commentList>
    <comment ref="D8" authorId="0" shapeId="0">
      <text>
        <r>
          <rPr>
            <b/>
            <sz val="8"/>
            <color indexed="81"/>
            <rFont val="Tahoma"/>
            <family val="2"/>
            <charset val="204"/>
          </rPr>
          <t>Kuligin Alexander (OGK5 RG):</t>
        </r>
        <r>
          <rPr>
            <sz val="8"/>
            <color indexed="81"/>
            <rFont val="Tahoma"/>
            <family val="2"/>
            <charset val="204"/>
          </rPr>
          <t xml:space="preserve">
Устава/доверенности №___ от _______</t>
        </r>
      </text>
    </comment>
    <comment ref="G20" authorId="0" shapeId="0">
      <text>
        <r>
          <rPr>
            <b/>
            <sz val="8"/>
            <color indexed="81"/>
            <rFont val="Tahoma"/>
            <family val="2"/>
            <charset val="204"/>
          </rPr>
          <t>Kuligin Alexander (OGK5 RG):</t>
        </r>
        <r>
          <rPr>
            <sz val="8"/>
            <color indexed="81"/>
            <rFont val="Tahoma"/>
            <family val="2"/>
            <charset val="204"/>
          </rPr>
          <t xml:space="preserve">
размер аванса</t>
        </r>
      </text>
    </comment>
    <comment ref="J20" authorId="0" shapeId="0">
      <text>
        <r>
          <rPr>
            <b/>
            <sz val="8"/>
            <color indexed="81"/>
            <rFont val="Tahoma"/>
            <family val="2"/>
            <charset val="204"/>
          </rPr>
          <t>Kuligin Alexander (OGK5 RG):</t>
        </r>
        <r>
          <rPr>
            <sz val="8"/>
            <color indexed="81"/>
            <rFont val="Tahoma"/>
            <family val="2"/>
            <charset val="204"/>
          </rPr>
          <t xml:space="preserve">
отстрочка второго платежа в днях</t>
        </r>
      </text>
    </comment>
    <comment ref="B33" authorId="0" shapeId="0">
      <text>
        <r>
          <rPr>
            <b/>
            <sz val="8"/>
            <color indexed="81"/>
            <rFont val="Tahoma"/>
            <family val="2"/>
            <charset val="204"/>
          </rPr>
          <t>Kuligin Alexander (OGK5 RG):</t>
        </r>
        <r>
          <rPr>
            <sz val="8"/>
            <color indexed="81"/>
            <rFont val="Tahoma"/>
            <family val="2"/>
            <charset val="204"/>
          </rPr>
          <t xml:space="preserve">
связанное с соблюдением технических норм загрузки/упаковки</t>
        </r>
      </text>
    </comment>
  </commentList>
</comments>
</file>

<file path=xl/sharedStrings.xml><?xml version="1.0" encoding="utf-8"?>
<sst xmlns="http://schemas.openxmlformats.org/spreadsheetml/2006/main" count="253" uniqueCount="189">
  <si>
    <t>Реквизиты юридического лица</t>
  </si>
  <si>
    <t>Р/с</t>
  </si>
  <si>
    <t>К/с</t>
  </si>
  <si>
    <t>Банк</t>
  </si>
  <si>
    <t>БИК</t>
  </si>
  <si>
    <t xml:space="preserve"> ПРЕДЛОЖЕНИЕ НА ПОСТАВКУ ПРОДУКЦИИ</t>
  </si>
  <si>
    <t>УСЛОВИЯ ОПЛАТЫ</t>
  </si>
  <si>
    <t>УСЛОВИЯ ПОСТАВКИ:</t>
  </si>
  <si>
    <r>
      <t>·</t>
    </r>
    <r>
      <rPr>
        <sz val="11"/>
        <color indexed="8"/>
        <rFont val="Calibri"/>
        <family val="2"/>
        <charset val="204"/>
      </rPr>
      <t>         Пункт отправления груза при поставке:</t>
    </r>
  </si>
  <si>
    <t xml:space="preserve">·         Условия поставки: </t>
  </si>
  <si>
    <r>
      <t xml:space="preserve">.         </t>
    </r>
    <r>
      <rPr>
        <b/>
        <sz val="11"/>
        <rFont val="Calibri"/>
        <family val="2"/>
        <charset val="204"/>
      </rPr>
      <t>Срок поставки:</t>
    </r>
  </si>
  <si>
    <r>
      <t>·</t>
    </r>
    <r>
      <rPr>
        <sz val="11"/>
        <color indexed="8"/>
        <rFont val="Calibri"/>
        <family val="2"/>
        <charset val="204"/>
      </rPr>
      <t>         Гарантийный срок:</t>
    </r>
  </si>
  <si>
    <r>
      <t>·</t>
    </r>
    <r>
      <rPr>
        <sz val="11"/>
        <color indexed="8"/>
        <rFont val="Calibri"/>
        <family val="2"/>
        <charset val="204"/>
      </rPr>
      <t>         Дата изготовления</t>
    </r>
  </si>
  <si>
    <r>
      <t>·</t>
    </r>
    <r>
      <rPr>
        <sz val="11"/>
        <color indexed="8"/>
        <rFont val="Calibri"/>
        <family val="2"/>
        <charset val="204"/>
      </rPr>
      <t xml:space="preserve">         </t>
    </r>
    <r>
      <rPr>
        <b/>
        <sz val="11"/>
        <color indexed="8"/>
        <rFont val="Calibri"/>
        <family val="2"/>
        <charset val="204"/>
      </rPr>
      <t xml:space="preserve">Обязательства по качеству </t>
    </r>
  </si>
  <si>
    <t>По позициям, которые Участник не может поставить, в ячейке «наименование» делается отметка – «не предлагаем», с описанием причины невозможности поставки.</t>
  </si>
  <si>
    <t>№</t>
  </si>
  <si>
    <t>№ SAP</t>
  </si>
  <si>
    <t>Наименование</t>
  </si>
  <si>
    <t>Ед. изм.</t>
  </si>
  <si>
    <t xml:space="preserve">Кол-во </t>
  </si>
  <si>
    <t>Руководитель:</t>
  </si>
  <si>
    <t>Подпись:</t>
  </si>
  <si>
    <t>Печать</t>
  </si>
  <si>
    <t>срок поставки, календ. дн.</t>
  </si>
  <si>
    <t xml:space="preserve">Полное наименование </t>
  </si>
  <si>
    <t>Краткое наименование</t>
  </si>
  <si>
    <t>Номер договора</t>
  </si>
  <si>
    <t>дата договора</t>
  </si>
  <si>
    <t>Подписант ЭР</t>
  </si>
  <si>
    <t>Директора по закупкам Гринькива Антона Тарасовича, действующего на основании Доверенности № 123/2015 от 10.06.2015 г.</t>
  </si>
  <si>
    <t>Контрагент кратко</t>
  </si>
  <si>
    <t>контрагент полное имя</t>
  </si>
  <si>
    <t>доверенность/устав</t>
  </si>
  <si>
    <t>Место подписания</t>
  </si>
  <si>
    <t>г. Москва</t>
  </si>
  <si>
    <t>менеджера группы закупок филиала «Невинномысская ГРЭС» Кулигина Александра Владимировича, действующего на основании доверенности №149/2015 от 03.07.2015 г.</t>
  </si>
  <si>
    <t>Источники</t>
  </si>
  <si>
    <t>Генерального директора Карло Палашано Вилламанья, действующего на основании Устава</t>
  </si>
  <si>
    <t>г. Невинномысск</t>
  </si>
  <si>
    <t>г. Среднеуральск</t>
  </si>
  <si>
    <t>г. Конаково</t>
  </si>
  <si>
    <t>Подписант ФИО</t>
  </si>
  <si>
    <t>Подписант должность</t>
  </si>
  <si>
    <t>Предмет</t>
  </si>
  <si>
    <t>филиал</t>
  </si>
  <si>
    <t>в лице своих филиалов</t>
  </si>
  <si>
    <t>Срок поставки</t>
  </si>
  <si>
    <t>исполнение в лице</t>
  </si>
  <si>
    <t>«Среднеуральская ГРЭС»</t>
  </si>
  <si>
    <t>в лице своего филиала</t>
  </si>
  <si>
    <t/>
  </si>
  <si>
    <t>«Рефтинская ГРЭС»</t>
  </si>
  <si>
    <t>«Конаковская ГРЭС»</t>
  </si>
  <si>
    <t>«Невинномысская ГРЭС»</t>
  </si>
  <si>
    <t>«Центральный офис»</t>
  </si>
  <si>
    <t>Менеджер ТМЦ
Стрижакова Ирина Александровна
Irina.Strizhakova@enel.com
+7 (86554) 50403,
вн. 24-03</t>
  </si>
  <si>
    <t>Менеджер ТМЦ
Дубровина Наталья Валентиновна
Natalia.Dubrovina@enel.com
+7 34365 3 6713</t>
  </si>
  <si>
    <t>Менеджер ТМЦ
Андреев Дмитрий Николаевич
Dmitry.Andreev@enel.com
+7 34368 2 5367</t>
  </si>
  <si>
    <t>Контактное лицо ЭР</t>
  </si>
  <si>
    <t>Время прибытия</t>
  </si>
  <si>
    <t>По согласованию с Грузополучателем</t>
  </si>
  <si>
    <t>Понедельник – среда: до 16-00;
Пятница до 15-00;
по предпраздничным дням – до 12-00.</t>
  </si>
  <si>
    <t>Понедельник – четверг: до 16-00;
Пятница до 15-00;
по предпраздничным дням – до 12-00.</t>
  </si>
  <si>
    <t>Стоимость цифрами</t>
  </si>
  <si>
    <t>Стоимость прописью</t>
  </si>
  <si>
    <t>НДС цифрами</t>
  </si>
  <si>
    <t>НДС прописью</t>
  </si>
  <si>
    <t>n_1</t>
  </si>
  <si>
    <t>={"";"одинz";"дваz";"триz";"четыреz";"пятьz";"шестьz";"семьz";"восемьz";"девятьz"}</t>
  </si>
  <si>
    <t>n_2</t>
  </si>
  <si>
    <t>={"десятьz";"одиннадцатьz";"двенадцатьz";"тринадцатьz";"четырнадцатьz";"пятнадцатьz";"шестнадцатьz";"семнадцатьz";"восемнадцатьz";"девятнадцатьz"}</t>
  </si>
  <si>
    <t>n_3</t>
  </si>
  <si>
    <t>={"":1:"двадцатьz":"тридцатьz":"сорокz":"пятьдесятz":"шестьдесятz":"семьдесятz":"восемьдесятz":"девяностоz"}</t>
  </si>
  <si>
    <t>n_4</t>
  </si>
  <si>
    <t>={"";"стоz";"двестиz";"тристаz";"четырестаz";"пятьсотz";"шестьсотz";"семьсотz";"восемьсотz";"девятьсотz"}</t>
  </si>
  <si>
    <t>n_5</t>
  </si>
  <si>
    <t>={"";"однаz";"двеz";"триz";"четыреz";"пятьz";"шестьz";"семьz";"восемьz";"девятьz"}</t>
  </si>
  <si>
    <t>п. Рефтинский</t>
  </si>
  <si>
    <t>2-го числа после истечения 2 мес от даты фактуры</t>
  </si>
  <si>
    <t>2-го числа после истечения 3 мес от даты фактуры</t>
  </si>
  <si>
    <t>аванс х%, постоплата y% в течение z дней</t>
  </si>
  <si>
    <t>аванс х рублей, постоплата y рублей в течение z дней</t>
  </si>
  <si>
    <t>Условия оплаты по договору поставки:</t>
  </si>
  <si>
    <t>%</t>
  </si>
  <si>
    <t>рублей</t>
  </si>
  <si>
    <t>дней</t>
  </si>
  <si>
    <t>ВАЛЮТА</t>
  </si>
  <si>
    <t>Рубли</t>
  </si>
  <si>
    <t>Доллары</t>
  </si>
  <si>
    <t>евро</t>
  </si>
  <si>
    <t>руб.</t>
  </si>
  <si>
    <t>USD</t>
  </si>
  <si>
    <t>EUR</t>
  </si>
  <si>
    <t>долларов</t>
  </si>
  <si>
    <t xml:space="preserve">
Оплата производится в рублях по курсу ЦБ РФ на день оплаты.</t>
  </si>
  <si>
    <t xml:space="preserve"> (десяти)</t>
  </si>
  <si>
    <t xml:space="preserve"> (тридцати)</t>
  </si>
  <si>
    <t xml:space="preserve"> (шестидесяти)</t>
  </si>
  <si>
    <t xml:space="preserve"> (девяноста)</t>
  </si>
  <si>
    <t>Условия оплаты</t>
  </si>
  <si>
    <t>Юр. адрес</t>
  </si>
  <si>
    <t>Почт. Адрес</t>
  </si>
  <si>
    <t>тел.общий</t>
  </si>
  <si>
    <t>e-mail общ.</t>
  </si>
  <si>
    <t>ИНН</t>
  </si>
  <si>
    <t>КПП</t>
  </si>
  <si>
    <t>р/с</t>
  </si>
  <si>
    <t>к/с</t>
  </si>
  <si>
    <t>банк</t>
  </si>
  <si>
    <t>Контактное лицо</t>
  </si>
  <si>
    <t>e-mail конт лица.</t>
  </si>
  <si>
    <t>Реквизиты ЭР</t>
  </si>
  <si>
    <t>А.Т. Гринькив</t>
  </si>
  <si>
    <t>А.В. Кулигин</t>
  </si>
  <si>
    <t>С.В. Рассказова</t>
  </si>
  <si>
    <t>И.А. Денисенко</t>
  </si>
  <si>
    <t>Г.А. Никифорова</t>
  </si>
  <si>
    <t>К. Палашано Вилламанья</t>
  </si>
  <si>
    <t>для нужд филиала «Среднеуральская ГРЭС» ПАО «Энел Россия»</t>
  </si>
  <si>
    <t>для нужд филиала «Невинномысская ГРЭС» ПАО «Энел Россия»</t>
  </si>
  <si>
    <t>для нужд филиала «Рефтинская ГРЭС» ПАО «Энел Россия»</t>
  </si>
  <si>
    <t>для нужд филиала «Конаковская ГРЭС» ПАО «Энел Россия»</t>
  </si>
  <si>
    <t>для нужд филиала «Центральный офис» ПАО «Энел Россия»</t>
  </si>
  <si>
    <t>для нужд филиалов ПАО «Энел Россия»</t>
  </si>
  <si>
    <t>ФИО руководителя (подписант)</t>
  </si>
  <si>
    <t>Должность руководителя</t>
  </si>
  <si>
    <t>действует на основании</t>
  </si>
  <si>
    <t>Контактное лицо на этапе закупочной процедуры</t>
  </si>
  <si>
    <t>Телефон</t>
  </si>
  <si>
    <t>e-mail</t>
  </si>
  <si>
    <t>Контактное лицо на этапе исполнения договора</t>
  </si>
  <si>
    <t>Юридический адрес</t>
  </si>
  <si>
    <t>Почтовый адрес</t>
  </si>
  <si>
    <t>тел./факс</t>
  </si>
  <si>
    <t>Подписант ФИО кратко</t>
  </si>
  <si>
    <t>Тел. Конт.лица</t>
  </si>
  <si>
    <t>115093, г. Москва, ул. Павловская, дом 7, строение 1</t>
  </si>
  <si>
    <t>357107, Ставропольский край, г. Невинномысск, ул. Энергетиков, 2</t>
  </si>
  <si>
    <t>624070, Свердловская обл., г. Среднеуральск, ул. Ленина, 2</t>
  </si>
  <si>
    <t>624285, РФ, Свердловская область, г. Асбест, пос. Рефтинский</t>
  </si>
  <si>
    <t>171252, Тверская обл.,г.Конаково, ул. Промышленная, д.12</t>
  </si>
  <si>
    <t>Филиал «Среднеуральская ГРЭС» ПАО «Энел Россия»
624070, Свердловская обл., г. Среднеуральск, ул. Ленина, 2
ИНН 6671156423 / КПП 660602001
Тел. (34368)25946, Факс: (343) 3595445</t>
  </si>
  <si>
    <t xml:space="preserve">Филиал «Рефтинская ГРЭС» ПАО «Энел Россия»:
624285, РФ, Свердловская область, г. Асбест, пос. Рефтинский
ИНН 6671156423 / КПП 660302001
Тел. (34365)22471, Факс: (34365) 33799
</t>
  </si>
  <si>
    <t>Филиал «Конаковская ГРЭС» ПАО «Энел Россия»: 
171252, Тверская обл.,г.Конаково, ул. Промышленная, д.12
ИНН/КПП: 6671156423/691102001
Тел./факс: (48242) 3-83-59
Тел. (48242) 3-83-50, 3-83-59</t>
  </si>
  <si>
    <t>Филиал «Невинномысская ГРЭС» ПАО «Энел Россия»:
357107, Ставропольский край, г. Невинномысск, ул. Энергетиков, 2
ИНН 6671156423 / КПП 263102001
Тел. (86554)50359, Факс: (86554) 78658</t>
  </si>
  <si>
    <t>Подписант ЭР кратко</t>
  </si>
  <si>
    <t>Поставка +-</t>
  </si>
  <si>
    <t>·         Допустимое отклонение в объеме поставленной продукции, %</t>
  </si>
  <si>
    <t>Оговорка по поставке+-</t>
  </si>
  <si>
    <t>Адрес филиала</t>
  </si>
  <si>
    <t>Условия поставки</t>
  </si>
  <si>
    <t>Гар. Срок</t>
  </si>
  <si>
    <t>Дата изготовления</t>
  </si>
  <si>
    <t>менеджера группы закупок филиала «Рефтинская ГРЭС» Денисенко Ирины Анатольевны, действующего на основании доверенности №17/2016 от 26.01.2016 г.</t>
  </si>
  <si>
    <t>менеджера группы закупок филиала «Конаковская ГРЭС» Никифоровой Галины Анатольевны, действующего на основании доверенности №262/2015 от 02.10.2015 г.</t>
  </si>
  <si>
    <t>менеджера группы закупок филиала «Среднеуральская ГРЭС» Рассказовой Светланы Валерьевны, действующего на основании доверенности №150/2015 от 03.07.2015 г.</t>
  </si>
  <si>
    <t>Исполняющего обязанности Директора по закупкам Томильцева Владимира Александровича, действующего на основании Доверенности  №319/2015 от 26.11.2015 г.</t>
  </si>
  <si>
    <t>В.А. Томильцев</t>
  </si>
  <si>
    <t>срок действия договора</t>
  </si>
  <si>
    <t>2-го числа после истечения 1 мес от даты фактуры</t>
  </si>
  <si>
    <t>10 рабочих дней после поставки</t>
  </si>
  <si>
    <t>другие условия оплаты</t>
  </si>
  <si>
    <t>указать вручную</t>
  </si>
  <si>
    <t>Условия оплаты РД</t>
  </si>
  <si>
    <t>Устава/ Доверенности №__ от _____</t>
  </si>
  <si>
    <t xml:space="preserve">      </t>
  </si>
  <si>
    <t>ПКК</t>
  </si>
  <si>
    <t>·         Предоставление Плана контроля качества</t>
  </si>
  <si>
    <t>Срок поставки, дней</t>
  </si>
  <si>
    <t>Менеджер по ТМЦ СПР УР
Константинова Наталья Ивановна Natalia.Konstantinova@enel.com
+748242 3 88-07</t>
  </si>
  <si>
    <t>Контактная информация Поставщика</t>
  </si>
  <si>
    <t>чертеж, тех. характеристики</t>
  </si>
  <si>
    <t>В управление по закупкам ПАО "ЭЛ5-Энерго"</t>
  </si>
  <si>
    <t>для нужд филиала «Среднеуральская ГРЭС» ПАО «ЭЛ5-Энерго»</t>
  </si>
  <si>
    <t>для нужд филиала «Невинномысская ГРЭС» ПАО «ЭЛ5-Энерго»</t>
  </si>
  <si>
    <t>для нужд филиала «Конаковская ГРЭС» ПАО «ЭЛ5-Энерго»</t>
  </si>
  <si>
    <t>для нужд филиала «Центральный офис» ПАО «ЭЛ5-Энерго»</t>
  </si>
  <si>
    <t>для нужд филиалов ПАО «ЭЛ5-Энерго»</t>
  </si>
  <si>
    <t xml:space="preserve"> Покупатель оплачивает стоимость поставленной продукции не позднее 2-го рабочего дня после истечения 3-х календарных месяцев с даты окончания месяца, в котором были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 или УПД) на поставленную продукцию, и предоставлен Поставщиком Покупателю соответствующий оригинал счета-фактуры на стоимость поставленной продукции</t>
  </si>
  <si>
    <t>* В столбце «Номер реестровой записи» участник указывает номер реестровой записи из реестра российской промышленной продукции или евразийского реестра промышленной продукции (или реестра российского программного обеспечения или реестра евразийского программного обеспечения). В случае отсутствия номера реестровой записи из соответствующего реестра, участник указывает «отсутствует».</t>
  </si>
  <si>
    <t>Страна происхождения товара</t>
  </si>
  <si>
    <t>Номер реестровой записи*</t>
  </si>
  <si>
    <t>Настоящим мы заявляем, что в случае победы нашего предложения, стоимость предлагаемой продукции, а также все условия, указанные в нашем коммерческом предложении, являются окончательными и изменению не подлежат до полного исполнения договорных обязательств.
Если наше предложение, изложенное выше, будет принято, мы берем на себя обязательство выполнить заказ и заключить договор, согласно приложению № 2 Извещения о проведении простой закупки.
Мы объявляем, что до подписания договора на выполнение заказа, настоящее предложение и Ваше уведомление о нашей победе будут считаться как имеющие силу договора между нами.
При невыполнении нами договорных обязательств, достигнутых в результате проведенной закупочной процедуры, ПАО «ЭЛ5-Энерго» имеет право в одностороннем порядке расторгнуть договор.</t>
  </si>
  <si>
    <t>Форма заключения договора</t>
  </si>
  <si>
    <t>в электронной форме с использованием программно-аппаратных средств электронной площадки</t>
  </si>
  <si>
    <t>выбрать способ заключения договора</t>
  </si>
  <si>
    <t>ОКПД2</t>
  </si>
  <si>
    <t>Производитель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</si>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</sst>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₽_-;\-* #,##0.00\ _₽_-;_-* &quot;-&quot;??\ _₽_-;_-@_-"/>
    <numFmt numFmtId="165" formatCode="#,##0.000"/>
    <numFmt numFmtId="166" formatCode="[$-F800]dddd\,\ mmmm\ dd\,\ yyyy"/>
  </numFmts>
  <fonts count="4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name val="Arial Cyr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2"/>
      <name val="Arial Cyr"/>
      <charset val="204"/>
    </font>
    <font>
      <b/>
      <sz val="14"/>
      <color theme="1"/>
      <name val="Calibri"/>
      <family val="2"/>
      <charset val="204"/>
      <scheme val="minor"/>
    </font>
    <font>
      <b/>
      <i/>
      <u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  <font>
      <i/>
      <sz val="11"/>
      <name val="Verdana"/>
      <family val="2"/>
      <charset val="204"/>
    </font>
    <font>
      <i/>
      <sz val="9"/>
      <name val="Verdana"/>
      <family val="2"/>
      <charset val="204"/>
    </font>
    <font>
      <i/>
      <sz val="12"/>
      <name val="Verdana"/>
      <family val="2"/>
      <charset val="204"/>
    </font>
    <font>
      <b/>
      <sz val="9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0"/>
      <name val="Calibri"/>
      <family val="2"/>
      <charset val="204"/>
      <scheme val="minor"/>
    </font>
    <font>
      <sz val="10"/>
      <name val="Helv"/>
    </font>
    <font>
      <sz val="10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u/>
      <sz val="10"/>
      <color theme="10"/>
      <name val="Arial Cyr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10"/>
      <name val="Arial Cyr"/>
      <charset val="204"/>
    </font>
    <font>
      <sz val="10"/>
      <color theme="0"/>
      <name val="Arial Cyr"/>
      <charset val="204"/>
    </font>
    <font>
      <b/>
      <sz val="10"/>
      <color theme="0"/>
      <name val="Arial Cyr"/>
      <charset val="204"/>
    </font>
    <font>
      <sz val="10"/>
      <color theme="0"/>
      <name val="Arial"/>
      <family val="2"/>
      <charset val="204"/>
    </font>
    <font>
      <b/>
      <i/>
      <sz val="10"/>
      <color rgb="FFFF0000"/>
      <name val="Arial Cyr"/>
      <charset val="204"/>
    </font>
    <font>
      <sz val="9"/>
      <name val="Arial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35" fillId="0" borderId="0"/>
    <xf numFmtId="0" fontId="36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9" fillId="0" borderId="0" applyNumberFormat="0" applyFill="0" applyBorder="0" applyAlignment="0" applyProtection="0"/>
    <xf numFmtId="164" fontId="42" fillId="0" borderId="0" applyFont="0" applyFill="0" applyBorder="0" applyAlignment="0" applyProtection="0"/>
  </cellStyleXfs>
  <cellXfs count="142">
    <xf numFmtId="0" fontId="0" fillId="0" borderId="0" xfId="0"/>
    <xf numFmtId="0" fontId="19" fillId="0" borderId="0" xfId="0" applyFont="1" applyProtection="1">
      <protection hidden="1"/>
    </xf>
    <xf numFmtId="0" fontId="0" fillId="0" borderId="0" xfId="0" applyProtection="1">
      <protection hidden="1"/>
    </xf>
    <xf numFmtId="165" fontId="21" fillId="0" borderId="0" xfId="0" applyNumberFormat="1" applyFont="1" applyProtection="1">
      <protection hidden="1"/>
    </xf>
    <xf numFmtId="0" fontId="0" fillId="0" borderId="0" xfId="0" applyAlignment="1" applyProtection="1">
      <alignment wrapText="1"/>
      <protection hidden="1"/>
    </xf>
    <xf numFmtId="0" fontId="0" fillId="0" borderId="0" xfId="0" applyFill="1" applyProtection="1">
      <protection hidden="1"/>
    </xf>
    <xf numFmtId="0" fontId="36" fillId="0" borderId="0" xfId="31" applyFont="1"/>
    <xf numFmtId="0" fontId="0" fillId="0" borderId="0" xfId="0" applyAlignment="1">
      <alignment wrapText="1"/>
    </xf>
    <xf numFmtId="0" fontId="18" fillId="0" borderId="0" xfId="0" applyFont="1"/>
    <xf numFmtId="166" fontId="0" fillId="0" borderId="0" xfId="0" applyNumberFormat="1" applyAlignment="1">
      <alignment wrapText="1"/>
    </xf>
    <xf numFmtId="0" fontId="18" fillId="0" borderId="0" xfId="0" applyFont="1" applyAlignment="1">
      <alignment wrapText="1"/>
    </xf>
    <xf numFmtId="0" fontId="36" fillId="0" borderId="0" xfId="0" applyFont="1"/>
    <xf numFmtId="0" fontId="0" fillId="0" borderId="0" xfId="0" quotePrefix="1"/>
    <xf numFmtId="0" fontId="0" fillId="0" borderId="0" xfId="0" applyNumberFormat="1"/>
    <xf numFmtId="0" fontId="36" fillId="0" borderId="0" xfId="0" quotePrefix="1" applyFont="1" applyAlignment="1">
      <alignment wrapText="1"/>
    </xf>
    <xf numFmtId="0" fontId="0" fillId="0" borderId="0" xfId="0" applyAlignment="1"/>
    <xf numFmtId="0" fontId="0" fillId="0" borderId="0" xfId="0" applyFont="1" applyFill="1" applyProtection="1">
      <protection hidden="1"/>
    </xf>
    <xf numFmtId="0" fontId="0" fillId="0" borderId="0" xfId="0" applyFont="1" applyFill="1"/>
    <xf numFmtId="0" fontId="0" fillId="0" borderId="0" xfId="0" applyFont="1" applyFill="1" applyAlignment="1" applyProtection="1">
      <protection hidden="1"/>
    </xf>
    <xf numFmtId="0" fontId="0" fillId="0" borderId="0" xfId="0" applyFont="1" applyFill="1" applyAlignment="1" applyProtection="1">
      <alignment wrapText="1"/>
      <protection hidden="1"/>
    </xf>
    <xf numFmtId="49" fontId="0" fillId="0" borderId="0" xfId="0" applyNumberFormat="1" applyAlignment="1">
      <alignment wrapText="1"/>
    </xf>
    <xf numFmtId="0" fontId="0" fillId="0" borderId="0" xfId="0" applyNumberFormat="1" applyAlignment="1">
      <alignment wrapText="1"/>
    </xf>
    <xf numFmtId="1" fontId="34" fillId="0" borderId="14" xfId="0" applyNumberFormat="1" applyFont="1" applyFill="1" applyBorder="1" applyAlignment="1" applyProtection="1">
      <alignment horizontal="center" wrapText="1"/>
      <protection locked="0"/>
    </xf>
    <xf numFmtId="0" fontId="0" fillId="0" borderId="10" xfId="0" applyFont="1" applyFill="1" applyBorder="1" applyAlignment="1" applyProtection="1">
      <alignment wrapText="1"/>
      <protection locked="0"/>
    </xf>
    <xf numFmtId="164" fontId="18" fillId="0" borderId="10" xfId="46" applyFont="1" applyFill="1" applyBorder="1" applyAlignment="1" applyProtection="1">
      <alignment wrapText="1"/>
      <protection locked="0"/>
    </xf>
    <xf numFmtId="0" fontId="43" fillId="0" borderId="0" xfId="0" applyFont="1" applyFill="1"/>
    <xf numFmtId="0" fontId="43" fillId="0" borderId="0" xfId="0" applyFont="1" applyFill="1" applyProtection="1">
      <protection hidden="1"/>
    </xf>
    <xf numFmtId="0" fontId="43" fillId="0" borderId="0" xfId="0" applyNumberFormat="1" applyFont="1" applyFill="1"/>
    <xf numFmtId="0" fontId="44" fillId="0" borderId="0" xfId="0" applyFont="1" applyFill="1"/>
    <xf numFmtId="0" fontId="43" fillId="0" borderId="0" xfId="0" applyFont="1" applyFill="1" applyAlignment="1">
      <alignment wrapText="1"/>
    </xf>
    <xf numFmtId="0" fontId="45" fillId="0" borderId="0" xfId="0" applyFont="1" applyFill="1"/>
    <xf numFmtId="0" fontId="43" fillId="0" borderId="0" xfId="0" applyFont="1" applyFill="1" applyAlignment="1" applyProtection="1">
      <alignment wrapText="1"/>
      <protection hidden="1"/>
    </xf>
    <xf numFmtId="0" fontId="43" fillId="0" borderId="0" xfId="0" applyFont="1" applyFill="1" applyAlignment="1" applyProtection="1">
      <protection hidden="1"/>
    </xf>
    <xf numFmtId="0" fontId="45" fillId="0" borderId="0" xfId="0" quotePrefix="1" applyFont="1" applyFill="1" applyAlignment="1"/>
    <xf numFmtId="0" fontId="43" fillId="0" borderId="0" xfId="0" applyFont="1" applyFill="1" applyAlignment="1"/>
    <xf numFmtId="0" fontId="0" fillId="0" borderId="0" xfId="0" applyProtection="1">
      <protection locked="0" hidden="1"/>
    </xf>
    <xf numFmtId="0" fontId="18" fillId="0" borderId="0" xfId="0" applyFont="1" applyProtection="1">
      <protection locked="0" hidden="1"/>
    </xf>
    <xf numFmtId="0" fontId="19" fillId="0" borderId="0" xfId="0" applyFont="1" applyProtection="1">
      <protection locked="0" hidden="1"/>
    </xf>
    <xf numFmtId="165" fontId="21" fillId="0" borderId="0" xfId="0" applyNumberFormat="1" applyFont="1" applyProtection="1">
      <protection locked="0" hidden="1"/>
    </xf>
    <xf numFmtId="0" fontId="20" fillId="0" borderId="0" xfId="0" applyFont="1" applyProtection="1">
      <protection locked="0" hidden="1"/>
    </xf>
    <xf numFmtId="0" fontId="19" fillId="0" borderId="0" xfId="0" applyFont="1" applyBorder="1" applyProtection="1">
      <protection locked="0" hidden="1"/>
    </xf>
    <xf numFmtId="0" fontId="19" fillId="0" borderId="0" xfId="0" applyFont="1" applyFill="1" applyBorder="1" applyProtection="1">
      <protection locked="0" hidden="1"/>
    </xf>
    <xf numFmtId="0" fontId="0" fillId="0" borderId="0" xfId="0" applyFill="1" applyProtection="1">
      <protection locked="0" hidden="1"/>
    </xf>
    <xf numFmtId="0" fontId="19" fillId="0" borderId="0" xfId="0" applyFont="1" applyFill="1" applyProtection="1">
      <protection locked="0" hidden="1"/>
    </xf>
    <xf numFmtId="0" fontId="0" fillId="0" borderId="0" xfId="0" applyFill="1" applyBorder="1" applyAlignment="1" applyProtection="1">
      <alignment horizontal="left"/>
      <protection locked="0" hidden="1"/>
    </xf>
    <xf numFmtId="0" fontId="0" fillId="0" borderId="0" xfId="0" applyFill="1" applyBorder="1" applyProtection="1">
      <protection locked="0" hidden="1"/>
    </xf>
    <xf numFmtId="165" fontId="21" fillId="0" borderId="0" xfId="0" applyNumberFormat="1" applyFont="1" applyFill="1" applyBorder="1" applyProtection="1">
      <protection locked="0" hidden="1"/>
    </xf>
    <xf numFmtId="0" fontId="16" fillId="0" borderId="0" xfId="0" applyFont="1" applyAlignment="1" applyProtection="1">
      <alignment horizontal="left"/>
      <protection locked="0" hidden="1"/>
    </xf>
    <xf numFmtId="0" fontId="0" fillId="33" borderId="0" xfId="0" applyFill="1" applyAlignment="1" applyProtection="1">
      <alignment horizontal="left"/>
      <protection locked="0" hidden="1"/>
    </xf>
    <xf numFmtId="0" fontId="0" fillId="0" borderId="0" xfId="0" applyFill="1" applyAlignment="1" applyProtection="1">
      <alignment horizontal="left"/>
      <protection locked="0" hidden="1"/>
    </xf>
    <xf numFmtId="0" fontId="0" fillId="33" borderId="0" xfId="0" applyFill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left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6" fillId="0" borderId="0" xfId="0" applyFont="1" applyProtection="1">
      <protection locked="0" hidden="1"/>
    </xf>
    <xf numFmtId="0" fontId="24" fillId="0" borderId="0" xfId="0" applyFont="1" applyAlignment="1" applyProtection="1">
      <alignment vertical="center"/>
      <protection locked="0" hidden="1"/>
    </xf>
    <xf numFmtId="0" fontId="24" fillId="0" borderId="0" xfId="0" applyFont="1" applyProtection="1">
      <protection locked="0" hidden="1"/>
    </xf>
    <xf numFmtId="0" fontId="28" fillId="0" borderId="0" xfId="0" applyFont="1" applyAlignment="1" applyProtection="1">
      <alignment horizontal="left" vertical="top"/>
      <protection locked="0" hidden="1"/>
    </xf>
    <xf numFmtId="0" fontId="29" fillId="0" borderId="0" xfId="0" applyFont="1" applyAlignment="1" applyProtection="1">
      <alignment horizontal="left" vertical="top"/>
      <protection locked="0" hidden="1"/>
    </xf>
    <xf numFmtId="165" fontId="30" fillId="0" borderId="0" xfId="0" applyNumberFormat="1" applyFont="1" applyAlignment="1" applyProtection="1">
      <alignment horizontal="left" vertical="top"/>
      <protection locked="0" hidden="1"/>
    </xf>
    <xf numFmtId="0" fontId="31" fillId="0" borderId="10" xfId="0" applyFont="1" applyFill="1" applyBorder="1" applyAlignment="1" applyProtection="1">
      <alignment horizontal="center" vertical="center" wrapText="1"/>
      <protection locked="0" hidden="1"/>
    </xf>
    <xf numFmtId="0" fontId="0" fillId="0" borderId="11" xfId="0" applyBorder="1" applyProtection="1">
      <protection locked="0" hidden="1"/>
    </xf>
    <xf numFmtId="165" fontId="21" fillId="0" borderId="0" xfId="0" applyNumberFormat="1" applyFont="1" applyAlignment="1" applyProtection="1">
      <protection locked="0" hidden="1"/>
    </xf>
    <xf numFmtId="0" fontId="29" fillId="0" borderId="0" xfId="0" applyFont="1" applyBorder="1" applyAlignment="1" applyProtection="1">
      <alignment horizontal="center"/>
      <protection locked="0" hidden="1"/>
    </xf>
    <xf numFmtId="14" fontId="19" fillId="0" borderId="0" xfId="0" applyNumberFormat="1" applyFont="1" applyProtection="1">
      <protection locked="0" hidden="1"/>
    </xf>
    <xf numFmtId="49" fontId="36" fillId="33" borderId="1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24" fillId="0" borderId="0" xfId="0" applyFont="1" applyAlignment="1" applyProtection="1">
      <alignment horizontal="left" vertical="center"/>
      <protection locked="0" hidden="1"/>
    </xf>
    <xf numFmtId="0" fontId="36" fillId="33" borderId="1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36" fillId="33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20" fillId="0" borderId="0" xfId="0" applyFont="1" applyAlignment="1" applyProtection="1">
      <alignment horizontal="center"/>
      <protection locked="0" hidden="1"/>
    </xf>
    <xf numFmtId="0" fontId="0" fillId="0" borderId="0" xfId="0" applyFont="1" applyFill="1" applyProtection="1">
      <protection locked="0"/>
    </xf>
    <xf numFmtId="0" fontId="0" fillId="0" borderId="0" xfId="0" applyFont="1" applyFill="1" applyProtection="1">
      <protection locked="0" hidden="1"/>
    </xf>
    <xf numFmtId="0" fontId="0" fillId="0" borderId="0" xfId="0" applyAlignment="1" applyProtection="1">
      <alignment wrapText="1"/>
      <protection locked="0" hidden="1"/>
    </xf>
    <xf numFmtId="0" fontId="0" fillId="0" borderId="0" xfId="0" applyProtection="1">
      <protection locked="0"/>
    </xf>
    <xf numFmtId="0" fontId="32" fillId="0" borderId="0" xfId="0" applyFont="1" applyFill="1" applyBorder="1" applyAlignment="1" applyProtection="1">
      <alignment horizontal="center" vertical="center" wrapText="1"/>
      <protection locked="0" hidden="1"/>
    </xf>
    <xf numFmtId="0" fontId="36" fillId="0" borderId="0" xfId="31" applyFont="1" applyProtection="1">
      <protection locked="0"/>
    </xf>
    <xf numFmtId="0" fontId="0" fillId="0" borderId="16" xfId="0" applyBorder="1" applyProtection="1">
      <protection locked="0" hidden="1"/>
    </xf>
    <xf numFmtId="0" fontId="19" fillId="0" borderId="16" xfId="0" applyFont="1" applyBorder="1" applyProtection="1">
      <protection locked="0" hidden="1"/>
    </xf>
    <xf numFmtId="165" fontId="21" fillId="0" borderId="16" xfId="0" applyNumberFormat="1" applyFont="1" applyBorder="1" applyProtection="1">
      <protection locked="0" hidden="1"/>
    </xf>
    <xf numFmtId="165" fontId="21" fillId="0" borderId="18" xfId="0" applyNumberFormat="1" applyFont="1" applyBorder="1" applyProtection="1">
      <protection locked="0" hidden="1"/>
    </xf>
    <xf numFmtId="0" fontId="0" fillId="0" borderId="19" xfId="0" applyBorder="1" applyProtection="1">
      <protection locked="0" hidden="1"/>
    </xf>
    <xf numFmtId="0" fontId="0" fillId="0" borderId="0" xfId="0" applyBorder="1" applyProtection="1">
      <protection locked="0" hidden="1"/>
    </xf>
    <xf numFmtId="165" fontId="21" fillId="0" borderId="0" xfId="0" applyNumberFormat="1" applyFont="1" applyBorder="1" applyProtection="1">
      <protection locked="0" hidden="1"/>
    </xf>
    <xf numFmtId="165" fontId="21" fillId="0" borderId="15" xfId="0" applyNumberFormat="1" applyFont="1" applyBorder="1" applyProtection="1">
      <protection locked="0" hidden="1"/>
    </xf>
    <xf numFmtId="0" fontId="0" fillId="0" borderId="20" xfId="0" applyBorder="1" applyProtection="1">
      <protection locked="0" hidden="1"/>
    </xf>
    <xf numFmtId="14" fontId="19" fillId="0" borderId="11" xfId="0" applyNumberFormat="1" applyFont="1" applyBorder="1" applyProtection="1">
      <protection locked="0" hidden="1"/>
    </xf>
    <xf numFmtId="0" fontId="19" fillId="0" borderId="11" xfId="0" applyFont="1" applyBorder="1" applyProtection="1">
      <protection locked="0" hidden="1"/>
    </xf>
    <xf numFmtId="165" fontId="21" fillId="0" borderId="11" xfId="0" applyNumberFormat="1" applyFont="1" applyBorder="1" applyProtection="1">
      <protection locked="0" hidden="1"/>
    </xf>
    <xf numFmtId="165" fontId="21" fillId="0" borderId="21" xfId="0" applyNumberFormat="1" applyFont="1" applyBorder="1" applyProtection="1">
      <protection locked="0" hidden="1"/>
    </xf>
    <xf numFmtId="0" fontId="18" fillId="0" borderId="17" xfId="0" applyFont="1" applyBorder="1" applyProtection="1">
      <protection locked="0" hidden="1"/>
    </xf>
    <xf numFmtId="0" fontId="36" fillId="0" borderId="0" xfId="0" quotePrefix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31" fillId="0" borderId="22" xfId="0" applyFont="1" applyBorder="1" applyAlignment="1" applyProtection="1">
      <alignment horizontal="center" vertical="center" wrapText="1"/>
      <protection locked="0" hidden="1"/>
    </xf>
    <xf numFmtId="0" fontId="31" fillId="0" borderId="22" xfId="0" applyFont="1" applyFill="1" applyBorder="1" applyAlignment="1" applyProtection="1">
      <alignment horizontal="center" vertical="center" wrapText="1"/>
      <protection locked="0" hidden="1"/>
    </xf>
    <xf numFmtId="0" fontId="0" fillId="33" borderId="0" xfId="0" applyFill="1" applyAlignment="1" applyProtection="1">
      <alignment horizontal="left" wrapText="1"/>
      <protection locked="0" hidden="1"/>
    </xf>
    <xf numFmtId="0" fontId="32" fillId="0" borderId="10" xfId="0" applyFont="1" applyBorder="1" applyAlignment="1">
      <alignment horizontal="center" vertical="center" wrapText="1"/>
    </xf>
    <xf numFmtId="0" fontId="0" fillId="0" borderId="0" xfId="0" applyFill="1" applyBorder="1" applyAlignment="1" applyProtection="1">
      <alignment horizontal="center"/>
      <protection locked="0"/>
    </xf>
    <xf numFmtId="0" fontId="31" fillId="0" borderId="10" xfId="0" applyFont="1" applyFill="1" applyBorder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/>
      <protection locked="0" hidden="1"/>
    </xf>
    <xf numFmtId="0" fontId="38" fillId="0" borderId="15" xfId="0" applyFont="1" applyBorder="1" applyAlignment="1" applyProtection="1">
      <alignment horizontal="center" vertical="center" wrapText="1"/>
      <protection locked="0" hidden="1"/>
    </xf>
    <xf numFmtId="0" fontId="38" fillId="0" borderId="15" xfId="0" applyFont="1" applyBorder="1" applyAlignment="1" applyProtection="1">
      <alignment horizontal="center" wrapText="1"/>
      <protection locked="0" hidden="1"/>
    </xf>
    <xf numFmtId="0" fontId="38" fillId="0" borderId="15" xfId="0" applyFont="1" applyBorder="1" applyAlignment="1" applyProtection="1">
      <alignment horizontal="center"/>
      <protection locked="0" hidden="1"/>
    </xf>
    <xf numFmtId="0" fontId="32" fillId="0" borderId="10" xfId="0" applyFont="1" applyBorder="1" applyAlignment="1">
      <alignment horizontal="center" vertical="top" wrapText="1"/>
    </xf>
    <xf numFmtId="0" fontId="47" fillId="33" borderId="10" xfId="0" applyFont="1" applyFill="1" applyBorder="1" applyAlignment="1" applyProtection="1">
      <alignment horizontal="center" vertical="center" wrapText="1"/>
      <protection locked="0"/>
    </xf>
    <xf numFmtId="0" fontId="47" fillId="33" borderId="14" xfId="0" applyFont="1" applyFill="1" applyBorder="1" applyAlignment="1" applyProtection="1">
      <alignment horizontal="center" vertical="center" wrapText="1"/>
      <protection locked="0"/>
    </xf>
    <xf numFmtId="0" fontId="47" fillId="34" borderId="10" xfId="0" applyFont="1" applyFill="1" applyBorder="1" applyAlignment="1" applyProtection="1">
      <alignment horizontal="center" vertical="center" wrapText="1"/>
      <protection locked="0"/>
    </xf>
    <xf numFmtId="0" fontId="18" fillId="33" borderId="0" xfId="0" applyFont="1" applyFill="1" applyBorder="1" applyAlignment="1" applyProtection="1">
      <alignment horizontal="center" wrapText="1"/>
      <protection locked="0" hidden="1"/>
    </xf>
    <xf numFmtId="1" fontId="24" fillId="33" borderId="12" xfId="0" applyNumberFormat="1" applyFont="1" applyFill="1" applyBorder="1" applyAlignment="1" applyProtection="1">
      <alignment horizontal="left" vertical="center"/>
      <protection locked="0"/>
    </xf>
    <xf numFmtId="0" fontId="0" fillId="33" borderId="12" xfId="0" applyFill="1" applyBorder="1" applyAlignment="1" applyProtection="1">
      <alignment horizontal="center"/>
      <protection locked="0"/>
    </xf>
    <xf numFmtId="0" fontId="33" fillId="0" borderId="10" xfId="0" applyFont="1" applyFill="1" applyBorder="1" applyAlignment="1" applyProtection="1">
      <alignment horizontal="right" vertical="center"/>
      <protection locked="0" hidden="1"/>
    </xf>
    <xf numFmtId="0" fontId="33" fillId="0" borderId="23" xfId="0" applyFont="1" applyFill="1" applyBorder="1" applyAlignment="1" applyProtection="1">
      <alignment horizontal="right" vertical="center"/>
      <protection locked="0" hidden="1"/>
    </xf>
    <xf numFmtId="0" fontId="33" fillId="0" borderId="13" xfId="0" applyFont="1" applyFill="1" applyBorder="1" applyAlignment="1" applyProtection="1">
      <alignment horizontal="right" vertical="center"/>
      <protection locked="0" hidden="1"/>
    </xf>
    <xf numFmtId="0" fontId="33" fillId="0" borderId="12" xfId="0" applyFont="1" applyFill="1" applyBorder="1" applyAlignment="1" applyProtection="1">
      <alignment horizontal="right" vertical="center"/>
      <protection locked="0" hidden="1"/>
    </xf>
    <xf numFmtId="0" fontId="33" fillId="0" borderId="14" xfId="0" applyFont="1" applyFill="1" applyBorder="1" applyAlignment="1" applyProtection="1">
      <alignment horizontal="right" vertical="center"/>
      <protection locked="0" hidden="1"/>
    </xf>
    <xf numFmtId="0" fontId="0" fillId="33" borderId="11" xfId="0" applyFill="1" applyBorder="1" applyAlignment="1" applyProtection="1">
      <alignment horizontal="center"/>
      <protection locked="0"/>
    </xf>
    <xf numFmtId="0" fontId="19" fillId="33" borderId="16" xfId="0" applyFont="1" applyFill="1" applyBorder="1" applyAlignment="1" applyProtection="1">
      <alignment horizontal="left"/>
      <protection locked="0" hidden="1"/>
    </xf>
    <xf numFmtId="0" fontId="0" fillId="0" borderId="0" xfId="0" applyAlignment="1" applyProtection="1">
      <alignment horizontal="justify" vertical="center" wrapText="1"/>
      <protection locked="0" hidden="1"/>
    </xf>
    <xf numFmtId="0" fontId="24" fillId="33" borderId="11" xfId="0" applyFont="1" applyFill="1" applyBorder="1" applyAlignment="1" applyProtection="1">
      <alignment horizontal="left"/>
      <protection locked="0" hidden="1"/>
    </xf>
    <xf numFmtId="0" fontId="24" fillId="33" borderId="12" xfId="0" applyFont="1" applyFill="1" applyBorder="1" applyAlignment="1" applyProtection="1">
      <alignment horizontal="left" vertical="center"/>
      <protection locked="0"/>
    </xf>
    <xf numFmtId="0" fontId="24" fillId="0" borderId="0" xfId="0" applyFont="1" applyAlignment="1" applyProtection="1">
      <alignment horizontal="left" vertical="center"/>
      <protection locked="0" hidden="1"/>
    </xf>
    <xf numFmtId="14" fontId="37" fillId="33" borderId="12" xfId="0" applyNumberFormat="1" applyFont="1" applyFill="1" applyBorder="1" applyAlignment="1" applyProtection="1">
      <alignment horizontal="left" vertical="center"/>
      <protection locked="0" hidden="1"/>
    </xf>
    <xf numFmtId="0" fontId="37" fillId="33" borderId="12" xfId="0" applyFont="1" applyFill="1" applyBorder="1" applyAlignment="1" applyProtection="1">
      <alignment horizontal="left" vertical="center"/>
      <protection locked="0" hidden="1"/>
    </xf>
    <xf numFmtId="0" fontId="24" fillId="33" borderId="12" xfId="0" applyFont="1" applyFill="1" applyBorder="1" applyAlignment="1" applyProtection="1">
      <alignment horizontal="left"/>
      <protection locked="0" hidden="1"/>
    </xf>
    <xf numFmtId="0" fontId="19" fillId="33" borderId="16" xfId="0" applyFont="1" applyFill="1" applyBorder="1" applyAlignment="1" applyProtection="1">
      <alignment horizontal="left" wrapText="1"/>
      <protection locked="0" hidden="1"/>
    </xf>
    <xf numFmtId="0" fontId="18" fillId="0" borderId="0" xfId="0" applyFont="1" applyAlignment="1" applyProtection="1">
      <alignment horizontal="center" wrapText="1"/>
      <protection locked="0" hidden="1"/>
    </xf>
    <xf numFmtId="0" fontId="18" fillId="0" borderId="0" xfId="0" applyFont="1" applyAlignment="1" applyProtection="1">
      <alignment horizontal="center"/>
      <protection locked="0" hidden="1"/>
    </xf>
    <xf numFmtId="0" fontId="22" fillId="0" borderId="0" xfId="0" applyFont="1" applyFill="1" applyBorder="1" applyAlignment="1" applyProtection="1">
      <alignment horizontal="center"/>
      <protection locked="0" hidden="1"/>
    </xf>
    <xf numFmtId="0" fontId="23" fillId="0" borderId="0" xfId="0" applyFont="1" applyAlignment="1" applyProtection="1">
      <alignment horizontal="left"/>
      <protection locked="0" hidden="1"/>
    </xf>
    <xf numFmtId="0" fontId="0" fillId="0" borderId="0" xfId="0" applyFill="1" applyAlignment="1" applyProtection="1">
      <alignment horizontal="left" vertical="top" wrapText="1"/>
      <protection locked="0"/>
    </xf>
    <xf numFmtId="0" fontId="16" fillId="0" borderId="0" xfId="0" applyFont="1" applyAlignment="1" applyProtection="1">
      <alignment horizontal="center"/>
      <protection locked="0" hidden="1"/>
    </xf>
    <xf numFmtId="0" fontId="38" fillId="0" borderId="0" xfId="0" applyFont="1" applyBorder="1" applyAlignment="1" applyProtection="1">
      <alignment horizontal="center" vertical="center" wrapText="1"/>
      <protection locked="0" hidden="1"/>
    </xf>
    <xf numFmtId="0" fontId="38" fillId="0" borderId="15" xfId="0" applyFont="1" applyBorder="1" applyAlignment="1" applyProtection="1">
      <alignment horizontal="center" vertical="center" wrapText="1"/>
      <protection locked="0" hidden="1"/>
    </xf>
    <xf numFmtId="0" fontId="38" fillId="0" borderId="0" xfId="0" applyFont="1" applyBorder="1" applyAlignment="1" applyProtection="1">
      <alignment horizontal="center" wrapText="1"/>
      <protection locked="0" hidden="1"/>
    </xf>
    <xf numFmtId="0" fontId="38" fillId="0" borderId="15" xfId="0" applyFont="1" applyBorder="1" applyAlignment="1" applyProtection="1">
      <alignment horizontal="center" wrapText="1"/>
      <protection locked="0" hidden="1"/>
    </xf>
    <xf numFmtId="0" fontId="38" fillId="0" borderId="0" xfId="0" applyFont="1" applyBorder="1" applyAlignment="1" applyProtection="1">
      <alignment horizontal="center"/>
      <protection locked="0" hidden="1"/>
    </xf>
    <xf numFmtId="0" fontId="38" fillId="0" borderId="15" xfId="0" applyFont="1" applyBorder="1" applyAlignment="1" applyProtection="1">
      <alignment horizontal="center"/>
      <protection locked="0" hidden="1"/>
    </xf>
    <xf numFmtId="0" fontId="39" fillId="33" borderId="10" xfId="45" quotePrefix="1" applyNumberFormat="1" applyFill="1" applyBorder="1" applyAlignment="1" applyProtection="1">
      <alignment horizontal="center" vertical="center" wrapText="1"/>
      <protection locked="0" hidden="1"/>
    </xf>
    <xf numFmtId="0" fontId="36" fillId="33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38" fillId="0" borderId="0" xfId="0" applyFont="1" applyAlignment="1" applyProtection="1">
      <alignment horizontal="center" vertical="center" wrapText="1"/>
      <protection locked="0" hidden="1"/>
    </xf>
    <xf numFmtId="0" fontId="36" fillId="33" borderId="1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46" fillId="0" borderId="16" xfId="0" applyFont="1" applyBorder="1" applyAlignment="1" applyProtection="1">
      <alignment horizontal="left" vertical="center" wrapText="1"/>
      <protection locked="0" hidden="1"/>
    </xf>
    <xf numFmtId="0" fontId="20" fillId="0" borderId="0" xfId="0" applyFont="1" applyAlignment="1" applyProtection="1">
      <alignment horizontal="center"/>
      <protection locked="0" hidden="1"/>
    </xf>
  </cellXfs>
  <cellStyles count="47">
    <cellStyle name="20% - Акцент1 2" xfId="33"/>
    <cellStyle name="20% - Акцент2 2" xfId="35"/>
    <cellStyle name="20% - Акцент3 2" xfId="37"/>
    <cellStyle name="20% - Акцент4 2" xfId="39"/>
    <cellStyle name="20% - Акцент5 2" xfId="41"/>
    <cellStyle name="20% - Акцент6 2" xfId="43"/>
    <cellStyle name="40% - Акцент1 2" xfId="34"/>
    <cellStyle name="40% - Акцент2 2" xfId="36"/>
    <cellStyle name="40% - Акцент3 2" xfId="38"/>
    <cellStyle name="40% - Акцент4 2" xfId="40"/>
    <cellStyle name="40% - Акцент5 2" xfId="42"/>
    <cellStyle name="40% - Акцент6 2" xfId="44"/>
    <cellStyle name="60% — акцент1" xfId="18" builtinId="32" customBuiltin="1"/>
    <cellStyle name="60% — акцент2" xfId="20" builtinId="36" customBuiltin="1"/>
    <cellStyle name="60% — акцент3" xfId="22" builtinId="40" customBuiltin="1"/>
    <cellStyle name="60% — акцент4" xfId="24" builtinId="44" customBuiltin="1"/>
    <cellStyle name="60% — акцент5" xfId="26" builtinId="48" customBuiltin="1"/>
    <cellStyle name="60% — акцент6" xfId="28" builtinId="52" customBuiltin="1"/>
    <cellStyle name="Акцент1" xfId="17" builtinId="29" customBuiltin="1"/>
    <cellStyle name="Акцент2" xfId="19" builtinId="33" customBuiltin="1"/>
    <cellStyle name="Акцент3" xfId="21" builtinId="37" customBuiltin="1"/>
    <cellStyle name="Акцент4" xfId="23" builtinId="41" customBuiltin="1"/>
    <cellStyle name="Акцент5" xfId="25" builtinId="45" customBuiltin="1"/>
    <cellStyle name="Акцент6" xfId="27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5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6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29"/>
    <cellStyle name="Обычный 3" xfId="31"/>
    <cellStyle name="Плохой" xfId="7" builtinId="27" customBuiltin="1"/>
    <cellStyle name="Пояснение" xfId="15" builtinId="53" customBuiltin="1"/>
    <cellStyle name="Примечание 2" xfId="32"/>
    <cellStyle name="Связанная ячейка" xfId="12" builtinId="24" customBuiltin="1"/>
    <cellStyle name="Стиль 1" xfId="30"/>
    <cellStyle name="Текст предупреждения" xfId="14" builtinId="11" customBuiltin="1"/>
    <cellStyle name="Финансовый" xfId="46" builtinId="3"/>
    <cellStyle name="Хороший" xfId="6" builtinId="26" customBuiltin="1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B148"/>
  <sheetViews>
    <sheetView tabSelected="1" view="pageBreakPreview" zoomScale="85" zoomScaleNormal="85" zoomScaleSheetLayoutView="85" zoomScalePageLayoutView="85" workbookViewId="0">
      <selection activeCell="D44" sqref="D44"/>
    </sheetView>
  </sheetViews>
  <sheetFormatPr defaultColWidth="9.1328125" defaultRowHeight="15" x14ac:dyDescent="0.4"/>
  <cols>
    <col min="1" max="1" width="4.73046875" style="2" customWidth="1"/>
    <col min="2" max="2" width="15.73046875" style="2" customWidth="1"/>
    <col min="3" max="3" width="15.73046875" style="2" hidden="1" customWidth="1"/>
    <col min="4" max="4" width="39.1328125" style="1" customWidth="1"/>
    <col min="5" max="5" width="54.1328125" style="1" customWidth="1"/>
    <col min="6" max="6" width="13" style="1" customWidth="1"/>
    <col min="7" max="7" width="10.59765625" style="1" customWidth="1"/>
    <col min="8" max="8" width="10.3984375" style="2" customWidth="1"/>
    <col min="9" max="9" width="10.265625" style="2" hidden="1" customWidth="1"/>
    <col min="10" max="13" width="15.59765625" style="3" customWidth="1"/>
    <col min="14" max="14" width="15.1328125" style="3" customWidth="1"/>
    <col min="15" max="15" width="12.265625" style="2" customWidth="1"/>
    <col min="16" max="18" width="35" style="2" customWidth="1"/>
    <col min="19" max="19" width="9.1328125" style="17" customWidth="1"/>
    <col min="20" max="20" width="10.265625" style="16" customWidth="1"/>
    <col min="21" max="27" width="9.1328125" style="2" customWidth="1"/>
    <col min="28" max="28" width="20.73046875" style="2" customWidth="1"/>
    <col min="29" max="29" width="66.59765625" style="2" customWidth="1"/>
    <col min="30" max="33" width="9.1328125" style="2" customWidth="1"/>
    <col min="34" max="16384" width="9.1328125" style="2"/>
  </cols>
  <sheetData>
    <row r="1" spans="1:20" s="35" customFormat="1" ht="32.25" customHeight="1" x14ac:dyDescent="0.4">
      <c r="B1" s="36" t="s">
        <v>172</v>
      </c>
      <c r="C1" s="36"/>
      <c r="D1" s="37"/>
      <c r="E1" s="37"/>
      <c r="F1" s="37"/>
      <c r="G1" s="37"/>
      <c r="I1" s="124"/>
      <c r="J1" s="125"/>
      <c r="K1" s="125"/>
      <c r="L1" s="125"/>
      <c r="M1" s="125"/>
      <c r="N1" s="125"/>
      <c r="S1" s="69"/>
      <c r="T1" s="70"/>
    </row>
    <row r="2" spans="1:20" s="35" customFormat="1" x14ac:dyDescent="0.4">
      <c r="D2" s="37"/>
      <c r="E2" s="37"/>
      <c r="F2" s="37"/>
      <c r="G2" s="37"/>
      <c r="J2" s="38"/>
      <c r="K2" s="38"/>
      <c r="L2" s="38"/>
      <c r="M2" s="38"/>
      <c r="N2" s="38"/>
      <c r="S2" s="69"/>
      <c r="T2" s="70"/>
    </row>
    <row r="3" spans="1:20" s="35" customFormat="1" ht="17.45" customHeight="1" x14ac:dyDescent="0.4">
      <c r="D3" s="68" t="s">
        <v>0</v>
      </c>
      <c r="E3" s="68"/>
      <c r="F3" s="68"/>
      <c r="G3" s="39"/>
      <c r="J3" s="141" t="s">
        <v>170</v>
      </c>
      <c r="K3" s="141"/>
      <c r="L3" s="141"/>
      <c r="M3" s="141"/>
      <c r="N3" s="141"/>
      <c r="S3" s="69"/>
      <c r="T3" s="70"/>
    </row>
    <row r="4" spans="1:20" s="35" customFormat="1" ht="30" customHeight="1" x14ac:dyDescent="0.35">
      <c r="A4" s="130" t="s">
        <v>24</v>
      </c>
      <c r="B4" s="131"/>
      <c r="C4" s="99"/>
      <c r="D4" s="66" t="s">
        <v>50</v>
      </c>
      <c r="E4" s="40"/>
      <c r="F4" s="40"/>
      <c r="G4" s="138" t="s">
        <v>131</v>
      </c>
      <c r="H4" s="138"/>
      <c r="I4" s="138"/>
      <c r="J4" s="139" t="s">
        <v>50</v>
      </c>
      <c r="K4" s="137"/>
      <c r="L4" s="137"/>
      <c r="M4" s="137"/>
      <c r="N4" s="137"/>
      <c r="S4" s="69"/>
      <c r="T4" s="70"/>
    </row>
    <row r="5" spans="1:20" s="35" customFormat="1" ht="30" customHeight="1" x14ac:dyDescent="0.35">
      <c r="A5" s="130" t="s">
        <v>25</v>
      </c>
      <c r="B5" s="131"/>
      <c r="C5" s="99"/>
      <c r="D5" s="66" t="s">
        <v>50</v>
      </c>
      <c r="E5" s="40"/>
      <c r="F5" s="40"/>
      <c r="G5" s="138" t="s">
        <v>132</v>
      </c>
      <c r="H5" s="138"/>
      <c r="I5" s="138"/>
      <c r="J5" s="139" t="s">
        <v>50</v>
      </c>
      <c r="K5" s="137"/>
      <c r="L5" s="137"/>
      <c r="M5" s="137"/>
      <c r="N5" s="137"/>
      <c r="S5" s="69"/>
      <c r="T5" s="70"/>
    </row>
    <row r="6" spans="1:20" s="35" customFormat="1" ht="30" customHeight="1" x14ac:dyDescent="0.4">
      <c r="A6" s="132" t="s">
        <v>124</v>
      </c>
      <c r="B6" s="133"/>
      <c r="C6" s="100"/>
      <c r="D6" s="66" t="s">
        <v>165</v>
      </c>
      <c r="E6" s="40"/>
      <c r="F6" s="40"/>
      <c r="G6" s="138" t="s">
        <v>133</v>
      </c>
      <c r="H6" s="138"/>
      <c r="I6" s="138"/>
      <c r="J6" s="139" t="s">
        <v>50</v>
      </c>
      <c r="K6" s="137"/>
      <c r="L6" s="137"/>
      <c r="M6" s="137"/>
      <c r="N6" s="137"/>
      <c r="S6" s="69"/>
      <c r="T6" s="70"/>
    </row>
    <row r="7" spans="1:20" s="35" customFormat="1" ht="30" customHeight="1" x14ac:dyDescent="0.4">
      <c r="A7" s="132" t="s">
        <v>125</v>
      </c>
      <c r="B7" s="133"/>
      <c r="C7" s="100"/>
      <c r="D7" s="66" t="s">
        <v>50</v>
      </c>
      <c r="E7" s="40"/>
      <c r="F7" s="40"/>
      <c r="G7" s="138" t="s">
        <v>129</v>
      </c>
      <c r="H7" s="138"/>
      <c r="I7" s="138"/>
      <c r="J7" s="136" t="s">
        <v>50</v>
      </c>
      <c r="K7" s="137"/>
      <c r="L7" s="137"/>
      <c r="M7" s="137"/>
      <c r="N7" s="137"/>
      <c r="S7" s="69"/>
      <c r="T7" s="70"/>
    </row>
    <row r="8" spans="1:20" s="35" customFormat="1" ht="34.5" customHeight="1" x14ac:dyDescent="0.4">
      <c r="A8" s="132" t="s">
        <v>126</v>
      </c>
      <c r="B8" s="133"/>
      <c r="C8" s="100"/>
      <c r="D8" s="67" t="s">
        <v>164</v>
      </c>
      <c r="E8" s="40"/>
      <c r="F8" s="40"/>
      <c r="G8" s="138" t="s">
        <v>127</v>
      </c>
      <c r="H8" s="138"/>
      <c r="I8" s="138"/>
      <c r="J8" s="139" t="s">
        <v>50</v>
      </c>
      <c r="K8" s="137"/>
      <c r="L8" s="137"/>
      <c r="M8" s="137"/>
      <c r="N8" s="137"/>
      <c r="R8" s="71"/>
      <c r="S8" s="69"/>
      <c r="T8" s="70"/>
    </row>
    <row r="9" spans="1:20" s="35" customFormat="1" ht="30" customHeight="1" x14ac:dyDescent="0.4">
      <c r="A9" s="134" t="s">
        <v>104</v>
      </c>
      <c r="B9" s="135"/>
      <c r="C9" s="101"/>
      <c r="D9" s="66" t="s">
        <v>50</v>
      </c>
      <c r="E9" s="41"/>
      <c r="F9" s="41"/>
      <c r="G9" s="138" t="s">
        <v>128</v>
      </c>
      <c r="H9" s="138"/>
      <c r="I9" s="138"/>
      <c r="J9" s="139" t="s">
        <v>50</v>
      </c>
      <c r="K9" s="137"/>
      <c r="L9" s="137"/>
      <c r="M9" s="137"/>
      <c r="N9" s="137"/>
      <c r="R9" s="72"/>
      <c r="S9" s="69"/>
      <c r="T9" s="70"/>
    </row>
    <row r="10" spans="1:20" s="35" customFormat="1" ht="30" customHeight="1" x14ac:dyDescent="0.4">
      <c r="A10" s="134" t="s">
        <v>105</v>
      </c>
      <c r="B10" s="135"/>
      <c r="C10" s="101"/>
      <c r="D10" s="66" t="s">
        <v>50</v>
      </c>
      <c r="E10" s="41"/>
      <c r="F10" s="41"/>
      <c r="G10" s="138" t="s">
        <v>129</v>
      </c>
      <c r="H10" s="138"/>
      <c r="I10" s="138"/>
      <c r="J10" s="136" t="s">
        <v>50</v>
      </c>
      <c r="K10" s="137"/>
      <c r="L10" s="137"/>
      <c r="M10" s="137"/>
      <c r="N10" s="137"/>
      <c r="R10" s="71"/>
      <c r="S10" s="69"/>
      <c r="T10" s="70"/>
    </row>
    <row r="11" spans="1:20" s="35" customFormat="1" ht="39" customHeight="1" x14ac:dyDescent="0.4">
      <c r="A11" s="134" t="s">
        <v>1</v>
      </c>
      <c r="B11" s="135"/>
      <c r="C11" s="101"/>
      <c r="D11" s="64" t="s">
        <v>50</v>
      </c>
      <c r="E11" s="41"/>
      <c r="F11" s="41"/>
      <c r="G11" s="138" t="s">
        <v>130</v>
      </c>
      <c r="H11" s="138"/>
      <c r="I11" s="138"/>
      <c r="J11" s="139" t="s">
        <v>50</v>
      </c>
      <c r="K11" s="137"/>
      <c r="L11" s="137"/>
      <c r="M11" s="137"/>
      <c r="N11" s="137"/>
      <c r="R11" s="71"/>
      <c r="S11" s="69"/>
      <c r="T11" s="70"/>
    </row>
    <row r="12" spans="1:20" s="35" customFormat="1" ht="30" customHeight="1" x14ac:dyDescent="0.4">
      <c r="A12" s="134" t="s">
        <v>2</v>
      </c>
      <c r="B12" s="135"/>
      <c r="C12" s="101"/>
      <c r="D12" s="64" t="s">
        <v>50</v>
      </c>
      <c r="E12" s="41"/>
      <c r="F12" s="41"/>
      <c r="G12" s="138" t="s">
        <v>128</v>
      </c>
      <c r="H12" s="138"/>
      <c r="I12" s="138"/>
      <c r="J12" s="139" t="s">
        <v>50</v>
      </c>
      <c r="K12" s="137"/>
      <c r="L12" s="137"/>
      <c r="M12" s="137"/>
      <c r="N12" s="137"/>
      <c r="R12" s="71"/>
      <c r="S12" s="69"/>
      <c r="T12" s="70"/>
    </row>
    <row r="13" spans="1:20" s="35" customFormat="1" ht="30" customHeight="1" x14ac:dyDescent="0.4">
      <c r="A13" s="134" t="s">
        <v>3</v>
      </c>
      <c r="B13" s="135"/>
      <c r="C13" s="101"/>
      <c r="D13" s="66" t="s">
        <v>50</v>
      </c>
      <c r="E13" s="41"/>
      <c r="F13" s="41"/>
      <c r="G13" s="138" t="s">
        <v>129</v>
      </c>
      <c r="H13" s="138"/>
      <c r="I13" s="138"/>
      <c r="J13" s="136" t="s">
        <v>50</v>
      </c>
      <c r="K13" s="137"/>
      <c r="L13" s="137"/>
      <c r="M13" s="137"/>
      <c r="N13" s="137"/>
      <c r="R13" s="72"/>
      <c r="S13" s="69"/>
      <c r="T13" s="70"/>
    </row>
    <row r="14" spans="1:20" s="35" customFormat="1" ht="30" customHeight="1" x14ac:dyDescent="0.4">
      <c r="A14" s="134" t="s">
        <v>4</v>
      </c>
      <c r="B14" s="135"/>
      <c r="C14" s="101"/>
      <c r="D14" s="64" t="s">
        <v>50</v>
      </c>
      <c r="E14" s="41"/>
      <c r="F14" s="41"/>
      <c r="G14" s="40"/>
      <c r="J14" s="38"/>
      <c r="K14" s="38"/>
      <c r="L14" s="38"/>
      <c r="M14" s="38"/>
      <c r="N14" s="38"/>
      <c r="R14" s="71"/>
      <c r="S14" s="69"/>
      <c r="T14" s="70"/>
    </row>
    <row r="15" spans="1:20" s="35" customFormat="1" ht="19.5" customHeight="1" x14ac:dyDescent="0.4">
      <c r="B15" s="42"/>
      <c r="C15" s="42"/>
      <c r="D15" s="43"/>
      <c r="E15" s="43"/>
      <c r="F15" s="43"/>
      <c r="G15" s="43"/>
      <c r="J15" s="38"/>
      <c r="K15" s="38"/>
      <c r="L15" s="38"/>
      <c r="M15" s="38"/>
      <c r="N15" s="38"/>
      <c r="S15" s="69"/>
      <c r="T15" s="70"/>
    </row>
    <row r="16" spans="1:20" s="35" customFormat="1" ht="19.5" customHeight="1" x14ac:dyDescent="0.55000000000000004">
      <c r="A16" s="126" t="s">
        <v>5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S16" s="69"/>
      <c r="T16" s="70"/>
    </row>
    <row r="17" spans="1:20" s="35" customFormat="1" ht="25.5" customHeight="1" x14ac:dyDescent="0.4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S17" s="69"/>
      <c r="T17" s="70"/>
    </row>
    <row r="18" spans="1:20" s="35" customFormat="1" ht="19.5" customHeight="1" x14ac:dyDescent="0.4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S18" s="69"/>
      <c r="T18" s="70"/>
    </row>
    <row r="19" spans="1:20" s="35" customFormat="1" ht="19.5" customHeight="1" x14ac:dyDescent="0.4">
      <c r="A19" s="44"/>
      <c r="B19" s="44"/>
      <c r="C19" s="44"/>
      <c r="D19" s="44"/>
      <c r="E19" s="44"/>
      <c r="F19" s="44"/>
      <c r="G19" s="44"/>
      <c r="H19" s="45"/>
      <c r="I19" s="45"/>
      <c r="J19" s="46"/>
      <c r="K19" s="46"/>
      <c r="L19" s="46"/>
      <c r="M19" s="46"/>
      <c r="N19" s="46"/>
      <c r="S19" s="69"/>
      <c r="T19" s="70"/>
    </row>
    <row r="20" spans="1:20" s="35" customFormat="1" ht="27" customHeight="1" x14ac:dyDescent="0.45">
      <c r="A20" s="47" t="s">
        <v>6</v>
      </c>
      <c r="B20" s="47"/>
      <c r="C20" s="47"/>
      <c r="D20" s="94"/>
      <c r="E20" s="49"/>
      <c r="F20" s="49"/>
      <c r="G20" s="50"/>
      <c r="H20" s="51">
        <f>VLOOKUP($D$20,$S:$Z,4,FALSE)</f>
        <v>0</v>
      </c>
      <c r="J20" s="50"/>
      <c r="K20" s="51">
        <f>VLOOKUP($D$20,$S:$Z,8,FALSE)</f>
        <v>0</v>
      </c>
      <c r="L20" s="51"/>
      <c r="M20" s="51"/>
      <c r="N20" s="38"/>
      <c r="S20" s="69"/>
      <c r="T20" s="70"/>
    </row>
    <row r="21" spans="1:20" s="35" customFormat="1" ht="19.5" customHeight="1" x14ac:dyDescent="0.45">
      <c r="A21" s="129" t="s">
        <v>86</v>
      </c>
      <c r="B21" s="129"/>
      <c r="C21" s="98"/>
      <c r="D21" s="48" t="s">
        <v>87</v>
      </c>
      <c r="E21" s="51"/>
      <c r="F21" s="51"/>
      <c r="G21" s="52"/>
      <c r="H21" s="51"/>
      <c r="J21" s="38"/>
      <c r="K21" s="38"/>
      <c r="L21" s="38"/>
      <c r="M21" s="38"/>
      <c r="N21" s="38"/>
      <c r="S21" s="69"/>
      <c r="T21" s="70"/>
    </row>
    <row r="22" spans="1:20" s="35" customFormat="1" ht="14.25" x14ac:dyDescent="0.45">
      <c r="A22" s="127" t="s">
        <v>82</v>
      </c>
      <c r="B22" s="127"/>
      <c r="C22" s="127"/>
      <c r="D22" s="127"/>
      <c r="E22" s="127"/>
      <c r="F22" s="127"/>
      <c r="G22" s="127"/>
      <c r="H22" s="127"/>
      <c r="S22" s="69"/>
      <c r="T22" s="70"/>
    </row>
    <row r="23" spans="1:20" s="35" customFormat="1" ht="12.75" x14ac:dyDescent="0.35">
      <c r="A23" s="128" t="s">
        <v>178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S23" s="69"/>
      <c r="T23" s="70"/>
    </row>
    <row r="24" spans="1:20" s="35" customFormat="1" ht="42.75" customHeight="1" x14ac:dyDescent="0.3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S24" s="69"/>
      <c r="T24" s="70"/>
    </row>
    <row r="25" spans="1:20" s="35" customFormat="1" ht="12.75" x14ac:dyDescent="0.35">
      <c r="D25" s="51"/>
      <c r="E25" s="51"/>
      <c r="F25" s="51"/>
      <c r="G25" s="51"/>
      <c r="H25" s="51"/>
      <c r="S25" s="69"/>
      <c r="T25" s="70"/>
    </row>
    <row r="26" spans="1:20" s="35" customFormat="1" ht="14.25" x14ac:dyDescent="0.45">
      <c r="A26" s="53" t="s">
        <v>7</v>
      </c>
      <c r="B26" s="53"/>
      <c r="C26" s="53"/>
      <c r="D26" s="51"/>
      <c r="E26" s="51"/>
      <c r="F26" s="51"/>
      <c r="G26" s="51"/>
      <c r="H26" s="51"/>
      <c r="S26" s="69"/>
      <c r="T26" s="70"/>
    </row>
    <row r="27" spans="1:20" s="35" customFormat="1" ht="17.45" customHeight="1" x14ac:dyDescent="0.45">
      <c r="A27" s="54" t="s">
        <v>8</v>
      </c>
      <c r="B27" s="54"/>
      <c r="C27" s="54"/>
      <c r="D27" s="55"/>
      <c r="E27" s="55"/>
      <c r="F27" s="55"/>
      <c r="G27" s="117"/>
      <c r="H27" s="117"/>
      <c r="I27" s="117"/>
      <c r="J27" s="117"/>
      <c r="K27" s="117"/>
      <c r="L27" s="117"/>
      <c r="M27" s="117"/>
      <c r="N27" s="117"/>
      <c r="S27" s="69"/>
      <c r="T27" s="70"/>
    </row>
    <row r="28" spans="1:20" s="35" customFormat="1" ht="18.600000000000001" customHeight="1" x14ac:dyDescent="0.45">
      <c r="A28" s="54" t="s">
        <v>9</v>
      </c>
      <c r="B28" s="54"/>
      <c r="C28" s="54"/>
      <c r="D28" s="55"/>
      <c r="E28" s="55"/>
      <c r="F28" s="55"/>
      <c r="G28" s="118"/>
      <c r="H28" s="118"/>
      <c r="I28" s="118"/>
      <c r="J28" s="118"/>
      <c r="K28" s="118"/>
      <c r="L28" s="118"/>
      <c r="M28" s="118"/>
      <c r="N28" s="118"/>
      <c r="S28" s="69"/>
      <c r="T28" s="70"/>
    </row>
    <row r="29" spans="1:20" s="35" customFormat="1" ht="16.899999999999999" customHeight="1" x14ac:dyDescent="0.35">
      <c r="A29" s="119" t="s">
        <v>10</v>
      </c>
      <c r="B29" s="119"/>
      <c r="C29" s="119"/>
      <c r="D29" s="119"/>
      <c r="E29" s="65"/>
      <c r="F29" s="65"/>
      <c r="G29" s="120"/>
      <c r="H29" s="121"/>
      <c r="I29" s="121"/>
      <c r="J29" s="121"/>
      <c r="K29" s="121"/>
      <c r="L29" s="121"/>
      <c r="M29" s="121"/>
      <c r="N29" s="121"/>
      <c r="S29" s="69"/>
      <c r="T29" s="70"/>
    </row>
    <row r="30" spans="1:20" s="35" customFormat="1" ht="16.899999999999999" customHeight="1" x14ac:dyDescent="0.45">
      <c r="A30" s="54" t="s">
        <v>11</v>
      </c>
      <c r="B30" s="54"/>
      <c r="C30" s="54"/>
      <c r="D30" s="55"/>
      <c r="E30" s="55"/>
      <c r="F30" s="55"/>
      <c r="G30" s="122"/>
      <c r="H30" s="122"/>
      <c r="I30" s="122"/>
      <c r="J30" s="122"/>
      <c r="K30" s="122"/>
      <c r="L30" s="122"/>
      <c r="M30" s="122"/>
      <c r="N30" s="122"/>
      <c r="S30" s="69"/>
      <c r="T30" s="70"/>
    </row>
    <row r="31" spans="1:20" s="35" customFormat="1" ht="18" customHeight="1" x14ac:dyDescent="0.45">
      <c r="A31" s="54" t="s">
        <v>12</v>
      </c>
      <c r="B31" s="54"/>
      <c r="C31" s="54"/>
      <c r="D31" s="55"/>
      <c r="E31" s="55"/>
      <c r="F31" s="55"/>
      <c r="G31" s="117"/>
      <c r="H31" s="117"/>
      <c r="I31" s="117"/>
      <c r="J31" s="117"/>
      <c r="K31" s="117"/>
      <c r="L31" s="117"/>
      <c r="M31" s="117"/>
      <c r="N31" s="117"/>
      <c r="S31" s="69"/>
      <c r="T31" s="70"/>
    </row>
    <row r="32" spans="1:20" s="35" customFormat="1" ht="17.45" customHeight="1" x14ac:dyDescent="0.45">
      <c r="A32" s="54" t="s">
        <v>13</v>
      </c>
      <c r="B32" s="54"/>
      <c r="C32" s="54"/>
      <c r="D32" s="55"/>
      <c r="E32" s="55"/>
      <c r="F32" s="55"/>
      <c r="G32" s="107"/>
      <c r="H32" s="107"/>
      <c r="I32" s="107"/>
      <c r="J32" s="107"/>
      <c r="K32" s="107"/>
      <c r="L32" s="107"/>
      <c r="M32" s="107"/>
      <c r="N32" s="107"/>
      <c r="S32" s="69"/>
      <c r="T32" s="70"/>
    </row>
    <row r="33" spans="1:20" s="35" customFormat="1" ht="17.45" customHeight="1" x14ac:dyDescent="0.45">
      <c r="A33" s="54" t="s">
        <v>147</v>
      </c>
      <c r="B33" s="54"/>
      <c r="C33" s="54"/>
      <c r="D33" s="55"/>
      <c r="E33" s="55"/>
      <c r="F33" s="55"/>
      <c r="G33" s="107"/>
      <c r="H33" s="107"/>
      <c r="I33" s="107"/>
      <c r="J33" s="107"/>
      <c r="K33" s="107"/>
      <c r="L33" s="107"/>
      <c r="M33" s="107"/>
      <c r="N33" s="107"/>
      <c r="S33" s="69"/>
      <c r="T33" s="70"/>
    </row>
    <row r="34" spans="1:20" s="35" customFormat="1" ht="17.25" customHeight="1" x14ac:dyDescent="0.45">
      <c r="A34" s="54" t="s">
        <v>167</v>
      </c>
      <c r="B34" s="54"/>
      <c r="C34" s="54"/>
      <c r="D34" s="55"/>
      <c r="E34" s="55"/>
      <c r="F34" s="55"/>
      <c r="G34" s="115"/>
      <c r="H34" s="115"/>
      <c r="I34" s="115"/>
      <c r="J34" s="115"/>
      <c r="K34" s="115"/>
      <c r="L34" s="115"/>
      <c r="M34" s="115"/>
      <c r="N34" s="115"/>
      <c r="S34" s="69"/>
      <c r="T34" s="70"/>
    </row>
    <row r="35" spans="1:20" s="35" customFormat="1" ht="35.25" customHeight="1" x14ac:dyDescent="0.45">
      <c r="A35" s="54" t="s">
        <v>167</v>
      </c>
      <c r="B35" s="54" t="s">
        <v>183</v>
      </c>
      <c r="C35" s="54"/>
      <c r="D35" s="55"/>
      <c r="E35" s="55"/>
      <c r="F35" s="55"/>
      <c r="G35" s="123" t="s">
        <v>184</v>
      </c>
      <c r="H35" s="123"/>
      <c r="I35" s="123"/>
      <c r="J35" s="123"/>
      <c r="K35" s="123"/>
      <c r="L35" s="123"/>
      <c r="M35" s="123"/>
      <c r="N35" s="123"/>
      <c r="O35" s="35" t="s">
        <v>185</v>
      </c>
      <c r="S35" s="69"/>
      <c r="T35" s="70"/>
    </row>
    <row r="36" spans="1:20" s="35" customFormat="1" ht="19.899999999999999" customHeight="1" x14ac:dyDescent="0.35">
      <c r="S36" s="69"/>
      <c r="T36" s="70"/>
    </row>
    <row r="37" spans="1:20" s="35" customFormat="1" ht="14.65" x14ac:dyDescent="0.35">
      <c r="A37" s="35" t="s">
        <v>14</v>
      </c>
      <c r="D37" s="56"/>
      <c r="E37" s="56"/>
      <c r="F37" s="56"/>
      <c r="G37" s="56"/>
      <c r="H37" s="57"/>
      <c r="I37" s="57"/>
      <c r="J37" s="58"/>
      <c r="K37" s="58"/>
      <c r="L37" s="58"/>
      <c r="M37" s="58"/>
      <c r="N37" s="58"/>
      <c r="S37" s="69"/>
      <c r="T37" s="70"/>
    </row>
    <row r="38" spans="1:20" s="35" customFormat="1" ht="42.75" customHeight="1" x14ac:dyDescent="0.35">
      <c r="A38" s="92" t="s">
        <v>15</v>
      </c>
      <c r="B38" s="92" t="s">
        <v>16</v>
      </c>
      <c r="C38" s="92" t="s">
        <v>186</v>
      </c>
      <c r="D38" s="93" t="s">
        <v>17</v>
      </c>
      <c r="E38" s="93" t="s">
        <v>171</v>
      </c>
      <c r="F38" s="93" t="s">
        <v>168</v>
      </c>
      <c r="G38" s="93" t="s">
        <v>18</v>
      </c>
      <c r="H38" s="93" t="s">
        <v>19</v>
      </c>
      <c r="I38" s="93" t="s">
        <v>23</v>
      </c>
      <c r="J38" s="59" t="str">
        <f>"Цена за ед. изм., без НДС, с учетом доставки, "&amp;VLOOKUP($D$21,$S$67:$T$69,2,FALSE)</f>
        <v>Цена за ед. изм., без НДС, с учетом доставки, руб.</v>
      </c>
      <c r="K38" s="59" t="str">
        <f>"Стоимость, итого, без НДС, с учетом доставки, "&amp;VLOOKUP($D$21,$S$67:$T$69,2,FALSE)</f>
        <v>Стоимость, итого, без НДС, с учетом доставки, руб.</v>
      </c>
      <c r="L38" s="59" t="s">
        <v>187</v>
      </c>
      <c r="M38" s="97" t="s">
        <v>180</v>
      </c>
      <c r="N38" s="97" t="s">
        <v>181</v>
      </c>
      <c r="S38" s="69"/>
      <c r="T38" s="70"/>
    </row>
    <row r="39" spans="1:20" s="35" customFormat="1" ht="24.75" customHeight="1" x14ac:dyDescent="0.35">
      <c r="A39" s="92">
        <v>1</v>
      </c>
      <c r="B39" s="95"/>
      <c r="C39" s="95"/>
      <c r="D39" s="102"/>
      <c r="E39" s="103"/>
      <c r="F39" s="103"/>
      <c r="G39" s="105" t="s">
        <v>188</v>
      </c>
      <c r="H39" s="105"/>
      <c r="I39" s="93"/>
      <c r="J39" s="104"/>
      <c r="K39" s="103"/>
      <c r="L39" s="103"/>
      <c r="M39" s="103"/>
      <c r="N39" s="103"/>
      <c r="S39" s="69"/>
      <c r="T39" s="70"/>
    </row>
    <row r="40" spans="1:20" s="35" customFormat="1" ht="24.75" customHeight="1" x14ac:dyDescent="0.35">
      <c r="A40" s="92">
        <v>2</v>
      </c>
      <c r="B40" s="95"/>
      <c r="C40" s="95"/>
      <c r="D40" s="102"/>
      <c r="E40" s="103"/>
      <c r="F40" s="103"/>
      <c r="G40" s="105" t="s">
        <v>188</v>
      </c>
      <c r="H40" s="105"/>
      <c r="I40" s="93"/>
      <c r="J40" s="104"/>
      <c r="K40" s="103"/>
      <c r="L40" s="103"/>
      <c r="M40" s="103"/>
      <c r="N40" s="103"/>
      <c r="S40" s="69"/>
      <c r="T40" s="70"/>
    </row>
    <row r="41" spans="1:20" s="35" customFormat="1" ht="24.75" customHeight="1" x14ac:dyDescent="0.35">
      <c r="A41" s="92">
        <v>3</v>
      </c>
      <c r="B41" s="95"/>
      <c r="C41" s="95"/>
      <c r="D41" s="102"/>
      <c r="E41" s="103"/>
      <c r="F41" s="103"/>
      <c r="G41" s="105" t="s">
        <v>188</v>
      </c>
      <c r="H41" s="105"/>
      <c r="I41" s="93"/>
      <c r="J41" s="104"/>
      <c r="K41" s="103"/>
      <c r="L41" s="103"/>
      <c r="M41" s="103"/>
      <c r="N41" s="103"/>
      <c r="S41" s="69"/>
      <c r="T41" s="70"/>
    </row>
    <row r="42" spans="1:20" s="35" customFormat="1" ht="24.75" customHeight="1" x14ac:dyDescent="0.35">
      <c r="A42" s="92">
        <v>4</v>
      </c>
      <c r="B42" s="95"/>
      <c r="C42" s="95"/>
      <c r="D42" s="95"/>
      <c r="E42" s="103"/>
      <c r="F42" s="103"/>
      <c r="G42" s="105"/>
      <c r="H42" s="105"/>
      <c r="I42" s="93"/>
      <c r="J42" s="104"/>
      <c r="K42" s="103"/>
      <c r="L42" s="103"/>
      <c r="M42" s="103"/>
      <c r="N42" s="103"/>
      <c r="S42" s="69"/>
      <c r="T42" s="70"/>
    </row>
    <row r="43" spans="1:20" s="35" customFormat="1" ht="24.75" customHeight="1" x14ac:dyDescent="0.35">
      <c r="A43" s="92">
        <v>5</v>
      </c>
      <c r="B43" s="95"/>
      <c r="C43" s="95"/>
      <c r="D43" s="95"/>
      <c r="E43" s="103"/>
      <c r="F43" s="103"/>
      <c r="G43" s="105"/>
      <c r="H43" s="105"/>
      <c r="I43" s="93"/>
      <c r="J43" s="104"/>
      <c r="K43" s="103"/>
      <c r="L43" s="103"/>
      <c r="M43" s="103"/>
      <c r="N43" s="103"/>
      <c r="S43" s="69"/>
      <c r="T43" s="70"/>
    </row>
    <row r="44" spans="1:20" s="35" customFormat="1" ht="24.75" customHeight="1" x14ac:dyDescent="0.35">
      <c r="A44" s="92">
        <v>6</v>
      </c>
      <c r="B44" s="95"/>
      <c r="C44" s="95"/>
      <c r="D44" s="95"/>
      <c r="E44" s="103"/>
      <c r="F44" s="103"/>
      <c r="G44" s="105"/>
      <c r="H44" s="105"/>
      <c r="I44" s="93"/>
      <c r="J44" s="104"/>
      <c r="K44" s="103"/>
      <c r="L44" s="103"/>
      <c r="M44" s="103"/>
      <c r="N44" s="103"/>
      <c r="S44" s="69"/>
      <c r="T44" s="70"/>
    </row>
    <row r="45" spans="1:20" s="71" customFormat="1" ht="14.25" x14ac:dyDescent="0.4">
      <c r="A45" s="109" t="str">
        <f>"Итого без НДС, "&amp;VLOOKUP(D21,$S$67:$T$69,2,FALSE)</f>
        <v>Итого без НДС, руб.</v>
      </c>
      <c r="B45" s="110"/>
      <c r="C45" s="110"/>
      <c r="D45" s="110"/>
      <c r="E45" s="109"/>
      <c r="F45" s="109"/>
      <c r="G45" s="109"/>
      <c r="H45" s="109"/>
      <c r="I45" s="109"/>
      <c r="J45" s="22"/>
      <c r="K45" s="24">
        <f>SUM(K39:K44)</f>
        <v>0</v>
      </c>
      <c r="L45" s="24"/>
      <c r="M45" s="24"/>
      <c r="N45" s="23"/>
      <c r="O45" s="73"/>
      <c r="Q45" s="74"/>
      <c r="R45" s="74"/>
    </row>
    <row r="46" spans="1:20" s="42" customFormat="1" ht="20.45" customHeight="1" x14ac:dyDescent="0.4">
      <c r="A46" s="111" t="str">
        <f>"Сумма НДС 22 %, "&amp;VLOOKUP(D21,$S$67:$T$69,2,FALSE)</f>
        <v>Сумма НДС 22 %, руб.</v>
      </c>
      <c r="B46" s="112"/>
      <c r="C46" s="112"/>
      <c r="D46" s="112"/>
      <c r="E46" s="112"/>
      <c r="F46" s="112"/>
      <c r="G46" s="112"/>
      <c r="H46" s="112"/>
      <c r="I46" s="113"/>
      <c r="J46" s="22"/>
      <c r="K46" s="24">
        <f>K47-K45</f>
        <v>0</v>
      </c>
      <c r="L46" s="24"/>
      <c r="M46" s="24"/>
      <c r="N46" s="23"/>
      <c r="O46" s="73"/>
      <c r="Q46" s="74"/>
      <c r="R46" s="74"/>
    </row>
    <row r="47" spans="1:20" s="42" customFormat="1" ht="20.45" customHeight="1" x14ac:dyDescent="0.4">
      <c r="A47" s="111" t="str">
        <f>"Итого с НДС, "&amp;VLOOKUP(D21,$S$67:$T$69,2,FALSE)</f>
        <v>Итого с НДС, руб.</v>
      </c>
      <c r="B47" s="112"/>
      <c r="C47" s="112"/>
      <c r="D47" s="112"/>
      <c r="E47" s="112"/>
      <c r="F47" s="112"/>
      <c r="G47" s="112"/>
      <c r="H47" s="112"/>
      <c r="I47" s="113"/>
      <c r="J47" s="22"/>
      <c r="K47" s="24">
        <f>ROUND(K45*1.2,2)</f>
        <v>0</v>
      </c>
      <c r="L47" s="24"/>
      <c r="M47" s="24"/>
      <c r="N47" s="23"/>
      <c r="O47" s="73"/>
      <c r="Q47" s="74"/>
      <c r="R47" s="74"/>
    </row>
    <row r="48" spans="1:20" s="42" customFormat="1" ht="58.5" customHeight="1" x14ac:dyDescent="0.4">
      <c r="A48" s="140" t="s">
        <v>179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38"/>
      <c r="N48" s="38"/>
      <c r="O48" s="73"/>
      <c r="Q48" s="74"/>
      <c r="R48" s="74"/>
    </row>
    <row r="49" spans="1:35" s="35" customFormat="1" ht="72.75" customHeight="1" x14ac:dyDescent="0.35">
      <c r="A49" s="116" t="s">
        <v>182</v>
      </c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Q49" s="74"/>
      <c r="R49" s="74"/>
      <c r="S49" s="69"/>
      <c r="T49" s="70"/>
    </row>
    <row r="50" spans="1:35" s="35" customFormat="1" ht="15" customHeight="1" x14ac:dyDescent="0.4">
      <c r="D50" s="37"/>
      <c r="E50" s="37"/>
      <c r="F50" s="37"/>
      <c r="G50" s="37"/>
      <c r="J50" s="38"/>
      <c r="K50" s="38"/>
      <c r="L50" s="38"/>
      <c r="M50" s="38"/>
      <c r="N50" s="38"/>
      <c r="Q50" s="74"/>
      <c r="R50" s="74"/>
      <c r="S50" s="69"/>
      <c r="T50" s="70"/>
    </row>
    <row r="51" spans="1:35" s="35" customFormat="1" x14ac:dyDescent="0.4">
      <c r="D51" s="60" t="s">
        <v>20</v>
      </c>
      <c r="E51" s="60"/>
      <c r="F51" s="60"/>
      <c r="G51" s="60"/>
      <c r="H51" s="114"/>
      <c r="I51" s="114"/>
      <c r="J51" s="114"/>
      <c r="K51" s="114"/>
      <c r="L51" s="96"/>
      <c r="M51" s="96"/>
      <c r="N51" s="61"/>
      <c r="Q51" s="74"/>
      <c r="R51" s="74"/>
      <c r="S51" s="69"/>
      <c r="T51" s="70"/>
    </row>
    <row r="52" spans="1:35" s="35" customFormat="1" ht="22.9" customHeight="1" x14ac:dyDescent="0.4">
      <c r="D52" s="60" t="s">
        <v>21</v>
      </c>
      <c r="E52" s="60"/>
      <c r="F52" s="60"/>
      <c r="G52" s="60"/>
      <c r="H52" s="108"/>
      <c r="I52" s="108"/>
      <c r="J52" s="108"/>
      <c r="K52" s="108"/>
      <c r="L52" s="96"/>
      <c r="M52" s="96"/>
      <c r="N52" s="61"/>
      <c r="Q52" s="74"/>
      <c r="R52" s="74"/>
      <c r="S52" s="69"/>
      <c r="T52" s="70"/>
    </row>
    <row r="53" spans="1:35" s="35" customFormat="1" ht="23.45" customHeight="1" x14ac:dyDescent="0.35">
      <c r="A53" s="57"/>
      <c r="B53" s="57"/>
      <c r="C53" s="57"/>
      <c r="D53" s="35" t="s">
        <v>22</v>
      </c>
      <c r="I53" s="62"/>
      <c r="J53" s="62"/>
      <c r="K53" s="62"/>
      <c r="L53" s="62"/>
      <c r="M53" s="62"/>
      <c r="N53" s="62"/>
      <c r="Q53" s="74"/>
      <c r="R53" s="74"/>
      <c r="S53" s="69"/>
      <c r="T53" s="70"/>
    </row>
    <row r="54" spans="1:35" s="35" customFormat="1" ht="18.600000000000001" customHeight="1" x14ac:dyDescent="0.4">
      <c r="D54" s="37"/>
      <c r="E54" s="37"/>
      <c r="F54" s="37"/>
      <c r="G54" s="37"/>
      <c r="J54" s="38"/>
      <c r="K54" s="38"/>
      <c r="L54" s="38"/>
      <c r="M54" s="38"/>
      <c r="N54" s="38"/>
      <c r="Q54" s="74"/>
      <c r="R54" s="74"/>
      <c r="S54" s="69"/>
      <c r="T54" s="70"/>
    </row>
    <row r="55" spans="1:35" s="35" customFormat="1" x14ac:dyDescent="0.4">
      <c r="A55" s="88"/>
      <c r="B55" s="75"/>
      <c r="C55" s="75"/>
      <c r="D55" s="76"/>
      <c r="E55" s="76"/>
      <c r="F55" s="76"/>
      <c r="G55" s="76"/>
      <c r="H55" s="75"/>
      <c r="I55" s="75"/>
      <c r="J55" s="77"/>
      <c r="K55" s="77"/>
      <c r="L55" s="77"/>
      <c r="M55" s="77"/>
      <c r="N55" s="78"/>
      <c r="Q55" s="74"/>
      <c r="R55" s="74"/>
      <c r="S55" s="69"/>
      <c r="T55" s="70"/>
    </row>
    <row r="56" spans="1:35" s="35" customFormat="1" x14ac:dyDescent="0.4">
      <c r="A56" s="79"/>
      <c r="B56" s="80"/>
      <c r="C56" s="80"/>
      <c r="D56" s="40"/>
      <c r="E56" s="40"/>
      <c r="F56" s="40"/>
      <c r="G56" s="40"/>
      <c r="H56" s="80"/>
      <c r="I56" s="80"/>
      <c r="J56" s="81"/>
      <c r="K56" s="81"/>
      <c r="L56" s="81"/>
      <c r="M56" s="81"/>
      <c r="N56" s="82"/>
      <c r="Q56" s="74"/>
      <c r="R56" s="74"/>
      <c r="S56" s="69"/>
      <c r="T56" s="70"/>
    </row>
    <row r="57" spans="1:35" s="35" customFormat="1" x14ac:dyDescent="0.4">
      <c r="A57" s="83"/>
      <c r="B57" s="60"/>
      <c r="C57" s="60"/>
      <c r="D57" s="84"/>
      <c r="E57" s="60"/>
      <c r="F57" s="60"/>
      <c r="G57" s="85"/>
      <c r="H57" s="60"/>
      <c r="I57" s="60"/>
      <c r="J57" s="86"/>
      <c r="K57" s="86"/>
      <c r="L57" s="86"/>
      <c r="M57" s="86"/>
      <c r="N57" s="87"/>
      <c r="Q57" s="74"/>
      <c r="R57" s="74"/>
      <c r="S57" s="69"/>
      <c r="T57" s="70"/>
    </row>
    <row r="58" spans="1:35" s="35" customFormat="1" x14ac:dyDescent="0.4">
      <c r="D58" s="63"/>
      <c r="E58" s="37"/>
      <c r="F58" s="37"/>
      <c r="G58" s="37"/>
      <c r="J58" s="38"/>
      <c r="K58" s="38"/>
      <c r="L58" s="38"/>
      <c r="M58" s="38"/>
      <c r="N58" s="38"/>
      <c r="Q58" s="74"/>
      <c r="R58" s="74"/>
      <c r="S58" s="69"/>
      <c r="T58" s="70"/>
    </row>
    <row r="59" spans="1:35" x14ac:dyDescent="0.4">
      <c r="A59" s="35"/>
      <c r="B59" s="35"/>
      <c r="C59" s="35"/>
      <c r="D59" s="35"/>
      <c r="E59" s="37"/>
      <c r="F59" s="37"/>
      <c r="G59" s="37"/>
      <c r="H59" s="35"/>
      <c r="I59" s="35"/>
      <c r="J59" s="38"/>
      <c r="K59" s="38"/>
      <c r="L59" s="38"/>
      <c r="M59" s="38"/>
      <c r="N59" s="38"/>
      <c r="Q59" s="6"/>
      <c r="R59" s="6"/>
      <c r="S59" s="25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7" t="s">
        <v>67</v>
      </c>
      <c r="AE59" s="27" t="s">
        <v>68</v>
      </c>
      <c r="AF59" s="28"/>
      <c r="AG59" s="26"/>
      <c r="AH59" s="26"/>
      <c r="AI59" s="26"/>
    </row>
    <row r="60" spans="1:35" x14ac:dyDescent="0.4">
      <c r="A60" s="35"/>
      <c r="B60" s="35"/>
      <c r="C60" s="35"/>
      <c r="D60" s="37"/>
      <c r="E60" s="37"/>
      <c r="F60" s="37"/>
      <c r="G60" s="37"/>
      <c r="H60" s="35"/>
      <c r="I60" s="35"/>
      <c r="J60" s="38"/>
      <c r="K60" s="38"/>
      <c r="L60" s="38"/>
      <c r="M60" s="38"/>
      <c r="N60" s="38"/>
      <c r="Q60" s="6"/>
      <c r="R60" s="6"/>
      <c r="S60" s="25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7" t="s">
        <v>69</v>
      </c>
      <c r="AE60" s="27" t="s">
        <v>70</v>
      </c>
      <c r="AF60" s="29"/>
      <c r="AG60" s="26"/>
      <c r="AH60" s="26"/>
      <c r="AI60" s="26"/>
    </row>
    <row r="61" spans="1:35" x14ac:dyDescent="0.4">
      <c r="A61" s="35"/>
      <c r="B61" s="35"/>
      <c r="C61" s="35"/>
      <c r="D61" s="37"/>
      <c r="E61" s="37"/>
      <c r="F61" s="37"/>
      <c r="G61" s="37"/>
      <c r="H61" s="35"/>
      <c r="I61" s="35"/>
      <c r="J61" s="38"/>
      <c r="K61" s="38"/>
      <c r="L61" s="38"/>
      <c r="M61" s="38"/>
      <c r="N61" s="38"/>
      <c r="Q61" s="6"/>
      <c r="R61" s="6"/>
      <c r="S61" s="25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7" t="s">
        <v>71</v>
      </c>
      <c r="AE61" s="27" t="s">
        <v>72</v>
      </c>
      <c r="AF61" s="25"/>
      <c r="AG61" s="26"/>
      <c r="AH61" s="26"/>
      <c r="AI61" s="26"/>
    </row>
    <row r="62" spans="1:35" x14ac:dyDescent="0.4">
      <c r="A62" s="35"/>
      <c r="B62" s="35"/>
      <c r="C62" s="35"/>
      <c r="D62" s="37"/>
      <c r="E62" s="37"/>
      <c r="F62" s="37"/>
      <c r="G62" s="37"/>
      <c r="H62" s="35"/>
      <c r="I62" s="35"/>
      <c r="J62" s="38"/>
      <c r="K62" s="38"/>
      <c r="L62" s="38"/>
      <c r="M62" s="38"/>
      <c r="N62" s="38"/>
      <c r="Q62" s="6"/>
      <c r="R62" s="6"/>
      <c r="S62" s="25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7" t="s">
        <v>73</v>
      </c>
      <c r="AE62" s="27" t="s">
        <v>74</v>
      </c>
      <c r="AF62" s="25"/>
      <c r="AG62" s="26"/>
      <c r="AH62" s="26"/>
      <c r="AI62" s="26"/>
    </row>
    <row r="63" spans="1:35" x14ac:dyDescent="0.4">
      <c r="A63" s="35"/>
      <c r="B63" s="35"/>
      <c r="C63" s="35"/>
      <c r="D63" s="37"/>
      <c r="E63" s="37"/>
      <c r="F63" s="37"/>
      <c r="G63" s="37"/>
      <c r="H63" s="35"/>
      <c r="I63" s="35"/>
      <c r="J63" s="38"/>
      <c r="K63" s="38"/>
      <c r="L63" s="38"/>
      <c r="M63" s="38"/>
      <c r="N63" s="38"/>
      <c r="Q63" s="6"/>
      <c r="R63" s="6"/>
      <c r="S63" s="25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7" t="s">
        <v>75</v>
      </c>
      <c r="AE63" s="27" t="s">
        <v>76</v>
      </c>
      <c r="AF63" s="25"/>
      <c r="AG63" s="26"/>
      <c r="AH63" s="26"/>
      <c r="AI63" s="26"/>
    </row>
    <row r="64" spans="1:35" x14ac:dyDescent="0.4">
      <c r="Q64" s="6"/>
      <c r="R64" s="6"/>
      <c r="S64" s="25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7"/>
      <c r="AE64" s="27"/>
      <c r="AF64" s="25"/>
      <c r="AG64" s="26"/>
      <c r="AH64" s="26"/>
      <c r="AI64" s="26"/>
    </row>
    <row r="65" spans="17:35" x14ac:dyDescent="0.4">
      <c r="Q65" s="6"/>
      <c r="R65" s="6"/>
      <c r="S65" s="25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</row>
    <row r="66" spans="17:35" x14ac:dyDescent="0.4">
      <c r="Q66" s="6"/>
      <c r="R66" s="6"/>
      <c r="S66" s="25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</row>
    <row r="67" spans="17:35" x14ac:dyDescent="0.4">
      <c r="Q67" s="6"/>
      <c r="R67" s="6"/>
      <c r="S67" s="25" t="s">
        <v>87</v>
      </c>
      <c r="T67" s="26" t="s">
        <v>90</v>
      </c>
      <c r="U67" s="26" t="s">
        <v>84</v>
      </c>
      <c r="V67" s="30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</row>
    <row r="68" spans="17:35" ht="115.15" x14ac:dyDescent="0.4">
      <c r="Q68" s="6"/>
      <c r="R68" s="6"/>
      <c r="S68" s="25" t="s">
        <v>88</v>
      </c>
      <c r="T68" s="26" t="s">
        <v>91</v>
      </c>
      <c r="U68" s="26" t="s">
        <v>93</v>
      </c>
      <c r="V68" s="31" t="s">
        <v>94</v>
      </c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</row>
    <row r="69" spans="17:35" ht="115.15" x14ac:dyDescent="0.4">
      <c r="Q69" s="6"/>
      <c r="R69" s="6"/>
      <c r="S69" s="25" t="s">
        <v>89</v>
      </c>
      <c r="T69" s="26" t="s">
        <v>92</v>
      </c>
      <c r="U69" s="26" t="s">
        <v>89</v>
      </c>
      <c r="V69" s="31" t="s">
        <v>94</v>
      </c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</row>
    <row r="70" spans="17:35" x14ac:dyDescent="0.4">
      <c r="Q70" s="6"/>
      <c r="R70" s="6"/>
      <c r="S70" s="25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</row>
    <row r="71" spans="17:35" x14ac:dyDescent="0.4">
      <c r="Q71" s="6"/>
      <c r="R71" s="6"/>
      <c r="S71" s="25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</row>
    <row r="72" spans="17:35" x14ac:dyDescent="0.4">
      <c r="Q72" s="6"/>
      <c r="R72" s="6"/>
      <c r="S72" s="32" t="s">
        <v>79</v>
      </c>
      <c r="T72" s="25" t="str">
        <f>CONCATENATE("Покупатель оплачивает стоимость поставленной продукции не позднее 2-го рабочего дня после истечения 3-х календарных месяцев с даты окончания месяца",",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продукцию",", и предоставлен Поставщиком Покупателю соответствующий оригинал счета-фактуры на стоимость поставленной продукции.",VLOOKUP($D$21,$S$67:$V$70,4,FALSE))</f>
        <v>Покупатель оплачивает стоимость поставленной продукции не позднее 2-го рабочего дня после истечения 3-х календарных месяцев с даты окончания месяца,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продукцию, и предоставлен Поставщиком Покупателю соответствующий оригинал счета-фактуры на стоимость поставленной продукции.</v>
      </c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</row>
    <row r="73" spans="17:35" x14ac:dyDescent="0.4">
      <c r="Q73" s="6"/>
      <c r="R73" s="6"/>
      <c r="S73" s="32" t="s">
        <v>78</v>
      </c>
      <c r="T73" s="25" t="str">
        <f>CONCATENATE("Покупатель оплачивает стоимость поставленной продукции не позднее 2-го рабочего дня после истечения 2-х календарных месяцев с даты окончания месяца",",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продукцию",", и предоставлен Поставщиком Покупателю соответствующий оригинал счета-фактуры на стоимость поставленной продукции.",VLOOKUP($D$21,$S$67:$V$70,4,FALSE))</f>
        <v>Покупатель оплачивает стоимость поставленной продукции не позднее 2-го рабочего дня после истечения 2-х календарных месяцев с даты окончания месяца,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продукцию, и предоставлен Поставщиком Покупателю соответствующий оригинал счета-фактуры на стоимость поставленной продукции.</v>
      </c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</row>
    <row r="74" spans="17:35" x14ac:dyDescent="0.4">
      <c r="Q74" s="6"/>
      <c r="R74" s="6"/>
      <c r="S74" s="32" t="s">
        <v>159</v>
      </c>
      <c r="T74" s="25" t="str">
        <f>CONCATENATE("Покупатель оплачивает стоимость поставленной продукции не позднее 2-го рабочего дня после истечения 1 календарного месяца с даты окончания месяца",",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продукцию",", и предоставлен Поставщиком Покупателю соответствующий оригинал счета-фактуры на стоимость поставленной продукции.",VLOOKUP($D$21,$S$67:$V$70,4,FALSE))</f>
        <v>Покупатель оплачивает стоимость поставленной продукции не позднее 2-го рабочего дня после истечения 1 календарного месяца с даты окончания месяца, в котором была поставлена продукция 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ТОРГ-12) на поставленную продукцию, и предоставлен Поставщиком Покупателю соответствующий оригинал счета-фактуры на стоимость поставленной продукции.</v>
      </c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</row>
    <row r="75" spans="17:35" x14ac:dyDescent="0.4">
      <c r="Q75" s="6"/>
      <c r="R75" s="6"/>
      <c r="S75" s="32" t="s">
        <v>160</v>
      </c>
      <c r="T75" s="25" t="str">
        <f>CONCATENATE("Покупатель оплачивает стоимость поставленной продукции в течение 10 рабочих дней с даты ","поставки продукции и предоставления Поставщиком Покупателю надлежащим образом оформленных и подписанных Сторонами приемо-сдаточных документов (товарная накладная по форме ТОРГ-12) на поставленную продукцию",", и предоставления Поставщиком Покупателю соответствующего оригинала счета-фактуры на стоимость поставленной продукции.",VLOOKUP($D$21,$S$67:$V$70,4,FALSE))</f>
        <v>Покупатель оплачивает стоимость поставленной продукции в течение 10 рабочих дней с даты поставки продукции и предоставления Поставщиком Покупателю надлежащим образом оформленных и подписанных Сторонами приемо-сдаточных документов (товарная накладная по форме ТОРГ-12) на поставленную продукцию, и предоставления Поставщиком Покупателю соответствующего оригинала счета-фактуры на стоимость поставленной продукции.</v>
      </c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</row>
    <row r="76" spans="17:35" x14ac:dyDescent="0.4">
      <c r="Q76" s="6"/>
      <c r="R76" s="6"/>
      <c r="S76" s="32" t="s">
        <v>161</v>
      </c>
      <c r="T76" s="25" t="s">
        <v>162</v>
      </c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</row>
    <row r="77" spans="17:35" x14ac:dyDescent="0.4">
      <c r="Q77" s="6"/>
      <c r="R77" s="6"/>
      <c r="S77" s="32" t="s">
        <v>80</v>
      </c>
      <c r="T77" s="32" t="str">
        <f>CONCATENATE("Покупатель оплачивает стоимость продукции в следующем порядке:
(а) Авансовый платеж в размере ",$G$20,"% от стоимости продукции по Договору, что составляет ",AA77," ",VLOOKUP($D$21,$S$67:$V$69,2,FALSE)," (",VLOOKUP($D$21,AB77:AE79,2,FALSE),"), в т.ч. НДС (18%) в размере ",AD77," ",VLOOKUP($D$21,$S$67:$V$69,3,FALSE)," (",VLOOKUP($D$21,AB77:AE79,4,FALSE),"), в течение 10 (десяти) рабочих дней с даты заключения Договора и получения Покупателем от Поставщика соответствующего счёта;
Поставщик обязан предоставить счета-фактуры"," на сумму выплаченных авансов в течение 5 (Пяти) рабочих дней с момента получения аванса. Счет-фактура должен быть оформлен в соответствии с требованиями Налогового кодекса РФ.","
(б) Оплата оставшейся части стоимости поставки производится Покупателем не позднее ",$J$20,VLOOKUP($J$20,$S$87:$T$91,2,FALSE)," календарных дней с даты поставки продукции и предоставления Поставщиком Покупателю полного комплекта надлежащим образом оформленных оригиналов следующих документов:"," 
- счет Поставщика на сумму, составляющую 100% стоимости поставленной продукции, уменьшенную на ",$G$20,"% от суммы счета (в счет погашения ранее выплаченного аванса));
- подписанные Сторонами приемо-сдаточные документы"," (товарно-транспортная накладная (ТТН), товарная накладная по форме ТОРГ-12) на поставленную продукцию;
- оригинал счета-фактуры, оформленного надлежащим образом.",VLOOKUP($D$21,$S$67:$V$70,4,FALSE))</f>
        <v>Покупатель оплачивает стоимость продукции в следующем порядке:
(а) Авансовый платеж в размере % от стоимости продукции по Договору, что составляет 0 руб. (Ноль рублей 00 копеек), в т.ч. НДС (18%) в размере 0 рублей (Ноль рублей 00 копеек), в течение 10 (десяти) рабочих дней с даты заключения Договора и получения Покупателем от Поставщика соответствующего счёта;
Поставщик обязан предоставить счета-фактуры на сумму выплаченных авансов в течение 5 (Пяти) рабочих дней с момента получения аванса. Счет-фактура должен быть оформлен в соответствии с требованиями Налогового кодекса РФ.
(б) Оплата оставшейся части стоимости поставки производится Покупателем не позднее 30 календарных дней с даты поставки продукции и предоставления Поставщиком Покупателю полного комплекта надлежащим образом оформленных оригиналов следующих документов: 
- счет Поставщика на сумму, составляющую 100% стоимости поставленной продукции, уменьшенную на % от суммы счета (в счет погашения ранее выплаченного аванса));
- подписанные Сторонами приемо-сдаточные документы (товарно-транспортная накладная (ТТН), товарная накладная по форме ТОРГ-12) на поставленную продукцию;
- оригинал счета-фактуры, оформленного надлежащим образом.</v>
      </c>
      <c r="U77" s="26"/>
      <c r="V77" s="26" t="s">
        <v>83</v>
      </c>
      <c r="W77" s="26"/>
      <c r="X77" s="26" t="s">
        <v>83</v>
      </c>
      <c r="Y77" s="26"/>
      <c r="Z77" s="26" t="s">
        <v>85</v>
      </c>
      <c r="AA77" s="26">
        <f>ROUND($K$47*G20/100,2)</f>
        <v>0</v>
      </c>
      <c r="AB77" s="26" t="str">
        <f>S67</f>
        <v>Рубли</v>
      </c>
      <c r="AC77" s="33" t="str">
        <f>SUBSTITUTE(PROPER(INDEX(n_4,MID(TEXT(AA77,n0),1,1)+1)&amp;INDEX(n0x,MID(TEXT(AA77,n0),2,1)+1,MID(TEXT(AA77,n0),3,1)+1)&amp;IF(-MID(TEXT(AA77,n0),1,3),"миллиард"&amp;VLOOKUP(MID(TEXT(AA77,n0),3,1)*AND(MID(TEXT(AA77,n0),2,1)-1),мил,2),"")&amp;INDEX(n_4,MID(TEXT(AA77,n0),4,1)+1)&amp;INDEX(n0x,MID(TEXT(AA77,n0),5,1)+1,MID(TEXT(AA77,n0),6,1)+1)&amp;IF(-MID(TEXT(AA77,n0),4,3),"миллион"&amp;VLOOKUP(MID(TEXT(AA77,n0),6,1)*AND(MID(TEXT(AA77,n0),5,1)-1),мил,2),"")&amp;INDEX(n_4,MID(TEXT(AA77,n0),7,1)+1)&amp;INDEX(n1x,MID(TEXT(AA77,n0),8,1)+1,MID(TEXT(AA77,n0),9,1)+1)&amp;IF(-MID(TEXT(AA77,n0),7,3),VLOOKUP(MID(TEXT(AA77,n0),9,1)*AND(MID(TEXT(AA77,n0),8,1)-1),тыс,2),"")&amp;INDEX(n_4,MID(TEXT(AA77,n0),10,1)+1)&amp;INDEX(n0x,MID(TEXT(AA77,n0),11,1)+1,MID(TEXT(AA77,n0),12,1)+1)),"z"," ")&amp;IF(TRUNC(TEXT(AA77,n0)),"","Ноль ")&amp;"рубл"&amp;VLOOKUP(MOD(MAX(MOD(MID(TEXT(AA77,n0),11,2)-11,100),9),10),{0,"ь ";1,"я ";4,"ей "},2)&amp;RIGHT(TEXT(AA77,n0),2)&amp;" копе"&amp;VLOOKUP(MOD(MAX(MOD(RIGHT(TEXT(AA77,n0),2)-11,100),9),10),{0,"йка";1,"йки";4,"ек"},2)</f>
        <v>Ноль рублей 00 копеек</v>
      </c>
      <c r="AD77" s="26">
        <f>ROUND(AA77/1.18*0.18,2)</f>
        <v>0</v>
      </c>
      <c r="AE77" s="33" t="str">
        <f>SUBSTITUTE(PROPER(INDEX(n_4,MID(TEXT(AD77,n0),1,1)+1)&amp;INDEX(n0x,MID(TEXT(AD77,n0),2,1)+1,MID(TEXT(AD77,n0),3,1)+1)&amp;IF(-MID(TEXT(AD77,n0),1,3),"миллиард"&amp;VLOOKUP(MID(TEXT(AD77,n0),3,1)*AND(MID(TEXT(AD77,n0),2,1)-1),мил,2),"")&amp;INDEX(n_4,MID(TEXT(AD77,n0),4,1)+1)&amp;INDEX(n0x,MID(TEXT(AD77,n0),5,1)+1,MID(TEXT(AD77,n0),6,1)+1)&amp;IF(-MID(TEXT(AD77,n0),4,3),"миллион"&amp;VLOOKUP(MID(TEXT(AD77,n0),6,1)*AND(MID(TEXT(AD77,n0),5,1)-1),мил,2),"")&amp;INDEX(n_4,MID(TEXT(AD77,n0),7,1)+1)&amp;INDEX(n1x,MID(TEXT(AD77,n0),8,1)+1,MID(TEXT(AD77,n0),9,1)+1)&amp;IF(-MID(TEXT(AD77,n0),7,3),VLOOKUP(MID(TEXT(AD77,n0),9,1)*AND(MID(TEXT(AD77,n0),8,1)-1),тыс,2),"")&amp;INDEX(n_4,MID(TEXT(AD77,n0),10,1)+1)&amp;INDEX(n0x,MID(TEXT(AD77,n0),11,1)+1,MID(TEXT(AD77,n0),12,1)+1)),"z"," ")&amp;IF(TRUNC(TEXT(AD77,n0)),"","Ноль ")&amp;"рубл"&amp;VLOOKUP(MOD(MAX(MOD(MID(TEXT(AD77,n0),11,2)-11,100),9),10),{0,"ь ";1,"я ";4,"ей "},2)&amp;RIGHT(TEXT(AD77,n0),2)&amp;" копе"&amp;VLOOKUP(MOD(MAX(MOD(RIGHT(TEXT(AD77,n0),2)-11,100),9),10),{0,"йка";1,"йки";4,"ек"},2)</f>
        <v>Ноль рублей 00 копеек</v>
      </c>
      <c r="AF77" s="33"/>
      <c r="AG77" s="33"/>
      <c r="AH77" s="26"/>
      <c r="AI77" s="26"/>
    </row>
    <row r="78" spans="17:35" x14ac:dyDescent="0.4">
      <c r="Q78" s="6"/>
      <c r="R78" s="6"/>
      <c r="S78" s="32" t="s">
        <v>81</v>
      </c>
      <c r="T78" s="32" t="e">
        <f>CONCATENATE("Покупатель оплачивает стоимость продукции в следующем порядке:
(а) Авансовый платеж в размере ",AA80," ",VLOOKUP($D$21,$S$67:$V$69,3,FALSE)," (",VLOOKUP($D$21,AB80:AE82,2,FALSE),"), в т.ч. НДС (18%) в размере ",AD80," ",VLOOKUP($D$21,$S$67:$V$69,3,FALSE)," (",VLOOKUP($D$21,AB80:AE82,4,FALSE),"), в течение 10 (десяти) рабочих дней с даты заключения договора и получения Покупателем от Поставщика соответствующего счёта;
Поставщик обязан предоставить счета-фактуры"," на сумму выплаченных авансов в течение 5 (Пяти) рабочих дней с момента получения аванса. Счет-фактура должен быть оформлен в соответствии с требованиями Налогового кодекса РФ.","
(б) Оплата оставшейся части стоимости поставки производится Покупателем не позднее ",$J$20,VLOOKUP($J$20,$S$87:$T$91,2,FALSE)," календарных дней с даты поставки продукции и предоставления Поставщиком Покупателю полного комплекта надлежащим образом оформленных оригиналов следующих документов:"," 
- счет Поставщика на сумму, составляющую 100% стоимости поставленной продукции, уменьшенную на ",ROUND($G$20/$K$47*100,0),"% от суммы счета (в счет погашения ранее выплаченного аванса));
- подписанные Сторонами приемо-сдаточные документы"," (товарно-транспортная накладная (ТТН), товарная накладная по форме ТОРГ-12) на поставленную продукцию;
- оригинал счета-фактуры, оформленного надлежащим образом.",VLOOKUP($D$21,$S$67:$V$70,4,FALSE))</f>
        <v>#DIV/0!</v>
      </c>
      <c r="U78" s="26"/>
      <c r="V78" s="26" t="str">
        <f>VLOOKUP($D$21,$S$67:$V$70,3,FALSE)</f>
        <v>рублей</v>
      </c>
      <c r="W78" s="26"/>
      <c r="X78" s="26" t="str">
        <f>VLOOKUP($D$21,$S$67:$V$70,3,FALSE)</f>
        <v>рублей</v>
      </c>
      <c r="Y78" s="26"/>
      <c r="Z78" s="26" t="s">
        <v>85</v>
      </c>
      <c r="AA78" s="26"/>
      <c r="AB78" s="26" t="str">
        <f>S68</f>
        <v>Доллары</v>
      </c>
      <c r="AC78" s="33" t="str">
        <f>SUBSTITUTE(PROPER(INDEX(n_4,MID(TEXT(AA77,n0),1,1)+1)&amp;INDEX(n0x,MID(TEXT(AA77,n0),2,1)+1,MID(TEXT(AA77,n0),3,1)+1)&amp;IF(-MID(TEXT(AA77,n0),1,3),"миллиард"&amp;VLOOKUP(MID(TEXT(AA77,n0),3,1)*AND(MID(TEXT(AA77,n0),2,1)-1),мил,2),"")&amp;INDEX(n_4,MID(TEXT(AA77,n0),4,1)+1)&amp;INDEX(n0x,MID(TEXT(AA77,n0),5,1)+1,MID(TEXT(AA77,n0),6,1)+1)&amp;IF(-MID(TEXT(AA77,n0),4,3),"миллион"&amp;VLOOKUP(MID(TEXT(AA77,n0),6,1)*AND(MID(TEXT(AA77,n0),5,1)-1),мил,2),"")&amp;INDEX(n_4,MID(TEXT(AA77,n0),7,1)+1)&amp;INDEX(n1x,MID(TEXT(AA77,n0),8,1)+1,MID(TEXT(AA77,n0),9,1)+1)&amp;IF(-MID(TEXT(AA77,n0),7,3),VLOOKUP(MID(TEXT(AA77,n0),9,1)*AND(MID(TEXT(AA77,n0),8,1)-1),тыс,2),"")&amp;INDEX(n_4,MID(TEXT(AA77,n0),10,1)+1)&amp;INDEX(n0x,MID(TEXT(AA77,n0),11,1)+1,MID(TEXT(AA77,n0),12,1)+1)),"z"," ")&amp;IF(TRUNC(TEXT(AA77,n0)),"","Ноль ")&amp;"доллар"&amp;VLOOKUP(MOD(MAX(MOD(MID(TEXT(AA77,n0),11,2)-11,100),9),10),{0," ";1,"а ";4,"ов "},2)&amp;RIGHT(TEXT(AA77,n0),2)&amp;" цент"&amp;VLOOKUP(MOD(MAX(MOD(RIGHT(TEXT(AA77,n0),2)-11,100),9),10),{0,"";1,"а";4,"ов"},2)</f>
        <v>Ноль долларов 00 центов</v>
      </c>
      <c r="AD78" s="33"/>
      <c r="AE78" s="33" t="str">
        <f>SUBSTITUTE(PROPER(INDEX(n_4,MID(TEXT(AD77,n0),1,1)+1)&amp;INDEX(n0x,MID(TEXT(AD77,n0),2,1)+1,MID(TEXT(AD77,n0),3,1)+1)&amp;IF(-MID(TEXT(AD77,n0),1,3),"миллиард"&amp;VLOOKUP(MID(TEXT(AD77,n0),3,1)*AND(MID(TEXT(AD77,n0),2,1)-1),мил,2),"")&amp;INDEX(n_4,MID(TEXT(AD77,n0),4,1)+1)&amp;INDEX(n0x,MID(TEXT(AD77,n0),5,1)+1,MID(TEXT(AD77,n0),6,1)+1)&amp;IF(-MID(TEXT(AD77,n0),4,3),"миллион"&amp;VLOOKUP(MID(TEXT(AD77,n0),6,1)*AND(MID(TEXT(AD77,n0),5,1)-1),мил,2),"")&amp;INDEX(n_4,MID(TEXT(AD77,n0),7,1)+1)&amp;INDEX(n1x,MID(TEXT(AD77,n0),8,1)+1,MID(TEXT(AD77,n0),9,1)+1)&amp;IF(-MID(TEXT(AD77,n0),7,3),VLOOKUP(MID(TEXT(AD77,n0),9,1)*AND(MID(TEXT(AD77,n0),8,1)-1),тыс,2),"")&amp;INDEX(n_4,MID(TEXT(AD77,n0),10,1)+1)&amp;INDEX(n0x,MID(TEXT(AD77,n0),11,1)+1,MID(TEXT(AD77,n0),12,1)+1)),"z"," ")&amp;IF(TRUNC(TEXT(AD77,n0)),"","Ноль ")&amp;"доллар"&amp;VLOOKUP(MOD(MAX(MOD(MID(TEXT(AD77,n0),11,2)-11,100),9),10),{0," ";1,"а ";4,"ов "},2)&amp;RIGHT(TEXT(AD77,n0),2)&amp;" цент"&amp;VLOOKUP(MOD(MAX(MOD(RIGHT(TEXT(AD77,n0),2)-11,100),9),10),{0,"";1,"а";4,"ов"},2)</f>
        <v>Ноль долларов 00 центов</v>
      </c>
      <c r="AF78" s="26"/>
      <c r="AG78" s="33"/>
      <c r="AH78" s="26"/>
      <c r="AI78" s="26"/>
    </row>
    <row r="79" spans="17:35" x14ac:dyDescent="0.4">
      <c r="Q79" s="6"/>
      <c r="R79" s="6"/>
      <c r="S79" s="32"/>
      <c r="T79" s="32"/>
      <c r="U79" s="26"/>
      <c r="V79" s="26"/>
      <c r="W79" s="26"/>
      <c r="X79" s="26"/>
      <c r="Y79" s="26"/>
      <c r="Z79" s="26"/>
      <c r="AA79" s="26"/>
      <c r="AB79" s="26" t="str">
        <f>S69</f>
        <v>евро</v>
      </c>
      <c r="AC79" s="33" t="str">
        <f>SUBSTITUTE(PROPER(INDEX(n_4,MID(TEXT(AA77,n0),1,1)+1)&amp;INDEX(n0x,MID(TEXT(AA77,n0),2,1)+1,MID(TEXT(AA77,n0),3,1)+1)&amp;IF(-MID(TEXT(AA77,n0),1,3),"миллиард"&amp;VLOOKUP(MID(TEXT(AA77,n0),3,1)*AND(MID(TEXT(AA77,n0),2,1)-1),мил,2),"")&amp;INDEX(n_4,MID(TEXT(AA77,n0),4,1)+1)&amp;INDEX(n0x,MID(TEXT(AA77,n0),5,1)+1,MID(TEXT(AA77,n0),6,1)+1)&amp;IF(-MID(TEXT(AA77,n0),4,3),"миллион"&amp;VLOOKUP(MID(TEXT(AA77,n0),6,1)*AND(MID(TEXT(AA77,n0),5,1)-1),мил,2),"")&amp;INDEX(n_4,MID(TEXT(AA77,n0),7,1)+1)&amp;INDEX(n1x,MID(TEXT(AA77,n0),8,1)+1,MID(TEXT(AA77,n0),9,1)+1)&amp;IF(-MID(TEXT(AA77,n0),7,3),VLOOKUP(MID(TEXT(AA77,n0),9,1)*AND(MID(TEXT(AA77,n0),8,1)-1),тыс,2),"")&amp;INDEX(n_4,MID(TEXT(AA77,n0),10,1)+1)&amp;INDEX(n0x,MID(TEXT(AA77,n0),11,1)+1,MID(TEXT(AA77,n0),12,1)+1)),"z"," ")&amp;IF(TRUNC(TEXT(AA77,n0)),"","Ноль ")&amp;"евро"&amp;VLOOKUP(MOD(MAX(MOD(MID(TEXT(AA77,n0),11,2)-11,100),9),10),{0," ";1," ";4," "},2)&amp;RIGHT(TEXT(AA77,n0),2)&amp;" цент"&amp;VLOOKUP(MOD(MAX(MOD(RIGHT(TEXT(AA77,n0),2)-11,100),9),10),{0,"";1,"а";4,"ов"},2)</f>
        <v>Ноль евро 00 центов</v>
      </c>
      <c r="AD79" s="33"/>
      <c r="AE79" s="33" t="str">
        <f>SUBSTITUTE(PROPER(INDEX(n_4,MID(TEXT(AD77,n0),1,1)+1)&amp;INDEX(n0x,MID(TEXT(AD77,n0),2,1)+1,MID(TEXT(AD77,n0),3,1)+1)&amp;IF(-MID(TEXT(AD77,n0),1,3),"миллиард"&amp;VLOOKUP(MID(TEXT(AD77,n0),3,1)*AND(MID(TEXT(AD77,n0),2,1)-1),мил,2),"")&amp;INDEX(n_4,MID(TEXT(AD77,n0),4,1)+1)&amp;INDEX(n0x,MID(TEXT(AD77,n0),5,1)+1,MID(TEXT(AD77,n0),6,1)+1)&amp;IF(-MID(TEXT(AD77,n0),4,3),"миллион"&amp;VLOOKUP(MID(TEXT(AD77,n0),6,1)*AND(MID(TEXT(AD77,n0),5,1)-1),мил,2),"")&amp;INDEX(n_4,MID(TEXT(AD77,n0),7,1)+1)&amp;INDEX(n1x,MID(TEXT(AD77,n0),8,1)+1,MID(TEXT(AD77,n0),9,1)+1)&amp;IF(-MID(TEXT(AD77,n0),7,3),VLOOKUP(MID(TEXT(AD77,n0),9,1)*AND(MID(TEXT(AD77,n0),8,1)-1),тыс,2),"")&amp;INDEX(n_4,MID(TEXT(AD77,n0),10,1)+1)&amp;INDEX(n0x,MID(TEXT(AD77,n0),11,1)+1,MID(TEXT(AD77,n0),12,1)+1)),"z"," ")&amp;IF(TRUNC(TEXT(AD77,n0)),"","Ноль ")&amp;"евро"&amp;VLOOKUP(MOD(MAX(MOD(MID(TEXT(AD77,n0),11,2)-11,100),9),10),{0," ";1," ";4," "},2)&amp;RIGHT(TEXT(AD77,n0),2)&amp;" цент"&amp;VLOOKUP(MOD(MAX(MOD(RIGHT(TEXT(AD77,n0),2)-11,100),9),10),{0,"";1,"а";4,"ов"},2)</f>
        <v>Ноль евро 00 центов</v>
      </c>
      <c r="AF79" s="26"/>
      <c r="AG79" s="33"/>
      <c r="AH79" s="26"/>
      <c r="AI79" s="26"/>
    </row>
    <row r="80" spans="17:35" x14ac:dyDescent="0.4">
      <c r="Q80" s="6"/>
      <c r="R80" s="6"/>
      <c r="S80" s="25"/>
      <c r="T80" s="26"/>
      <c r="U80" s="26"/>
      <c r="V80" s="26"/>
      <c r="W80" s="26"/>
      <c r="X80" s="26"/>
      <c r="Y80" s="26"/>
      <c r="Z80" s="26"/>
      <c r="AA80" s="26">
        <f>$G$20</f>
        <v>0</v>
      </c>
      <c r="AB80" s="26" t="str">
        <f>S67</f>
        <v>Рубли</v>
      </c>
      <c r="AC80" s="33" t="str">
        <f>SUBSTITUTE(PROPER(INDEX(n_4,MID(TEXT(AA80,n0),1,1)+1)&amp;INDEX(n0x,MID(TEXT(AA80,n0),2,1)+1,MID(TEXT(AA80,n0),3,1)+1)&amp;IF(-MID(TEXT(AA80,n0),1,3),"миллиард"&amp;VLOOKUP(MID(TEXT(AA80,n0),3,1)*AND(MID(TEXT(AA80,n0),2,1)-1),мил,2),"")&amp;INDEX(n_4,MID(TEXT(AA80,n0),4,1)+1)&amp;INDEX(n0x,MID(TEXT(AA80,n0),5,1)+1,MID(TEXT(AA80,n0),6,1)+1)&amp;IF(-MID(TEXT(AA80,n0),4,3),"миллион"&amp;VLOOKUP(MID(TEXT(AA80,n0),6,1)*AND(MID(TEXT(AA80,n0),5,1)-1),мил,2),"")&amp;INDEX(n_4,MID(TEXT(AA80,n0),7,1)+1)&amp;INDEX(n1x,MID(TEXT(AA80,n0),8,1)+1,MID(TEXT(AA80,n0),9,1)+1)&amp;IF(-MID(TEXT(AA80,n0),7,3),VLOOKUP(MID(TEXT(AA80,n0),9,1)*AND(MID(TEXT(AA80,n0),8,1)-1),тыс,2),"")&amp;INDEX(n_4,MID(TEXT(AA80,n0),10,1)+1)&amp;INDEX(n0x,MID(TEXT(AA80,n0),11,1)+1,MID(TEXT(AA80,n0),12,1)+1)),"z"," ")&amp;IF(TRUNC(TEXT(AA80,n0)),"","Ноль ")&amp;"рубл"&amp;VLOOKUP(MOD(MAX(MOD(MID(TEXT(AA80,n0),11,2)-11,100),9),10),{0,"ь ";1,"я ";4,"ей "},2)&amp;RIGHT(TEXT(AA80,n0),2)&amp;" копе"&amp;VLOOKUP(MOD(MAX(MOD(RIGHT(TEXT(AA80,n0),2)-11,100),9),10),{0,"йка";1,"йки";4,"ек"},2)</f>
        <v>Ноль рублей 00 копеек</v>
      </c>
      <c r="AD80" s="26">
        <f>ROUND(AA80/1.18*0.18,2)</f>
        <v>0</v>
      </c>
      <c r="AE80" s="33" t="str">
        <f>SUBSTITUTE(PROPER(INDEX(n_4,MID(TEXT(AD80,n0),1,1)+1)&amp;INDEX(n0x,MID(TEXT(AD80,n0),2,1)+1,MID(TEXT(AD80,n0),3,1)+1)&amp;IF(-MID(TEXT(AD80,n0),1,3),"миллиард"&amp;VLOOKUP(MID(TEXT(AD80,n0),3,1)*AND(MID(TEXT(AD80,n0),2,1)-1),мил,2),"")&amp;INDEX(n_4,MID(TEXT(AD80,n0),4,1)+1)&amp;INDEX(n0x,MID(TEXT(AD80,n0),5,1)+1,MID(TEXT(AD80,n0),6,1)+1)&amp;IF(-MID(TEXT(AD80,n0),4,3),"миллион"&amp;VLOOKUP(MID(TEXT(AD80,n0),6,1)*AND(MID(TEXT(AD80,n0),5,1)-1),мил,2),"")&amp;INDEX(n_4,MID(TEXT(AD80,n0),7,1)+1)&amp;INDEX(n1x,MID(TEXT(AD80,n0),8,1)+1,MID(TEXT(AD80,n0),9,1)+1)&amp;IF(-MID(TEXT(AD80,n0),7,3),VLOOKUP(MID(TEXT(AD80,n0),9,1)*AND(MID(TEXT(AD80,n0),8,1)-1),тыс,2),"")&amp;INDEX(n_4,MID(TEXT(AD80,n0),10,1)+1)&amp;INDEX(n0x,MID(TEXT(AD80,n0),11,1)+1,MID(TEXT(AD80,n0),12,1)+1)),"z"," ")&amp;IF(TRUNC(TEXT(AD80,n0)),"","Ноль ")&amp;"рубл"&amp;VLOOKUP(MOD(MAX(MOD(MID(TEXT(AD80,n0),11,2)-11,100),9),10),{0,"ь ";1,"я ";4,"ей "},2)&amp;RIGHT(TEXT(AD80,n0),2)&amp;" копе"&amp;VLOOKUP(MOD(MAX(MOD(RIGHT(TEXT(AD80,n0),2)-11,100),9),10),{0,"йка";1,"йки";4,"ек"},2)</f>
        <v>Ноль рублей 00 копеек</v>
      </c>
      <c r="AF80" s="26"/>
      <c r="AG80" s="26"/>
      <c r="AH80" s="26"/>
      <c r="AI80" s="26"/>
    </row>
    <row r="81" spans="17:35" x14ac:dyDescent="0.4">
      <c r="Q81" s="6"/>
      <c r="R81" s="6"/>
      <c r="S81" s="31"/>
      <c r="T81" s="32"/>
      <c r="U81" s="26"/>
      <c r="V81" s="26"/>
      <c r="W81" s="26"/>
      <c r="X81" s="26"/>
      <c r="Y81" s="26"/>
      <c r="Z81" s="26"/>
      <c r="AA81" s="26"/>
      <c r="AB81" s="26" t="str">
        <f>S68</f>
        <v>Доллары</v>
      </c>
      <c r="AC81" s="33" t="str">
        <f>SUBSTITUTE(PROPER(INDEX(n_4,MID(TEXT(AA80,n0),1,1)+1)&amp;INDEX(n0x,MID(TEXT(AA80,n0),2,1)+1,MID(TEXT(AA80,n0),3,1)+1)&amp;IF(-MID(TEXT(AA80,n0),1,3),"миллиард"&amp;VLOOKUP(MID(TEXT(AA80,n0),3,1)*AND(MID(TEXT(AA80,n0),2,1)-1),мил,2),"")&amp;INDEX(n_4,MID(TEXT(AA80,n0),4,1)+1)&amp;INDEX(n0x,MID(TEXT(AA80,n0),5,1)+1,MID(TEXT(AA80,n0),6,1)+1)&amp;IF(-MID(TEXT(AA80,n0),4,3),"миллион"&amp;VLOOKUP(MID(TEXT(AA80,n0),6,1)*AND(MID(TEXT(AA80,n0),5,1)-1),мил,2),"")&amp;INDEX(n_4,MID(TEXT(AA80,n0),7,1)+1)&amp;INDEX(n1x,MID(TEXT(AA80,n0),8,1)+1,MID(TEXT(AA80,n0),9,1)+1)&amp;IF(-MID(TEXT(AA80,n0),7,3),VLOOKUP(MID(TEXT(AA80,n0),9,1)*AND(MID(TEXT(AA80,n0),8,1)-1),тыс,2),"")&amp;INDEX(n_4,MID(TEXT(AA80,n0),10,1)+1)&amp;INDEX(n0x,MID(TEXT(AA80,n0),11,1)+1,MID(TEXT(AA80,n0),12,1)+1)),"z"," ")&amp;IF(TRUNC(TEXT(AA80,n0)),"","Ноль ")&amp;"доллар"&amp;VLOOKUP(MOD(MAX(MOD(MID(TEXT(AA80,n0),11,2)-11,100),9),10),{0," ";1,"а ";4,"ов "},2)&amp;RIGHT(TEXT(AA80,n0),2)&amp;" цент"&amp;VLOOKUP(MOD(MAX(MOD(RIGHT(TEXT(AA80,n0),2)-11,100),9),10),{0,"";1,"а";4,"ов"},2)</f>
        <v>Ноль долларов 00 центов</v>
      </c>
      <c r="AD81" s="26"/>
      <c r="AE81" s="33" t="str">
        <f>SUBSTITUTE(PROPER(INDEX(n_4,MID(TEXT(AD80,n0),1,1)+1)&amp;INDEX(n0x,MID(TEXT(AD80,n0),2,1)+1,MID(TEXT(AD80,n0),3,1)+1)&amp;IF(-MID(TEXT(AD80,n0),1,3),"миллиард"&amp;VLOOKUP(MID(TEXT(AD80,n0),3,1)*AND(MID(TEXT(AD80,n0),2,1)-1),мил,2),"")&amp;INDEX(n_4,MID(TEXT(AD80,n0),4,1)+1)&amp;INDEX(n0x,MID(TEXT(AD80,n0),5,1)+1,MID(TEXT(AD80,n0),6,1)+1)&amp;IF(-MID(TEXT(AD80,n0),4,3),"миллион"&amp;VLOOKUP(MID(TEXT(AD80,n0),6,1)*AND(MID(TEXT(AD80,n0),5,1)-1),мил,2),"")&amp;INDEX(n_4,MID(TEXT(AD80,n0),7,1)+1)&amp;INDEX(n1x,MID(TEXT(AD80,n0),8,1)+1,MID(TEXT(AD80,n0),9,1)+1)&amp;IF(-MID(TEXT(AD80,n0),7,3),VLOOKUP(MID(TEXT(AD80,n0),9,1)*AND(MID(TEXT(AD80,n0),8,1)-1),тыс,2),"")&amp;INDEX(n_4,MID(TEXT(AD80,n0),10,1)+1)&amp;INDEX(n0x,MID(TEXT(AD80,n0),11,1)+1,MID(TEXT(AD80,n0),12,1)+1)),"z"," ")&amp;IF(TRUNC(TEXT(AD80,n0)),"","Ноль ")&amp;"доллар"&amp;VLOOKUP(MOD(MAX(MOD(MID(TEXT(AD80,n0),11,2)-11,100),9),10),{0," ";1,"а ";4,"ов "},2)&amp;RIGHT(TEXT(AD80,n0),2)&amp;" цент"&amp;VLOOKUP(MOD(MAX(MOD(RIGHT(TEXT(AD80,n0),2)-11,100),9),10),{0,"";1,"а";4,"ов"},2)</f>
        <v>Ноль долларов 00 центов</v>
      </c>
      <c r="AF81" s="26"/>
      <c r="AG81" s="26"/>
      <c r="AH81" s="26"/>
      <c r="AI81" s="26"/>
    </row>
    <row r="82" spans="17:35" x14ac:dyDescent="0.4">
      <c r="Q82" s="6"/>
      <c r="R82" s="6"/>
      <c r="S82" s="31"/>
      <c r="T82" s="32"/>
      <c r="U82" s="26"/>
      <c r="V82" s="26"/>
      <c r="W82" s="26"/>
      <c r="X82" s="26"/>
      <c r="Y82" s="26"/>
      <c r="Z82" s="26"/>
      <c r="AA82" s="26"/>
      <c r="AB82" s="26" t="str">
        <f>S69</f>
        <v>евро</v>
      </c>
      <c r="AC82" s="33" t="str">
        <f>SUBSTITUTE(PROPER(INDEX(n_4,MID(TEXT(AA80,n0),1,1)+1)&amp;INDEX(n0x,MID(TEXT(AA80,n0),2,1)+1,MID(TEXT(AA80,n0),3,1)+1)&amp;IF(-MID(TEXT(AA80,n0),1,3),"миллиард"&amp;VLOOKUP(MID(TEXT(AA80,n0),3,1)*AND(MID(TEXT(AA80,n0),2,1)-1),мил,2),"")&amp;INDEX(n_4,MID(TEXT(AA80,n0),4,1)+1)&amp;INDEX(n0x,MID(TEXT(AA80,n0),5,1)+1,MID(TEXT(AA80,n0),6,1)+1)&amp;IF(-MID(TEXT(AA80,n0),4,3),"миллион"&amp;VLOOKUP(MID(TEXT(AA80,n0),6,1)*AND(MID(TEXT(AA80,n0),5,1)-1),мил,2),"")&amp;INDEX(n_4,MID(TEXT(AA80,n0),7,1)+1)&amp;INDEX(n1x,MID(TEXT(AA80,n0),8,1)+1,MID(TEXT(AA80,n0),9,1)+1)&amp;IF(-MID(TEXT(AA80,n0),7,3),VLOOKUP(MID(TEXT(AA80,n0),9,1)*AND(MID(TEXT(AA80,n0),8,1)-1),тыс,2),"")&amp;INDEX(n_4,MID(TEXT(AA80,n0),10,1)+1)&amp;INDEX(n0x,MID(TEXT(AA80,n0),11,1)+1,MID(TEXT(AA80,n0),12,1)+1)),"z"," ")&amp;IF(TRUNC(TEXT(AA80,n0)),"","Ноль ")&amp;"евро"&amp;VLOOKUP(MOD(MAX(MOD(MID(TEXT(AA80,n0),11,2)-11,100),9),10),{0," ";1," ";4," "},2)&amp;RIGHT(TEXT(AA80,n0),2)&amp;" цент"&amp;VLOOKUP(MOD(MAX(MOD(RIGHT(TEXT(AA80,n0),2)-11,100),9),10),{0,"";1,"а";4,"ов"},2)</f>
        <v>Ноль евро 00 центов</v>
      </c>
      <c r="AD82" s="26"/>
      <c r="AE82" s="33" t="str">
        <f>SUBSTITUTE(PROPER(INDEX(n_4,MID(TEXT(AD80,n0),1,1)+1)&amp;INDEX(n0x,MID(TEXT(AD80,n0),2,1)+1,MID(TEXT(AD80,n0),3,1)+1)&amp;IF(-MID(TEXT(AD80,n0),1,3),"миллиард"&amp;VLOOKUP(MID(TEXT(AD80,n0),3,1)*AND(MID(TEXT(AD80,n0),2,1)-1),мил,2),"")&amp;INDEX(n_4,MID(TEXT(AD80,n0),4,1)+1)&amp;INDEX(n0x,MID(TEXT(AD80,n0),5,1)+1,MID(TEXT(AD80,n0),6,1)+1)&amp;IF(-MID(TEXT(AD80,n0),4,3),"миллион"&amp;VLOOKUP(MID(TEXT(AD80,n0),6,1)*AND(MID(TEXT(AD80,n0),5,1)-1),мил,2),"")&amp;INDEX(n_4,MID(TEXT(AD80,n0),7,1)+1)&amp;INDEX(n1x,MID(TEXT(AD80,n0),8,1)+1,MID(TEXT(AD80,n0),9,1)+1)&amp;IF(-MID(TEXT(AD80,n0),7,3),VLOOKUP(MID(TEXT(AD80,n0),9,1)*AND(MID(TEXT(AD80,n0),8,1)-1),тыс,2),"")&amp;INDEX(n_4,MID(TEXT(AD80,n0),10,1)+1)&amp;INDEX(n0x,MID(TEXT(AD80,n0),11,1)+1,MID(TEXT(AD80,n0),12,1)+1)),"z"," ")&amp;IF(TRUNC(TEXT(AD80,n0)),"","Ноль ")&amp;"евро"&amp;VLOOKUP(MOD(MAX(MOD(MID(TEXT(AD80,n0),11,2)-11,100),9),10),{0," ";1," ";4," "},2)&amp;RIGHT(TEXT(AD80,n0),2)&amp;" цент"&amp;VLOOKUP(MOD(MAX(MOD(RIGHT(TEXT(AD80,n0),2)-11,100),9),10),{0,"";1,"а";4,"ов"},2)</f>
        <v>Ноль евро 00 центов</v>
      </c>
      <c r="AF82" s="26"/>
      <c r="AG82" s="26"/>
      <c r="AH82" s="26"/>
      <c r="AI82" s="26"/>
    </row>
    <row r="83" spans="17:35" x14ac:dyDescent="0.4">
      <c r="Q83" s="6"/>
      <c r="R83" s="6"/>
      <c r="S83" s="31"/>
      <c r="T83" s="32"/>
      <c r="U83" s="26"/>
      <c r="V83" s="26"/>
      <c r="W83" s="26"/>
      <c r="X83" s="26"/>
      <c r="Y83" s="26"/>
      <c r="Z83" s="26"/>
      <c r="AA83" s="26"/>
      <c r="AB83" s="26"/>
      <c r="AC83" s="33"/>
      <c r="AD83" s="26"/>
      <c r="AE83" s="33"/>
      <c r="AF83" s="26"/>
      <c r="AG83" s="26"/>
      <c r="AH83" s="26"/>
      <c r="AI83" s="26"/>
    </row>
    <row r="84" spans="17:35" x14ac:dyDescent="0.4">
      <c r="Q84" s="6"/>
      <c r="R84" s="6"/>
      <c r="S84" s="31"/>
      <c r="T84" s="32"/>
      <c r="U84" s="26"/>
      <c r="V84" s="26"/>
      <c r="W84" s="26"/>
      <c r="X84" s="26"/>
      <c r="Y84" s="26"/>
      <c r="Z84" s="26"/>
      <c r="AA84" s="26"/>
      <c r="AB84" s="26"/>
      <c r="AC84" s="33"/>
      <c r="AD84" s="26"/>
      <c r="AE84" s="33"/>
      <c r="AF84" s="26"/>
      <c r="AG84" s="26"/>
      <c r="AH84" s="26"/>
      <c r="AI84" s="26"/>
    </row>
    <row r="85" spans="17:35" x14ac:dyDescent="0.4">
      <c r="Q85" s="6"/>
      <c r="R85" s="6"/>
      <c r="S85" s="31"/>
      <c r="T85" s="32"/>
      <c r="U85" s="26"/>
      <c r="V85" s="26"/>
      <c r="W85" s="26"/>
      <c r="X85" s="26"/>
      <c r="Y85" s="26"/>
      <c r="Z85" s="26"/>
      <c r="AA85" s="26"/>
      <c r="AB85" s="26"/>
      <c r="AC85" s="33"/>
      <c r="AD85" s="26"/>
      <c r="AE85" s="33"/>
      <c r="AF85" s="26"/>
      <c r="AG85" s="26"/>
      <c r="AH85" s="26"/>
      <c r="AI85" s="26"/>
    </row>
    <row r="86" spans="17:35" x14ac:dyDescent="0.4">
      <c r="Q86" s="6"/>
      <c r="R86" s="6"/>
      <c r="S86" s="31"/>
      <c r="T86" s="32"/>
      <c r="U86" s="26"/>
      <c r="V86" s="26"/>
      <c r="W86" s="26"/>
      <c r="X86" s="26"/>
      <c r="Y86" s="26"/>
      <c r="Z86" s="26"/>
      <c r="AA86" s="26"/>
      <c r="AB86" s="26"/>
      <c r="AC86" s="33"/>
      <c r="AD86" s="26"/>
      <c r="AE86" s="33"/>
      <c r="AF86" s="26"/>
      <c r="AG86" s="26"/>
      <c r="AH86" s="26"/>
      <c r="AI86" s="26"/>
    </row>
    <row r="87" spans="17:35" x14ac:dyDescent="0.4">
      <c r="Q87" s="6"/>
      <c r="R87" s="6"/>
      <c r="S87" s="25">
        <v>10</v>
      </c>
      <c r="T87" s="26" t="s">
        <v>95</v>
      </c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</row>
    <row r="88" spans="17:35" x14ac:dyDescent="0.4">
      <c r="Q88" s="6"/>
      <c r="R88" s="6"/>
      <c r="S88" s="25">
        <v>30</v>
      </c>
      <c r="T88" s="26" t="s">
        <v>96</v>
      </c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</row>
    <row r="89" spans="17:35" x14ac:dyDescent="0.4">
      <c r="Q89" s="6"/>
      <c r="R89" s="6"/>
      <c r="S89" s="31">
        <v>60</v>
      </c>
      <c r="T89" s="32" t="s">
        <v>97</v>
      </c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</row>
    <row r="90" spans="17:35" x14ac:dyDescent="0.4">
      <c r="Q90" s="6"/>
      <c r="R90" s="6"/>
      <c r="S90" s="31">
        <v>90</v>
      </c>
      <c r="T90" s="32" t="s">
        <v>98</v>
      </c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</row>
    <row r="91" spans="17:35" x14ac:dyDescent="0.4">
      <c r="Q91" s="6"/>
      <c r="R91" s="6"/>
      <c r="S91" s="31">
        <v>0</v>
      </c>
      <c r="T91" s="32">
        <v>30</v>
      </c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</row>
    <row r="92" spans="17:35" x14ac:dyDescent="0.4">
      <c r="Q92" s="6"/>
      <c r="R92" s="6"/>
      <c r="S92" s="31"/>
      <c r="T92" s="32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</row>
    <row r="93" spans="17:35" x14ac:dyDescent="0.4">
      <c r="Q93" s="6"/>
      <c r="R93" s="6"/>
      <c r="S93" s="34" t="s">
        <v>174</v>
      </c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</row>
    <row r="94" spans="17:35" x14ac:dyDescent="0.4">
      <c r="Q94" s="6"/>
      <c r="R94" s="6"/>
      <c r="S94" s="34" t="s">
        <v>173</v>
      </c>
      <c r="T94" s="32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</row>
    <row r="95" spans="17:35" x14ac:dyDescent="0.4">
      <c r="Q95" s="6"/>
      <c r="R95" s="6"/>
      <c r="S95" s="34"/>
      <c r="T95" s="32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</row>
    <row r="96" spans="17:35" x14ac:dyDescent="0.4">
      <c r="Q96" s="6"/>
      <c r="R96" s="6"/>
      <c r="S96" s="34" t="s">
        <v>175</v>
      </c>
      <c r="T96" s="32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</row>
    <row r="97" spans="17:54" x14ac:dyDescent="0.4">
      <c r="Q97" s="6"/>
      <c r="R97" s="6"/>
      <c r="S97" s="34" t="s">
        <v>176</v>
      </c>
      <c r="T97" s="32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</row>
    <row r="98" spans="17:54" x14ac:dyDescent="0.4">
      <c r="Q98" s="6"/>
      <c r="R98" s="6"/>
      <c r="S98" s="34" t="s">
        <v>177</v>
      </c>
      <c r="T98" s="32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</row>
    <row r="99" spans="17:54" x14ac:dyDescent="0.4">
      <c r="Q99" s="6"/>
      <c r="R99" s="6"/>
      <c r="S99" s="19"/>
      <c r="T99" s="18"/>
    </row>
    <row r="100" spans="17:54" x14ac:dyDescent="0.4">
      <c r="Q100" s="6"/>
      <c r="R100" s="6"/>
      <c r="S100" s="19"/>
      <c r="T100" s="18"/>
    </row>
    <row r="101" spans="17:54" x14ac:dyDescent="0.4">
      <c r="Q101" s="6"/>
      <c r="R101" s="6"/>
    </row>
    <row r="103" spans="17:54" x14ac:dyDescent="0.4">
      <c r="S103" s="19"/>
      <c r="T103" s="18"/>
    </row>
    <row r="104" spans="17:54" x14ac:dyDescent="0.4">
      <c r="S104" s="19"/>
      <c r="T104" s="18"/>
    </row>
    <row r="105" spans="17:54" x14ac:dyDescent="0.4">
      <c r="S105" s="19"/>
      <c r="T105" s="18"/>
    </row>
    <row r="106" spans="17:54" x14ac:dyDescent="0.4">
      <c r="S106" s="19"/>
      <c r="T106" s="18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spans="17:54" x14ac:dyDescent="0.4">
      <c r="S107" s="19"/>
      <c r="T107" s="18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spans="17:54" x14ac:dyDescent="0.4">
      <c r="S108" s="19"/>
      <c r="T108" s="18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spans="17:54" x14ac:dyDescent="0.4">
      <c r="S109" s="19"/>
      <c r="T109" s="18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spans="17:54" x14ac:dyDescent="0.4">
      <c r="S110" s="19"/>
      <c r="T110" s="18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spans="17:54" x14ac:dyDescent="0.4">
      <c r="S111" s="19"/>
      <c r="T111" s="18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spans="17:54" x14ac:dyDescent="0.4">
      <c r="S112" s="19"/>
      <c r="T112" s="18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spans="19:54" x14ac:dyDescent="0.4">
      <c r="S113" s="19"/>
      <c r="T113" s="19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spans="19:54" x14ac:dyDescent="0.4">
      <c r="S114" s="19"/>
      <c r="T114" s="19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spans="19:54" x14ac:dyDescent="0.4">
      <c r="S115" s="19"/>
      <c r="T115" s="19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spans="19:54" x14ac:dyDescent="0.4">
      <c r="S116" s="19"/>
      <c r="T116" s="19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spans="19:54" x14ac:dyDescent="0.4">
      <c r="S117" s="19"/>
      <c r="T117" s="19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spans="19:54" x14ac:dyDescent="0.4">
      <c r="S118" s="19"/>
      <c r="T118" s="19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  <row r="119" spans="19:54" x14ac:dyDescent="0.4">
      <c r="S119" s="19"/>
      <c r="T119" s="19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spans="19:54" x14ac:dyDescent="0.4">
      <c r="S120" s="19"/>
      <c r="T120" s="19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</row>
    <row r="121" spans="19:54" x14ac:dyDescent="0.4">
      <c r="S121" s="16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spans="19:54" x14ac:dyDescent="0.4">
      <c r="S122" s="16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</row>
    <row r="123" spans="19:54" x14ac:dyDescent="0.4">
      <c r="S123" s="16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</row>
    <row r="124" spans="19:54" x14ac:dyDescent="0.4"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</row>
    <row r="125" spans="19:54" x14ac:dyDescent="0.4"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</row>
    <row r="126" spans="19:54" x14ac:dyDescent="0.4"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spans="19:54" x14ac:dyDescent="0.4"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spans="19:54" x14ac:dyDescent="0.4"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</row>
    <row r="129" spans="21:54" x14ac:dyDescent="0.4"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</row>
    <row r="130" spans="21:54" x14ac:dyDescent="0.4"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</row>
    <row r="131" spans="21:54" x14ac:dyDescent="0.4"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spans="21:54" x14ac:dyDescent="0.4"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spans="21:54" x14ac:dyDescent="0.4"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spans="21:54" x14ac:dyDescent="0.4"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spans="21:54" x14ac:dyDescent="0.4"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spans="21:54" x14ac:dyDescent="0.4"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spans="21:54" x14ac:dyDescent="0.4"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spans="21:54" x14ac:dyDescent="0.4"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spans="21:54" x14ac:dyDescent="0.4"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spans="21:54" x14ac:dyDescent="0.4"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spans="21:54" x14ac:dyDescent="0.4"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spans="21:54" x14ac:dyDescent="0.4"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spans="21:54" x14ac:dyDescent="0.4"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spans="21:54" x14ac:dyDescent="0.4"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spans="21:54" x14ac:dyDescent="0.4"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spans="21:54" x14ac:dyDescent="0.4"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</row>
    <row r="147" spans="21:54" x14ac:dyDescent="0.4"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</row>
    <row r="148" spans="21:54" x14ac:dyDescent="0.4"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</row>
  </sheetData>
  <sheetProtection insertColumns="0" insertRows="0" deleteColumns="0" deleteRows="0"/>
  <mergeCells count="56">
    <mergeCell ref="A48:L48"/>
    <mergeCell ref="J3:N3"/>
    <mergeCell ref="G11:I11"/>
    <mergeCell ref="G12:I12"/>
    <mergeCell ref="G13:I13"/>
    <mergeCell ref="J11:N11"/>
    <mergeCell ref="J12:N12"/>
    <mergeCell ref="J13:N13"/>
    <mergeCell ref="G8:I8"/>
    <mergeCell ref="G9:I9"/>
    <mergeCell ref="G10:I10"/>
    <mergeCell ref="J5:N5"/>
    <mergeCell ref="J6:N6"/>
    <mergeCell ref="J7:N7"/>
    <mergeCell ref="J8:N8"/>
    <mergeCell ref="J9:N9"/>
    <mergeCell ref="J10:N10"/>
    <mergeCell ref="A12:B12"/>
    <mergeCell ref="A13:B13"/>
    <mergeCell ref="G4:I4"/>
    <mergeCell ref="J4:N4"/>
    <mergeCell ref="G5:I5"/>
    <mergeCell ref="G6:I6"/>
    <mergeCell ref="G7:I7"/>
    <mergeCell ref="I1:N1"/>
    <mergeCell ref="A16:N16"/>
    <mergeCell ref="A22:H22"/>
    <mergeCell ref="A23:N24"/>
    <mergeCell ref="G27:N27"/>
    <mergeCell ref="A21:B21"/>
    <mergeCell ref="A17:N17"/>
    <mergeCell ref="A4:B4"/>
    <mergeCell ref="A5:B5"/>
    <mergeCell ref="A6:B6"/>
    <mergeCell ref="A7:B7"/>
    <mergeCell ref="A8:B8"/>
    <mergeCell ref="A14:B14"/>
    <mergeCell ref="A9:B9"/>
    <mergeCell ref="A10:B10"/>
    <mergeCell ref="A11:B11"/>
    <mergeCell ref="A18:Q18"/>
    <mergeCell ref="G33:N33"/>
    <mergeCell ref="H52:K52"/>
    <mergeCell ref="G32:N32"/>
    <mergeCell ref="A45:I45"/>
    <mergeCell ref="A46:I46"/>
    <mergeCell ref="A47:I47"/>
    <mergeCell ref="H51:K51"/>
    <mergeCell ref="G34:N34"/>
    <mergeCell ref="A49:N49"/>
    <mergeCell ref="G31:N31"/>
    <mergeCell ref="G28:N28"/>
    <mergeCell ref="A29:D29"/>
    <mergeCell ref="G29:N29"/>
    <mergeCell ref="G30:N30"/>
    <mergeCell ref="G35:N35"/>
  </mergeCells>
  <conditionalFormatting sqref="E20:F21 H20:I21 K20:M21">
    <cfRule type="cellIs" dxfId="1" priority="3" operator="equal">
      <formula>0</formula>
    </cfRule>
  </conditionalFormatting>
  <conditionalFormatting sqref="D20">
    <cfRule type="cellIs" dxfId="0" priority="1" operator="equal">
      <formula>0</formula>
    </cfRule>
  </conditionalFormatting>
  <dataValidations count="5">
    <dataValidation type="list" allowBlank="1" showInputMessage="1" showErrorMessage="1" sqref="I1:N1">
      <formula1>$S$59:$S$65</formula1>
    </dataValidation>
    <dataValidation type="list" allowBlank="1" showInputMessage="1" showErrorMessage="1" sqref="D21">
      <formula1>$S$67:$S$69</formula1>
    </dataValidation>
    <dataValidation type="list" allowBlank="1" showInputMessage="1" showErrorMessage="1" sqref="J20">
      <formula1>$S$87:$S$90</formula1>
    </dataValidation>
    <dataValidation type="list" allowBlank="1" showInputMessage="1" showErrorMessage="1" sqref="G34">
      <formula1>"да,нет"</formula1>
    </dataValidation>
    <dataValidation type="list" allowBlank="1" showInputMessage="1" showErrorMessage="1" sqref="G35:N35">
      <formula1>"в электронной форме с использованием программно-аппаратных средств электронной площадки,в электронной форме с применением квалифицированной электронной подписи в системе электронного документооборота «Контур.Диадок»,на бумажном носителе "</formula1>
    </dataValidation>
  </dataValidations>
  <printOptions horizontalCentered="1"/>
  <pageMargins left="0.19685039370078741" right="0.19685039370078741" top="0.59055118110236227" bottom="0.19685039370078741" header="0" footer="0"/>
  <pageSetup paperSize="9" scale="65" fitToHeight="0" orientation="landscape" r:id="rId1"/>
  <headerFooter alignWithMargins="0">
    <oddFooter>Страница  &amp;P из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5"/>
  <sheetViews>
    <sheetView topLeftCell="M1" workbookViewId="0">
      <selection activeCell="W2" sqref="W2"/>
    </sheetView>
  </sheetViews>
  <sheetFormatPr defaultRowHeight="12.75" x14ac:dyDescent="0.35"/>
  <cols>
    <col min="1" max="2" width="15.1328125" bestFit="1" customWidth="1"/>
    <col min="3" max="3" width="15.1328125" customWidth="1"/>
    <col min="4" max="4" width="61.1328125" customWidth="1"/>
    <col min="5" max="5" width="23.73046875" customWidth="1"/>
    <col min="6" max="6" width="16.3984375" bestFit="1" customWidth="1"/>
    <col min="7" max="7" width="31.3984375" customWidth="1"/>
    <col min="8" max="9" width="15.3984375" customWidth="1"/>
    <col min="10" max="10" width="22.1328125" bestFit="1" customWidth="1"/>
    <col min="11" max="11" width="20.265625" bestFit="1" customWidth="1"/>
    <col min="12" max="12" width="29" customWidth="1"/>
    <col min="13" max="13" width="18.59765625" customWidth="1"/>
    <col min="14" max="14" width="21.59765625" customWidth="1"/>
    <col min="15" max="15" width="14.86328125" bestFit="1" customWidth="1"/>
    <col min="16" max="16" width="30" customWidth="1"/>
    <col min="17" max="17" width="17" bestFit="1" customWidth="1"/>
    <col min="18" max="18" width="21.265625" customWidth="1"/>
    <col min="19" max="20" width="28.86328125" customWidth="1"/>
    <col min="21" max="21" width="21.86328125" customWidth="1"/>
    <col min="22" max="22" width="14.265625" bestFit="1" customWidth="1"/>
    <col min="23" max="23" width="18.1328125" customWidth="1"/>
    <col min="24" max="25" width="22.59765625" customWidth="1"/>
    <col min="26" max="38" width="16.73046875" customWidth="1"/>
    <col min="39" max="39" width="33.1328125" customWidth="1"/>
    <col min="40" max="46" width="16.73046875" customWidth="1"/>
    <col min="47" max="47" width="62.73046875" style="7" customWidth="1"/>
    <col min="48" max="48" width="51.86328125" customWidth="1"/>
    <col min="49" max="49" width="24.59765625" customWidth="1"/>
    <col min="50" max="50" width="22" customWidth="1"/>
    <col min="52" max="52" width="56.265625" customWidth="1"/>
  </cols>
  <sheetData>
    <row r="1" spans="1:61" s="8" customFormat="1" ht="13.15" x14ac:dyDescent="0.4">
      <c r="A1" s="8" t="s">
        <v>26</v>
      </c>
      <c r="B1" s="8" t="s">
        <v>27</v>
      </c>
      <c r="C1" s="8" t="s">
        <v>33</v>
      </c>
      <c r="D1" s="8" t="s">
        <v>28</v>
      </c>
      <c r="E1" s="8" t="s">
        <v>145</v>
      </c>
      <c r="F1" s="8" t="s">
        <v>30</v>
      </c>
      <c r="G1" s="8" t="s">
        <v>31</v>
      </c>
      <c r="H1" s="8" t="s">
        <v>41</v>
      </c>
      <c r="I1" s="8" t="s">
        <v>134</v>
      </c>
      <c r="J1" s="8" t="s">
        <v>42</v>
      </c>
      <c r="K1" s="8" t="s">
        <v>32</v>
      </c>
      <c r="L1" s="8" t="s">
        <v>43</v>
      </c>
      <c r="M1" s="8" t="s">
        <v>47</v>
      </c>
      <c r="N1" s="8" t="s">
        <v>44</v>
      </c>
      <c r="O1" s="8" t="s">
        <v>46</v>
      </c>
      <c r="P1" s="8" t="s">
        <v>58</v>
      </c>
      <c r="Q1" s="8" t="s">
        <v>59</v>
      </c>
      <c r="R1" s="8" t="s">
        <v>63</v>
      </c>
      <c r="S1" s="8" t="s">
        <v>146</v>
      </c>
      <c r="T1" s="8" t="s">
        <v>148</v>
      </c>
      <c r="U1" s="8" t="s">
        <v>64</v>
      </c>
      <c r="V1" s="8" t="s">
        <v>65</v>
      </c>
      <c r="W1" s="8" t="s">
        <v>66</v>
      </c>
      <c r="X1" s="8" t="s">
        <v>99</v>
      </c>
      <c r="Y1" s="8" t="s">
        <v>163</v>
      </c>
      <c r="Z1" s="8" t="s">
        <v>100</v>
      </c>
      <c r="AA1" s="8" t="s">
        <v>101</v>
      </c>
      <c r="AB1" s="8" t="s">
        <v>102</v>
      </c>
      <c r="AC1" s="8" t="s">
        <v>103</v>
      </c>
      <c r="AD1" s="8" t="s">
        <v>104</v>
      </c>
      <c r="AE1" s="8" t="s">
        <v>105</v>
      </c>
      <c r="AF1" s="8" t="s">
        <v>106</v>
      </c>
      <c r="AG1" s="8" t="s">
        <v>107</v>
      </c>
      <c r="AH1" s="8" t="s">
        <v>108</v>
      </c>
      <c r="AI1" s="8" t="s">
        <v>4</v>
      </c>
      <c r="AJ1" s="8" t="s">
        <v>109</v>
      </c>
      <c r="AK1" s="8" t="s">
        <v>135</v>
      </c>
      <c r="AL1" s="8" t="s">
        <v>110</v>
      </c>
      <c r="AM1" s="8" t="s">
        <v>111</v>
      </c>
      <c r="AN1" s="8" t="s">
        <v>149</v>
      </c>
      <c r="AO1" s="8" t="s">
        <v>150</v>
      </c>
      <c r="AP1" s="8" t="s">
        <v>151</v>
      </c>
      <c r="AQ1" s="8" t="s">
        <v>152</v>
      </c>
      <c r="AR1" s="8" t="s">
        <v>158</v>
      </c>
      <c r="AS1" s="8" t="s">
        <v>166</v>
      </c>
      <c r="AU1" s="10" t="s">
        <v>36</v>
      </c>
      <c r="BH1" s="13" t="s">
        <v>67</v>
      </c>
      <c r="BI1" s="13" t="s">
        <v>68</v>
      </c>
    </row>
    <row r="2" spans="1:61" s="7" customFormat="1" ht="264.75" customHeight="1" x14ac:dyDescent="0.35">
      <c r="A2" s="7">
        <f>'1'!B57</f>
        <v>0</v>
      </c>
      <c r="B2" s="9">
        <f>'1'!D57</f>
        <v>0</v>
      </c>
      <c r="C2" t="str">
        <f>VLOOKUP('1'!$I$1,Экспорт!$AU:$AW,3,FALSE)</f>
        <v>г. Москва</v>
      </c>
      <c r="D2" t="str">
        <f>VLOOKUP('1'!$I$1,Экспорт!$AU:$AV,2,FALSE)</f>
        <v>Директора по закупкам Гринькива Антона Тарасовича, действующего на основании Доверенности № 123/2015 от 10.06.2015 г.</v>
      </c>
      <c r="E2" t="str">
        <f>VLOOKUP('1'!$I$1,Экспорт!$AU:$AX,4,FALSE)</f>
        <v>А.Т. Гринькив</v>
      </c>
      <c r="F2" s="21" t="str">
        <f>'1'!$D$5</f>
        <v/>
      </c>
      <c r="G2" s="21" t="str">
        <f>'1'!$D$4</f>
        <v/>
      </c>
      <c r="H2" s="21" t="str">
        <f>'1'!$D$6</f>
        <v xml:space="preserve">      </v>
      </c>
      <c r="I2" s="21" t="str">
        <f>MID(H2,(FIND(" ",H2)+1),1)&amp;"."&amp;MID(H2,(FIND(" ",H2,FIND(" ",H2)+1))+1,1)&amp;". "&amp;LEFT(H2,FIND(" ",H2)-1)</f>
        <v xml:space="preserve"> . . </v>
      </c>
      <c r="J2" s="20" t="str">
        <f>'1'!D7</f>
        <v/>
      </c>
      <c r="K2" s="21" t="str">
        <f>'1'!D8</f>
        <v>Устава/ Доверенности №__ от _____</v>
      </c>
      <c r="L2" s="7" t="str">
        <f>CONCATENATE('1'!A17," ",'1'!A18)</f>
        <v xml:space="preserve"> </v>
      </c>
      <c r="M2" s="7" t="e">
        <f>VLOOKUP(N2,$AV$11:$AW$16,2,FALSE)</f>
        <v>#N/A</v>
      </c>
      <c r="N2" t="e">
        <f>VLOOKUP('1'!$A$18,Экспорт!$AU$11:$AV$16,2,FALSE)</f>
        <v>#N/A</v>
      </c>
      <c r="O2" s="9">
        <f>'1'!G29</f>
        <v>0</v>
      </c>
      <c r="P2" s="7" t="e">
        <f>VLOOKUP(N2,$AV$11:$AX$16,3,FALSE)</f>
        <v>#N/A</v>
      </c>
      <c r="Q2" s="7" t="e">
        <f>VLOOKUP(N2,$AV$11:$AY$16,4,FALSE)</f>
        <v>#N/A</v>
      </c>
      <c r="R2" s="7">
        <f>'1'!$K$47</f>
        <v>0</v>
      </c>
      <c r="S2" s="7" t="str">
        <f>IF('1'!$G$33=0,"",CONCATENATE("2.10. Налив (загрузка) продукции в цистерны (тару) производится до полной вместимости, исходя из технических норм загрузки. Покупатель обязан принять и оплатить продукцию за фактически поставленное количество",", если перелив или недолив (перегруз или недогруз) связан с соблюдением технических норм загрузки цистерны (тары). Допускается отклонение в объеме поставленной продукции в пределах +/- ",'1'!$G$33,"% от указанного в спецификации, являющейся неотъемлемой частью настоящего Договора."))</f>
        <v/>
      </c>
      <c r="T2" s="7" t="str">
        <f>IF(S2="","","Сумма договора является окончательной до полного исполнения сторонами договорных обязательств, за исключением случаев указанных в п.2.10. настоящего Договора.")</f>
        <v/>
      </c>
      <c r="U2" s="14" t="str">
        <f>VLOOKUP('1'!$D$21,Экспорт!$AU$19:$AV$21,2,FALSE)</f>
        <v>Ноль рублей 00 копеек</v>
      </c>
      <c r="V2" s="7">
        <f>ROUND(R2/1.18*0.18,2)</f>
        <v>0</v>
      </c>
      <c r="W2" s="14" t="str">
        <f>VLOOKUP('1'!$D$21,Экспорт!$AU$23:$AV$25,2,FALSE)</f>
        <v>Ноль рублей 00 копеек</v>
      </c>
      <c r="X2" s="7" t="str">
        <f>'1'!$A$23</f>
        <v xml:space="preserve"> Покупатель оплачивает стоимость поставленной продукции не позднее 2-го рабочего дня после истечения 3-х календарных месяцев с даты окончания месяца, в котором были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 или УПД) на поставленную продукцию, и предоставлен Поставщиком Покупателю соответствующий оригинал счета-фактуры на стоимость поставленной продукции</v>
      </c>
      <c r="Y2" s="7" t="str">
        <f>SUBSTITUTE(X2,"продукции по Договору","продукции по Заказу к Договору")</f>
        <v xml:space="preserve"> Покупатель оплачивает стоимость поставленной продукции не позднее 2-го рабочего дня после истечения 3-х календарных месяцев с даты окончания месяца, в котором были предоставлены Поставщиком Покупателю надлежащим образом оформленные и подписанные Сторонами приемо-сдаточные документы (товарная накладная по форме ТОРГ-12 или УПД) на поставленную продукцию, и предоставлен Поставщиком Покупателю соответствующий оригинал счета-фактуры на стоимость поставленной продукции</v>
      </c>
      <c r="Z2" s="7" t="str">
        <f>'1'!$J$4</f>
        <v/>
      </c>
      <c r="AA2" s="7" t="str">
        <f>'1'!$J$5</f>
        <v/>
      </c>
      <c r="AB2" s="7" t="str">
        <f>'1'!J6</f>
        <v/>
      </c>
      <c r="AC2" s="7" t="str">
        <f>'1'!$J$7</f>
        <v/>
      </c>
      <c r="AD2" s="21" t="str">
        <f>'1'!D9</f>
        <v/>
      </c>
      <c r="AE2" s="21" t="str">
        <f>'1'!D10</f>
        <v/>
      </c>
      <c r="AF2" s="21" t="str">
        <f>'1'!D11</f>
        <v/>
      </c>
      <c r="AG2" s="21" t="str">
        <f>'1'!D12</f>
        <v/>
      </c>
      <c r="AH2" s="21" t="str">
        <f>'1'!D13</f>
        <v/>
      </c>
      <c r="AI2" s="21" t="str">
        <f>'1'!D14</f>
        <v/>
      </c>
      <c r="AJ2" s="21" t="str">
        <f>'1'!J11</f>
        <v/>
      </c>
      <c r="AK2" s="7" t="str">
        <f>'1'!J12</f>
        <v/>
      </c>
      <c r="AL2" s="7" t="str">
        <f>'1'!J13</f>
        <v/>
      </c>
      <c r="AM2" s="7" t="e">
        <f>CONCATENATE($AZ$17,"
Грузополучатель:
",VLOOKUP('1'!A18,Экспорт!$AU$11:$AZ$16,6,FALSE))</f>
        <v>#N/A</v>
      </c>
      <c r="AN2" s="7" t="e">
        <f>VLOOKUP('1'!A18,Экспорт!$AU$11:$BA$15,7,FALSE)</f>
        <v>#N/A</v>
      </c>
      <c r="AO2" s="7" t="str">
        <f>'1'!$G$28&amp;IF('1'!$G$27=0,""," Пункт отправления груза при поставке: "&amp;'1'!$G$27&amp;".")</f>
        <v/>
      </c>
      <c r="AP2" s="7">
        <f>'1'!$G$30</f>
        <v>0</v>
      </c>
      <c r="AQ2" s="7">
        <f>'1'!$G$31</f>
        <v>0</v>
      </c>
      <c r="AR2" s="9">
        <f ca="1">EOMONTH(TODAY(),12)</f>
        <v>46630</v>
      </c>
      <c r="AS2" s="7">
        <f>'1'!$G$34</f>
        <v>0</v>
      </c>
      <c r="AU2" s="7">
        <f>'1'!S59</f>
        <v>0</v>
      </c>
      <c r="AV2" s="7" t="s">
        <v>29</v>
      </c>
      <c r="AW2" s="7" t="s">
        <v>34</v>
      </c>
      <c r="AX2" s="7" t="s">
        <v>112</v>
      </c>
      <c r="AZ2" s="7" t="s">
        <v>136</v>
      </c>
      <c r="BH2" s="13" t="s">
        <v>69</v>
      </c>
      <c r="BI2" s="13" t="s">
        <v>70</v>
      </c>
    </row>
    <row r="3" spans="1:61" ht="51" x14ac:dyDescent="0.35">
      <c r="AU3" s="7">
        <f>'1'!S60</f>
        <v>0</v>
      </c>
      <c r="AV3" s="7" t="s">
        <v>35</v>
      </c>
      <c r="AW3" t="s">
        <v>38</v>
      </c>
      <c r="AX3" t="s">
        <v>113</v>
      </c>
      <c r="AZ3" t="s">
        <v>137</v>
      </c>
      <c r="BH3" s="13" t="s">
        <v>71</v>
      </c>
      <c r="BI3" s="13" t="s">
        <v>72</v>
      </c>
    </row>
    <row r="4" spans="1:61" ht="38.25" x14ac:dyDescent="0.35">
      <c r="AB4" s="7"/>
      <c r="AU4" s="7">
        <f>'1'!S61</f>
        <v>0</v>
      </c>
      <c r="AV4" s="7" t="s">
        <v>155</v>
      </c>
      <c r="AW4" t="s">
        <v>39</v>
      </c>
      <c r="AX4" t="s">
        <v>114</v>
      </c>
      <c r="AZ4" t="s">
        <v>138</v>
      </c>
      <c r="BH4" s="13" t="s">
        <v>73</v>
      </c>
      <c r="BI4" s="13" t="s">
        <v>74</v>
      </c>
    </row>
    <row r="5" spans="1:61" ht="38.25" x14ac:dyDescent="0.35">
      <c r="AB5" s="7"/>
      <c r="AU5" s="7">
        <f>'1'!S62</f>
        <v>0</v>
      </c>
      <c r="AV5" s="7" t="s">
        <v>153</v>
      </c>
      <c r="AW5" t="s">
        <v>77</v>
      </c>
      <c r="AX5" t="s">
        <v>115</v>
      </c>
      <c r="AZ5" t="s">
        <v>139</v>
      </c>
      <c r="BH5" s="13" t="s">
        <v>75</v>
      </c>
      <c r="BI5" s="13" t="s">
        <v>76</v>
      </c>
    </row>
    <row r="6" spans="1:61" ht="38.25" x14ac:dyDescent="0.35">
      <c r="AB6" s="7"/>
      <c r="AU6" s="7">
        <f>'1'!S63</f>
        <v>0</v>
      </c>
      <c r="AV6" s="7" t="s">
        <v>154</v>
      </c>
      <c r="AW6" t="s">
        <v>40</v>
      </c>
      <c r="AX6" t="s">
        <v>116</v>
      </c>
      <c r="AZ6" t="s">
        <v>140</v>
      </c>
      <c r="BH6" s="13"/>
      <c r="BI6" s="13"/>
    </row>
    <row r="7" spans="1:61" ht="38.25" x14ac:dyDescent="0.35">
      <c r="AB7" s="7"/>
      <c r="AU7" s="7">
        <f>'1'!S64</f>
        <v>0</v>
      </c>
      <c r="AV7" s="7" t="s">
        <v>156</v>
      </c>
      <c r="AW7" s="7" t="s">
        <v>34</v>
      </c>
      <c r="AX7" s="7" t="s">
        <v>157</v>
      </c>
      <c r="AY7" s="7"/>
      <c r="AZ7" s="7" t="s">
        <v>136</v>
      </c>
      <c r="BH7" s="13"/>
      <c r="BI7" s="13"/>
    </row>
    <row r="8" spans="1:61" ht="25.5" x14ac:dyDescent="0.35">
      <c r="AU8" s="7">
        <f>'1'!S65</f>
        <v>0</v>
      </c>
      <c r="AV8" s="7" t="s">
        <v>37</v>
      </c>
      <c r="AW8" s="7" t="s">
        <v>34</v>
      </c>
      <c r="AX8" t="s">
        <v>117</v>
      </c>
      <c r="AZ8" s="7" t="s">
        <v>136</v>
      </c>
    </row>
    <row r="11" spans="1:61" ht="76.5" x14ac:dyDescent="0.35">
      <c r="AU11" s="7" t="s">
        <v>118</v>
      </c>
      <c r="AV11" s="11" t="s">
        <v>48</v>
      </c>
      <c r="AW11" t="s">
        <v>49</v>
      </c>
      <c r="AX11" s="7" t="s">
        <v>57</v>
      </c>
      <c r="AY11" t="s">
        <v>60</v>
      </c>
      <c r="AZ11" s="7" t="s">
        <v>141</v>
      </c>
      <c r="BA11" t="s">
        <v>138</v>
      </c>
    </row>
    <row r="12" spans="1:61" ht="76.5" x14ac:dyDescent="0.35">
      <c r="AU12" s="7" t="s">
        <v>120</v>
      </c>
      <c r="AV12" s="11" t="s">
        <v>51</v>
      </c>
      <c r="AW12" t="s">
        <v>49</v>
      </c>
      <c r="AX12" s="7" t="s">
        <v>56</v>
      </c>
      <c r="AY12" s="15" t="s">
        <v>61</v>
      </c>
      <c r="AZ12" s="7" t="s">
        <v>142</v>
      </c>
      <c r="BA12" t="s">
        <v>139</v>
      </c>
    </row>
    <row r="13" spans="1:61" ht="89.25" x14ac:dyDescent="0.35">
      <c r="AU13" s="7" t="s">
        <v>121</v>
      </c>
      <c r="AV13" s="11" t="s">
        <v>52</v>
      </c>
      <c r="AW13" t="s">
        <v>49</v>
      </c>
      <c r="AX13" s="7" t="s">
        <v>169</v>
      </c>
      <c r="AY13" s="15" t="s">
        <v>62</v>
      </c>
      <c r="AZ13" s="7" t="s">
        <v>143</v>
      </c>
      <c r="BA13" t="s">
        <v>140</v>
      </c>
    </row>
    <row r="14" spans="1:61" ht="89.25" x14ac:dyDescent="0.35">
      <c r="AU14" s="7" t="s">
        <v>119</v>
      </c>
      <c r="AV14" s="11" t="s">
        <v>53</v>
      </c>
      <c r="AW14" t="s">
        <v>49</v>
      </c>
      <c r="AX14" s="7" t="s">
        <v>55</v>
      </c>
      <c r="AY14" t="s">
        <v>60</v>
      </c>
      <c r="AZ14" s="7" t="s">
        <v>144</v>
      </c>
      <c r="BA14" t="s">
        <v>137</v>
      </c>
    </row>
    <row r="15" spans="1:61" x14ac:dyDescent="0.35">
      <c r="AU15" s="7" t="s">
        <v>122</v>
      </c>
      <c r="AV15" s="11" t="s">
        <v>54</v>
      </c>
      <c r="AW15" t="s">
        <v>49</v>
      </c>
      <c r="BA15" s="15" t="s">
        <v>136</v>
      </c>
    </row>
    <row r="16" spans="1:61" x14ac:dyDescent="0.35">
      <c r="AU16" s="7" t="s">
        <v>123</v>
      </c>
      <c r="AV16" s="11" t="s">
        <v>45</v>
      </c>
      <c r="AW16" s="12" t="s">
        <v>50</v>
      </c>
      <c r="AZ16" t="str">
        <f>CONCATENATE(AZ13,"
",AZ14,"
",AZ12,"
",AZ11)</f>
        <v>Филиал «Конаковская ГРЭС» ПАО «Энел Россия»: 
171252, Тверская обл.,г.Конаково, ул. Промышленная, д.12
ИНН/КПП: 6671156423/691102001
Тел./факс: (48242) 3-83-59
Тел. (48242) 3-83-50, 3-83-59
Филиал «Невинномысская ГРЭС» ПАО «Энел Россия»:
357107, Ставропольский край, г. Невинномысск, ул. Энергетиков, 2
ИНН 6671156423 / КПП 263102001
Тел. (86554)50359, Факс: (86554) 78658
Филиал «Рефтинская ГРЭС» ПАО «Энел Россия»:
624285, РФ, Свердловская область, г. Асбест, пос. Рефтинский
ИНН 6671156423 / КПП 660302001
Тел. (34365)22471, Факс: (34365) 33799
Филиал «Среднеуральская ГРЭС» ПАО «Энел Россия»
624070, Свердловская обл., г. Среднеуральск, ул. Ленина, 2
ИНН 6671156423 / КПП 660602001
Тел. (34368)25946, Факс: (343) 3595445</v>
      </c>
      <c r="BA16" s="15" t="s">
        <v>136</v>
      </c>
    </row>
    <row r="17" spans="46:52" x14ac:dyDescent="0.35">
      <c r="AV17" s="7"/>
      <c r="AZ17" s="7" t="e">
        <f>CONCATENATE("Юридический адрес: 620014, Свердловская обл., г. Екатеринбург, ул. Хохрякова, дом 10
Почтовый адрес: ",VLOOKUP('1'!A18,Экспорт!$AU$11:$BA$16,7,FALSE),"
ИНН/КПП: 6671156423/997450001
Р/счет: 40702810900014826390
Банк: АО ЮниКредит Банк г.Москва
БИК: 044525545
Кор./счет: 30101810300000000545")</f>
        <v>#N/A</v>
      </c>
    </row>
    <row r="18" spans="46:52" x14ac:dyDescent="0.35">
      <c r="AV18" s="7"/>
    </row>
    <row r="19" spans="46:52" x14ac:dyDescent="0.35">
      <c r="AT19" s="16">
        <f>R2</f>
        <v>0</v>
      </c>
      <c r="AU19" s="16" t="s">
        <v>87</v>
      </c>
      <c r="AV19" s="89" t="str">
        <f>SUBSTITUTE(PROPER(INDEX(n_4,MID(TEXT(AT19,n0),1,1)+1)&amp;INDEX(n0x,MID(TEXT(AT19,n0),2,1)+1,MID(TEXT(AT19,n0),3,1)+1)&amp;IF(-MID(TEXT(AT19,n0),1,3),"миллиард"&amp;VLOOKUP(MID(TEXT(AT19,n0),3,1)*AND(MID(TEXT(AT19,n0),2,1)-1),мил,2),"")&amp;INDEX(n_4,MID(TEXT(AT19,n0),4,1)+1)&amp;INDEX(n0x,MID(TEXT(AT19,n0),5,1)+1,MID(TEXT(AT19,n0),6,1)+1)&amp;IF(-MID(TEXT(AT19,n0),4,3),"миллион"&amp;VLOOKUP(MID(TEXT(AT19,n0),6,1)*AND(MID(TEXT(AT19,n0),5,1)-1),мил,2),"")&amp;INDEX(n_4,MID(TEXT(AT19,n0),7,1)+1)&amp;INDEX(n1x,MID(TEXT(AT19,n0),8,1)+1,MID(TEXT(AT19,n0),9,1)+1)&amp;IF(-MID(TEXT(AT19,n0),7,3),VLOOKUP(MID(TEXT(AT19,n0),9,1)*AND(MID(TEXT(AT19,n0),8,1)-1),тыс,2),"")&amp;INDEX(n_4,MID(TEXT(AT19,n0),10,1)+1)&amp;INDEX(n0x,MID(TEXT(AT19,n0),11,1)+1,MID(TEXT(AT19,n0),12,1)+1)),"z"," ")&amp;IF(TRUNC(TEXT(AT19,n0)),"","Ноль ")&amp;"рубл"&amp;VLOOKUP(MOD(MAX(MOD(MID(TEXT(AT19,n0),11,2)-11,100),9),10),{0,"ь ";1,"я ";4,"ей "},2)&amp;RIGHT(TEXT(AT19,n0),2)&amp;" копе"&amp;VLOOKUP(MOD(MAX(MOD(RIGHT(TEXT(AT19,n0),2)-11,100),9),10),{0,"йка";1,"йки";4,"ек"},2)</f>
        <v>Ноль рублей 00 копеек</v>
      </c>
    </row>
    <row r="20" spans="46:52" x14ac:dyDescent="0.35">
      <c r="AT20" s="16"/>
      <c r="AU20" s="16" t="s">
        <v>88</v>
      </c>
      <c r="AV20" s="89" t="str">
        <f>SUBSTITUTE(PROPER(INDEX(n_4,MID(TEXT(AT19,n0),1,1)+1)&amp;INDEX(n0x,MID(TEXT(AT19,n0),2,1)+1,MID(TEXT(AT19,n0),3,1)+1)&amp;IF(-MID(TEXT(AT19,n0),1,3),"миллиард"&amp;VLOOKUP(MID(TEXT(AT19,n0),3,1)*AND(MID(TEXT(AT19,n0),2,1)-1),мил,2),"")&amp;INDEX(n_4,MID(TEXT(AT19,n0),4,1)+1)&amp;INDEX(n0x,MID(TEXT(AT19,n0),5,1)+1,MID(TEXT(AT19,n0),6,1)+1)&amp;IF(-MID(TEXT(AT19,n0),4,3),"миллион"&amp;VLOOKUP(MID(TEXT(AT19,n0),6,1)*AND(MID(TEXT(AT19,n0),5,1)-1),мил,2),"")&amp;INDEX(n_4,MID(TEXT(AT19,n0),7,1)+1)&amp;INDEX(n1x,MID(TEXT(AT19,n0),8,1)+1,MID(TEXT(AT19,n0),9,1)+1)&amp;IF(-MID(TEXT(AT19,n0),7,3),VLOOKUP(MID(TEXT(AT19,n0),9,1)*AND(MID(TEXT(AT19,n0),8,1)-1),тыс,2),"")&amp;INDEX(n_4,MID(TEXT(AT19,n0),10,1)+1)&amp;INDEX(n0x,MID(TEXT(AT19,n0),11,1)+1,MID(TEXT(AT19,n0),12,1)+1)),"z"," ")&amp;IF(TRUNC(TEXT(AT19,n0)),"","Ноль ")&amp;"доллар"&amp;VLOOKUP(MOD(MAX(MOD(MID(TEXT(AT19,n0),11,2)-11,100),9),10),{0," ";1,"а ";4,"ов "},2)&amp;RIGHT(TEXT(AT19,n0),2)&amp;" цент"&amp;VLOOKUP(MOD(MAX(MOD(RIGHT(TEXT(AT19,n0),2)-11,100),9),10),{0,"";1,"а";4,"ов"},2)</f>
        <v>Ноль долларов 00 центов</v>
      </c>
    </row>
    <row r="21" spans="46:52" x14ac:dyDescent="0.35">
      <c r="AT21" s="16"/>
      <c r="AU21" s="16" t="s">
        <v>89</v>
      </c>
      <c r="AV21" s="89" t="str">
        <f>SUBSTITUTE(PROPER(INDEX(n_4,MID(TEXT(AT19,n0),1,1)+1)&amp;INDEX(n0x,MID(TEXT(AT19,n0),2,1)+1,MID(TEXT(AT19,n0),3,1)+1)&amp;IF(-MID(TEXT(AT19,n0),1,3),"миллиард"&amp;VLOOKUP(MID(TEXT(AT19,n0),3,1)*AND(MID(TEXT(AT19,n0),2,1)-1),мил,2),"")&amp;INDEX(n_4,MID(TEXT(AT19,n0),4,1)+1)&amp;INDEX(n0x,MID(TEXT(AT19,n0),5,1)+1,MID(TEXT(AT19,n0),6,1)+1)&amp;IF(-MID(TEXT(AT19,n0),4,3),"миллион"&amp;VLOOKUP(MID(TEXT(AT19,n0),6,1)*AND(MID(TEXT(AT19,n0),5,1)-1),мил,2),"")&amp;INDEX(n_4,MID(TEXT(AT19,n0),7,1)+1)&amp;INDEX(n1x,MID(TEXT(AT19,n0),8,1)+1,MID(TEXT(AT19,n0),9,1)+1)&amp;IF(-MID(TEXT(AT19,n0),7,3),VLOOKUP(MID(TEXT(AT19,n0),9,1)*AND(MID(TEXT(AT19,n0),8,1)-1),тыс,2),"")&amp;INDEX(n_4,MID(TEXT(AT19,n0),10,1)+1)&amp;INDEX(n0x,MID(TEXT(AT19,n0),11,1)+1,MID(TEXT(AT19,n0),12,1)+1)),"z"," ")&amp;IF(TRUNC(TEXT(AT19,n0)),"","Ноль ")&amp;"евро"&amp;VLOOKUP(MOD(MAX(MOD(MID(TEXT(AT19,n0),11,2)-11,100),9),10),{0," ";1," ";4," "},2)&amp;RIGHT(TEXT(AT19,n0),2)&amp;" цент"&amp;VLOOKUP(MOD(MAX(MOD(RIGHT(TEXT(AT19,n0),2)-11,100),9),10),{0,"";1,"а";4,"ов"},2)</f>
        <v>Ноль евро 00 центов</v>
      </c>
    </row>
    <row r="22" spans="46:52" x14ac:dyDescent="0.35">
      <c r="AT22" s="90"/>
      <c r="AU22" s="91"/>
      <c r="AV22" s="90"/>
    </row>
    <row r="23" spans="46:52" x14ac:dyDescent="0.35">
      <c r="AT23" s="16">
        <f>V2</f>
        <v>0</v>
      </c>
      <c r="AU23" s="16" t="s">
        <v>87</v>
      </c>
      <c r="AV23" s="89" t="str">
        <f>SUBSTITUTE(PROPER(INDEX(n_4,MID(TEXT(AT23,n0),1,1)+1)&amp;INDEX(n0x,MID(TEXT(AT23,n0),2,1)+1,MID(TEXT(AT23,n0),3,1)+1)&amp;IF(-MID(TEXT(AT23,n0),1,3),"миллиард"&amp;VLOOKUP(MID(TEXT(AT23,n0),3,1)*AND(MID(TEXT(AT23,n0),2,1)-1),мил,2),"")&amp;INDEX(n_4,MID(TEXT(AT23,n0),4,1)+1)&amp;INDEX(n0x,MID(TEXT(AT23,n0),5,1)+1,MID(TEXT(AT23,n0),6,1)+1)&amp;IF(-MID(TEXT(AT23,n0),4,3),"миллион"&amp;VLOOKUP(MID(TEXT(AT23,n0),6,1)*AND(MID(TEXT(AT23,n0),5,1)-1),мил,2),"")&amp;INDEX(n_4,MID(TEXT(AT23,n0),7,1)+1)&amp;INDEX(n1x,MID(TEXT(AT23,n0),8,1)+1,MID(TEXT(AT23,n0),9,1)+1)&amp;IF(-MID(TEXT(AT23,n0),7,3),VLOOKUP(MID(TEXT(AT23,n0),9,1)*AND(MID(TEXT(AT23,n0),8,1)-1),тыс,2),"")&amp;INDEX(n_4,MID(TEXT(AT23,n0),10,1)+1)&amp;INDEX(n0x,MID(TEXT(AT23,n0),11,1)+1,MID(TEXT(AT23,n0),12,1)+1)),"z"," ")&amp;IF(TRUNC(TEXT(AT23,n0)),"","Ноль ")&amp;"рубл"&amp;VLOOKUP(MOD(MAX(MOD(MID(TEXT(AT23,n0),11,2)-11,100),9),10),{0,"ь ";1,"я ";4,"ей "},2)&amp;RIGHT(TEXT(AT23,n0),2)&amp;" копе"&amp;VLOOKUP(MOD(MAX(MOD(RIGHT(TEXT(AT23,n0),2)-11,100),9),10),{0,"йка";1,"йки";4,"ек"},2)</f>
        <v>Ноль рублей 00 копеек</v>
      </c>
    </row>
    <row r="24" spans="46:52" x14ac:dyDescent="0.35">
      <c r="AT24" s="16"/>
      <c r="AU24" s="16" t="s">
        <v>88</v>
      </c>
      <c r="AV24" s="89" t="str">
        <f>SUBSTITUTE(PROPER(INDEX(n_4,MID(TEXT(AT23,n0),1,1)+1)&amp;INDEX(n0x,MID(TEXT(AT23,n0),2,1)+1,MID(TEXT(AT23,n0),3,1)+1)&amp;IF(-MID(TEXT(AT23,n0),1,3),"миллиард"&amp;VLOOKUP(MID(TEXT(AT23,n0),3,1)*AND(MID(TEXT(AT23,n0),2,1)-1),мил,2),"")&amp;INDEX(n_4,MID(TEXT(AT23,n0),4,1)+1)&amp;INDEX(n0x,MID(TEXT(AT23,n0),5,1)+1,MID(TEXT(AT23,n0),6,1)+1)&amp;IF(-MID(TEXT(AT23,n0),4,3),"миллион"&amp;VLOOKUP(MID(TEXT(AT23,n0),6,1)*AND(MID(TEXT(AT23,n0),5,1)-1),мил,2),"")&amp;INDEX(n_4,MID(TEXT(AT23,n0),7,1)+1)&amp;INDEX(n1x,MID(TEXT(AT23,n0),8,1)+1,MID(TEXT(AT23,n0),9,1)+1)&amp;IF(-MID(TEXT(AT23,n0),7,3),VLOOKUP(MID(TEXT(AT23,n0),9,1)*AND(MID(TEXT(AT23,n0),8,1)-1),тыс,2),"")&amp;INDEX(n_4,MID(TEXT(AT23,n0),10,1)+1)&amp;INDEX(n0x,MID(TEXT(AT23,n0),11,1)+1,MID(TEXT(AT23,n0),12,1)+1)),"z"," ")&amp;IF(TRUNC(TEXT(AT23,n0)),"","Ноль ")&amp;"доллар"&amp;VLOOKUP(MOD(MAX(MOD(MID(TEXT(AT23,n0),11,2)-11,100),9),10),{0," ";1,"а ";4,"ов "},2)&amp;RIGHT(TEXT(AT23,n0),2)&amp;" цент"&amp;VLOOKUP(MOD(MAX(MOD(RIGHT(TEXT(AT23,n0),2)-11,100),9),10),{0,"";1,"а";4,"ов"},2)</f>
        <v>Ноль долларов 00 центов</v>
      </c>
    </row>
    <row r="25" spans="46:52" x14ac:dyDescent="0.35">
      <c r="AT25" s="16"/>
      <c r="AU25" s="16" t="s">
        <v>89</v>
      </c>
      <c r="AV25" s="89" t="str">
        <f>SUBSTITUTE(PROPER(INDEX(n_4,MID(TEXT(AT23,n0),1,1)+1)&amp;INDEX(n0x,MID(TEXT(AT23,n0),2,1)+1,MID(TEXT(AT23,n0),3,1)+1)&amp;IF(-MID(TEXT(AT23,n0),1,3),"миллиард"&amp;VLOOKUP(MID(TEXT(AT23,n0),3,1)*AND(MID(TEXT(AT23,n0),2,1)-1),мил,2),"")&amp;INDEX(n_4,MID(TEXT(AT23,n0),4,1)+1)&amp;INDEX(n0x,MID(TEXT(AT23,n0),5,1)+1,MID(TEXT(AT23,n0),6,1)+1)&amp;IF(-MID(TEXT(AT23,n0),4,3),"миллион"&amp;VLOOKUP(MID(TEXT(AT23,n0),6,1)*AND(MID(TEXT(AT23,n0),5,1)-1),мил,2),"")&amp;INDEX(n_4,MID(TEXT(AT23,n0),7,1)+1)&amp;INDEX(n1x,MID(TEXT(AT23,n0),8,1)+1,MID(TEXT(AT23,n0),9,1)+1)&amp;IF(-MID(TEXT(AT23,n0),7,3),VLOOKUP(MID(TEXT(AT23,n0),9,1)*AND(MID(TEXT(AT23,n0),8,1)-1),тыс,2),"")&amp;INDEX(n_4,MID(TEXT(AT23,n0),10,1)+1)&amp;INDEX(n0x,MID(TEXT(AT23,n0),11,1)+1,MID(TEXT(AT23,n0),12,1)+1)),"z"," ")&amp;IF(TRUNC(TEXT(AT23,n0)),"","Ноль ")&amp;"евро"&amp;VLOOKUP(MOD(MAX(MOD(MID(TEXT(AT23,n0),11,2)-11,100),9),10),{0," ";1," ";4," "},2)&amp;RIGHT(TEXT(AT23,n0),2)&amp;" цент"&amp;VLOOKUP(MOD(MAX(MOD(RIGHT(TEXT(AT23,n0),2)-11,100),9),10),{0,"";1,"а";4,"ов"},2)</f>
        <v>Ноль евро 00 центов</v>
      </c>
    </row>
  </sheetData>
  <sheetProtection algorithmName="SHA-512" hashValue="0GEkm2NLqYIQAfhIsq+F17dfWDbBTi/QZcU7cMnAqC8a3NYCQok4xGFplaNTcnAtf0qAVJ5vDcEtONDCPYhnwA==" saltValue="K9auQMQOuQ1CfXYwvifhu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1</vt:lpstr>
      <vt:lpstr>Экспорт</vt:lpstr>
      <vt:lpstr>'1'!Область_печати</vt:lpstr>
    </vt:vector>
  </TitlesOfParts>
  <Company>Enel OGK-5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Kuligin Alexander (OGK5 RG)</dc:creator>
  <cp:lastModifiedBy>Sorokina Viktoriya (EL5 Energo HQ)</cp:lastModifiedBy>
  <cp:lastPrinted>2017-03-18T19:14:27Z</cp:lastPrinted>
  <dcterms:created xsi:type="dcterms:W3CDTF">2016-02-17T11:56:58Z</dcterms:created>
  <dcterms:modified xsi:type="dcterms:W3CDTF">2026-08-13T06:14:09Z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2023-01-10T11:23:54Z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899c6690-452c-4011-bbc4-6971bc8f0463</vt:lpwstr>
  </property>
  <property fmtid="{D5CDD505-2E9C-101B-9397-08002B2CF9AE}" pid="7" name="MSIP_Label_defa4170-0d19-0005-0004-bc88714345d2_ActionId">
    <vt:lpwstr>ab64adc2-9463-46e9-aea3-9fe9b71c8f34</vt:lpwstr>
  </property>
  <property fmtid="{D5CDD505-2E9C-101B-9397-08002B2CF9AE}" pid="8" name="MSIP_Label_defa4170-0d19-0005-0004-bc88714345d2_ContentBits">
    <vt:lpwstr>0</vt:lpwstr>
  </property>
</Properties>
</file>