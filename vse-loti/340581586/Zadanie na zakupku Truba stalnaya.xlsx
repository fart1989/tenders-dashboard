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!!_ФОРТУМ\Фортум\!!!2026\Труба СТАЛЬНАЯ\ЗД_Поставка Труба стальная.рев.0\Раздел 4 Задание на закупку\"/>
    </mc:Choice>
  </mc:AlternateContent>
  <bookViews>
    <workbookView xWindow="0" yWindow="0" windowWidth="28800" windowHeight="12135"/>
  </bookViews>
  <sheets>
    <sheet name="Задание на закупку" sheetId="2" r:id="rId1"/>
  </sheets>
  <definedNames>
    <definedName name="_xlnm._FilterDatabase" localSheetId="0" hidden="1">'Задание на закупку'!$A$5:$O$49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2" l="1"/>
  <c r="J15" i="2"/>
  <c r="J14" i="2"/>
  <c r="J28" i="2"/>
  <c r="J27" i="2"/>
  <c r="J26" i="2"/>
  <c r="J25" i="2"/>
  <c r="J24" i="2"/>
  <c r="J23" i="2"/>
  <c r="J22" i="2"/>
  <c r="J37" i="2"/>
  <c r="J36" i="2"/>
  <c r="J9" i="2"/>
  <c r="J8" i="2"/>
  <c r="J47" i="2"/>
  <c r="J46" i="2"/>
  <c r="J35" i="2"/>
  <c r="J34" i="2"/>
  <c r="J21" i="2"/>
  <c r="J20" i="2"/>
  <c r="J7" i="2"/>
  <c r="J19" i="2"/>
  <c r="J32" i="2"/>
  <c r="J31" i="2"/>
  <c r="J30" i="2"/>
  <c r="J29" i="2"/>
  <c r="J13" i="2"/>
  <c r="J12" i="2"/>
  <c r="J11" i="2"/>
  <c r="J10" i="2"/>
  <c r="J6" i="2"/>
  <c r="J40" i="2"/>
  <c r="J39" i="2"/>
  <c r="J38" i="2"/>
  <c r="J41" i="2" l="1"/>
  <c r="J17" i="2" l="1"/>
  <c r="J33" i="2"/>
  <c r="J45" i="2"/>
  <c r="J42" i="2"/>
  <c r="J44" i="2"/>
  <c r="J43" i="2"/>
  <c r="J18" i="2"/>
  <c r="J48" i="2" l="1"/>
</calcChain>
</file>

<file path=xl/sharedStrings.xml><?xml version="1.0" encoding="utf-8"?>
<sst xmlns="http://schemas.openxmlformats.org/spreadsheetml/2006/main" count="355" uniqueCount="58">
  <si>
    <t>№п/п</t>
  </si>
  <si>
    <t>Количество</t>
  </si>
  <si>
    <t>Место поставки/ Грузополучатель</t>
  </si>
  <si>
    <t>Гарантийный срок</t>
  </si>
  <si>
    <t>Номер материала в SAP ERP</t>
  </si>
  <si>
    <t>Номер заявки 
в SAP ERP</t>
  </si>
  <si>
    <t>Наименование продукции</t>
  </si>
  <si>
    <t>Цена за единицу продукции (без НДС) р.</t>
  </si>
  <si>
    <t>Общая НМЦ (без НДС) р.</t>
  </si>
  <si>
    <t>Ед.измерения</t>
  </si>
  <si>
    <t>ИТОГО</t>
  </si>
  <si>
    <t>*с правом досрочной поставки по согласованию с Заказчиком</t>
  </si>
  <si>
    <t>Срок поставки*</t>
  </si>
  <si>
    <t>Задание на закупку</t>
  </si>
  <si>
    <t>Станция</t>
  </si>
  <si>
    <t>Применимость эквивалента</t>
  </si>
  <si>
    <t>Челябинская ТЭЦ-4 филиала Энергосистема «Урал» ПАО «Фортум», 454006, г.Челябинск, ул. Российская, 1</t>
  </si>
  <si>
    <t>не менее 12 мес с даты подписания ТОРГ12/УПД</t>
  </si>
  <si>
    <t>Не применим</t>
  </si>
  <si>
    <t>Труба 325х8 ст.20 ГОСТ 10704</t>
  </si>
  <si>
    <t>М</t>
  </si>
  <si>
    <t>Труба 108х4.5 ст.20 ГОСТ 8732</t>
  </si>
  <si>
    <t>Труба 426х9 ст.20 ГОСТ 10704</t>
  </si>
  <si>
    <t>Труба 57х4 ст.20 ГОСТ 8731</t>
  </si>
  <si>
    <t>Труба 89х3 ст.20 ГОСТ 10704</t>
  </si>
  <si>
    <t>Труба 57х3 ст.20 ГОСТ 8732</t>
  </si>
  <si>
    <t>Труба 89х4 09Г2С ГОСТ 8732</t>
  </si>
  <si>
    <t>Труба 28х3 12Х18Н10Т ГОСТ 9941</t>
  </si>
  <si>
    <t>Труба 16х3 ст.20 ТУ 14-3-460</t>
  </si>
  <si>
    <t>Труба Г83х4 ст.20 ТУ 14-3Р-55</t>
  </si>
  <si>
    <t>Труба 108х5 ст.20 ГОСТ 8732</t>
  </si>
  <si>
    <t>Труба 42х4 Ст3сп ГОСТ 8732</t>
  </si>
  <si>
    <t>Труба 89х4 Ст3сп ГОСТ 8732</t>
  </si>
  <si>
    <t>Труба 28х3.5 ст.20 ГОСТ 8732</t>
  </si>
  <si>
    <t>Труба 16х3 12Х18Н10Т ГОСТ 9941</t>
  </si>
  <si>
    <t>Труба 89х8 ст.20 ГОСТ 8732</t>
  </si>
  <si>
    <t>Труба 108х4 12Х18Н10Т ГОСТ 9940</t>
  </si>
  <si>
    <t>Труба Г 60х4х12000-20 ТУ 14-3-190</t>
  </si>
  <si>
    <t>Труба 76х4 ст.20 ГОСТ 8732</t>
  </si>
  <si>
    <t>Труба 60х4 ст.20 ГОСТ 8732</t>
  </si>
  <si>
    <t>Труба 108х4 ст.20 ГОСТ 8731</t>
  </si>
  <si>
    <t>Труба 28х4 ст.20 ГОСТ 8734</t>
  </si>
  <si>
    <t>Труба 57х3 ст.20 ГОСТ 8734</t>
  </si>
  <si>
    <t>Труба Г 60х6 ст.20 ТУ 14-3Р-55</t>
  </si>
  <si>
    <t>Труба 108х5 09Г2С ГОСТ 8732</t>
  </si>
  <si>
    <t>Труба 108х3.5 ст.20 ГОСТ 8734</t>
  </si>
  <si>
    <t>Труба 16х2 08Х18Н10Т ГОСТ 9941</t>
  </si>
  <si>
    <t>30 рабочих дней с даты заключения договора</t>
  </si>
  <si>
    <t>Толеранс</t>
  </si>
  <si>
    <t>+10 %</t>
  </si>
  <si>
    <t xml:space="preserve">Челябинская ТЭЦ-1 филиал Энергосистема «Урал»  ПАО "Фортум"  г. Челябинск, Копейское шоссе, 40 </t>
  </si>
  <si>
    <t>Челябинская ТЭЦ-2 филиала "Энергосистема "Урал" ПАО "Форвард Энерго", 454079, г. Челябинск, ул. Линейная, 69</t>
  </si>
  <si>
    <t>Челябинская ТЭЦ-3 филиала "Энергосистема "Урал" ПАО "Форвард Энерго", 454077, г.Челябинск, Бродокалмакский тракт, 6</t>
  </si>
  <si>
    <t>Тюменская ТЭЦ-2 филиала "Энергосистема "Западная Сибирь" ПАО "Форвард Энерго",625053, г. Тюмень, ул. Широтная, 200</t>
  </si>
  <si>
    <t>Няганская ГРЭС филиала Энергосистема «Западная Сибирь» ПАО «Форвард Энерго»,628187, г. Нягань, микрорайон Энергетиков, 73</t>
  </si>
  <si>
    <t>Поставка Трубы стальной для нужд ПАО "Форвард Энерго" в 2026 году.</t>
  </si>
  <si>
    <t>Год изготовления</t>
  </si>
  <si>
    <t>не ранее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</si>
</sst>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\-#,##0.00\ 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right" vertical="center"/>
    </xf>
    <xf numFmtId="164" fontId="2" fillId="0" borderId="7" xfId="0" applyNumberFormat="1" applyFont="1" applyFill="1" applyBorder="1"/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14" fontId="1" fillId="0" borderId="9" xfId="0" applyNumberFormat="1" applyFont="1" applyFill="1" applyBorder="1" applyAlignment="1">
      <alignment vertical="center" wrapText="1"/>
    </xf>
    <xf numFmtId="14" fontId="1" fillId="0" borderId="1" xfId="0" applyNumberFormat="1" applyFont="1" applyFill="1" applyBorder="1" applyAlignment="1">
      <alignment vertical="center" wrapText="1"/>
    </xf>
    <xf numFmtId="14" fontId="1" fillId="0" borderId="11" xfId="0" applyNumberFormat="1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top" wrapText="1"/>
    </xf>
    <xf numFmtId="4" fontId="2" fillId="0" borderId="7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top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4" xfId="0" quotePrefix="1" applyFont="1" applyFill="1" applyBorder="1" applyAlignment="1">
      <alignment horizontal="center" vertical="center"/>
    </xf>
    <xf numFmtId="0" fontId="1" fillId="0" borderId="15" xfId="0" quotePrefix="1" applyFont="1" applyFill="1" applyBorder="1" applyAlignment="1">
      <alignment horizontal="center" vertical="center"/>
    </xf>
    <xf numFmtId="0" fontId="1" fillId="0" borderId="16" xfId="0" quotePrefix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9"/>
  <sheetViews>
    <sheetView tabSelected="1" zoomScale="55" zoomScaleNormal="55" workbookViewId="0">
      <selection activeCell="M46" sqref="M46:N46"/>
    </sheetView>
  </sheetViews>
  <sheetFormatPr defaultRowHeight="15" outlineLevelCol="1" x14ac:dyDescent="0.2"/>
  <cols>
    <col min="1" max="1" width="7.85546875" style="2" customWidth="1"/>
    <col min="2" max="2" width="13.7109375" style="1" customWidth="1"/>
    <col min="3" max="4" width="15.7109375" style="1" customWidth="1"/>
    <col min="5" max="5" width="57" style="1" customWidth="1"/>
    <col min="6" max="6" width="9.5703125" style="1" customWidth="1" outlineLevel="1"/>
    <col min="7" max="7" width="17.85546875" style="2" customWidth="1" outlineLevel="1"/>
    <col min="8" max="8" width="22.5703125" style="2" customWidth="1" outlineLevel="1"/>
    <col min="9" max="9" width="23.28515625" style="1" customWidth="1" outlineLevel="1"/>
    <col min="10" max="10" width="18.7109375" style="1" customWidth="1" outlineLevel="1"/>
    <col min="11" max="11" width="29.7109375" style="1" customWidth="1"/>
    <col min="12" max="12" width="58.140625" style="1" customWidth="1"/>
    <col min="13" max="13" width="17.7109375" style="1" customWidth="1"/>
    <col min="14" max="14" width="32.5703125" style="1" customWidth="1"/>
    <col min="15" max="15" width="39.5703125" style="1" customWidth="1"/>
    <col min="16" max="16384" width="9.140625" style="1"/>
  </cols>
  <sheetData>
    <row r="2" spans="1:15" ht="21" customHeight="1" x14ac:dyDescent="0.25">
      <c r="A2" s="39" t="s">
        <v>13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21" customHeight="1" x14ac:dyDescent="0.25">
      <c r="A3" s="39" t="s">
        <v>55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15.75" thickBot="1" x14ac:dyDescent="0.25">
      <c r="I4" s="40"/>
      <c r="J4" s="40"/>
    </row>
    <row r="5" spans="1:15" ht="71.25" customHeight="1" thickBot="1" x14ac:dyDescent="0.25">
      <c r="A5" s="24" t="s">
        <v>0</v>
      </c>
      <c r="B5" s="24" t="s">
        <v>4</v>
      </c>
      <c r="C5" s="26" t="s">
        <v>5</v>
      </c>
      <c r="D5" s="24" t="s">
        <v>14</v>
      </c>
      <c r="E5" s="24" t="s">
        <v>6</v>
      </c>
      <c r="F5" s="24" t="s">
        <v>9</v>
      </c>
      <c r="G5" s="26" t="s">
        <v>1</v>
      </c>
      <c r="H5" s="24" t="s">
        <v>15</v>
      </c>
      <c r="I5" s="24" t="s">
        <v>7</v>
      </c>
      <c r="J5" s="24" t="s">
        <v>8</v>
      </c>
      <c r="K5" s="26" t="s">
        <v>12</v>
      </c>
      <c r="L5" s="24" t="s">
        <v>2</v>
      </c>
      <c r="M5" s="25" t="s">
        <v>48</v>
      </c>
      <c r="N5" s="25" t="s">
        <v>56</v>
      </c>
      <c r="O5" s="25" t="s">
        <v>3</v>
      </c>
    </row>
    <row r="6" spans="1:15" ht="30" x14ac:dyDescent="0.2">
      <c r="A6" s="3">
        <v>1</v>
      </c>
      <c r="B6" s="36">
        <v>91872</v>
      </c>
      <c r="C6" s="27">
        <v>11234483</v>
      </c>
      <c r="D6" s="27">
        <v>1100</v>
      </c>
      <c r="E6" s="4" t="s">
        <v>33</v>
      </c>
      <c r="F6" s="4" t="s">
        <v>20</v>
      </c>
      <c r="G6" s="5">
        <v>8</v>
      </c>
      <c r="H6" s="6" t="s">
        <v>18</v>
      </c>
      <c r="I6" s="7">
        <v>3858.75</v>
      </c>
      <c r="J6" s="7">
        <f>I6*G6</f>
        <v>30870</v>
      </c>
      <c r="K6" s="30" t="s">
        <v>47</v>
      </c>
      <c r="L6" s="19" t="s">
        <v>50</v>
      </c>
      <c r="M6" s="5" t="s">
        <v>49</v>
      </c>
      <c r="N6" s="41" t="s">
        <v>57</v>
      </c>
      <c r="O6" s="20" t="s">
        <v>17</v>
      </c>
    </row>
    <row r="7" spans="1:15" ht="45" x14ac:dyDescent="0.2">
      <c r="A7" s="8">
        <v>2</v>
      </c>
      <c r="B7" s="37">
        <v>102666</v>
      </c>
      <c r="C7" s="28">
        <v>11170811</v>
      </c>
      <c r="D7" s="28">
        <v>1200</v>
      </c>
      <c r="E7" s="9" t="s">
        <v>21</v>
      </c>
      <c r="F7" s="9" t="s">
        <v>20</v>
      </c>
      <c r="G7" s="10">
        <v>32</v>
      </c>
      <c r="H7" s="11" t="s">
        <v>18</v>
      </c>
      <c r="I7" s="12">
        <v>3096.18</v>
      </c>
      <c r="J7" s="12">
        <f>I7*G7</f>
        <v>99077.759999999995</v>
      </c>
      <c r="K7" s="31" t="s">
        <v>47</v>
      </c>
      <c r="L7" s="21" t="s">
        <v>51</v>
      </c>
      <c r="M7" s="10" t="s">
        <v>49</v>
      </c>
      <c r="N7" s="42" t="s">
        <v>57</v>
      </c>
      <c r="O7" s="22" t="s">
        <v>17</v>
      </c>
    </row>
    <row r="8" spans="1:15" ht="45" x14ac:dyDescent="0.2">
      <c r="A8" s="8">
        <v>3</v>
      </c>
      <c r="B8" s="37">
        <v>262512</v>
      </c>
      <c r="C8" s="28">
        <v>11206484</v>
      </c>
      <c r="D8" s="28">
        <v>1200</v>
      </c>
      <c r="E8" s="9" t="s">
        <v>28</v>
      </c>
      <c r="F8" s="9" t="s">
        <v>20</v>
      </c>
      <c r="G8" s="10">
        <v>12</v>
      </c>
      <c r="H8" s="11" t="s">
        <v>18</v>
      </c>
      <c r="I8" s="12">
        <v>486.72</v>
      </c>
      <c r="J8" s="12">
        <f>I8*G8</f>
        <v>5840.64</v>
      </c>
      <c r="K8" s="31" t="s">
        <v>47</v>
      </c>
      <c r="L8" s="21" t="s">
        <v>51</v>
      </c>
      <c r="M8" s="10" t="s">
        <v>49</v>
      </c>
      <c r="N8" s="42" t="s">
        <v>57</v>
      </c>
      <c r="O8" s="22" t="s">
        <v>17</v>
      </c>
    </row>
    <row r="9" spans="1:15" ht="45" x14ac:dyDescent="0.2">
      <c r="A9" s="8">
        <v>4</v>
      </c>
      <c r="B9" s="37">
        <v>290290</v>
      </c>
      <c r="C9" s="28">
        <v>11206498</v>
      </c>
      <c r="D9" s="28">
        <v>1200</v>
      </c>
      <c r="E9" s="9" t="s">
        <v>29</v>
      </c>
      <c r="F9" s="9" t="s">
        <v>20</v>
      </c>
      <c r="G9" s="10">
        <v>10</v>
      </c>
      <c r="H9" s="11" t="s">
        <v>18</v>
      </c>
      <c r="I9" s="12">
        <v>1793.75</v>
      </c>
      <c r="J9" s="12">
        <f>I9*G9</f>
        <v>17937.5</v>
      </c>
      <c r="K9" s="31" t="s">
        <v>47</v>
      </c>
      <c r="L9" s="21" t="s">
        <v>51</v>
      </c>
      <c r="M9" s="10" t="s">
        <v>49</v>
      </c>
      <c r="N9" s="42" t="s">
        <v>57</v>
      </c>
      <c r="O9" s="22" t="s">
        <v>17</v>
      </c>
    </row>
    <row r="10" spans="1:15" ht="45" x14ac:dyDescent="0.2">
      <c r="A10" s="8">
        <v>5</v>
      </c>
      <c r="B10" s="37">
        <v>29592</v>
      </c>
      <c r="C10" s="28">
        <v>11236242</v>
      </c>
      <c r="D10" s="28">
        <v>1200</v>
      </c>
      <c r="E10" s="9" t="s">
        <v>34</v>
      </c>
      <c r="F10" s="9" t="s">
        <v>20</v>
      </c>
      <c r="G10" s="10">
        <v>24</v>
      </c>
      <c r="H10" s="11" t="s">
        <v>18</v>
      </c>
      <c r="I10" s="12">
        <v>735.15</v>
      </c>
      <c r="J10" s="12">
        <f>I10*G10</f>
        <v>17643.599999999999</v>
      </c>
      <c r="K10" s="31" t="s">
        <v>47</v>
      </c>
      <c r="L10" s="21" t="s">
        <v>51</v>
      </c>
      <c r="M10" s="10" t="s">
        <v>49</v>
      </c>
      <c r="N10" s="42" t="s">
        <v>57</v>
      </c>
      <c r="O10" s="22" t="s">
        <v>17</v>
      </c>
    </row>
    <row r="11" spans="1:15" ht="45" x14ac:dyDescent="0.2">
      <c r="A11" s="8">
        <v>6</v>
      </c>
      <c r="B11" s="37">
        <v>92058</v>
      </c>
      <c r="C11" s="28">
        <v>11236440</v>
      </c>
      <c r="D11" s="28">
        <v>1200</v>
      </c>
      <c r="E11" s="9" t="s">
        <v>35</v>
      </c>
      <c r="F11" s="9" t="s">
        <v>20</v>
      </c>
      <c r="G11" s="10">
        <v>24</v>
      </c>
      <c r="H11" s="11" t="s">
        <v>18</v>
      </c>
      <c r="I11" s="12">
        <v>1570.41</v>
      </c>
      <c r="J11" s="12">
        <f>I11*G11</f>
        <v>37689.840000000004</v>
      </c>
      <c r="K11" s="31" t="s">
        <v>47</v>
      </c>
      <c r="L11" s="21" t="s">
        <v>51</v>
      </c>
      <c r="M11" s="10" t="s">
        <v>49</v>
      </c>
      <c r="N11" s="42" t="s">
        <v>57</v>
      </c>
      <c r="O11" s="22" t="s">
        <v>17</v>
      </c>
    </row>
    <row r="12" spans="1:15" ht="45" x14ac:dyDescent="0.2">
      <c r="A12" s="8">
        <v>7</v>
      </c>
      <c r="B12" s="37">
        <v>100004</v>
      </c>
      <c r="C12" s="28">
        <v>11236530</v>
      </c>
      <c r="D12" s="28">
        <v>1200</v>
      </c>
      <c r="E12" s="9" t="s">
        <v>36</v>
      </c>
      <c r="F12" s="9" t="s">
        <v>20</v>
      </c>
      <c r="G12" s="10">
        <v>16</v>
      </c>
      <c r="H12" s="11" t="s">
        <v>18</v>
      </c>
      <c r="I12" s="12">
        <v>5882.45</v>
      </c>
      <c r="J12" s="12">
        <f>I12*G12</f>
        <v>94119.2</v>
      </c>
      <c r="K12" s="31" t="s">
        <v>47</v>
      </c>
      <c r="L12" s="21" t="s">
        <v>51</v>
      </c>
      <c r="M12" s="10" t="s">
        <v>49</v>
      </c>
      <c r="N12" s="42" t="s">
        <v>57</v>
      </c>
      <c r="O12" s="22" t="s">
        <v>17</v>
      </c>
    </row>
    <row r="13" spans="1:15" ht="45" x14ac:dyDescent="0.2">
      <c r="A13" s="8">
        <v>8</v>
      </c>
      <c r="B13" s="37">
        <v>100004</v>
      </c>
      <c r="C13" s="28">
        <v>11236531</v>
      </c>
      <c r="D13" s="28">
        <v>1200</v>
      </c>
      <c r="E13" s="9" t="s">
        <v>36</v>
      </c>
      <c r="F13" s="9" t="s">
        <v>20</v>
      </c>
      <c r="G13" s="10">
        <v>8</v>
      </c>
      <c r="H13" s="11" t="s">
        <v>18</v>
      </c>
      <c r="I13" s="12">
        <v>5882.45</v>
      </c>
      <c r="J13" s="12">
        <f>I13*G13</f>
        <v>47059.6</v>
      </c>
      <c r="K13" s="31" t="s">
        <v>47</v>
      </c>
      <c r="L13" s="21" t="s">
        <v>51</v>
      </c>
      <c r="M13" s="10" t="s">
        <v>49</v>
      </c>
      <c r="N13" s="42" t="s">
        <v>57</v>
      </c>
      <c r="O13" s="22" t="s">
        <v>17</v>
      </c>
    </row>
    <row r="14" spans="1:15" ht="45" x14ac:dyDescent="0.2">
      <c r="A14" s="8">
        <v>9</v>
      </c>
      <c r="B14" s="37">
        <v>296596</v>
      </c>
      <c r="C14" s="28">
        <v>11268441</v>
      </c>
      <c r="D14" s="28">
        <v>1200</v>
      </c>
      <c r="E14" s="9" t="s">
        <v>43</v>
      </c>
      <c r="F14" s="9" t="s">
        <v>20</v>
      </c>
      <c r="G14" s="10">
        <v>110.79</v>
      </c>
      <c r="H14" s="11" t="s">
        <v>18</v>
      </c>
      <c r="I14" s="12">
        <v>3183.47</v>
      </c>
      <c r="J14" s="12">
        <f>I14*G14</f>
        <v>352696.64130000002</v>
      </c>
      <c r="K14" s="31" t="s">
        <v>47</v>
      </c>
      <c r="L14" s="21" t="s">
        <v>51</v>
      </c>
      <c r="M14" s="10" t="s">
        <v>49</v>
      </c>
      <c r="N14" s="42" t="s">
        <v>57</v>
      </c>
      <c r="O14" s="22" t="s">
        <v>17</v>
      </c>
    </row>
    <row r="15" spans="1:15" ht="45" x14ac:dyDescent="0.2">
      <c r="A15" s="8">
        <v>10</v>
      </c>
      <c r="B15" s="37">
        <v>296596</v>
      </c>
      <c r="C15" s="28">
        <v>11268442</v>
      </c>
      <c r="D15" s="28">
        <v>1200</v>
      </c>
      <c r="E15" s="9" t="s">
        <v>43</v>
      </c>
      <c r="F15" s="9" t="s">
        <v>20</v>
      </c>
      <c r="G15" s="10">
        <v>4</v>
      </c>
      <c r="H15" s="11" t="s">
        <v>18</v>
      </c>
      <c r="I15" s="12">
        <v>3183.47</v>
      </c>
      <c r="J15" s="12">
        <f>I15*G15</f>
        <v>12733.88</v>
      </c>
      <c r="K15" s="31" t="s">
        <v>47</v>
      </c>
      <c r="L15" s="21" t="s">
        <v>51</v>
      </c>
      <c r="M15" s="10" t="s">
        <v>49</v>
      </c>
      <c r="N15" s="42" t="s">
        <v>57</v>
      </c>
      <c r="O15" s="22" t="s">
        <v>17</v>
      </c>
    </row>
    <row r="16" spans="1:15" ht="45" x14ac:dyDescent="0.2">
      <c r="A16" s="8">
        <v>11</v>
      </c>
      <c r="B16" s="37">
        <v>296596</v>
      </c>
      <c r="C16" s="28">
        <v>11268443</v>
      </c>
      <c r="D16" s="28">
        <v>1200</v>
      </c>
      <c r="E16" s="9" t="s">
        <v>43</v>
      </c>
      <c r="F16" s="9" t="s">
        <v>20</v>
      </c>
      <c r="G16" s="10">
        <v>9</v>
      </c>
      <c r="H16" s="11" t="s">
        <v>18</v>
      </c>
      <c r="I16" s="12">
        <v>3183.47</v>
      </c>
      <c r="J16" s="12">
        <f>I16*G16</f>
        <v>28651.23</v>
      </c>
      <c r="K16" s="31" t="s">
        <v>47</v>
      </c>
      <c r="L16" s="21" t="s">
        <v>51</v>
      </c>
      <c r="M16" s="10" t="s">
        <v>49</v>
      </c>
      <c r="N16" s="42" t="s">
        <v>57</v>
      </c>
      <c r="O16" s="22" t="s">
        <v>17</v>
      </c>
    </row>
    <row r="17" spans="1:15" ht="45" x14ac:dyDescent="0.2">
      <c r="A17" s="8">
        <v>12</v>
      </c>
      <c r="B17" s="37">
        <v>296596</v>
      </c>
      <c r="C17" s="28">
        <v>11268444</v>
      </c>
      <c r="D17" s="28">
        <v>1200</v>
      </c>
      <c r="E17" s="9" t="s">
        <v>43</v>
      </c>
      <c r="F17" s="9" t="s">
        <v>20</v>
      </c>
      <c r="G17" s="10">
        <v>9</v>
      </c>
      <c r="H17" s="11" t="s">
        <v>18</v>
      </c>
      <c r="I17" s="12">
        <v>3183.47</v>
      </c>
      <c r="J17" s="12">
        <f>I17*G17</f>
        <v>28651.23</v>
      </c>
      <c r="K17" s="31" t="s">
        <v>47</v>
      </c>
      <c r="L17" s="21" t="s">
        <v>51</v>
      </c>
      <c r="M17" s="10" t="s">
        <v>49</v>
      </c>
      <c r="N17" s="42" t="s">
        <v>57</v>
      </c>
      <c r="O17" s="22" t="s">
        <v>17</v>
      </c>
    </row>
    <row r="18" spans="1:15" ht="45" x14ac:dyDescent="0.2">
      <c r="A18" s="8">
        <v>13</v>
      </c>
      <c r="B18" s="37">
        <v>296596</v>
      </c>
      <c r="C18" s="28">
        <v>11268445</v>
      </c>
      <c r="D18" s="28">
        <v>1200</v>
      </c>
      <c r="E18" s="9" t="s">
        <v>43</v>
      </c>
      <c r="F18" s="9" t="s">
        <v>20</v>
      </c>
      <c r="G18" s="10">
        <v>80</v>
      </c>
      <c r="H18" s="11" t="s">
        <v>18</v>
      </c>
      <c r="I18" s="12">
        <v>3183.47</v>
      </c>
      <c r="J18" s="12">
        <f>I18*G18</f>
        <v>254677.59999999998</v>
      </c>
      <c r="K18" s="31" t="s">
        <v>47</v>
      </c>
      <c r="L18" s="21" t="s">
        <v>51</v>
      </c>
      <c r="M18" s="10" t="s">
        <v>49</v>
      </c>
      <c r="N18" s="42" t="s">
        <v>57</v>
      </c>
      <c r="O18" s="22" t="s">
        <v>17</v>
      </c>
    </row>
    <row r="19" spans="1:15" ht="45" x14ac:dyDescent="0.2">
      <c r="A19" s="8">
        <v>14</v>
      </c>
      <c r="B19" s="37">
        <v>91896</v>
      </c>
      <c r="C19" s="28">
        <v>11058474</v>
      </c>
      <c r="D19" s="28">
        <v>1300</v>
      </c>
      <c r="E19" s="9" t="s">
        <v>19</v>
      </c>
      <c r="F19" s="9" t="s">
        <v>20</v>
      </c>
      <c r="G19" s="10">
        <v>8</v>
      </c>
      <c r="H19" s="11" t="s">
        <v>18</v>
      </c>
      <c r="I19" s="12">
        <v>8117.8</v>
      </c>
      <c r="J19" s="12">
        <f>I19*G19</f>
        <v>64942.400000000001</v>
      </c>
      <c r="K19" s="31" t="s">
        <v>47</v>
      </c>
      <c r="L19" s="21" t="s">
        <v>52</v>
      </c>
      <c r="M19" s="10" t="s">
        <v>49</v>
      </c>
      <c r="N19" s="42" t="s">
        <v>57</v>
      </c>
      <c r="O19" s="22" t="s">
        <v>17</v>
      </c>
    </row>
    <row r="20" spans="1:15" ht="45" x14ac:dyDescent="0.2">
      <c r="A20" s="8">
        <v>15</v>
      </c>
      <c r="B20" s="37">
        <v>91947</v>
      </c>
      <c r="C20" s="28">
        <v>11173609</v>
      </c>
      <c r="D20" s="28">
        <v>1300</v>
      </c>
      <c r="E20" s="9" t="s">
        <v>22</v>
      </c>
      <c r="F20" s="9" t="s">
        <v>20</v>
      </c>
      <c r="G20" s="10">
        <v>8</v>
      </c>
      <c r="H20" s="11" t="s">
        <v>18</v>
      </c>
      <c r="I20" s="12">
        <v>14976.19</v>
      </c>
      <c r="J20" s="12">
        <f>I20*G20</f>
        <v>119809.52</v>
      </c>
      <c r="K20" s="31" t="s">
        <v>47</v>
      </c>
      <c r="L20" s="21" t="s">
        <v>52</v>
      </c>
      <c r="M20" s="10" t="s">
        <v>49</v>
      </c>
      <c r="N20" s="42" t="s">
        <v>57</v>
      </c>
      <c r="O20" s="22" t="s">
        <v>17</v>
      </c>
    </row>
    <row r="21" spans="1:15" ht="45" x14ac:dyDescent="0.2">
      <c r="A21" s="8">
        <v>16</v>
      </c>
      <c r="B21" s="37">
        <v>201961</v>
      </c>
      <c r="C21" s="28">
        <v>11173981</v>
      </c>
      <c r="D21" s="28">
        <v>1300</v>
      </c>
      <c r="E21" s="9" t="s">
        <v>23</v>
      </c>
      <c r="F21" s="9" t="s">
        <v>20</v>
      </c>
      <c r="G21" s="10">
        <v>24</v>
      </c>
      <c r="H21" s="11" t="s">
        <v>18</v>
      </c>
      <c r="I21" s="12">
        <v>1081.8</v>
      </c>
      <c r="J21" s="12">
        <f>I21*G21</f>
        <v>25963.199999999997</v>
      </c>
      <c r="K21" s="31" t="s">
        <v>47</v>
      </c>
      <c r="L21" s="21" t="s">
        <v>52</v>
      </c>
      <c r="M21" s="10" t="s">
        <v>49</v>
      </c>
      <c r="N21" s="42" t="s">
        <v>57</v>
      </c>
      <c r="O21" s="22" t="s">
        <v>17</v>
      </c>
    </row>
    <row r="22" spans="1:15" ht="45" x14ac:dyDescent="0.2">
      <c r="A22" s="8">
        <v>17</v>
      </c>
      <c r="B22" s="37">
        <v>3433</v>
      </c>
      <c r="C22" s="28">
        <v>11242656</v>
      </c>
      <c r="D22" s="28">
        <v>1300</v>
      </c>
      <c r="E22" s="9" t="s">
        <v>38</v>
      </c>
      <c r="F22" s="9" t="s">
        <v>20</v>
      </c>
      <c r="G22" s="10">
        <v>24</v>
      </c>
      <c r="H22" s="11" t="s">
        <v>18</v>
      </c>
      <c r="I22" s="12">
        <v>2612.7600000000002</v>
      </c>
      <c r="J22" s="12">
        <f>I22*G22</f>
        <v>62706.240000000005</v>
      </c>
      <c r="K22" s="31" t="s">
        <v>47</v>
      </c>
      <c r="L22" s="21" t="s">
        <v>52</v>
      </c>
      <c r="M22" s="10" t="s">
        <v>49</v>
      </c>
      <c r="N22" s="42" t="s">
        <v>57</v>
      </c>
      <c r="O22" s="22" t="s">
        <v>17</v>
      </c>
    </row>
    <row r="23" spans="1:15" ht="45" x14ac:dyDescent="0.2">
      <c r="A23" s="8">
        <v>18</v>
      </c>
      <c r="B23" s="37">
        <v>82740</v>
      </c>
      <c r="C23" s="28">
        <v>11242844</v>
      </c>
      <c r="D23" s="28">
        <v>1300</v>
      </c>
      <c r="E23" s="9" t="s">
        <v>26</v>
      </c>
      <c r="F23" s="9" t="s">
        <v>20</v>
      </c>
      <c r="G23" s="10">
        <v>32</v>
      </c>
      <c r="H23" s="11" t="s">
        <v>18</v>
      </c>
      <c r="I23" s="12">
        <v>857.27</v>
      </c>
      <c r="J23" s="12">
        <f>I23*G23</f>
        <v>27432.639999999999</v>
      </c>
      <c r="K23" s="31" t="s">
        <v>47</v>
      </c>
      <c r="L23" s="21" t="s">
        <v>52</v>
      </c>
      <c r="M23" s="10" t="s">
        <v>49</v>
      </c>
      <c r="N23" s="42" t="s">
        <v>57</v>
      </c>
      <c r="O23" s="22" t="s">
        <v>17</v>
      </c>
    </row>
    <row r="24" spans="1:15" ht="45" x14ac:dyDescent="0.2">
      <c r="A24" s="8">
        <v>19</v>
      </c>
      <c r="B24" s="37">
        <v>91872</v>
      </c>
      <c r="C24" s="28">
        <v>11242905</v>
      </c>
      <c r="D24" s="28">
        <v>1300</v>
      </c>
      <c r="E24" s="9" t="s">
        <v>33</v>
      </c>
      <c r="F24" s="9" t="s">
        <v>20</v>
      </c>
      <c r="G24" s="10">
        <v>8</v>
      </c>
      <c r="H24" s="11" t="s">
        <v>18</v>
      </c>
      <c r="I24" s="12">
        <v>3858.75</v>
      </c>
      <c r="J24" s="12">
        <f>I24*G24</f>
        <v>30870</v>
      </c>
      <c r="K24" s="31" t="s">
        <v>47</v>
      </c>
      <c r="L24" s="21" t="s">
        <v>52</v>
      </c>
      <c r="M24" s="10" t="s">
        <v>49</v>
      </c>
      <c r="N24" s="42" t="s">
        <v>57</v>
      </c>
      <c r="O24" s="22" t="s">
        <v>17</v>
      </c>
    </row>
    <row r="25" spans="1:15" ht="45" x14ac:dyDescent="0.2">
      <c r="A25" s="8">
        <v>20</v>
      </c>
      <c r="B25" s="37">
        <v>103379</v>
      </c>
      <c r="C25" s="28">
        <v>11243032</v>
      </c>
      <c r="D25" s="28">
        <v>1300</v>
      </c>
      <c r="E25" s="9" t="s">
        <v>39</v>
      </c>
      <c r="F25" s="9" t="s">
        <v>20</v>
      </c>
      <c r="G25" s="10">
        <v>16</v>
      </c>
      <c r="H25" s="11" t="s">
        <v>18</v>
      </c>
      <c r="I25" s="12">
        <v>2278.21</v>
      </c>
      <c r="J25" s="12">
        <f>I25*G25</f>
        <v>36451.360000000001</v>
      </c>
      <c r="K25" s="31" t="s">
        <v>47</v>
      </c>
      <c r="L25" s="21" t="s">
        <v>52</v>
      </c>
      <c r="M25" s="10" t="s">
        <v>49</v>
      </c>
      <c r="N25" s="42" t="s">
        <v>57</v>
      </c>
      <c r="O25" s="22" t="s">
        <v>17</v>
      </c>
    </row>
    <row r="26" spans="1:15" ht="45" x14ac:dyDescent="0.2">
      <c r="A26" s="8">
        <v>21</v>
      </c>
      <c r="B26" s="37">
        <v>201958</v>
      </c>
      <c r="C26" s="28">
        <v>11243273</v>
      </c>
      <c r="D26" s="28">
        <v>1300</v>
      </c>
      <c r="E26" s="9" t="s">
        <v>40</v>
      </c>
      <c r="F26" s="9" t="s">
        <v>20</v>
      </c>
      <c r="G26" s="10">
        <v>32</v>
      </c>
      <c r="H26" s="11" t="s">
        <v>18</v>
      </c>
      <c r="I26" s="12">
        <v>1905.97</v>
      </c>
      <c r="J26" s="12">
        <f>I26*G26</f>
        <v>60991.040000000001</v>
      </c>
      <c r="K26" s="31" t="s">
        <v>47</v>
      </c>
      <c r="L26" s="21" t="s">
        <v>52</v>
      </c>
      <c r="M26" s="10" t="s">
        <v>49</v>
      </c>
      <c r="N26" s="42" t="s">
        <v>57</v>
      </c>
      <c r="O26" s="22" t="s">
        <v>17</v>
      </c>
    </row>
    <row r="27" spans="1:15" ht="45" x14ac:dyDescent="0.2">
      <c r="A27" s="8">
        <v>22</v>
      </c>
      <c r="B27" s="37">
        <v>237039</v>
      </c>
      <c r="C27" s="28">
        <v>11243553</v>
      </c>
      <c r="D27" s="28">
        <v>1300</v>
      </c>
      <c r="E27" s="9" t="s">
        <v>41</v>
      </c>
      <c r="F27" s="9" t="s">
        <v>20</v>
      </c>
      <c r="G27" s="10">
        <v>8</v>
      </c>
      <c r="H27" s="11" t="s">
        <v>18</v>
      </c>
      <c r="I27" s="12">
        <v>1821.88</v>
      </c>
      <c r="J27" s="12">
        <f>I27*G27</f>
        <v>14575.04</v>
      </c>
      <c r="K27" s="31" t="s">
        <v>47</v>
      </c>
      <c r="L27" s="21" t="s">
        <v>52</v>
      </c>
      <c r="M27" s="10" t="s">
        <v>49</v>
      </c>
      <c r="N27" s="42" t="s">
        <v>57</v>
      </c>
      <c r="O27" s="22" t="s">
        <v>17</v>
      </c>
    </row>
    <row r="28" spans="1:15" ht="45" x14ac:dyDescent="0.2">
      <c r="A28" s="8">
        <v>23</v>
      </c>
      <c r="B28" s="37">
        <v>312815</v>
      </c>
      <c r="C28" s="28">
        <v>11245177</v>
      </c>
      <c r="D28" s="28">
        <v>1300</v>
      </c>
      <c r="E28" s="9" t="s">
        <v>42</v>
      </c>
      <c r="F28" s="9" t="s">
        <v>20</v>
      </c>
      <c r="G28" s="10">
        <v>25</v>
      </c>
      <c r="H28" s="11" t="s">
        <v>18</v>
      </c>
      <c r="I28" s="12">
        <v>1463.57</v>
      </c>
      <c r="J28" s="12">
        <f>I28*G28</f>
        <v>36589.25</v>
      </c>
      <c r="K28" s="31" t="s">
        <v>47</v>
      </c>
      <c r="L28" s="21" t="s">
        <v>52</v>
      </c>
      <c r="M28" s="10" t="s">
        <v>49</v>
      </c>
      <c r="N28" s="42" t="s">
        <v>57</v>
      </c>
      <c r="O28" s="22" t="s">
        <v>17</v>
      </c>
    </row>
    <row r="29" spans="1:15" ht="45" x14ac:dyDescent="0.2">
      <c r="A29" s="8">
        <v>24</v>
      </c>
      <c r="B29" s="37">
        <v>291230</v>
      </c>
      <c r="C29" s="28">
        <v>11241037</v>
      </c>
      <c r="D29" s="28">
        <v>1600</v>
      </c>
      <c r="E29" s="9" t="s">
        <v>37</v>
      </c>
      <c r="F29" s="9" t="s">
        <v>20</v>
      </c>
      <c r="G29" s="10">
        <v>2.1</v>
      </c>
      <c r="H29" s="11" t="s">
        <v>18</v>
      </c>
      <c r="I29" s="12">
        <v>2199.4899999999998</v>
      </c>
      <c r="J29" s="12">
        <f>I29*G29</f>
        <v>4618.9290000000001</v>
      </c>
      <c r="K29" s="31" t="s">
        <v>47</v>
      </c>
      <c r="L29" s="21" t="s">
        <v>16</v>
      </c>
      <c r="M29" s="10" t="s">
        <v>49</v>
      </c>
      <c r="N29" s="42" t="s">
        <v>57</v>
      </c>
      <c r="O29" s="22" t="s">
        <v>17</v>
      </c>
    </row>
    <row r="30" spans="1:15" ht="45" x14ac:dyDescent="0.2">
      <c r="A30" s="8">
        <v>25</v>
      </c>
      <c r="B30" s="37">
        <v>291230</v>
      </c>
      <c r="C30" s="28">
        <v>11241038</v>
      </c>
      <c r="D30" s="28">
        <v>1600</v>
      </c>
      <c r="E30" s="9" t="s">
        <v>37</v>
      </c>
      <c r="F30" s="9" t="s">
        <v>20</v>
      </c>
      <c r="G30" s="10">
        <v>2.1</v>
      </c>
      <c r="H30" s="11" t="s">
        <v>18</v>
      </c>
      <c r="I30" s="12">
        <v>2199.4899999999998</v>
      </c>
      <c r="J30" s="12">
        <f>I30*G30</f>
        <v>4618.9290000000001</v>
      </c>
      <c r="K30" s="31" t="s">
        <v>47</v>
      </c>
      <c r="L30" s="21" t="s">
        <v>16</v>
      </c>
      <c r="M30" s="10" t="s">
        <v>49</v>
      </c>
      <c r="N30" s="42" t="s">
        <v>57</v>
      </c>
      <c r="O30" s="22" t="s">
        <v>17</v>
      </c>
    </row>
    <row r="31" spans="1:15" ht="45" x14ac:dyDescent="0.2">
      <c r="A31" s="8">
        <v>26</v>
      </c>
      <c r="B31" s="37">
        <v>291230</v>
      </c>
      <c r="C31" s="28">
        <v>11241039</v>
      </c>
      <c r="D31" s="28">
        <v>1600</v>
      </c>
      <c r="E31" s="9" t="s">
        <v>37</v>
      </c>
      <c r="F31" s="9" t="s">
        <v>20</v>
      </c>
      <c r="G31" s="10">
        <v>2.1</v>
      </c>
      <c r="H31" s="11" t="s">
        <v>18</v>
      </c>
      <c r="I31" s="12">
        <v>2199.4899999999998</v>
      </c>
      <c r="J31" s="12">
        <f>I31*G31</f>
        <v>4618.9290000000001</v>
      </c>
      <c r="K31" s="31" t="s">
        <v>47</v>
      </c>
      <c r="L31" s="21" t="s">
        <v>16</v>
      </c>
      <c r="M31" s="10" t="s">
        <v>49</v>
      </c>
      <c r="N31" s="42" t="s">
        <v>57</v>
      </c>
      <c r="O31" s="22" t="s">
        <v>17</v>
      </c>
    </row>
    <row r="32" spans="1:15" ht="45" x14ac:dyDescent="0.2">
      <c r="A32" s="8">
        <v>27</v>
      </c>
      <c r="B32" s="37">
        <v>291230</v>
      </c>
      <c r="C32" s="28">
        <v>11241040</v>
      </c>
      <c r="D32" s="28">
        <v>1600</v>
      </c>
      <c r="E32" s="9" t="s">
        <v>37</v>
      </c>
      <c r="F32" s="9" t="s">
        <v>20</v>
      </c>
      <c r="G32" s="10">
        <v>2.1</v>
      </c>
      <c r="H32" s="11" t="s">
        <v>18</v>
      </c>
      <c r="I32" s="12">
        <v>2199.4899999999998</v>
      </c>
      <c r="J32" s="12">
        <f>I32*G32</f>
        <v>4618.9290000000001</v>
      </c>
      <c r="K32" s="31" t="s">
        <v>47</v>
      </c>
      <c r="L32" s="21" t="s">
        <v>16</v>
      </c>
      <c r="M32" s="10" t="s">
        <v>49</v>
      </c>
      <c r="N32" s="42" t="s">
        <v>57</v>
      </c>
      <c r="O32" s="22" t="s">
        <v>17</v>
      </c>
    </row>
    <row r="33" spans="1:15" ht="45" x14ac:dyDescent="0.2">
      <c r="A33" s="8">
        <v>28</v>
      </c>
      <c r="B33" s="37">
        <v>44673</v>
      </c>
      <c r="C33" s="28">
        <v>11388764</v>
      </c>
      <c r="D33" s="28">
        <v>1600</v>
      </c>
      <c r="E33" s="9" t="s">
        <v>46</v>
      </c>
      <c r="F33" s="9" t="s">
        <v>20</v>
      </c>
      <c r="G33" s="10">
        <v>24</v>
      </c>
      <c r="H33" s="11" t="s">
        <v>18</v>
      </c>
      <c r="I33" s="12">
        <v>590.16</v>
      </c>
      <c r="J33" s="12">
        <f>I33*G33</f>
        <v>14163.84</v>
      </c>
      <c r="K33" s="31" t="s">
        <v>47</v>
      </c>
      <c r="L33" s="21" t="s">
        <v>16</v>
      </c>
      <c r="M33" s="10" t="s">
        <v>49</v>
      </c>
      <c r="N33" s="42" t="s">
        <v>57</v>
      </c>
      <c r="O33" s="22" t="s">
        <v>17</v>
      </c>
    </row>
    <row r="34" spans="1:15" ht="45" x14ac:dyDescent="0.2">
      <c r="A34" s="8">
        <v>29</v>
      </c>
      <c r="B34" s="37">
        <v>92041</v>
      </c>
      <c r="C34" s="28">
        <v>11185396</v>
      </c>
      <c r="D34" s="28">
        <v>2200</v>
      </c>
      <c r="E34" s="9" t="s">
        <v>24</v>
      </c>
      <c r="F34" s="9" t="s">
        <v>20</v>
      </c>
      <c r="G34" s="10">
        <v>80</v>
      </c>
      <c r="H34" s="11" t="s">
        <v>18</v>
      </c>
      <c r="I34" s="12">
        <v>729.25</v>
      </c>
      <c r="J34" s="12">
        <f>I34*G34</f>
        <v>58340</v>
      </c>
      <c r="K34" s="31" t="s">
        <v>47</v>
      </c>
      <c r="L34" s="21" t="s">
        <v>53</v>
      </c>
      <c r="M34" s="10" t="s">
        <v>49</v>
      </c>
      <c r="N34" s="42" t="s">
        <v>57</v>
      </c>
      <c r="O34" s="22" t="s">
        <v>17</v>
      </c>
    </row>
    <row r="35" spans="1:15" ht="45" x14ac:dyDescent="0.2">
      <c r="A35" s="8">
        <v>30</v>
      </c>
      <c r="B35" s="37">
        <v>174909</v>
      </c>
      <c r="C35" s="28">
        <v>11185590</v>
      </c>
      <c r="D35" s="28">
        <v>2200</v>
      </c>
      <c r="E35" s="9" t="s">
        <v>25</v>
      </c>
      <c r="F35" s="9" t="s">
        <v>20</v>
      </c>
      <c r="G35" s="10">
        <v>152</v>
      </c>
      <c r="H35" s="11" t="s">
        <v>18</v>
      </c>
      <c r="I35" s="12">
        <v>1193.51</v>
      </c>
      <c r="J35" s="12">
        <f>I35*G35</f>
        <v>181413.52</v>
      </c>
      <c r="K35" s="31" t="s">
        <v>47</v>
      </c>
      <c r="L35" s="21" t="s">
        <v>53</v>
      </c>
      <c r="M35" s="10" t="s">
        <v>49</v>
      </c>
      <c r="N35" s="42" t="s">
        <v>57</v>
      </c>
      <c r="O35" s="22" t="s">
        <v>17</v>
      </c>
    </row>
    <row r="36" spans="1:15" ht="45" x14ac:dyDescent="0.2">
      <c r="A36" s="8">
        <v>31</v>
      </c>
      <c r="B36" s="37">
        <v>48668</v>
      </c>
      <c r="C36" s="28">
        <v>11230612</v>
      </c>
      <c r="D36" s="28">
        <v>2200</v>
      </c>
      <c r="E36" s="9" t="s">
        <v>30</v>
      </c>
      <c r="F36" s="9" t="s">
        <v>20</v>
      </c>
      <c r="G36" s="10">
        <v>16</v>
      </c>
      <c r="H36" s="11" t="s">
        <v>18</v>
      </c>
      <c r="I36" s="12">
        <v>4341.09</v>
      </c>
      <c r="J36" s="12">
        <f>I36*G36</f>
        <v>69457.440000000002</v>
      </c>
      <c r="K36" s="31" t="s">
        <v>47</v>
      </c>
      <c r="L36" s="21" t="s">
        <v>53</v>
      </c>
      <c r="M36" s="10" t="s">
        <v>49</v>
      </c>
      <c r="N36" s="42" t="s">
        <v>57</v>
      </c>
      <c r="O36" s="22" t="s">
        <v>17</v>
      </c>
    </row>
    <row r="37" spans="1:15" ht="45" x14ac:dyDescent="0.2">
      <c r="A37" s="8">
        <v>32</v>
      </c>
      <c r="B37" s="37">
        <v>82740</v>
      </c>
      <c r="C37" s="28">
        <v>11230806</v>
      </c>
      <c r="D37" s="28">
        <v>2200</v>
      </c>
      <c r="E37" s="9" t="s">
        <v>26</v>
      </c>
      <c r="F37" s="9" t="s">
        <v>20</v>
      </c>
      <c r="G37" s="10">
        <v>56</v>
      </c>
      <c r="H37" s="11" t="s">
        <v>18</v>
      </c>
      <c r="I37" s="12">
        <v>857.27</v>
      </c>
      <c r="J37" s="12">
        <f>I37*G37</f>
        <v>48007.119999999995</v>
      </c>
      <c r="K37" s="31" t="s">
        <v>47</v>
      </c>
      <c r="L37" s="21" t="s">
        <v>53</v>
      </c>
      <c r="M37" s="10" t="s">
        <v>49</v>
      </c>
      <c r="N37" s="42" t="s">
        <v>57</v>
      </c>
      <c r="O37" s="22" t="s">
        <v>17</v>
      </c>
    </row>
    <row r="38" spans="1:15" ht="45" x14ac:dyDescent="0.2">
      <c r="A38" s="8">
        <v>33</v>
      </c>
      <c r="B38" s="37">
        <v>192431</v>
      </c>
      <c r="C38" s="28">
        <v>11231211</v>
      </c>
      <c r="D38" s="28">
        <v>2200</v>
      </c>
      <c r="E38" s="9" t="s">
        <v>31</v>
      </c>
      <c r="F38" s="9" t="s">
        <v>20</v>
      </c>
      <c r="G38" s="10">
        <v>40</v>
      </c>
      <c r="H38" s="11" t="s">
        <v>18</v>
      </c>
      <c r="I38" s="12">
        <v>649.37</v>
      </c>
      <c r="J38" s="12">
        <f>I38*G38</f>
        <v>25974.799999999999</v>
      </c>
      <c r="K38" s="31" t="s">
        <v>47</v>
      </c>
      <c r="L38" s="21" t="s">
        <v>53</v>
      </c>
      <c r="M38" s="10" t="s">
        <v>49</v>
      </c>
      <c r="N38" s="42" t="s">
        <v>57</v>
      </c>
      <c r="O38" s="22" t="s">
        <v>17</v>
      </c>
    </row>
    <row r="39" spans="1:15" ht="45" x14ac:dyDescent="0.2">
      <c r="A39" s="8">
        <v>34</v>
      </c>
      <c r="B39" s="37">
        <v>201961</v>
      </c>
      <c r="C39" s="28">
        <v>11231244</v>
      </c>
      <c r="D39" s="28">
        <v>2200</v>
      </c>
      <c r="E39" s="9" t="s">
        <v>23</v>
      </c>
      <c r="F39" s="9" t="s">
        <v>20</v>
      </c>
      <c r="G39" s="10">
        <v>56</v>
      </c>
      <c r="H39" s="11" t="s">
        <v>18</v>
      </c>
      <c r="I39" s="12">
        <v>1081.8</v>
      </c>
      <c r="J39" s="12">
        <f>I39*G39</f>
        <v>60580.799999999996</v>
      </c>
      <c r="K39" s="31" t="s">
        <v>47</v>
      </c>
      <c r="L39" s="21" t="s">
        <v>53</v>
      </c>
      <c r="M39" s="10" t="s">
        <v>49</v>
      </c>
      <c r="N39" s="42" t="s">
        <v>57</v>
      </c>
      <c r="O39" s="22" t="s">
        <v>17</v>
      </c>
    </row>
    <row r="40" spans="1:15" ht="45" x14ac:dyDescent="0.2">
      <c r="A40" s="8">
        <v>35</v>
      </c>
      <c r="B40" s="37">
        <v>191908</v>
      </c>
      <c r="C40" s="28">
        <v>11231288</v>
      </c>
      <c r="D40" s="28">
        <v>2200</v>
      </c>
      <c r="E40" s="9" t="s">
        <v>32</v>
      </c>
      <c r="F40" s="9" t="s">
        <v>20</v>
      </c>
      <c r="G40" s="10">
        <v>16</v>
      </c>
      <c r="H40" s="11" t="s">
        <v>18</v>
      </c>
      <c r="I40" s="12">
        <v>3404.88</v>
      </c>
      <c r="J40" s="12">
        <f>I40*G40</f>
        <v>54478.080000000002</v>
      </c>
      <c r="K40" s="31" t="s">
        <v>47</v>
      </c>
      <c r="L40" s="21" t="s">
        <v>53</v>
      </c>
      <c r="M40" s="10" t="s">
        <v>49</v>
      </c>
      <c r="N40" s="42" t="s">
        <v>57</v>
      </c>
      <c r="O40" s="22" t="s">
        <v>17</v>
      </c>
    </row>
    <row r="41" spans="1:15" ht="45" x14ac:dyDescent="0.2">
      <c r="A41" s="8">
        <v>36</v>
      </c>
      <c r="B41" s="37">
        <v>48668</v>
      </c>
      <c r="C41" s="28">
        <v>11365049</v>
      </c>
      <c r="D41" s="28">
        <v>2200</v>
      </c>
      <c r="E41" s="9" t="s">
        <v>30</v>
      </c>
      <c r="F41" s="9" t="s">
        <v>20</v>
      </c>
      <c r="G41" s="10">
        <v>24</v>
      </c>
      <c r="H41" s="11" t="s">
        <v>18</v>
      </c>
      <c r="I41" s="12">
        <v>3237.47</v>
      </c>
      <c r="J41" s="12">
        <f>I41*G41</f>
        <v>77699.28</v>
      </c>
      <c r="K41" s="31" t="s">
        <v>47</v>
      </c>
      <c r="L41" s="21" t="s">
        <v>53</v>
      </c>
      <c r="M41" s="10" t="s">
        <v>49</v>
      </c>
      <c r="N41" s="42" t="s">
        <v>57</v>
      </c>
      <c r="O41" s="22" t="s">
        <v>17</v>
      </c>
    </row>
    <row r="42" spans="1:15" ht="45" x14ac:dyDescent="0.2">
      <c r="A42" s="8">
        <v>37</v>
      </c>
      <c r="B42" s="37">
        <v>91728</v>
      </c>
      <c r="C42" s="28">
        <v>11365336</v>
      </c>
      <c r="D42" s="28">
        <v>2200</v>
      </c>
      <c r="E42" s="9" t="s">
        <v>44</v>
      </c>
      <c r="F42" s="9" t="s">
        <v>20</v>
      </c>
      <c r="G42" s="10">
        <v>40</v>
      </c>
      <c r="H42" s="11" t="s">
        <v>18</v>
      </c>
      <c r="I42" s="12">
        <v>1922.95</v>
      </c>
      <c r="J42" s="12">
        <f>I42*G42</f>
        <v>76918</v>
      </c>
      <c r="K42" s="31" t="s">
        <v>47</v>
      </c>
      <c r="L42" s="21" t="s">
        <v>53</v>
      </c>
      <c r="M42" s="10" t="s">
        <v>49</v>
      </c>
      <c r="N42" s="42" t="s">
        <v>57</v>
      </c>
      <c r="O42" s="22" t="s">
        <v>17</v>
      </c>
    </row>
    <row r="43" spans="1:15" ht="45" x14ac:dyDescent="0.2">
      <c r="A43" s="8">
        <v>38</v>
      </c>
      <c r="B43" s="37">
        <v>191908</v>
      </c>
      <c r="C43" s="28">
        <v>11365776</v>
      </c>
      <c r="D43" s="28">
        <v>2200</v>
      </c>
      <c r="E43" s="9" t="s">
        <v>32</v>
      </c>
      <c r="F43" s="9" t="s">
        <v>20</v>
      </c>
      <c r="G43" s="10">
        <v>8</v>
      </c>
      <c r="H43" s="11" t="s">
        <v>18</v>
      </c>
      <c r="I43" s="12">
        <v>1534.8</v>
      </c>
      <c r="J43" s="12">
        <f>I43*G43</f>
        <v>12278.4</v>
      </c>
      <c r="K43" s="31" t="s">
        <v>47</v>
      </c>
      <c r="L43" s="21" t="s">
        <v>53</v>
      </c>
      <c r="M43" s="10" t="s">
        <v>49</v>
      </c>
      <c r="N43" s="42" t="s">
        <v>57</v>
      </c>
      <c r="O43" s="22" t="s">
        <v>17</v>
      </c>
    </row>
    <row r="44" spans="1:15" ht="45" x14ac:dyDescent="0.2">
      <c r="A44" s="8">
        <v>39</v>
      </c>
      <c r="B44" s="37">
        <v>217392</v>
      </c>
      <c r="C44" s="28">
        <v>11365942</v>
      </c>
      <c r="D44" s="28">
        <v>2200</v>
      </c>
      <c r="E44" s="9" t="s">
        <v>45</v>
      </c>
      <c r="F44" s="9" t="s">
        <v>20</v>
      </c>
      <c r="G44" s="10">
        <v>56</v>
      </c>
      <c r="H44" s="11" t="s">
        <v>18</v>
      </c>
      <c r="I44" s="12">
        <v>1905.97</v>
      </c>
      <c r="J44" s="12">
        <f>I44*G44</f>
        <v>106734.32</v>
      </c>
      <c r="K44" s="31" t="s">
        <v>47</v>
      </c>
      <c r="L44" s="21" t="s">
        <v>53</v>
      </c>
      <c r="M44" s="10" t="s">
        <v>49</v>
      </c>
      <c r="N44" s="42" t="s">
        <v>57</v>
      </c>
      <c r="O44" s="22" t="s">
        <v>17</v>
      </c>
    </row>
    <row r="45" spans="1:15" ht="45" x14ac:dyDescent="0.2">
      <c r="A45" s="8">
        <v>40</v>
      </c>
      <c r="B45" s="37">
        <v>237039</v>
      </c>
      <c r="C45" s="28">
        <v>11366005</v>
      </c>
      <c r="D45" s="28">
        <v>2200</v>
      </c>
      <c r="E45" s="9" t="s">
        <v>41</v>
      </c>
      <c r="F45" s="9" t="s">
        <v>20</v>
      </c>
      <c r="G45" s="10">
        <v>8</v>
      </c>
      <c r="H45" s="11" t="s">
        <v>18</v>
      </c>
      <c r="I45" s="12">
        <v>601.89</v>
      </c>
      <c r="J45" s="12">
        <f>I45*G45</f>
        <v>4815.12</v>
      </c>
      <c r="K45" s="31" t="s">
        <v>47</v>
      </c>
      <c r="L45" s="21" t="s">
        <v>53</v>
      </c>
      <c r="M45" s="10" t="s">
        <v>49</v>
      </c>
      <c r="N45" s="42" t="s">
        <v>57</v>
      </c>
      <c r="O45" s="22" t="s">
        <v>17</v>
      </c>
    </row>
    <row r="46" spans="1:15" ht="60" x14ac:dyDescent="0.2">
      <c r="A46" s="8">
        <v>41</v>
      </c>
      <c r="B46" s="37">
        <v>82740</v>
      </c>
      <c r="C46" s="28">
        <v>11188433</v>
      </c>
      <c r="D46" s="28">
        <v>2600</v>
      </c>
      <c r="E46" s="9" t="s">
        <v>26</v>
      </c>
      <c r="F46" s="9" t="s">
        <v>20</v>
      </c>
      <c r="G46" s="10">
        <v>56</v>
      </c>
      <c r="H46" s="11" t="s">
        <v>18</v>
      </c>
      <c r="I46" s="12">
        <v>857.27</v>
      </c>
      <c r="J46" s="12">
        <f>I46*G46</f>
        <v>48007.119999999995</v>
      </c>
      <c r="K46" s="31" t="s">
        <v>47</v>
      </c>
      <c r="L46" s="21" t="s">
        <v>54</v>
      </c>
      <c r="M46" s="10" t="s">
        <v>49</v>
      </c>
      <c r="N46" s="42" t="s">
        <v>57</v>
      </c>
      <c r="O46" s="22" t="s">
        <v>17</v>
      </c>
    </row>
    <row r="47" spans="1:15" ht="60.75" thickBot="1" x14ac:dyDescent="0.25">
      <c r="A47" s="13">
        <v>42</v>
      </c>
      <c r="B47" s="38">
        <v>303396</v>
      </c>
      <c r="C47" s="44">
        <v>11190920</v>
      </c>
      <c r="D47" s="29">
        <v>2600</v>
      </c>
      <c r="E47" s="14" t="s">
        <v>27</v>
      </c>
      <c r="F47" s="14" t="s">
        <v>20</v>
      </c>
      <c r="G47" s="15">
        <v>50</v>
      </c>
      <c r="H47" s="16" t="s">
        <v>18</v>
      </c>
      <c r="I47" s="17">
        <v>2604.66</v>
      </c>
      <c r="J47" s="17">
        <f>I47*G47</f>
        <v>130233</v>
      </c>
      <c r="K47" s="32" t="s">
        <v>47</v>
      </c>
      <c r="L47" s="33" t="s">
        <v>54</v>
      </c>
      <c r="M47" s="15" t="s">
        <v>49</v>
      </c>
      <c r="N47" s="43" t="s">
        <v>57</v>
      </c>
      <c r="O47" s="23" t="s">
        <v>17</v>
      </c>
    </row>
    <row r="48" spans="1:15" ht="16.5" thickBot="1" x14ac:dyDescent="0.3">
      <c r="I48" s="34" t="s">
        <v>10</v>
      </c>
      <c r="J48" s="18">
        <f>SUM(J6:J47)</f>
        <v>2495555.9672999997</v>
      </c>
    </row>
    <row r="49" spans="11:14" x14ac:dyDescent="0.2">
      <c r="K49" s="35" t="s">
        <v>11</v>
      </c>
      <c r="L49" s="35"/>
      <c r="M49" s="35"/>
      <c r="N49" s="35"/>
    </row>
  </sheetData>
  <autoFilter ref="A5:O49">
    <sortState ref="A6:O49">
      <sortCondition ref="D5:D49"/>
    </sortState>
  </autoFilter>
  <mergeCells count="3">
    <mergeCell ref="A2:O2"/>
    <mergeCell ref="A3:O3"/>
    <mergeCell ref="I4:J4"/>
  </mergeCells>
  <phoneticPr fontId="3" type="noConversion"/>
  <pageMargins left="0.78740157480314965" right="0.39370078740157483" top="0.39370078740157483" bottom="0.39370078740157483" header="0.31496062992125984" footer="0.31496062992125984"/>
  <pageSetup paperSize="9" scale="1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на закупку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Vilkov Ivan</dc:creator>
  <cp:lastModifiedBy>Apokin Ivan Viktorovich</cp:lastModifiedBy>
  <cp:lastPrinted>2020-10-14T03:50:57Z</cp:lastPrinted>
  <dcterms:created xsi:type="dcterms:W3CDTF">2019-09-20T08:39:50Z</dcterms:created>
  <dcterms:modified xsi:type="dcterms:W3CDTF">2026-09-04T06:07:19Z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c3b1a5-3e25-4525-b923-a0572e679d8b_Enabled">
    <vt:lpwstr>True</vt:lpwstr>
  </property>
  <property fmtid="{D5CDD505-2E9C-101B-9397-08002B2CF9AE}" pid="3" name="MSIP_Label_65c3b1a5-3e25-4525-b923-a0572e679d8b_SiteId">
    <vt:lpwstr>62a9c2c8-8b09-43be-a7fb-9a87875714a9</vt:lpwstr>
  </property>
  <property fmtid="{D5CDD505-2E9C-101B-9397-08002B2CF9AE}" pid="4" name="MSIP_Label_65c3b1a5-3e25-4525-b923-a0572e679d8b_Owner">
    <vt:lpwstr>yulia.tyutyunik@fortum.com</vt:lpwstr>
  </property>
  <property fmtid="{D5CDD505-2E9C-101B-9397-08002B2CF9AE}" pid="5" name="MSIP_Label_65c3b1a5-3e25-4525-b923-a0572e679d8b_SetDate">
    <vt:lpwstr>2020-10-13T09:07:25.7845766Z</vt:lpwstr>
  </property>
  <property fmtid="{D5CDD505-2E9C-101B-9397-08002B2CF9AE}" pid="6" name="MSIP_Label_65c3b1a5-3e25-4525-b923-a0572e679d8b_Name">
    <vt:lpwstr>Internal</vt:lpwstr>
  </property>
  <property fmtid="{D5CDD505-2E9C-101B-9397-08002B2CF9AE}" pid="7" name="MSIP_Label_65c3b1a5-3e25-4525-b923-a0572e679d8b_Application">
    <vt:lpwstr>Microsoft Azure Information Protection</vt:lpwstr>
  </property>
  <property fmtid="{D5CDD505-2E9C-101B-9397-08002B2CF9AE}" pid="8" name="MSIP_Label_65c3b1a5-3e25-4525-b923-a0572e679d8b_ActionId">
    <vt:lpwstr>539a43c5-15b3-41b0-8d8b-9d30fe4b5bdf</vt:lpwstr>
  </property>
  <property fmtid="{D5CDD505-2E9C-101B-9397-08002B2CF9AE}" pid="9" name="MSIP_Label_65c3b1a5-3e25-4525-b923-a0572e679d8b_Extended_MSFT_Method">
    <vt:lpwstr>Automatic</vt:lpwstr>
  </property>
  <property fmtid="{D5CDD505-2E9C-101B-9397-08002B2CF9AE}" pid="10" name="MSIP_Label_f45044c0-b6aa-4b2b-834d-65c9ef8bb134_Enabled">
    <vt:lpwstr>True</vt:lpwstr>
  </property>
  <property fmtid="{D5CDD505-2E9C-101B-9397-08002B2CF9AE}" pid="11" name="MSIP_Label_f45044c0-b6aa-4b2b-834d-65c9ef8bb134_SiteId">
    <vt:lpwstr>62a9c2c8-8b09-43be-a7fb-9a87875714a9</vt:lpwstr>
  </property>
  <property fmtid="{D5CDD505-2E9C-101B-9397-08002B2CF9AE}" pid="12" name="MSIP_Label_f45044c0-b6aa-4b2b-834d-65c9ef8bb134_Owner">
    <vt:lpwstr>yulia.tyutyunik@fortum.com</vt:lpwstr>
  </property>
  <property fmtid="{D5CDD505-2E9C-101B-9397-08002B2CF9AE}" pid="13" name="MSIP_Label_f45044c0-b6aa-4b2b-834d-65c9ef8bb134_SetDate">
    <vt:lpwstr>2020-10-13T09:07:25.7845766Z</vt:lpwstr>
  </property>
  <property fmtid="{D5CDD505-2E9C-101B-9397-08002B2CF9AE}" pid="14" name="MSIP_Label_f45044c0-b6aa-4b2b-834d-65c9ef8bb134_Name">
    <vt:lpwstr>Hide Visual Label</vt:lpwstr>
  </property>
  <property fmtid="{D5CDD505-2E9C-101B-9397-08002B2CF9AE}" pid="15" name="MSIP_Label_f45044c0-b6aa-4b2b-834d-65c9ef8bb134_Application">
    <vt:lpwstr>Microsoft Azure Information Protection</vt:lpwstr>
  </property>
  <property fmtid="{D5CDD505-2E9C-101B-9397-08002B2CF9AE}" pid="16" name="MSIP_Label_f45044c0-b6aa-4b2b-834d-65c9ef8bb134_ActionId">
    <vt:lpwstr>539a43c5-15b3-41b0-8d8b-9d30fe4b5bdf</vt:lpwstr>
  </property>
  <property fmtid="{D5CDD505-2E9C-101B-9397-08002B2CF9AE}" pid="17" name="MSIP_Label_f45044c0-b6aa-4b2b-834d-65c9ef8bb134_Parent">
    <vt:lpwstr>65c3b1a5-3e25-4525-b923-a0572e679d8b</vt:lpwstr>
  </property>
  <property fmtid="{D5CDD505-2E9C-101B-9397-08002B2CF9AE}" pid="18" name="MSIP_Label_f45044c0-b6aa-4b2b-834d-65c9ef8bb134_Extended_MSFT_Method">
    <vt:lpwstr>Automatic</vt:lpwstr>
  </property>
  <property fmtid="{D5CDD505-2E9C-101B-9397-08002B2CF9AE}" pid="19" name="Sensitivity">
    <vt:lpwstr>Internal Hide Visual Label</vt:lpwstr>
  </property>
  <property fmtid="{D5CDD505-2E9C-101B-9397-08002B2CF9AE}" pid="20" name="_NewReviewCycle">
    <vt:lpwstr/>
  </property>
</Properties>
</file>