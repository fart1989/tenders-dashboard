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2"/>
  </bookViews>
  <sheets>
    <sheet name="Спецификация" sheetId="1" state="visible" r:id="rId1"/>
    <sheet name="График поставки" sheetId="2" state="visible" r:id="rId2"/>
    <sheet name="Форма  (подписать не заполняя)" sheetId="3" state="visible" r:id="rId3"/>
  </sheets>
  <definedNames>
    <definedName name="_xlnm._FilterDatabase" localSheetId="0" hidden="1">Спецификация!$A$8:$BE$9</definedName>
    <definedName name="Print_Titles" localSheetId="0">Спецификация!$A$7:$XFD$8</definedName>
    <definedName name="_xlnm.Print_Area" localSheetId="0">Спецификация!$A$1:$L$19</definedName>
    <definedName name="_xlnm._FilterDatabase" localSheetId="1" hidden="1">'График поставки'!$A$8:$R$8</definedName>
    <definedName name="_xlnm.Print_Area" localSheetId="1" hidden="0">'График поставки'!$A$1:$T$16</definedName>
    <definedName name="_xlnm.Print_Area" localSheetId="2" hidden="0">'Форма  (подписать не заполняя)'!$A$1:$P$22</definedName>
    <definedName name="_xlfn.SUMIFS" hidden="1">#NAME?</definedName>
  </definedNames>
  <calcPr/>
</workbook>
</file>

<file path=xl/sharedStrings.xml><?xml version="1.0" encoding="utf-8"?>
<sst xmlns="http://schemas.openxmlformats.org/spreadsheetml/2006/main" count="76" uniqueCount="76">
  <si>
    <t xml:space="preserve">Приложение № 1
к Договору поставки №</t>
  </si>
  <si>
    <t xml:space="preserve">СПЕЦИФИКАЦИЯ </t>
  </si>
  <si>
    <t xml:space="preserve">Объект:  Филиал "Пермская ГРЭС" АО "Интер РАО-Электрогенерация"</t>
  </si>
  <si>
    <t xml:space="preserve">Грузополучатель: Филиал "Пермская ГРЭС" АО "Интер РАО-Электрогенерация", Адрес: РФ, 618740,Пермский край, м.о.Добрянский, г.Добрянка, Пермская ГРЭС КПП грузополучателя 591443001</t>
  </si>
  <si>
    <t xml:space="preserve">Поз. №</t>
  </si>
  <si>
    <t xml:space="preserve">Код позиции</t>
  </si>
  <si>
    <t xml:space="preserve">Наименование Товара Покупателя</t>
  </si>
  <si>
    <t xml:space="preserve">ед. изм.</t>
  </si>
  <si>
    <t xml:space="preserve">Кол-во, всего</t>
  </si>
  <si>
    <t xml:space="preserve">Цена Товара  за ед. без НДС (руб.)</t>
  </si>
  <si>
    <t xml:space="preserve">Сумма Товара без НДС (руб.)</t>
  </si>
  <si>
    <t>НДС</t>
  </si>
  <si>
    <t xml:space="preserve">Сумма Товара  с НДС (руб.)</t>
  </si>
  <si>
    <t xml:space="preserve">Наименование производителя</t>
  </si>
  <si>
    <t>Примечание</t>
  </si>
  <si>
    <t xml:space="preserve">Ставка %</t>
  </si>
  <si>
    <t xml:space="preserve">Сумма НДС</t>
  </si>
  <si>
    <t>…</t>
  </si>
  <si>
    <t xml:space="preserve">Сумма  без  НДС :</t>
  </si>
  <si>
    <t xml:space="preserve">НДС 22%:</t>
  </si>
  <si>
    <t xml:space="preserve">Итого с НДС:</t>
  </si>
  <si>
    <t xml:space="preserve">Условия поставки:</t>
  </si>
  <si>
    <t xml:space="preserve">В Стоимость Товара включены все расходы по поставке Товара.</t>
  </si>
  <si>
    <r>
      <t xml:space="preserve">Поставщик:  
</t>
    </r>
    <r>
      <rPr>
        <sz val="12"/>
        <rFont val="Times New Roman"/>
      </rPr>
      <t xml:space="preserve">
__________________ 
«____» _________________  г
М.П.</t>
    </r>
  </si>
  <si>
    <r>
      <t>Покупатель:</t>
    </r>
    <r>
      <rPr>
        <sz val="12"/>
        <rFont val="Times New Roman"/>
      </rPr>
      <t xml:space="preserve">
Директор Филиала «Пермская ГРЭС»
АО «Интер РАО –Электрогенерация»
___________________С.А. Митин
«____» _________________  г
М.П.</t>
    </r>
  </si>
  <si>
    <t xml:space="preserve"> </t>
  </si>
  <si>
    <t xml:space="preserve">Приложение № 2
к Договору поставки № </t>
  </si>
  <si>
    <t xml:space="preserve">ГРАФИК ПОСТАВКИ</t>
  </si>
  <si>
    <t xml:space="preserve">Место поставки: Склад Покупателя на Объекте филиал "Пермская ГРЭС" АО "Интер РАО - Электрогенерация" 
по адресу: РФ, 618740, Пермский край, м.о. Добрянский, г. Добрянка, Пермская ГРЭС </t>
  </si>
  <si>
    <t xml:space="preserve">№ п/п</t>
  </si>
  <si>
    <t xml:space="preserve">Наименование Товара, запчастей, этапов поставки, партий</t>
  </si>
  <si>
    <t xml:space="preserve">Ед. Изм.</t>
  </si>
  <si>
    <t xml:space="preserve">Кол-во (итого за год)</t>
  </si>
  <si>
    <t xml:space="preserve">Стоимость Товара руб.), 
без  НДС </t>
  </si>
  <si>
    <t xml:space="preserve">Стоимость Товара (руб),  с НДС </t>
  </si>
  <si>
    <t xml:space="preserve">Сроки поставки в 2026 году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</si>
  <si>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</si>
  <si>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</si>
  <si>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</si>
  <si>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</si>
  <si>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</si>
  <si>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</si>
  <si>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</si>
  <si>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</si>
  <si>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</si>
  <si>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</si>
  <si>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</si>
  <si>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</si>
  <si>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</si>
  <si>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 xml:space="preserve">Поставка и передача Товара осуществляется: на  Складе  Покупателя по адресу: РФ, 618740, Пермский край, м.о. Добрянский, г. Добрянка, Пермская ГРЭС </t>
  </si>
  <si>
    <r>
      <t xml:space="preserve">Поставщик:  
</t>
    </r>
    <r>
      <rPr>
        <sz val="12"/>
        <rFont val="Times New Roman"/>
      </rPr>
      <t xml:space="preserve">
__________________ 
«____» _____________  г
М.П.</t>
    </r>
  </si>
  <si>
    <r>
      <t xml:space="preserve">Покупатель:
</t>
    </r>
    <r>
      <rPr>
        <sz val="12"/>
        <rFont val="Times New Roman"/>
      </rPr>
      <t xml:space="preserve">Директор Филиала «Пермская ГРЭС»
АО «Интер РАО –Электрогенерация»
___________________С.А. Митин
«____» _____________  г
М.П.</t>
    </r>
  </si>
  <si>
    <t xml:space="preserve">Приложение №3
к Договору поставки № </t>
  </si>
  <si>
    <t xml:space="preserve">Справка о цепочке собственников компании</t>
  </si>
  <si>
    <t xml:space="preserve">Наименование контрагента (ИНН, вид деятельности)</t>
  </si>
  <si>
    <t xml:space="preserve">Информация о цепочке собственников, включая бенефициаров(в том числе конечных)</t>
  </si>
  <si>
    <t>ИНН</t>
  </si>
  <si>
    <t>ОГРН</t>
  </si>
  <si>
    <t xml:space="preserve">Наименование краткое</t>
  </si>
  <si>
    <t xml:space="preserve">Код ОКВЭД</t>
  </si>
  <si>
    <t xml:space="preserve">Фамилия, Имя, Отчество руководителя</t>
  </si>
  <si>
    <t xml:space="preserve">Серия и номер документа удостоверяющего личность руководителя</t>
  </si>
  <si>
    <t>№</t>
  </si>
  <si>
    <t xml:space="preserve">Наименование / ФИО</t>
  </si>
  <si>
    <t xml:space="preserve">Адрес регистрации</t>
  </si>
  <si>
    <t xml:space="preserve">Серия и номер документа удостоверяющего личность руководителя (для физических лиц)</t>
  </si>
  <si>
    <t xml:space="preserve">Руководитель/участник/          бенефициар</t>
  </si>
  <si>
    <t xml:space="preserve">Информация о подтвержда-ющих документов (наи-менование, номера и т.д.)</t>
  </si>
  <si>
    <t>Примечание:</t>
  </si>
  <si>
    <t xml:space="preserve">1. </t>
  </si>
  <si>
    <t xml:space="preserve">Поставщик гарантирует Покупателю, что сведения и документы в отношении всей цепочки собственников и руководителей, включая бенефициаров (в том числе конечных), передаваемые Покупателю являются полными, точными и достоверными.</t>
  </si>
  <si>
    <t xml:space="preserve">2. </t>
  </si>
  <si>
    <t xml:space="preserve">Поставщик настоящим выдает согласие и подтверждает получение им всех требуемых в соответствии с действующим законодательством РФ (в том числе о коммерческой тайне и о персональных данных) согласий всех упомянутых в сведениях, заинтересованных или причастных к сведениям лиц на обработку, а также на раскрытие Покупателем полностью или частично предоставленных сведений компетентным органам государственной власти (в том числе, но не ограничиваясь, Федеральной налоговой службе РФ, Минэнерго России, Росфинмониторингу, Правительству РФ) и последующую обработку сведений такими органами (далее - Раскрытие). Поставщик настоящим освобождает Покупателя от любой ответственности в связи с Раскрытием, в том числе возмещает Покупателю убытки, понесенные в связи с предъявлением Покупателю претензий, исков и требований любыми третьими лицами, чьи права были или могли быть нарушены таким Раскрытием.
</t>
  </si>
  <si>
    <t xml:space="preserve">   ФОРМУ УТВЕРЖДАЕМ:</t>
  </si>
  <si>
    <r>
      <t xml:space="preserve">Поставщик:  
</t>
    </r>
    <r>
      <rPr>
        <sz val="12"/>
        <rFont val="Times New Roman"/>
      </rPr>
      <t xml:space="preserve">
__________________ 
«____» _______________  г
М.П.</t>
    </r>
  </si>
  <si>
    <r>
      <t xml:space="preserve">Покупатель:
</t>
    </r>
    <r>
      <rPr>
        <sz val="12"/>
        <rFont val="Times New Roman"/>
      </rPr>
      <t xml:space="preserve">Директор Филиала «Пермская ГРЭС»
АО «Интер РАО –Электрогенерация»
___________________С.А. Митин
«____» _______________  г
М.П.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</si>
</sst>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0" formatCode="_-* #,##0.00&quot;р.&quot;_-;\-* #,##0.00&quot;р.&quot;_-;_-* &quot;-&quot;??&quot;р.&quot;_-;_-@_-"/>
    <numFmt numFmtId="161" formatCode="_-* #,##0&quot;р.&quot;_-;\-* #,##0&quot;р.&quot;_-;_-* &quot;-&quot;&quot;р.&quot;_-;_-@_-"/>
    <numFmt numFmtId="162" formatCode="_-* #,##0.00_р_._-;\-* #,##0.00_р_._-;_-* &quot;-&quot;??_р_._-;_-@_-"/>
    <numFmt numFmtId="163" formatCode="_-* #,##0_р_._-;\-* #,##0_р_._-;_-* &quot;-&quot;_р_._-;_-@_-"/>
    <numFmt numFmtId="164" formatCode="#,##0.000"/>
    <numFmt numFmtId="165" formatCode="#,##0.00_ ;\-#,##0.00\ "/>
  </numFmts>
  <fonts count="25">
    <font>
      <sz val="10.000000"/>
      <color theme="1"/>
      <name val="Arial Cy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u/>
      <sz val="10.000000"/>
      <color theme="10" tint="0"/>
      <name val="Arial Cy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u/>
      <sz val="10.000000"/>
      <color theme="11" tint="0"/>
      <name val="Arial Cy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sz val="12.000000"/>
      <name val="Times New Roman"/>
    </font>
    <font>
      <b/>
      <sz val="12.000000"/>
      <name val="Times New Roman"/>
    </font>
    <font>
      <i/>
      <sz val="12.000000"/>
      <name val="Times New Roman"/>
    </font>
    <font>
      <b/>
      <sz val="12.000000"/>
      <color theme="1" tint="0"/>
      <name val="Times New Roman"/>
    </font>
    <font>
      <sz val="12.000000"/>
      <color indexed="2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0" tint="0"/>
        <bgColor theme="0" tint="0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  <xf fontId="6" fillId="0" borderId="0" numFmtId="0" applyNumberFormat="1" applyFont="1" applyFill="1" applyBorder="1">
      <alignment vertical="top"/>
    </xf>
    <xf fontId="0" fillId="0" borderId="0" numFmtId="160" applyNumberFormat="1" applyFont="1" applyFill="1" applyBorder="1"/>
    <xf fontId="0" fillId="0" borderId="0" numFmtId="161" applyNumberFormat="1" applyFont="1" applyFill="1" applyBorder="1"/>
    <xf fontId="7" fillId="0" borderId="3" numFmtId="0" applyNumberFormat="1" applyFont="1" applyFill="1" applyBorder="1"/>
    <xf fontId="8" fillId="0" borderId="4" numFmtId="0" applyNumberFormat="1" applyFont="1" applyFill="1" applyBorder="1"/>
    <xf fontId="9" fillId="0" borderId="5" numFmtId="0" applyNumberFormat="1" applyFont="1" applyFill="1" applyBorder="1"/>
    <xf fontId="9" fillId="0" borderId="0" numFmtId="0" applyNumberFormat="1" applyFont="1" applyFill="1" applyBorder="1"/>
    <xf fontId="10" fillId="0" borderId="6" numFmtId="0" applyNumberFormat="1" applyFont="1" applyFill="1" applyBorder="1"/>
    <xf fontId="11" fillId="28" borderId="7" numFmtId="0" applyNumberFormat="1" applyFont="1" applyFill="1" applyBorder="1"/>
    <xf fontId="12" fillId="0" borderId="0" numFmtId="0" applyNumberFormat="1" applyFont="1" applyFill="1" applyBorder="1"/>
    <xf fontId="13" fillId="29" borderId="0" numFmtId="0" applyNumberFormat="1" applyFont="1" applyFill="1" applyBorder="1"/>
    <xf fontId="14" fillId="0" borderId="0" numFmtId="0" applyNumberFormat="1" applyFont="1" applyFill="1" applyBorder="1">
      <alignment vertical="top"/>
    </xf>
    <xf fontId="15" fillId="30" borderId="0" numFmtId="0" applyNumberFormat="1" applyFont="1" applyFill="1" applyBorder="1"/>
    <xf fontId="16" fillId="0" borderId="0" numFmtId="0" applyNumberFormat="1" applyFont="1" applyFill="1" applyBorder="1"/>
    <xf fontId="0" fillId="31" borderId="8" numFmtId="0" applyNumberFormat="1" applyFont="1" applyFill="1" applyBorder="1"/>
    <xf fontId="0" fillId="0" borderId="0" numFmtId="9" applyNumberFormat="1" applyFont="1" applyFill="1" applyBorder="1"/>
    <xf fontId="17" fillId="0" borderId="9" numFmtId="0" applyNumberFormat="1" applyFont="1" applyFill="1" applyBorder="1"/>
    <xf fontId="18" fillId="0" borderId="0" numFmtId="0" applyNumberFormat="1" applyFont="1" applyFill="1" applyBorder="1"/>
    <xf fontId="0" fillId="0" borderId="0" numFmtId="162" applyNumberFormat="1" applyFont="1" applyFill="1" applyBorder="1"/>
    <xf fontId="0" fillId="0" borderId="0" numFmtId="163" applyNumberFormat="1" applyFont="1" applyFill="1" applyBorder="1"/>
    <xf fontId="19" fillId="32" borderId="0" numFmtId="0" applyNumberFormat="1" applyFont="1" applyFill="1" applyBorder="1"/>
  </cellStyleXfs>
  <cellXfs count="89">
    <xf fontId="0" fillId="0" borderId="0" numFmtId="0" xfId="0"/>
    <xf fontId="20" fillId="0" borderId="0" numFmtId="0" xfId="0" applyFont="1" applyAlignment="1">
      <alignment horizontal="center"/>
    </xf>
    <xf fontId="20" fillId="0" borderId="0" numFmtId="0" xfId="0" applyFont="1"/>
    <xf fontId="20" fillId="0" borderId="0" numFmtId="0" xfId="0" applyFont="1" applyAlignment="1">
      <alignment horizontal="center" vertical="center"/>
    </xf>
    <xf fontId="20" fillId="0" borderId="0" numFmtId="4" xfId="0" applyNumberFormat="1" applyFont="1"/>
    <xf fontId="20" fillId="33" borderId="0" numFmtId="4" xfId="0" applyNumberFormat="1" applyFont="1" applyFill="1"/>
    <xf fontId="20" fillId="0" borderId="0" numFmtId="0" xfId="0" applyFont="1" applyAlignment="1">
      <alignment horizontal="left" vertical="top" wrapText="1"/>
    </xf>
    <xf fontId="20" fillId="0" borderId="0" numFmtId="0" xfId="0" applyFont="1" applyAlignment="1">
      <alignment horizontal="right" wrapText="1"/>
    </xf>
    <xf fontId="20" fillId="0" borderId="0" numFmtId="0" xfId="0" applyFont="1" applyAlignment="1">
      <alignment horizontal="left"/>
    </xf>
    <xf fontId="21" fillId="0" borderId="0" numFmtId="0" xfId="0" applyFont="1" applyAlignment="1">
      <alignment horizontal="center"/>
    </xf>
    <xf fontId="20" fillId="0" borderId="0" numFmtId="0" xfId="0" applyFont="1" applyAlignment="1">
      <alignment vertical="center" wrapText="1"/>
    </xf>
    <xf fontId="20" fillId="0" borderId="0" numFmtId="0" xfId="0" applyFont="1" applyAlignment="1">
      <alignment horizontal="left" vertical="center" wrapText="1"/>
    </xf>
    <xf fontId="21" fillId="0" borderId="0" numFmtId="0" xfId="0" applyFont="1" applyAlignment="1">
      <alignment vertical="center" wrapText="1"/>
    </xf>
    <xf fontId="21" fillId="0" borderId="10" numFmtId="0" xfId="0" applyFont="1" applyBorder="1" applyAlignment="1">
      <alignment horizontal="center" vertical="center" wrapText="1"/>
    </xf>
    <xf fontId="21" fillId="33" borderId="10" numFmtId="0" xfId="0" applyFont="1" applyFill="1" applyBorder="1" applyAlignment="1">
      <alignment horizontal="center" vertical="center" wrapText="1"/>
    </xf>
    <xf fontId="21" fillId="0" borderId="10" numFmtId="4" xfId="0" applyNumberFormat="1" applyFont="1" applyBorder="1" applyAlignment="1">
      <alignment horizontal="center" vertical="center" wrapText="1"/>
    </xf>
    <xf fontId="21" fillId="33" borderId="10" numFmtId="4" xfId="0" applyNumberFormat="1" applyFont="1" applyFill="1" applyBorder="1" applyAlignment="1">
      <alignment horizontal="center" vertical="center" wrapText="1"/>
    </xf>
    <xf fontId="20" fillId="0" borderId="0" numFmtId="0" xfId="0" applyFont="1" applyAlignment="1">
      <alignment horizontal="center" vertical="center" wrapText="1"/>
    </xf>
    <xf fontId="20" fillId="0" borderId="10" numFmtId="0" xfId="0" applyFont="1" applyBorder="1" applyAlignment="1">
      <alignment horizontal="center" vertical="center" wrapText="1"/>
    </xf>
    <xf fontId="20" fillId="0" borderId="10" numFmtId="0" xfId="0" applyFont="1" applyBorder="1" applyAlignment="1">
      <alignment horizontal="left" vertical="center" wrapText="1"/>
    </xf>
    <xf fontId="20" fillId="0" borderId="10" numFmtId="164" xfId="0" applyNumberFormat="1" applyFont="1" applyBorder="1" applyAlignment="1">
      <alignment horizontal="center" vertical="center"/>
    </xf>
    <xf fontId="20" fillId="0" borderId="10" numFmtId="2" xfId="0" applyNumberFormat="1" applyFont="1" applyBorder="1" applyAlignment="1">
      <alignment horizontal="center" vertical="center" wrapText="1"/>
    </xf>
    <xf fontId="20" fillId="33" borderId="10" numFmtId="4" xfId="0" applyNumberFormat="1" applyFont="1" applyFill="1" applyBorder="1" applyAlignment="1">
      <alignment horizontal="center" vertical="center" wrapText="1"/>
    </xf>
    <xf fontId="20" fillId="0" borderId="10" numFmtId="9" xfId="0" applyNumberFormat="1" applyFont="1" applyBorder="1" applyAlignment="1">
      <alignment horizontal="center" vertical="center" wrapText="1"/>
    </xf>
    <xf fontId="20" fillId="0" borderId="10" numFmtId="4" xfId="0" applyNumberFormat="1" applyFont="1" applyBorder="1" applyAlignment="1">
      <alignment horizontal="center" vertical="center" wrapText="1"/>
    </xf>
    <xf fontId="20" fillId="0" borderId="10" numFmtId="165" xfId="47" applyNumberFormat="1" applyFont="1" applyBorder="1" applyAlignment="1">
      <alignment horizontal="center" vertical="center" wrapText="1"/>
    </xf>
    <xf fontId="20" fillId="0" borderId="11" numFmtId="0" xfId="0" applyFont="1" applyBorder="1" applyAlignment="1">
      <alignment horizontal="center" vertical="center" wrapText="1"/>
    </xf>
    <xf fontId="21" fillId="0" borderId="0" numFmtId="0" xfId="0" applyFont="1"/>
    <xf fontId="21" fillId="0" borderId="12" numFmtId="0" xfId="0" applyFont="1" applyBorder="1" applyAlignment="1">
      <alignment horizontal="right"/>
    </xf>
    <xf fontId="21" fillId="33" borderId="12" numFmtId="4" xfId="0" applyNumberFormat="1" applyFont="1" applyFill="1" applyBorder="1" applyAlignment="1">
      <alignment horizontal="center" vertical="center" wrapText="1"/>
    </xf>
    <xf fontId="21" fillId="0" borderId="12" numFmtId="4" xfId="0" applyNumberFormat="1" applyFont="1" applyBorder="1" applyAlignment="1">
      <alignment horizontal="center" vertical="center" wrapText="1"/>
    </xf>
    <xf fontId="21" fillId="0" borderId="12" numFmtId="4" xfId="0" applyNumberFormat="1" applyFont="1" applyBorder="1" applyAlignment="1">
      <alignment horizontal="center" vertical="center"/>
    </xf>
    <xf fontId="21" fillId="0" borderId="13" numFmtId="4" xfId="0" applyNumberFormat="1" applyFont="1" applyBorder="1" applyAlignment="1">
      <alignment wrapText="1"/>
    </xf>
    <xf fontId="21" fillId="0" borderId="10" numFmtId="0" xfId="0" applyFont="1" applyBorder="1" applyAlignment="1">
      <alignment horizontal="center" wrapText="1"/>
    </xf>
    <xf fontId="21" fillId="0" borderId="10" numFmtId="0" xfId="0" applyFont="1" applyBorder="1" applyAlignment="1">
      <alignment horizontal="right"/>
    </xf>
    <xf fontId="21" fillId="0" borderId="11" numFmtId="0" xfId="0" applyFont="1" applyBorder="1" applyAlignment="1">
      <alignment horizontal="center" wrapText="1"/>
    </xf>
    <xf fontId="21" fillId="0" borderId="0" numFmtId="0" xfId="0" applyFont="1" applyAlignment="1">
      <alignment horizontal="right"/>
    </xf>
    <xf fontId="21" fillId="33" borderId="0" numFmtId="4" xfId="0" applyNumberFormat="1" applyFont="1" applyFill="1" applyAlignment="1">
      <alignment wrapText="1"/>
    </xf>
    <xf fontId="21" fillId="0" borderId="0" numFmtId="0" xfId="0" applyFont="1" applyAlignment="1">
      <alignment horizontal="center" wrapText="1"/>
    </xf>
    <xf fontId="21" fillId="0" borderId="0" numFmtId="4" xfId="0" applyNumberFormat="1" applyFont="1" applyAlignment="1">
      <alignment horizontal="center" wrapText="1"/>
    </xf>
    <xf fontId="22" fillId="0" borderId="0" numFmtId="0" xfId="0" applyFont="1"/>
    <xf fontId="21" fillId="33" borderId="0" numFmtId="0" xfId="0" applyFont="1" applyFill="1" applyAlignment="1">
      <alignment horizontal="center" vertical="top" wrapText="1"/>
    </xf>
    <xf fontId="21" fillId="33" borderId="0" numFmtId="0" xfId="0" applyFont="1" applyFill="1" applyAlignment="1">
      <alignment vertical="top" wrapText="1"/>
    </xf>
    <xf fontId="21" fillId="0" borderId="0" numFmtId="0" xfId="0" applyFont="1" applyAlignment="1">
      <alignment horizontal="center" vertical="top" wrapText="1"/>
    </xf>
    <xf fontId="20" fillId="0" borderId="0" numFmtId="2" xfId="0" applyNumberFormat="1" applyFont="1"/>
    <xf fontId="20" fillId="0" borderId="0" numFmtId="163" xfId="0" applyNumberFormat="1" applyFont="1"/>
    <xf fontId="20" fillId="33" borderId="0" numFmtId="0" xfId="0" applyFont="1" applyFill="1" applyAlignment="1">
      <alignment horizontal="left" vertical="center" wrapText="1"/>
    </xf>
    <xf fontId="21" fillId="0" borderId="14" numFmtId="0" xfId="0" applyFont="1" applyBorder="1" applyAlignment="1">
      <alignment horizontal="center" vertical="center" wrapText="1"/>
    </xf>
    <xf fontId="21" fillId="33" borderId="14" numFmtId="0" xfId="0" applyFont="1" applyFill="1" applyBorder="1" applyAlignment="1">
      <alignment horizontal="center" vertical="center" wrapText="1"/>
    </xf>
    <xf fontId="21" fillId="0" borderId="14" numFmtId="2" xfId="0" applyNumberFormat="1" applyFont="1" applyBorder="1" applyAlignment="1">
      <alignment horizontal="center" textRotation="90" vertical="center" wrapText="1"/>
    </xf>
    <xf fontId="21" fillId="0" borderId="14" numFmtId="163" xfId="0" applyNumberFormat="1" applyFont="1" applyBorder="1" applyAlignment="1">
      <alignment horizontal="center" textRotation="90" vertical="center" wrapText="1"/>
    </xf>
    <xf fontId="21" fillId="0" borderId="14" numFmtId="0" xfId="0" applyFont="1" applyBorder="1" applyAlignment="1">
      <alignment horizontal="center" textRotation="90" vertical="center" wrapText="1"/>
    </xf>
    <xf fontId="20" fillId="0" borderId="10" numFmtId="4" xfId="0" applyNumberFormat="1" applyFont="1" applyBorder="1" applyAlignment="1">
      <alignment horizontal="center" vertical="center"/>
    </xf>
    <xf fontId="21" fillId="0" borderId="10" numFmtId="2" xfId="0" applyNumberFormat="1" applyFont="1" applyBorder="1" applyAlignment="1">
      <alignment horizontal="center" textRotation="90" vertical="center" wrapText="1"/>
    </xf>
    <xf fontId="21" fillId="0" borderId="10" numFmtId="163" xfId="0" applyNumberFormat="1" applyFont="1" applyBorder="1" applyAlignment="1">
      <alignment horizontal="center" textRotation="90" vertical="center" wrapText="1"/>
    </xf>
    <xf fontId="20" fillId="0" borderId="10" numFmtId="163" xfId="0" applyNumberFormat="1" applyFont="1" applyBorder="1" applyAlignment="1">
      <alignment horizontal="center" vertical="center" wrapText="1"/>
    </xf>
    <xf fontId="20" fillId="0" borderId="10" numFmtId="49" xfId="0" applyNumberFormat="1" applyFont="1" applyBorder="1" applyAlignment="1">
      <alignment horizontal="center" vertical="center"/>
    </xf>
    <xf fontId="21" fillId="0" borderId="10" numFmtId="2" xfId="0" applyNumberFormat="1" applyFont="1" applyBorder="1" applyAlignment="1">
      <alignment horizontal="center" vertical="center" wrapText="1"/>
    </xf>
    <xf fontId="21" fillId="0" borderId="10" numFmtId="0" xfId="0" applyFont="1" applyBorder="1" applyAlignment="1">
      <alignment horizontal="center" textRotation="90" vertical="center" wrapText="1"/>
    </xf>
    <xf fontId="23" fillId="0" borderId="0" numFmtId="0" xfId="0" applyFont="1"/>
    <xf fontId="23" fillId="0" borderId="12" numFmtId="0" xfId="0" applyFont="1" applyBorder="1" applyAlignment="1">
      <alignment horizontal="center" vertical="center" wrapText="1"/>
    </xf>
    <xf fontId="23" fillId="0" borderId="12" numFmtId="4" xfId="0" applyNumberFormat="1" applyFont="1" applyBorder="1" applyAlignment="1">
      <alignment vertical="center" wrapText="1"/>
    </xf>
    <xf fontId="21" fillId="0" borderId="12" numFmtId="4" xfId="47" applyNumberFormat="1" applyFont="1" applyBorder="1" applyAlignment="1">
      <alignment horizontal="center" vertical="center" wrapText="1"/>
    </xf>
    <xf fontId="23" fillId="0" borderId="12" numFmtId="1" xfId="0" applyNumberFormat="1" applyFont="1" applyBorder="1" applyAlignment="1">
      <alignment horizontal="center" vertical="center" wrapText="1"/>
    </xf>
    <xf fontId="23" fillId="0" borderId="12" numFmtId="2" xfId="0" applyNumberFormat="1" applyFont="1" applyBorder="1" applyAlignment="1">
      <alignment horizontal="center" vertical="center" wrapText="1"/>
    </xf>
    <xf fontId="23" fillId="0" borderId="12" numFmtId="2" xfId="0" applyNumberFormat="1" applyFont="1" applyBorder="1" applyAlignment="1">
      <alignment vertical="center" wrapText="1"/>
    </xf>
    <xf fontId="23" fillId="0" borderId="12" numFmtId="1" xfId="0" applyNumberFormat="1" applyFont="1" applyBorder="1" applyAlignment="1">
      <alignment vertical="center" wrapText="1"/>
    </xf>
    <xf fontId="21" fillId="0" borderId="0" numFmtId="0" xfId="0" applyFont="1" applyAlignment="1">
      <alignment vertical="top" wrapText="1"/>
    </xf>
    <xf fontId="20" fillId="0" borderId="0" numFmtId="49" xfId="0" applyNumberFormat="1" applyFont="1" applyAlignment="1">
      <alignment horizontal="center"/>
    </xf>
    <xf fontId="20" fillId="0" borderId="0" numFmtId="49" xfId="0" applyNumberFormat="1" applyFont="1"/>
    <xf fontId="20" fillId="0" borderId="0" numFmtId="0" xfId="0" applyFont="1" applyAlignment="1">
      <alignment vertical="top" wrapText="1"/>
    </xf>
    <xf fontId="20" fillId="0" borderId="0" numFmtId="0" xfId="0" applyFont="1" applyAlignment="1">
      <alignment wrapText="1"/>
    </xf>
    <xf fontId="20" fillId="0" borderId="14" numFmtId="0" xfId="0" applyFont="1" applyBorder="1" applyAlignment="1">
      <alignment horizontal="center" vertical="center" wrapText="1"/>
    </xf>
    <xf fontId="21" fillId="0" borderId="15" numFmtId="0" xfId="0" applyFont="1" applyBorder="1" applyAlignment="1">
      <alignment horizontal="center" wrapText="1"/>
    </xf>
    <xf fontId="21" fillId="0" borderId="16" numFmtId="0" xfId="0" applyFont="1" applyBorder="1" applyAlignment="1">
      <alignment horizontal="center" wrapText="1"/>
    </xf>
    <xf fontId="20" fillId="0" borderId="12" numFmtId="0" xfId="0" applyFont="1" applyBorder="1" applyAlignment="1">
      <alignment horizontal="center" vertical="center" wrapText="1"/>
    </xf>
    <xf fontId="20" fillId="0" borderId="10" numFmtId="49" xfId="0" applyNumberFormat="1" applyFont="1" applyBorder="1" applyAlignment="1">
      <alignment horizontal="center" vertical="center" wrapText="1"/>
    </xf>
    <xf fontId="20" fillId="0" borderId="10" numFmtId="0" xfId="0" applyFont="1" applyBorder="1" applyAlignment="1">
      <alignment horizontal="center" vertical="center"/>
    </xf>
    <xf fontId="24" fillId="0" borderId="10" numFmtId="0" xfId="0" applyFont="1" applyBorder="1" applyAlignment="1">
      <alignment horizontal="center" vertical="center"/>
    </xf>
    <xf fontId="20" fillId="0" borderId="10" numFmtId="1" xfId="0" applyNumberFormat="1" applyFont="1" applyBorder="1" applyAlignment="1">
      <alignment horizontal="center" vertical="center"/>
    </xf>
    <xf fontId="20" fillId="0" borderId="10" numFmtId="0" xfId="0" applyFont="1" applyBorder="1" applyAlignment="1" applyProtection="1">
      <alignment horizontal="center" vertical="center" wrapText="1"/>
    </xf>
    <xf fontId="20" fillId="0" borderId="10" numFmtId="49" xfId="0" applyNumberFormat="1" applyFont="1" applyBorder="1" applyAlignment="1" applyProtection="1">
      <alignment horizontal="center" vertical="center"/>
    </xf>
    <xf fontId="20" fillId="0" borderId="10" numFmtId="0" xfId="0" applyFont="1" applyBorder="1" applyAlignment="1">
      <alignment horizontal="left"/>
    </xf>
    <xf fontId="20" fillId="0" borderId="10" numFmtId="0" xfId="0" applyFont="1" applyBorder="1" applyAlignment="1">
      <alignment horizontal="center"/>
    </xf>
    <xf fontId="20" fillId="0" borderId="10" numFmtId="0" xfId="0" applyFont="1" applyBorder="1"/>
    <xf fontId="20" fillId="0" borderId="10" numFmtId="49" xfId="0" applyNumberFormat="1" applyFont="1" applyBorder="1" applyAlignment="1">
      <alignment horizontal="center"/>
    </xf>
    <xf fontId="20" fillId="0" borderId="0" numFmtId="0" xfId="0" applyFont="1" applyAlignment="1" applyProtection="1">
      <alignment horizontal="center" vertical="center" wrapText="1"/>
    </xf>
    <xf fontId="20" fillId="0" borderId="0" numFmtId="0" xfId="0" applyFont="1" applyAlignment="1">
      <alignment horizontal="center" vertical="top"/>
    </xf>
    <xf fontId="20" fillId="0" borderId="0" numFmtId="0" xfId="0" applyFont="1" applyAlignment="1">
      <alignment horizontal="center" vertical="top" wrapText="1"/>
    </xf>
  </cellXfs>
  <cellStyles count="49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Гиперссылка" xfId="28" builtinId="8"/>
    <cellStyle name="Денежный" xfId="29" builtinId="4"/>
    <cellStyle name="Денежный [0]" xfId="30" builtinId="7"/>
    <cellStyle name="Заголовок 1" xfId="31" builtinId="16"/>
    <cellStyle name="Заголовок 2" xfId="32" builtinId="17"/>
    <cellStyle name="Заголовок 3" xfId="33" builtinId="18"/>
    <cellStyle name="Заголовок 4" xfId="34" builtinId="19"/>
    <cellStyle name="Итог" xfId="35" builtinId="25"/>
    <cellStyle name="Контрольная ячейка" xfId="36" builtinId="23"/>
    <cellStyle name="Название" xfId="37" builtinId="15"/>
    <cellStyle name="Нейтральный" xfId="38" builtinId="28"/>
    <cellStyle name="Обычный" xfId="0" builtinId="0"/>
    <cellStyle name="Открывавшаяся гиперссылка" xfId="39" builtinId="9"/>
    <cellStyle name="Плохой" xfId="40" builtinId="27"/>
    <cellStyle name="Пояснение" xfId="41" builtinId="53"/>
    <cellStyle name="Примечание" xfId="42" builtinId="10"/>
    <cellStyle name="Процентный" xfId="43" builtinId="5"/>
    <cellStyle name="Связанная ячейка" xfId="44" builtinId="24"/>
    <cellStyle name="Текст предупреждения" xfId="45" builtinId="11"/>
    <cellStyle name="Финансовый" xfId="46" builtinId="3"/>
    <cellStyle name="Финансовый [0]" xfId="47" builtinId="6"/>
    <cellStyle name="Хороший" xfId="48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view="pageBreakPreview" zoomScale="110" workbookViewId="0">
      <selection activeCell="F7" activeCellId="0" sqref="F7:F8"/>
    </sheetView>
  </sheetViews>
  <sheetFormatPr baseColWidth="8" defaultColWidth="8.8554700000000004" defaultRowHeight="15.75" customHeight="1"/>
  <cols>
    <col customWidth="1" min="1" max="1" style="1" width="5"/>
    <col customWidth="1" min="2" max="2" style="2" width="14"/>
    <col customWidth="1" min="3" max="3" style="2" width="42.855499999999999"/>
    <col customWidth="1" min="4" max="4" style="2" width="5.7109399999999999"/>
    <col customWidth="1" min="5" max="5" style="3" width="11"/>
    <col customWidth="1" min="6" max="6" style="4" width="12.5703"/>
    <col customWidth="1" min="7" max="7" style="5" width="14.2852"/>
    <col customWidth="1" min="8" max="8" style="1" width="8.5703099999999992"/>
    <col customWidth="1" min="9" max="9" style="2" width="11.140599999999999"/>
    <col customWidth="1" min="10" max="10" style="2" width="15.855499999999999"/>
    <col customWidth="1" min="11" max="11" style="2" width="19.2852"/>
    <col customWidth="1" min="12" max="12" style="2" width="16.425799999999999"/>
    <col customWidth="1" min="13" max="13" style="2" width="8.8554700000000004"/>
    <col customWidth="1" min="14" max="14" style="2" width="14.5703"/>
    <col customWidth="1" min="15" max="257" style="2" width="8.8554700000000004"/>
  </cols>
  <sheetData>
    <row r="1" ht="36.75" customHeight="1">
      <c r="H1" s="6" t="s">
        <v>0</v>
      </c>
      <c r="I1" s="6"/>
      <c r="J1" s="6"/>
      <c r="K1" s="6"/>
      <c r="L1" s="6"/>
    </row>
    <row r="2" ht="15.75">
      <c r="H2" s="7"/>
      <c r="I2" s="7"/>
      <c r="J2" s="7"/>
      <c r="K2" s="7"/>
      <c r="L2" s="7"/>
    </row>
    <row r="3" s="8" customFormat="1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</row>
    <row r="4" s="10" customFormat="1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</row>
    <row r="5" s="10" customFormat="1" ht="39.75" customHeight="1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</row>
    <row r="6" ht="15.75">
      <c r="A6" s="1"/>
    </row>
    <row r="7" s="12" customFormat="1" ht="25.5" customHeight="1">
      <c r="A7" s="13" t="s">
        <v>4</v>
      </c>
      <c r="B7" s="13" t="s">
        <v>5</v>
      </c>
      <c r="C7" s="14" t="s">
        <v>6</v>
      </c>
      <c r="D7" s="14" t="s">
        <v>7</v>
      </c>
      <c r="E7" s="13" t="s">
        <v>8</v>
      </c>
      <c r="F7" s="15" t="s">
        <v>9</v>
      </c>
      <c r="G7" s="16" t="s">
        <v>10</v>
      </c>
      <c r="H7" s="13" t="s">
        <v>11</v>
      </c>
      <c r="I7" s="13"/>
      <c r="J7" s="13" t="s">
        <v>12</v>
      </c>
      <c r="K7" s="13" t="s">
        <v>13</v>
      </c>
      <c r="L7" s="13" t="s">
        <v>14</v>
      </c>
    </row>
    <row r="8" s="10" customFormat="1" ht="57.75" customHeight="1">
      <c r="A8" s="13"/>
      <c r="B8" s="13"/>
      <c r="C8" s="14"/>
      <c r="D8" s="14"/>
      <c r="E8" s="13"/>
      <c r="F8" s="15"/>
      <c r="G8" s="16"/>
      <c r="H8" s="13" t="s">
        <v>15</v>
      </c>
      <c r="I8" s="13" t="s">
        <v>16</v>
      </c>
      <c r="J8" s="13"/>
      <c r="K8" s="13"/>
      <c r="L8" s="13"/>
    </row>
    <row r="9" s="17" customFormat="1">
      <c r="A9" s="18">
        <v>1</v>
      </c>
      <c r="B9" s="18"/>
      <c r="C9" s="19"/>
      <c r="D9" s="18"/>
      <c r="E9" s="20"/>
      <c r="F9" s="21"/>
      <c r="G9" s="22">
        <f>ROUND(E9*F9,2)</f>
        <v>0</v>
      </c>
      <c r="H9" s="23">
        <v>0.22</v>
      </c>
      <c r="I9" s="24">
        <f>ROUND(G9*H9,2)</f>
        <v>0</v>
      </c>
      <c r="J9" s="25">
        <f>G9+I9</f>
        <v>0</v>
      </c>
      <c r="K9" s="26"/>
      <c r="L9" s="13"/>
    </row>
    <row r="10" s="17" customFormat="1">
      <c r="A10" s="18">
        <v>2</v>
      </c>
      <c r="B10" s="18"/>
      <c r="C10" s="19"/>
      <c r="D10" s="18"/>
      <c r="E10" s="20"/>
      <c r="F10" s="21"/>
      <c r="G10" s="22">
        <f t="shared" ref="G10:G11" si="0">ROUND(E10*F10,2)</f>
        <v>0</v>
      </c>
      <c r="H10" s="23">
        <v>0.22</v>
      </c>
      <c r="I10" s="24">
        <f t="shared" ref="I10:I11" si="1">ROUND(G10*H10,2)</f>
        <v>0</v>
      </c>
      <c r="J10" s="25">
        <f t="shared" ref="J10:J11" si="2">G10+I10</f>
        <v>0</v>
      </c>
      <c r="K10" s="26"/>
      <c r="L10" s="13"/>
    </row>
    <row r="11" s="17" customFormat="1">
      <c r="A11" s="18" t="s">
        <v>17</v>
      </c>
      <c r="B11" s="18"/>
      <c r="C11" s="19"/>
      <c r="D11" s="18"/>
      <c r="E11" s="20"/>
      <c r="F11" s="21"/>
      <c r="G11" s="22">
        <f t="shared" si="0"/>
        <v>0</v>
      </c>
      <c r="H11" s="23">
        <v>0.22</v>
      </c>
      <c r="I11" s="24">
        <f t="shared" si="1"/>
        <v>0</v>
      </c>
      <c r="J11" s="25">
        <f t="shared" si="2"/>
        <v>0</v>
      </c>
      <c r="K11" s="26"/>
      <c r="L11" s="13"/>
    </row>
    <row r="12" s="27" customFormat="1" ht="16.5" customHeight="1">
      <c r="A12" s="28" t="s">
        <v>18</v>
      </c>
      <c r="B12" s="28"/>
      <c r="C12" s="28"/>
      <c r="D12" s="28"/>
      <c r="E12" s="28"/>
      <c r="F12" s="28"/>
      <c r="G12" s="29">
        <f>SUM(G9:G11)</f>
        <v>0</v>
      </c>
      <c r="H12" s="30"/>
      <c r="I12" s="31"/>
      <c r="J12" s="31"/>
      <c r="K12" s="32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</row>
    <row r="13" s="27" customFormat="1">
      <c r="A13" s="34" t="s">
        <v>19</v>
      </c>
      <c r="B13" s="34"/>
      <c r="C13" s="34"/>
      <c r="D13" s="34"/>
      <c r="E13" s="34"/>
      <c r="F13" s="34"/>
      <c r="G13" s="16"/>
      <c r="H13" s="15"/>
      <c r="I13" s="15">
        <f>SUM(I9:I11)</f>
        <v>0</v>
      </c>
      <c r="J13" s="15"/>
      <c r="K13" s="35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</row>
    <row r="14" s="27" customFormat="1">
      <c r="A14" s="34" t="s">
        <v>20</v>
      </c>
      <c r="B14" s="34"/>
      <c r="C14" s="34"/>
      <c r="D14" s="34"/>
      <c r="E14" s="34"/>
      <c r="F14" s="34"/>
      <c r="G14" s="16"/>
      <c r="H14" s="15"/>
      <c r="I14" s="15"/>
      <c r="J14" s="15">
        <f>SUM(J9:J11)</f>
        <v>0</v>
      </c>
      <c r="K14" s="35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</row>
    <row r="15" s="27" customFormat="1">
      <c r="A15" s="36"/>
      <c r="B15" s="36"/>
      <c r="C15" s="27"/>
      <c r="D15" s="27"/>
      <c r="E15" s="36"/>
      <c r="F15" s="36"/>
      <c r="G15" s="37"/>
      <c r="H15" s="38"/>
      <c r="I15" s="38"/>
      <c r="J15" s="39"/>
      <c r="K15" s="38"/>
      <c r="L15" s="38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</row>
    <row r="16" ht="15.75">
      <c r="A16" s="8" t="s">
        <v>21</v>
      </c>
      <c r="B16" s="40"/>
    </row>
    <row r="17" ht="15.75">
      <c r="A17" s="11" t="s">
        <v>22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="2" customFormat="1" ht="34.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</row>
    <row r="19" ht="128.25" customHeight="1">
      <c r="B19" s="41" t="s">
        <v>23</v>
      </c>
      <c r="C19" s="41"/>
      <c r="D19" s="41"/>
      <c r="E19" s="41"/>
      <c r="F19" s="42"/>
      <c r="G19" s="43" t="s">
        <v>24</v>
      </c>
      <c r="H19" s="43"/>
      <c r="I19" s="43"/>
      <c r="J19" s="43"/>
      <c r="K19" s="43"/>
    </row>
    <row r="20" ht="15.75">
      <c r="C20" s="40" t="s">
        <v>25</v>
      </c>
      <c r="D20" s="40"/>
    </row>
  </sheetData>
  <mergeCells count="22">
    <mergeCell ref="H1:L1"/>
    <mergeCell ref="A3:L3"/>
    <mergeCell ref="A4:L4"/>
    <mergeCell ref="A5:L5"/>
    <mergeCell ref="A7:A8"/>
    <mergeCell ref="B7:B8"/>
    <mergeCell ref="C7:C8"/>
    <mergeCell ref="D7:D8"/>
    <mergeCell ref="E7:E8"/>
    <mergeCell ref="F7:F8"/>
    <mergeCell ref="G7:G8"/>
    <mergeCell ref="H7:I7"/>
    <mergeCell ref="J7:J8"/>
    <mergeCell ref="K7:K8"/>
    <mergeCell ref="L7:L8"/>
    <mergeCell ref="A12:F12"/>
    <mergeCell ref="A13:F13"/>
    <mergeCell ref="A14:F14"/>
    <mergeCell ref="A17:L17"/>
    <mergeCell ref="A18:L18"/>
    <mergeCell ref="B19:E19"/>
    <mergeCell ref="G19:K19"/>
  </mergeCells>
  <printOptions headings="0" gridLines="0"/>
  <pageMargins left="0.78740199999999982" right="0" top="0" bottom="0.19684999999999997" header="0.51181100000000002" footer="0.11811000000000001"/>
  <pageSetup paperSize="9" scale="78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view="pageBreakPreview" zoomScale="110" workbookViewId="0">
      <selection activeCell="U6" activeCellId="0" sqref="U6"/>
    </sheetView>
  </sheetViews>
  <sheetFormatPr baseColWidth="8" defaultRowHeight="15.75" customHeight="1"/>
  <cols>
    <col customWidth="1" min="1" max="1" style="2" width="4.2851600000000003"/>
    <col customWidth="1" min="2" max="2" style="1" width="42.285200000000003"/>
    <col customWidth="1" min="3" max="3" style="2" width="7.1406200000000002"/>
    <col customWidth="1" min="4" max="4" style="2" width="10.2852"/>
    <col customWidth="1" min="5" max="5" style="2" width="16.425799999999999"/>
    <col customWidth="1" min="6" max="6" style="2" width="18.425799999999999"/>
    <col customWidth="1" min="7" max="7" style="44" width="5.5703100000000001"/>
    <col customWidth="1" min="8" max="12" style="45" width="5.5703100000000001"/>
    <col customWidth="1" min="13" max="18" style="2" width="5.5703100000000001"/>
    <col customWidth="1" min="19" max="257" style="2" width="9.1406200000000002"/>
  </cols>
  <sheetData>
    <row r="1" s="2" customFormat="1" ht="36.75" customHeight="1">
      <c r="A1" s="1"/>
      <c r="C1" s="2"/>
      <c r="D1" s="2"/>
      <c r="E1" s="3"/>
      <c r="F1" s="4"/>
      <c r="G1" s="5"/>
      <c r="H1" s="6" t="s">
        <v>26</v>
      </c>
      <c r="I1" s="6"/>
      <c r="J1" s="6"/>
      <c r="K1" s="6"/>
      <c r="L1" s="6"/>
      <c r="M1" s="6"/>
      <c r="N1" s="6"/>
      <c r="O1" s="6"/>
      <c r="P1" s="6"/>
      <c r="Q1" s="6"/>
      <c r="R1" s="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</row>
    <row r="2" ht="15.75">
      <c r="C2" s="8"/>
    </row>
    <row r="3" ht="15.75">
      <c r="A3" s="9" t="s">
        <v>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ht="15.75">
      <c r="A4" s="9"/>
    </row>
    <row r="5" ht="32.25" customHeight="1">
      <c r="A5" s="46" t="s">
        <v>28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</row>
    <row r="6" ht="15.75">
      <c r="A6" s="36"/>
    </row>
    <row r="7" s="10" customFormat="1">
      <c r="A7" s="13" t="s">
        <v>29</v>
      </c>
      <c r="B7" s="13" t="s">
        <v>30</v>
      </c>
      <c r="C7" s="13" t="s">
        <v>31</v>
      </c>
      <c r="D7" s="13" t="s">
        <v>32</v>
      </c>
      <c r="E7" s="13" t="s">
        <v>33</v>
      </c>
      <c r="F7" s="14" t="s">
        <v>34</v>
      </c>
      <c r="G7" s="14" t="s">
        <v>35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="10" customFormat="1" ht="55.5" customHeight="1">
      <c r="A8" s="47"/>
      <c r="B8" s="47"/>
      <c r="C8" s="47"/>
      <c r="D8" s="47"/>
      <c r="E8" s="47"/>
      <c r="F8" s="48"/>
      <c r="G8" s="49" t="s">
        <v>36</v>
      </c>
      <c r="H8" s="50" t="s">
        <v>37</v>
      </c>
      <c r="I8" s="50" t="s">
        <v>38</v>
      </c>
      <c r="J8" s="50" t="s">
        <v>39</v>
      </c>
      <c r="K8" s="50" t="s">
        <v>40</v>
      </c>
      <c r="L8" s="50" t="s">
        <v>41</v>
      </c>
      <c r="M8" s="51" t="s">
        <v>42</v>
      </c>
      <c r="N8" s="51" t="s">
        <v>43</v>
      </c>
      <c r="O8" s="51" t="s">
        <v>44</v>
      </c>
      <c r="P8" s="51" t="s">
        <v>45</v>
      </c>
      <c r="Q8" s="51" t="s">
        <v>46</v>
      </c>
      <c r="R8" s="51" t="s">
        <v>47</v>
      </c>
    </row>
    <row r="9" s="10" customFormat="1" ht="37.5" customHeight="1">
      <c r="A9" s="18">
        <v>1</v>
      </c>
      <c r="B9" s="19" t="str">
        <f>IF(Спецификация!C9="","",Спецификация!C9)</f>
        <v/>
      </c>
      <c r="C9" s="19" t="str">
        <f>IF(Спецификация!D9="","",Спецификация!D9)</f>
        <v/>
      </c>
      <c r="D9" s="20">
        <f>Спецификация!E9</f>
        <v>0</v>
      </c>
      <c r="E9" s="52">
        <f>Спецификация!G9</f>
        <v>0</v>
      </c>
      <c r="F9" s="52">
        <f>Спецификация!J9</f>
        <v>0</v>
      </c>
      <c r="G9" s="53"/>
      <c r="H9" s="54"/>
      <c r="I9" s="18"/>
      <c r="J9" s="54"/>
      <c r="K9" s="55"/>
      <c r="L9" s="56"/>
      <c r="M9" s="57"/>
      <c r="N9" s="18"/>
      <c r="O9" s="13"/>
      <c r="P9" s="58"/>
      <c r="Q9" s="58"/>
      <c r="R9" s="58"/>
    </row>
    <row r="10" s="10" customFormat="1" ht="37.5" customHeight="1">
      <c r="A10" s="18">
        <v>2</v>
      </c>
      <c r="B10" s="19" t="str">
        <f>IF(Спецификация!C12="","",Спецификация!C12)</f>
        <v/>
      </c>
      <c r="C10" s="19" t="str">
        <f>IF(Спецификация!D12="","",Спецификация!D12)</f>
        <v/>
      </c>
      <c r="D10" s="20">
        <f>Спецификация!E10</f>
        <v>0</v>
      </c>
      <c r="E10" s="52">
        <f>Спецификация!G10</f>
        <v>0</v>
      </c>
      <c r="F10" s="52">
        <f>Спецификация!J10</f>
        <v>0</v>
      </c>
      <c r="G10" s="53"/>
      <c r="H10" s="54"/>
      <c r="I10" s="18"/>
      <c r="J10" s="54"/>
      <c r="K10" s="55"/>
      <c r="L10" s="56"/>
      <c r="M10" s="57"/>
      <c r="N10" s="18"/>
      <c r="O10" s="13"/>
      <c r="P10" s="58"/>
      <c r="Q10" s="58"/>
      <c r="R10" s="58"/>
    </row>
    <row r="11" s="10" customFormat="1" ht="37.5" customHeight="1">
      <c r="A11" s="18" t="s">
        <v>17</v>
      </c>
      <c r="B11" s="19" t="str">
        <f>IF('Спецификация'!C13="","",'Спецификация'!C13)</f>
        <v/>
      </c>
      <c r="C11" s="19" t="str">
        <f>IF('Спецификация'!D13="","",'Спецификация'!D13)</f>
        <v/>
      </c>
      <c r="D11" s="20">
        <f>Спецификация!E11</f>
        <v>0</v>
      </c>
      <c r="E11" s="52">
        <f>Спецификация!G11</f>
        <v>0</v>
      </c>
      <c r="F11" s="52">
        <f>Спецификация!J11</f>
        <v>0</v>
      </c>
      <c r="G11" s="53"/>
      <c r="H11" s="54"/>
      <c r="I11" s="18"/>
      <c r="J11" s="54"/>
      <c r="K11" s="55"/>
      <c r="L11" s="56"/>
      <c r="M11" s="57"/>
      <c r="N11" s="18"/>
      <c r="O11" s="13"/>
      <c r="P11" s="58"/>
      <c r="Q11" s="58"/>
      <c r="R11" s="58"/>
    </row>
    <row r="12" s="59" customFormat="1" ht="27.75" customHeight="1">
      <c r="A12" s="60" t="s">
        <v>48</v>
      </c>
      <c r="B12" s="60"/>
      <c r="C12" s="61"/>
      <c r="D12" s="30"/>
      <c r="E12" s="62">
        <f>SUM(E9:E11)</f>
        <v>0</v>
      </c>
      <c r="F12" s="62">
        <f>SUM(F9:F11)</f>
        <v>0</v>
      </c>
      <c r="G12" s="63"/>
      <c r="H12" s="64"/>
      <c r="I12" s="64"/>
      <c r="J12" s="64"/>
      <c r="K12" s="63"/>
      <c r="L12" s="64"/>
      <c r="M12" s="64"/>
      <c r="N12" s="65"/>
      <c r="O12" s="65"/>
      <c r="P12" s="65"/>
      <c r="Q12" s="66"/>
      <c r="R12" s="65"/>
    </row>
    <row r="14" ht="15.75">
      <c r="A14" s="11" t="s">
        <v>49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ht="15.75" customHeight="1">
      <c r="A15" s="2"/>
    </row>
    <row r="16" ht="116.25" customHeight="1">
      <c r="B16" s="41" t="s">
        <v>50</v>
      </c>
      <c r="C16" s="41"/>
      <c r="D16" s="41"/>
      <c r="E16" s="67"/>
      <c r="F16" s="43" t="s">
        <v>51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</row>
  </sheetData>
  <mergeCells count="14">
    <mergeCell ref="H1:R1"/>
    <mergeCell ref="A3:R3"/>
    <mergeCell ref="A5:R5"/>
    <mergeCell ref="A7:A8"/>
    <mergeCell ref="B7:B8"/>
    <mergeCell ref="C7:C8"/>
    <mergeCell ref="D7:D8"/>
    <mergeCell ref="E7:E8"/>
    <mergeCell ref="F7:F8"/>
    <mergeCell ref="G7:R7"/>
    <mergeCell ref="A12:B12"/>
    <mergeCell ref="A14:R14"/>
    <mergeCell ref="B16:D16"/>
    <mergeCell ref="F16:R16"/>
  </mergeCells>
  <printOptions headings="0" gridLines="0"/>
  <pageMargins left="0.59055100000000005" right="0" top="0" bottom="0" header="0.51181100000000002" footer="0.51181100000000002"/>
  <pageSetup paperSize="9" scale="8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view="pageBreakPreview" topLeftCell="A7" zoomScale="100" workbookViewId="0">
      <selection activeCell="L7" activeCellId="0" sqref="L7"/>
    </sheetView>
  </sheetViews>
  <sheetFormatPr baseColWidth="8" defaultRowHeight="15.75" customHeight="1"/>
  <cols>
    <col customWidth="1" min="1" max="1" style="1" width="3.42578"/>
    <col customWidth="1" min="2" max="2" style="1" width="12"/>
    <col customWidth="1" min="3" max="3" style="1" width="7.1406200000000002"/>
    <col customWidth="1" min="4" max="4" style="2" width="15"/>
    <col customWidth="1" min="5" max="5" style="1" width="7.4257799999999996"/>
    <col customWidth="1" min="6" max="6" style="2" width="14.140599999999999"/>
    <col bestFit="1" customWidth="1" min="7" max="7" style="68" width="14.710900000000001"/>
    <col bestFit="1" customWidth="1" min="8" max="8" style="68" width="3"/>
    <col customWidth="1" min="9" max="9" style="69" width="9"/>
    <col customWidth="1" min="10" max="10" style="2" width="7.8554700000000004"/>
    <col customWidth="1" min="11" max="11" style="1" width="13.5703"/>
    <col customWidth="1" min="12" max="12" style="2" width="12.2852"/>
    <col customWidth="1" min="13" max="13" style="68" width="18.5703"/>
    <col customWidth="1" min="14" max="14" style="1" width="14.140599999999999"/>
    <col customWidth="1" min="15" max="15" style="2" width="20.2852"/>
    <col customWidth="1" min="16" max="257" style="2" width="9.1406200000000002"/>
  </cols>
  <sheetData>
    <row r="1" s="2" customFormat="1" ht="36.75" customHeight="1">
      <c r="A1" s="1"/>
      <c r="C1" s="2"/>
      <c r="D1" s="2"/>
      <c r="E1" s="3"/>
      <c r="F1" s="4"/>
      <c r="G1" s="5"/>
      <c r="I1" s="70"/>
      <c r="J1" s="70"/>
      <c r="K1" s="70"/>
      <c r="L1" s="70"/>
      <c r="M1" s="6" t="s">
        <v>52</v>
      </c>
      <c r="N1" s="6"/>
      <c r="O1" s="6"/>
      <c r="P1" s="70"/>
      <c r="Q1" s="70"/>
      <c r="R1" s="7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</row>
    <row r="2" ht="15.75">
      <c r="M2" s="8"/>
      <c r="N2" s="8"/>
      <c r="O2" s="8"/>
    </row>
    <row r="3" ht="15.7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ht="15.75">
      <c r="A4" s="9" t="s">
        <v>53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6" s="71" customFormat="1" ht="15.75" customHeight="1">
      <c r="A6" s="72" t="s">
        <v>29</v>
      </c>
      <c r="B6" s="35" t="s">
        <v>54</v>
      </c>
      <c r="C6" s="73"/>
      <c r="D6" s="73"/>
      <c r="E6" s="73"/>
      <c r="F6" s="73"/>
      <c r="G6" s="74"/>
      <c r="H6" s="35" t="s">
        <v>55</v>
      </c>
      <c r="I6" s="73"/>
      <c r="J6" s="73"/>
      <c r="K6" s="73"/>
      <c r="L6" s="73"/>
      <c r="M6" s="73"/>
      <c r="N6" s="73"/>
      <c r="O6" s="74"/>
    </row>
    <row r="7" s="17" customFormat="1" ht="105">
      <c r="A7" s="75"/>
      <c r="B7" s="18" t="s">
        <v>56</v>
      </c>
      <c r="C7" s="18" t="s">
        <v>57</v>
      </c>
      <c r="D7" s="18" t="s">
        <v>58</v>
      </c>
      <c r="E7" s="18" t="s">
        <v>59</v>
      </c>
      <c r="F7" s="18" t="s">
        <v>60</v>
      </c>
      <c r="G7" s="76" t="s">
        <v>61</v>
      </c>
      <c r="H7" s="76" t="s">
        <v>62</v>
      </c>
      <c r="I7" s="76" t="s">
        <v>56</v>
      </c>
      <c r="J7" s="18" t="s">
        <v>57</v>
      </c>
      <c r="K7" s="18" t="s">
        <v>63</v>
      </c>
      <c r="L7" s="18" t="s">
        <v>64</v>
      </c>
      <c r="M7" s="76" t="s">
        <v>65</v>
      </c>
      <c r="N7" s="18" t="s">
        <v>66</v>
      </c>
      <c r="O7" s="18" t="s">
        <v>67</v>
      </c>
    </row>
    <row r="8" s="17" customFormat="1">
      <c r="A8" s="18">
        <v>1</v>
      </c>
      <c r="B8" s="18">
        <v>2</v>
      </c>
      <c r="C8" s="18">
        <v>3</v>
      </c>
      <c r="D8" s="18">
        <v>4</v>
      </c>
      <c r="E8" s="18">
        <v>5</v>
      </c>
      <c r="F8" s="18">
        <v>6</v>
      </c>
      <c r="G8" s="76">
        <v>7</v>
      </c>
      <c r="H8" s="18">
        <v>8</v>
      </c>
      <c r="I8" s="76">
        <v>9</v>
      </c>
      <c r="J8" s="18">
        <v>10</v>
      </c>
      <c r="K8" s="76">
        <v>11</v>
      </c>
      <c r="L8" s="18">
        <v>12</v>
      </c>
      <c r="M8" s="76">
        <v>13</v>
      </c>
      <c r="N8" s="18">
        <v>14</v>
      </c>
      <c r="O8" s="76">
        <v>15</v>
      </c>
    </row>
    <row r="9" s="3" customFormat="1">
      <c r="A9" s="77"/>
      <c r="B9" s="78"/>
      <c r="C9" s="79"/>
      <c r="D9" s="80"/>
      <c r="E9" s="18"/>
      <c r="F9" s="77"/>
      <c r="G9" s="81"/>
      <c r="H9" s="77"/>
      <c r="I9" s="77"/>
      <c r="J9" s="77"/>
      <c r="K9" s="80"/>
      <c r="L9" s="80"/>
      <c r="M9" s="81"/>
      <c r="N9" s="77"/>
      <c r="O9" s="80"/>
    </row>
    <row r="10" s="3" customFormat="1">
      <c r="A10" s="77"/>
      <c r="B10" s="77"/>
      <c r="C10" s="77"/>
      <c r="D10" s="77"/>
      <c r="E10" s="77"/>
      <c r="F10" s="77"/>
      <c r="G10" s="56"/>
      <c r="H10" s="77"/>
      <c r="I10" s="82"/>
      <c r="J10" s="83"/>
      <c r="K10" s="80"/>
      <c r="L10" s="80"/>
      <c r="M10" s="81"/>
      <c r="N10" s="82"/>
      <c r="O10" s="80"/>
    </row>
    <row r="11" ht="15.75">
      <c r="A11" s="83"/>
      <c r="B11" s="83"/>
      <c r="C11" s="83"/>
      <c r="D11" s="84"/>
      <c r="E11" s="83"/>
      <c r="F11" s="84"/>
      <c r="G11" s="85"/>
      <c r="H11" s="85"/>
      <c r="I11" s="82"/>
      <c r="J11" s="83"/>
      <c r="K11" s="80"/>
      <c r="L11" s="84"/>
      <c r="M11" s="85"/>
      <c r="N11" s="82"/>
      <c r="O11" s="84"/>
    </row>
    <row r="12" ht="15.75">
      <c r="A12" s="1"/>
      <c r="B12" s="1"/>
      <c r="C12" s="1"/>
      <c r="D12" s="2"/>
      <c r="E12" s="1"/>
      <c r="F12" s="2"/>
      <c r="G12" s="68"/>
      <c r="H12" s="68"/>
      <c r="I12" s="8"/>
      <c r="J12" s="1"/>
      <c r="K12" s="86"/>
      <c r="L12" s="2"/>
      <c r="M12" s="68"/>
      <c r="N12" s="8"/>
      <c r="O12" s="2"/>
    </row>
    <row r="13" ht="15.75">
      <c r="A13" s="8" t="s">
        <v>68</v>
      </c>
    </row>
    <row r="14" ht="29.449999999999999" customHeight="1">
      <c r="A14" s="87" t="s">
        <v>69</v>
      </c>
      <c r="B14" s="6" t="s">
        <v>70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99" customHeight="1">
      <c r="A15" s="87" t="s">
        <v>71</v>
      </c>
      <c r="B15" s="6" t="s">
        <v>72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>
      <c r="C16" s="8"/>
      <c r="J16" s="8"/>
    </row>
    <row r="17" ht="15.75">
      <c r="A17" s="9" t="s">
        <v>73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>
      <c r="B18" s="1"/>
      <c r="C18" s="1"/>
      <c r="D18" s="2"/>
      <c r="E18" s="1"/>
      <c r="F18" s="2"/>
      <c r="G18" s="68"/>
    </row>
    <row r="19" ht="120" customHeight="1">
      <c r="B19" s="41" t="s">
        <v>74</v>
      </c>
      <c r="C19" s="41"/>
      <c r="D19" s="41"/>
      <c r="E19" s="41"/>
      <c r="F19" s="2"/>
      <c r="G19" s="68"/>
      <c r="J19" s="43" t="s">
        <v>75</v>
      </c>
      <c r="K19" s="43"/>
      <c r="L19" s="43"/>
      <c r="M19" s="43"/>
      <c r="N19" s="67"/>
      <c r="O19" s="67"/>
      <c r="P19" s="67"/>
      <c r="Q19" s="67"/>
      <c r="R19" s="67"/>
      <c r="S19" s="67"/>
      <c r="T19" s="67"/>
      <c r="U19" s="67"/>
      <c r="V19" s="67"/>
    </row>
    <row r="20" ht="15.75">
      <c r="C20" s="88"/>
      <c r="D20" s="88"/>
      <c r="E20" s="88"/>
      <c r="F20" s="88"/>
      <c r="H20" s="88"/>
      <c r="I20" s="88"/>
      <c r="J20" s="88"/>
    </row>
    <row r="21" ht="15.75">
      <c r="C21" s="88"/>
      <c r="D21" s="88"/>
      <c r="E21" s="88"/>
      <c r="F21" s="88"/>
      <c r="H21" s="88"/>
      <c r="I21" s="88"/>
      <c r="J21" s="88"/>
    </row>
    <row r="22" ht="15.75">
      <c r="C22" s="88"/>
      <c r="D22" s="2"/>
      <c r="E22" s="1"/>
      <c r="F22" s="2"/>
      <c r="H22" s="68"/>
      <c r="I22" s="69"/>
      <c r="J22" s="88"/>
    </row>
  </sheetData>
  <mergeCells count="16">
    <mergeCell ref="M1:O1"/>
    <mergeCell ref="M2:O2"/>
    <mergeCell ref="A3:O3"/>
    <mergeCell ref="A4:O4"/>
    <mergeCell ref="A6:A7"/>
    <mergeCell ref="B6:G6"/>
    <mergeCell ref="H6:O6"/>
    <mergeCell ref="B14:O14"/>
    <mergeCell ref="B15:O15"/>
    <mergeCell ref="A17:O17"/>
    <mergeCell ref="B19:E19"/>
    <mergeCell ref="J19:M19"/>
    <mergeCell ref="C20:F20"/>
    <mergeCell ref="H20:J20"/>
    <mergeCell ref="C21:F21"/>
    <mergeCell ref="H21:J21"/>
  </mergeCells>
  <printOptions headings="0" gridLines="0"/>
  <pageMargins left="0" right="0" top="0" bottom="0" header="0.31496099999999999" footer="0.31496099999999999"/>
  <pageSetup paperSize="9" scale="85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Home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ERibalko</dc:creator>
  <cp:lastModifiedBy>larionova_av</cp:lastModifiedBy>
  <cp:revision>9</cp:revision>
  <dcterms:created xsi:type="dcterms:W3CDTF">2010-09-23T08:42:00Z</dcterms:created>
  <dcterms:modified xsi:type="dcterms:W3CDTF">2026-07-10T09:08:46Z</dcterms:modified>
  <cp:version>1048576</cp:version>
</cp:coreProperties>
</file>