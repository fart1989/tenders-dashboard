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ies\fs\PRM\AD01\Departments\UZIL\ОТдел ТНМО\2026 ЗАКУПКИ\09. Сентябрь\28.09 - 79-27 ОЗП (В2В) Поставка бесшовных труб (Шишкина)\05. Документация ОЗП 79-27\Приложение №1. Техническое задание\"/>
    </mc:Choice>
  </mc:AlternateContent>
  <bookViews>
    <workbookView xWindow="120" yWindow="75" windowWidth="19020" windowHeight="4335"/>
  </bookViews>
  <sheets>
    <sheet name="для проверки" sheetId="2" r:id="rId1"/>
  </sheets>
  <definedNames>
    <definedName name="_xlnm._FilterDatabase" localSheetId="0" hidden="1">'для проверки'!$A$7:$L$12</definedName>
  </definedNames>
  <calcPr calcId="162913"/>
</workbook>
</file>

<file path=xl/calcChain.xml><?xml version="1.0" encoding="utf-8"?>
<calcChain xmlns="http://schemas.openxmlformats.org/spreadsheetml/2006/main">
  <c r="C15" i="2" l="1"/>
  <c r="D12" i="2"/>
  <c r="I9" i="2"/>
  <c r="J9" i="2" s="1"/>
  <c r="I10" i="2"/>
  <c r="J10" i="2" s="1"/>
  <c r="I11" i="2"/>
  <c r="J11" i="2" s="1"/>
  <c r="I8" i="2"/>
  <c r="J8" i="2" s="1"/>
  <c r="J12" i="2" s="1"/>
  <c r="I12" i="2" l="1"/>
</calcChain>
</file>

<file path=xl/sharedStrings.xml><?xml version="1.0" encoding="utf-8"?>
<sst xmlns="http://schemas.openxmlformats.org/spreadsheetml/2006/main" count="57" uniqueCount="48">
  <si>
    <t>п/п</t>
  </si>
  <si>
    <t>№ п/п</t>
  </si>
  <si>
    <t>Ед. изм.</t>
  </si>
  <si>
    <t>Кол-во</t>
  </si>
  <si>
    <t>Сроки поставки</t>
  </si>
  <si>
    <t xml:space="preserve">Техническое задание </t>
  </si>
  <si>
    <t>Перечень и объемы закупаемой продукции.</t>
  </si>
  <si>
    <t>Показатель</t>
  </si>
  <si>
    <t>Описание</t>
  </si>
  <si>
    <t>Общие требования к условиям поставки</t>
  </si>
  <si>
    <t>Технические требования к продукции</t>
  </si>
  <si>
    <t>Подтверждение соответствия продукции предъявляемым требованиям</t>
  </si>
  <si>
    <t>Требования по порядку расчетов</t>
  </si>
  <si>
    <t>Таблица 1</t>
  </si>
  <si>
    <t>Наименование продукции</t>
  </si>
  <si>
    <t>Получатель</t>
  </si>
  <si>
    <t>Код МТР SAP</t>
  </si>
  <si>
    <t>Грузополучатель, реквизиты</t>
  </si>
  <si>
    <t xml:space="preserve">С учетом НДС                                                  </t>
  </si>
  <si>
    <t>Цена единицы, руб. без НДС</t>
  </si>
  <si>
    <t>Сумма, руб. без НДС</t>
  </si>
  <si>
    <t>Сумма, руб. c НДС</t>
  </si>
  <si>
    <t>Таблица 2</t>
  </si>
  <si>
    <t>на поставку труб стальных бесшовных</t>
  </si>
  <si>
    <t>ТРУБА 89Х4 СТ20 ГОСТ8732</t>
  </si>
  <si>
    <t xml:space="preserve">3.1.  Качество предлагаемой продукции должно быть подтверждено декларацией или сертификатом соответствия требованиям технического регламента Таможенного союза 032/2013 предоставляется в момент поствки продукции;
3.2 Сертификат качества на продукцию (предусмотренный заводом изготовителем), заверенный печатью поставщика должен быть предоставлены Грузополучателю до  момента поставки продукции по факсу, либо по электронной почте, а затем в момент поставки продукции с синей печатью поставщика.
3.3 Покупатель вправе проверить подлинность сертификата на заводе - изготовителе.                                                                                                   </t>
  </si>
  <si>
    <t>25006</t>
  </si>
  <si>
    <t>КОД ОКПД2</t>
  </si>
  <si>
    <t>Преимущество/запрет/ограничение допуска товаров, происходящих из иностранного государства</t>
  </si>
  <si>
    <t>преимущество</t>
  </si>
  <si>
    <t>ИТОГО</t>
  </si>
  <si>
    <t xml:space="preserve">Сумма НДС                                                     </t>
  </si>
  <si>
    <t>1.1.Продукция должна быть маркирована  и упакована в упаковку, обеспечивающую сохранность Продукции при перевозке, разгрузке и хранении, согласно ГОСТу, ТУ,   и другим нормативным документам. Маркировка должна быть на каждый тип и размер трубы в поставляемой партии.
1.2. Тара (упаковка) возврату не подлежит
1.3.Поставка осуществляетcя путем отгрузок Продукции  автомобильным транспортом силами и за счет Поставщика  до склада Грузополучателя.
1.4.Покупатель вправе уменьшить объем закупаемой продукции, указанный в тех.задании без увеличения стоимости со стороны Поставщика за единицу продукции.
1.5. Заказчик вправе отказаться от принятия Продукции по согласованной спецификации, если поставка по ней просрочена более, чем на десять календарных дней.                                                                                                                                                                                                                                                                                            
1.6. Допускается толеранс в поставке +10%/-5%  веса по договору или не менее/более  одной цельной трубы по каждой позиции.
1.7. Досрочная и укрупненная поставка может производить по согласованию с Заказчиком.</t>
  </si>
  <si>
    <t>5.1. Оплата Партии Продукции, производится Покупателем в следующем порядке:
СМСП: Оплата Партии Продукции производится Покупателем в течение 7 (Семи) рабочих дней с даты поставки Продукции (даты подписания Покупателем накладной по форме ТОРГ-12/Акта приема-передачи Продукции/УПД (Универсальный передаточный документ)) на основании выставленного Поставщиком счета. Счет-фактура выставляется Поставщиком в сроки и в соответствии с требованиями НК РФ.
Не относящиеся к СМСП: Оплата Партии Продукции производится Покупателем с отсрочкой платежа не менее 30 и не более 60 календарных дней с даты поставки Продукции (даты подписания Сторонами ТОРГ-12)/УПД при условии предоставления Покупателю полного комплекта документов на оплату Партии Продукции:
Оригинала товарной накладной (форма ТОРГ-12)/УПД на Продукцию, подписанной Сторонами – 2 экз.; 
Оригинала счета-фактуры/УПД– 1 экз. Счет-фактура выставляется Поставщиком в сроки и в соответствии с требованиями НК РФ.    
Расчеты по Договору производятся путем перечисления денежных средств на расчетный счет Поставщика, указанный в статье 10 настоящего Договора, а также могут иметь иную форму расчетов, не противоречащую законодательству РФ</t>
  </si>
  <si>
    <t>т</t>
  </si>
  <si>
    <t>ТРУБА 159Х6 СТ20 ГОСТ8732</t>
  </si>
  <si>
    <t>24665</t>
  </si>
  <si>
    <t xml:space="preserve">Обособленное подразделение ПАО "Т Плюс" (Березниковская ТЭЦ-2-для Березниковских ТС). Адрес: 618421, РФ, Пермский край, г.Березники, ул. Загородная , ИНН 6315376946, КПП 591145001    </t>
  </si>
  <si>
    <t>ТРУБА 108Х4 09Г2С ГОСТ8732</t>
  </si>
  <si>
    <t>ТРУБА 133Х4.5 09Г2С ГОСТ8732</t>
  </si>
  <si>
    <t>268434</t>
  </si>
  <si>
    <t>367692</t>
  </si>
  <si>
    <r>
      <t xml:space="preserve">для нужд Филиала "Пермский" ПАО "Т Плюс" </t>
    </r>
    <r>
      <rPr>
        <b/>
        <sz val="10"/>
        <color theme="1"/>
        <rFont val="Tahoma"/>
        <family val="2"/>
        <charset val="204"/>
      </rPr>
      <t xml:space="preserve">(9368626 Эксплуатация) </t>
    </r>
    <r>
      <rPr>
        <sz val="10"/>
        <color theme="1"/>
        <rFont val="Tahoma"/>
        <family val="2"/>
        <charset val="204"/>
      </rPr>
      <t xml:space="preserve"> 2027г.</t>
    </r>
  </si>
  <si>
    <t xml:space="preserve">2.1. Продукция должна соответствовать  ГОСТ 8732; СТ20; СТ09Г2С. Торцы труб с  толщиной  стенки  5мм и более должны иметь фаску под углом 25-30гр. Внутренний грат шва должен быть снят. 
2.2. Продукция должна быть новой, не бывшей в употреблении (эксплуатации, консервации). Должна быть изготовлена не ранее IV квартала 2025 года.
2.3. Продукция должна быть изготовлена в заводских условиях.
2.4. Гарантийный срок на Продукцию (далее – Гарантийный срок) составляет 24 (двадцать четыре) месяца с момента поставки Продукции Покупателю. Для Продукции, устанавливаемой на тепловых сетях - 10 (десять) лет с даты получения Покупателем Продукции.          
2.5. Возможность передачи работы по входному контролю качества Продукции  сервисным службам Филиала, независимым экспертным организациям или аттестованным лабораториям на основании Договора                                                                                                                          2.6. Аналоги не рассматриваются и не принимаются (ст. 3 п. 6.1 223-ФЗ "О закупках товаров, работ, услуг отдельными видами юридических лиц")                </t>
  </si>
  <si>
    <t xml:space="preserve">Обособленное подразделение ПАО "Т Плюс" (Березниковская ТЭЦ-2-для Березниковских ТС). Адрес: 618421, РФ, Пермский край, г.Березники, ул. Загородная , ИНН 6315376946, КПП 591145001 </t>
  </si>
  <si>
    <t>24.20.13.111</t>
  </si>
  <si>
    <t xml:space="preserve">Начальная (максимальная) цена без НДС  </t>
  </si>
  <si>
    <t xml:space="preserve">Начальная (максимальная) цена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</si>
</sst>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
    <numFmt numFmtId="165" formatCode="#,##0.00\ _₽"/>
    <numFmt numFmtId="166" formatCode="_-* #,##0.00\ _₽_-;\-* #,##0.00\ _₽_-;_-* &quot;-&quot;??\ _₽_-;_-@_-"/>
    <numFmt numFmtId="167" formatCode="_-* #,##0.000\ _₽_-;\-* #,##0.000\ _₽_-;_-* &quot;-&quot;???\ _₽_-;_-@_-"/>
  </numFmts>
  <fonts count="18" x14ac:knownFonts="1">
    <font>
      <sz val="11"/>
      <color theme="1"/>
      <name val="Calibri"/>
      <family val="2"/>
      <charset val="204"/>
      <scheme val="minor"/>
    </font>
    <font>
      <sz val="11"/>
      <color indexed="8"/>
      <name val="Calibri"/>
      <family val="2"/>
      <charset val="204"/>
    </font>
    <font>
      <b/>
      <sz val="10"/>
      <color theme="1"/>
      <name val="Tahoma"/>
      <family val="2"/>
      <charset val="204"/>
    </font>
    <font>
      <sz val="10"/>
      <color theme="1"/>
      <name val="Tahoma"/>
      <family val="2"/>
      <charset val="204"/>
    </font>
    <font>
      <sz val="10"/>
      <name val="Arial"/>
      <family val="2"/>
      <charset val="204"/>
    </font>
    <font>
      <b/>
      <sz val="9"/>
      <color theme="1"/>
      <name val="Tahoma"/>
      <family val="2"/>
      <charset val="204"/>
    </font>
    <font>
      <sz val="9"/>
      <color theme="1"/>
      <name val="Tahoma"/>
      <family val="2"/>
      <charset val="204"/>
    </font>
    <font>
      <sz val="8"/>
      <color rgb="FF000000"/>
      <name val="Tahoma"/>
      <family val="2"/>
      <charset val="204"/>
    </font>
    <font>
      <sz val="8"/>
      <color theme="1"/>
      <name val="Tahoma"/>
      <family val="2"/>
      <charset val="204"/>
    </font>
    <font>
      <sz val="8"/>
      <color indexed="8"/>
      <name val="Arial"/>
      <family val="2"/>
      <charset val="204"/>
    </font>
    <font>
      <b/>
      <sz val="8"/>
      <color theme="1"/>
      <name val="Tahoma"/>
      <family val="2"/>
      <charset val="204"/>
    </font>
    <font>
      <sz val="8"/>
      <color indexed="8"/>
      <name val="Tahoma"/>
      <family val="2"/>
      <charset val="204"/>
    </font>
    <font>
      <sz val="9"/>
      <color rgb="FF000000"/>
      <name val="Tahoma"/>
      <family val="2"/>
      <charset val="204"/>
    </font>
    <font>
      <b/>
      <sz val="9"/>
      <color indexed="8"/>
      <name val="Tahoma"/>
      <family val="2"/>
      <charset val="204"/>
    </font>
    <font>
      <b/>
      <sz val="9"/>
      <color rgb="FF000000"/>
      <name val="Tahoma"/>
      <family val="2"/>
      <charset val="204"/>
    </font>
    <font>
      <sz val="11"/>
      <color theme="1"/>
      <name val="Calibri"/>
      <family val="2"/>
      <charset val="204"/>
      <scheme val="minor"/>
    </font>
    <font>
      <sz val="10"/>
      <name val="Arial"/>
      <family val="2"/>
      <charset val="204"/>
    </font>
    <font>
      <sz val="10"/>
      <name val="Helv"/>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s>
  <cellStyleXfs count="8">
    <xf numFmtId="0" fontId="0" fillId="0" borderId="0"/>
    <xf numFmtId="0" fontId="1" fillId="0" borderId="0"/>
    <xf numFmtId="0" fontId="4" fillId="0" borderId="0"/>
    <xf numFmtId="0" fontId="6" fillId="0" borderId="1" applyFill="0">
      <alignment vertical="top" wrapText="1"/>
    </xf>
    <xf numFmtId="0" fontId="16" fillId="0" borderId="0"/>
    <xf numFmtId="0" fontId="17" fillId="0" borderId="0"/>
    <xf numFmtId="0" fontId="15" fillId="0" borderId="0"/>
    <xf numFmtId="0" fontId="15" fillId="0" borderId="0"/>
  </cellStyleXfs>
  <cellXfs count="82">
    <xf numFmtId="0" fontId="0" fillId="0" borderId="0" xfId="0"/>
    <xf numFmtId="0" fontId="3" fillId="0" borderId="0" xfId="0" applyFont="1" applyFill="1"/>
    <xf numFmtId="0" fontId="3" fillId="0" borderId="0" xfId="0" applyFont="1" applyFill="1" applyAlignment="1">
      <alignment horizontal="center"/>
    </xf>
    <xf numFmtId="0" fontId="2" fillId="2" borderId="0" xfId="0" applyFont="1" applyFill="1" applyAlignment="1"/>
    <xf numFmtId="0" fontId="2" fillId="2" borderId="0" xfId="0" applyFont="1" applyFill="1" applyAlignment="1">
      <alignment horizontal="center" vertical="center"/>
    </xf>
    <xf numFmtId="0" fontId="3" fillId="2" borderId="0" xfId="0" applyFont="1" applyFill="1"/>
    <xf numFmtId="0" fontId="2" fillId="2" borderId="1" xfId="0" applyFont="1" applyFill="1" applyBorder="1"/>
    <xf numFmtId="0" fontId="3" fillId="2" borderId="1" xfId="0" applyFont="1" applyFill="1" applyBorder="1" applyAlignment="1">
      <alignment horizontal="center" vertical="top"/>
    </xf>
    <xf numFmtId="0" fontId="3" fillId="2" borderId="4" xfId="0" applyFont="1" applyFill="1" applyBorder="1" applyAlignment="1">
      <alignment vertical="top" wrapText="1"/>
    </xf>
    <xf numFmtId="0" fontId="3" fillId="2" borderId="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0" xfId="0" applyFont="1" applyFill="1" applyAlignment="1">
      <alignment horizontal="center"/>
    </xf>
    <xf numFmtId="0" fontId="8" fillId="2" borderId="0" xfId="0" applyFont="1" applyFill="1" applyAlignment="1">
      <alignment horizontal="center" vertical="center"/>
    </xf>
    <xf numFmtId="164" fontId="9" fillId="2" borderId="0" xfId="0" applyNumberFormat="1" applyFont="1" applyFill="1" applyBorder="1" applyAlignment="1">
      <alignment horizontal="center" vertical="center" wrapText="1"/>
    </xf>
    <xf numFmtId="4" fontId="11" fillId="2" borderId="0" xfId="0" applyNumberFormat="1" applyFont="1" applyFill="1" applyBorder="1" applyAlignment="1">
      <alignment horizontal="center" vertical="center" wrapText="1"/>
    </xf>
    <xf numFmtId="2" fontId="10" fillId="2" borderId="0" xfId="0" applyNumberFormat="1" applyFont="1" applyFill="1" applyBorder="1" applyAlignment="1">
      <alignment horizontal="center" vertical="center"/>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8" fillId="2" borderId="0" xfId="0" applyFont="1" applyFill="1" applyAlignment="1">
      <alignment horizontal="center" vertical="center" wrapText="1"/>
    </xf>
    <xf numFmtId="2" fontId="3" fillId="2" borderId="0" xfId="0" applyNumberFormat="1" applyFont="1" applyFill="1" applyAlignment="1">
      <alignment horizontal="center" vertical="center"/>
    </xf>
    <xf numFmtId="0" fontId="6" fillId="2" borderId="0" xfId="0" applyFont="1" applyFill="1" applyBorder="1" applyAlignment="1">
      <alignment horizontal="center" vertical="center" wrapText="1"/>
    </xf>
    <xf numFmtId="2" fontId="12" fillId="2" borderId="1" xfId="0" applyNumberFormat="1" applyFont="1" applyFill="1" applyBorder="1" applyAlignment="1">
      <alignment horizontal="center" vertical="center" wrapText="1"/>
    </xf>
    <xf numFmtId="0" fontId="14" fillId="2" borderId="1" xfId="0" applyFont="1" applyFill="1" applyBorder="1" applyAlignment="1">
      <alignment vertical="center" wrapText="1"/>
    </xf>
    <xf numFmtId="14" fontId="13" fillId="2" borderId="1" xfId="0" applyNumberFormat="1" applyFont="1" applyFill="1" applyBorder="1" applyAlignment="1">
      <alignment horizontal="center" vertical="center"/>
    </xf>
    <xf numFmtId="49" fontId="13" fillId="2" borderId="1" xfId="0" applyNumberFormat="1" applyFont="1" applyFill="1" applyBorder="1" applyAlignment="1">
      <alignment horizontal="center" vertical="center"/>
    </xf>
    <xf numFmtId="4" fontId="13" fillId="2" borderId="1" xfId="0" applyNumberFormat="1" applyFont="1" applyFill="1" applyBorder="1" applyAlignment="1">
      <alignment horizontal="center" vertical="center"/>
    </xf>
    <xf numFmtId="165" fontId="14" fillId="2" borderId="1" xfId="0" applyNumberFormat="1" applyFont="1" applyFill="1" applyBorder="1" applyAlignment="1">
      <alignment horizontal="center" vertical="center" wrapText="1"/>
    </xf>
    <xf numFmtId="0" fontId="3" fillId="2" borderId="0" xfId="0" applyFont="1" applyFill="1" applyAlignment="1">
      <alignment horizontal="center"/>
    </xf>
    <xf numFmtId="0" fontId="3" fillId="2" borderId="1" xfId="0" applyFont="1" applyFill="1" applyBorder="1" applyAlignment="1">
      <alignment horizontal="center" vertical="center"/>
    </xf>
    <xf numFmtId="0" fontId="3" fillId="2" borderId="0" xfId="0" applyFont="1" applyFill="1" applyBorder="1" applyAlignment="1">
      <alignment horizontal="right"/>
    </xf>
    <xf numFmtId="0" fontId="2" fillId="2" borderId="0" xfId="0" applyFont="1" applyFill="1" applyBorder="1"/>
    <xf numFmtId="0" fontId="0" fillId="2" borderId="0" xfId="0" applyFill="1" applyBorder="1" applyAlignment="1"/>
    <xf numFmtId="0" fontId="3" fillId="2" borderId="0" xfId="0" applyFont="1" applyFill="1" applyBorder="1" applyAlignment="1">
      <alignment horizontal="left" vertical="center"/>
    </xf>
    <xf numFmtId="0" fontId="3" fillId="2" borderId="0" xfId="0" applyFont="1" applyFill="1" applyBorder="1" applyAlignment="1">
      <alignment horizontal="center" vertical="center"/>
    </xf>
    <xf numFmtId="0" fontId="3" fillId="2" borderId="0" xfId="0" applyFont="1" applyFill="1" applyAlignment="1">
      <alignment horizontal="center" vertical="center"/>
    </xf>
    <xf numFmtId="0" fontId="2" fillId="2" borderId="0" xfId="0" applyFont="1" applyFill="1" applyAlignment="1">
      <alignment horizontal="center"/>
    </xf>
    <xf numFmtId="0" fontId="3" fillId="2" borderId="0" xfId="0" applyFont="1" applyFill="1" applyAlignment="1">
      <alignment horizontal="center"/>
    </xf>
    <xf numFmtId="0" fontId="3" fillId="2" borderId="0" xfId="0" applyFont="1" applyFill="1" applyAlignment="1">
      <alignment horizontal="center" vertical="center" wrapText="1"/>
    </xf>
    <xf numFmtId="0" fontId="12" fillId="2" borderId="1" xfId="0" applyFont="1" applyFill="1" applyBorder="1" applyAlignment="1">
      <alignment vertical="center" wrapText="1"/>
    </xf>
    <xf numFmtId="0" fontId="3" fillId="2" borderId="0" xfId="0" applyFont="1" applyFill="1" applyAlignment="1">
      <alignment horizontal="center" vertical="center"/>
    </xf>
    <xf numFmtId="0" fontId="2" fillId="2" borderId="2" xfId="0" applyFont="1" applyFill="1" applyBorder="1" applyAlignment="1">
      <alignment horizontal="center" vertical="center"/>
    </xf>
    <xf numFmtId="0" fontId="3" fillId="2" borderId="2" xfId="0" applyFont="1" applyFill="1" applyBorder="1" applyAlignment="1">
      <alignment horizontal="left" vertical="center" wrapText="1"/>
    </xf>
    <xf numFmtId="0" fontId="12" fillId="2" borderId="1" xfId="0" applyFont="1" applyFill="1" applyBorder="1" applyAlignment="1">
      <alignment horizontal="center" vertical="center" wrapText="1"/>
    </xf>
    <xf numFmtId="0" fontId="6" fillId="0" borderId="1" xfId="0" applyFont="1" applyBorder="1" applyAlignment="1">
      <alignment horizontal="center" vertical="center"/>
    </xf>
    <xf numFmtId="167" fontId="6" fillId="0" borderId="1" xfId="0" applyNumberFormat="1" applyFont="1" applyBorder="1" applyAlignment="1">
      <alignment horizontal="center" vertical="center"/>
    </xf>
    <xf numFmtId="0" fontId="6" fillId="2" borderId="1" xfId="0" applyFont="1" applyFill="1" applyBorder="1" applyAlignment="1">
      <alignment horizontal="center" vertical="center" wrapText="1"/>
    </xf>
    <xf numFmtId="14" fontId="6" fillId="0" borderId="1" xfId="0" applyNumberFormat="1" applyFont="1" applyBorder="1" applyAlignment="1">
      <alignment horizontal="center" vertical="center"/>
    </xf>
    <xf numFmtId="4" fontId="6" fillId="0" borderId="0" xfId="0" applyNumberFormat="1" applyFont="1" applyAlignment="1">
      <alignment horizontal="center" vertical="center"/>
    </xf>
    <xf numFmtId="166" fontId="12" fillId="2" borderId="1" xfId="0" applyNumberFormat="1" applyFont="1" applyFill="1" applyBorder="1" applyAlignment="1">
      <alignment vertical="center" wrapText="1"/>
    </xf>
    <xf numFmtId="166" fontId="12" fillId="2" borderId="1" xfId="0" applyNumberFormat="1" applyFont="1" applyFill="1" applyBorder="1" applyAlignment="1">
      <alignment horizontal="center" vertical="center" wrapText="1"/>
    </xf>
    <xf numFmtId="0" fontId="6" fillId="0" borderId="0" xfId="0" applyFont="1" applyAlignment="1">
      <alignment horizontal="center" vertical="center"/>
    </xf>
    <xf numFmtId="167" fontId="5" fillId="0" borderId="1" xfId="0" applyNumberFormat="1" applyFont="1" applyBorder="1" applyAlignment="1">
      <alignment horizontal="center" vertical="center"/>
    </xf>
    <xf numFmtId="0" fontId="5" fillId="2" borderId="1" xfId="0" applyFont="1" applyFill="1" applyBorder="1" applyAlignment="1">
      <alignment horizontal="center" vertical="center" wrapText="1"/>
    </xf>
    <xf numFmtId="4" fontId="3" fillId="2" borderId="0" xfId="0" applyNumberFormat="1" applyFont="1" applyFill="1" applyAlignment="1">
      <alignment horizontal="left" vertical="center" wrapText="1"/>
    </xf>
    <xf numFmtId="0" fontId="8" fillId="2" borderId="0" xfId="0" applyFont="1" applyFill="1" applyAlignment="1">
      <alignment horizontal="left" vertical="center" wrapText="1"/>
    </xf>
    <xf numFmtId="0" fontId="3" fillId="2" borderId="0" xfId="0" applyFont="1" applyFill="1" applyAlignment="1">
      <alignment horizontal="center" vertical="center"/>
    </xf>
    <xf numFmtId="0" fontId="3" fillId="2" borderId="1" xfId="0" applyFont="1" applyFill="1" applyBorder="1" applyAlignment="1">
      <alignment horizontal="left" vertical="center" wrapText="1"/>
    </xf>
    <xf numFmtId="0" fontId="3" fillId="2" borderId="1" xfId="0" applyFont="1" applyFill="1" applyBorder="1" applyAlignment="1">
      <alignment horizontal="left" vertical="center"/>
    </xf>
    <xf numFmtId="0" fontId="0" fillId="2" borderId="1" xfId="0" applyFill="1" applyBorder="1" applyAlignment="1">
      <alignment horizontal="left" vertical="center"/>
    </xf>
    <xf numFmtId="0" fontId="2" fillId="2" borderId="0" xfId="0" applyFont="1" applyFill="1" applyAlignment="1">
      <alignment horizontal="center"/>
    </xf>
    <xf numFmtId="0" fontId="2" fillId="2" borderId="0" xfId="0" applyFont="1" applyFill="1" applyAlignment="1">
      <alignment horizontal="center" wrapText="1"/>
    </xf>
    <xf numFmtId="0" fontId="3" fillId="2" borderId="0" xfId="0" applyFont="1" applyFill="1" applyAlignment="1">
      <alignment horizontal="center"/>
    </xf>
    <xf numFmtId="0" fontId="3" fillId="2" borderId="0" xfId="0" applyFont="1" applyFill="1" applyAlignment="1">
      <alignment horizontal="center" wrapText="1"/>
    </xf>
    <xf numFmtId="0" fontId="3" fillId="2" borderId="0" xfId="0" applyFont="1" applyFill="1" applyAlignment="1"/>
    <xf numFmtId="0" fontId="3" fillId="2" borderId="0" xfId="0" applyFont="1" applyFill="1" applyAlignment="1">
      <alignment wrapText="1"/>
    </xf>
    <xf numFmtId="0" fontId="3" fillId="2" borderId="3" xfId="0" applyFont="1" applyFill="1" applyBorder="1" applyAlignment="1">
      <alignment horizontal="center" vertical="center"/>
    </xf>
    <xf numFmtId="0" fontId="12" fillId="2" borderId="4"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3" fillId="2" borderId="0" xfId="0" applyFont="1" applyFill="1" applyAlignment="1">
      <alignment horizontal="left" vertical="center" wrapText="1"/>
    </xf>
    <xf numFmtId="4" fontId="3" fillId="2" borderId="0" xfId="0" applyNumberFormat="1" applyFont="1" applyFill="1" applyAlignment="1">
      <alignment horizontal="left" vertical="center"/>
    </xf>
    <xf numFmtId="0" fontId="3" fillId="2" borderId="0" xfId="0" applyFont="1" applyFill="1" applyAlignment="1">
      <alignment horizontal="left" vertical="center"/>
    </xf>
    <xf numFmtId="0" fontId="3" fillId="2" borderId="0"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0" fillId="2" borderId="1" xfId="0" applyFill="1" applyBorder="1" applyAlignment="1">
      <alignment horizontal="center" vertical="center"/>
    </xf>
    <xf numFmtId="0" fontId="0" fillId="2" borderId="1" xfId="0" applyFont="1" applyFill="1" applyBorder="1" applyAlignment="1">
      <alignment horizontal="left" vertical="center"/>
    </xf>
    <xf numFmtId="0" fontId="14" fillId="2" borderId="2" xfId="0" applyFont="1" applyFill="1" applyBorder="1" applyAlignment="1">
      <alignment horizontal="center" vertical="center" wrapText="1"/>
    </xf>
    <xf numFmtId="0" fontId="14" fillId="2" borderId="6" xfId="0" applyFont="1" applyFill="1" applyBorder="1" applyAlignment="1">
      <alignment horizontal="center" vertical="center" wrapText="1"/>
    </xf>
    <xf numFmtId="4" fontId="3" fillId="2" borderId="1" xfId="0" applyNumberFormat="1" applyFont="1" applyFill="1" applyBorder="1" applyAlignment="1">
      <alignment horizontal="left" vertical="center" wrapText="1"/>
    </xf>
    <xf numFmtId="0" fontId="3" fillId="2" borderId="0" xfId="0" applyFont="1" applyFill="1" applyBorder="1" applyAlignment="1">
      <alignment horizontal="left" vertical="center"/>
    </xf>
  </cellXfs>
  <cellStyles count="8">
    <cellStyle name="=C:\WINNT35\SYSTEM32\COMMAND.COM" xfId="1"/>
    <cellStyle name="Обычный" xfId="0" builtinId="0"/>
    <cellStyle name="Обычный 2" xfId="6"/>
    <cellStyle name="Обычный 3" xfId="7"/>
    <cellStyle name="Обычный 4" xfId="2"/>
    <cellStyle name="Обычный 5" xfId="4"/>
    <cellStyle name="Стиль 1" xfId="3"/>
    <cellStyle name="Стиль 1 2" xf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4002</xdr:colOff>
      <xdr:row>12</xdr:row>
      <xdr:rowOff>0</xdr:rowOff>
    </xdr:from>
    <xdr:ext cx="85725" cy="906273"/>
    <xdr:pic>
      <xdr:nvPicPr>
        <xdr:cNvPr id="2"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377"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4002</xdr:colOff>
      <xdr:row>12</xdr:row>
      <xdr:rowOff>0</xdr:rowOff>
    </xdr:from>
    <xdr:ext cx="85725" cy="906273"/>
    <xdr:pic>
      <xdr:nvPicPr>
        <xdr:cNvPr id="3"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377"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4002</xdr:colOff>
      <xdr:row>12</xdr:row>
      <xdr:rowOff>0</xdr:rowOff>
    </xdr:from>
    <xdr:ext cx="85725" cy="906273"/>
    <xdr:pic>
      <xdr:nvPicPr>
        <xdr:cNvPr id="4"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377"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12</xdr:row>
      <xdr:rowOff>0</xdr:rowOff>
    </xdr:from>
    <xdr:ext cx="85725" cy="906273"/>
    <xdr:pic>
      <xdr:nvPicPr>
        <xdr:cNvPr id="5"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011293"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6</xdr:col>
      <xdr:colOff>0</xdr:colOff>
      <xdr:row>12</xdr:row>
      <xdr:rowOff>0</xdr:rowOff>
    </xdr:from>
    <xdr:to>
      <xdr:col>6</xdr:col>
      <xdr:colOff>64407</xdr:colOff>
      <xdr:row>14</xdr:row>
      <xdr:rowOff>117433</xdr:rowOff>
    </xdr:to>
    <xdr:sp macro="" textlink="">
      <xdr:nvSpPr>
        <xdr:cNvPr id="6" name="AutoShape 1" descr="image001"/>
        <xdr:cNvSpPr>
          <a:spLocks noChangeAspect="1" noChangeArrowheads="1"/>
        </xdr:cNvSpPr>
      </xdr:nvSpPr>
      <xdr:spPr bwMode="auto">
        <a:xfrm>
          <a:off x="7886700" y="132464175"/>
          <a:ext cx="64407" cy="668824"/>
        </a:xfrm>
        <a:prstGeom prst="rect">
          <a:avLst/>
        </a:prstGeom>
        <a:noFill/>
      </xdr:spPr>
    </xdr:sp>
    <xdr:clientData/>
  </xdr:twoCellAnchor>
  <xdr:twoCellAnchor editAs="oneCell">
    <xdr:from>
      <xdr:col>6</xdr:col>
      <xdr:colOff>0</xdr:colOff>
      <xdr:row>12</xdr:row>
      <xdr:rowOff>0</xdr:rowOff>
    </xdr:from>
    <xdr:to>
      <xdr:col>6</xdr:col>
      <xdr:colOff>64407</xdr:colOff>
      <xdr:row>14</xdr:row>
      <xdr:rowOff>105833</xdr:rowOff>
    </xdr:to>
    <xdr:sp macro="" textlink="">
      <xdr:nvSpPr>
        <xdr:cNvPr id="7"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6</xdr:col>
      <xdr:colOff>0</xdr:colOff>
      <xdr:row>12</xdr:row>
      <xdr:rowOff>0</xdr:rowOff>
    </xdr:from>
    <xdr:to>
      <xdr:col>6</xdr:col>
      <xdr:colOff>64407</xdr:colOff>
      <xdr:row>14</xdr:row>
      <xdr:rowOff>105833</xdr:rowOff>
    </xdr:to>
    <xdr:sp macro="" textlink="">
      <xdr:nvSpPr>
        <xdr:cNvPr id="8"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6</xdr:col>
      <xdr:colOff>0</xdr:colOff>
      <xdr:row>12</xdr:row>
      <xdr:rowOff>0</xdr:rowOff>
    </xdr:from>
    <xdr:to>
      <xdr:col>6</xdr:col>
      <xdr:colOff>64407</xdr:colOff>
      <xdr:row>14</xdr:row>
      <xdr:rowOff>105833</xdr:rowOff>
    </xdr:to>
    <xdr:sp macro="" textlink="">
      <xdr:nvSpPr>
        <xdr:cNvPr id="9"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6</xdr:col>
      <xdr:colOff>0</xdr:colOff>
      <xdr:row>12</xdr:row>
      <xdr:rowOff>0</xdr:rowOff>
    </xdr:from>
    <xdr:to>
      <xdr:col>6</xdr:col>
      <xdr:colOff>85725</xdr:colOff>
      <xdr:row>14</xdr:row>
      <xdr:rowOff>133307</xdr:rowOff>
    </xdr:to>
    <xdr:pic>
      <xdr:nvPicPr>
        <xdr:cNvPr id="10"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140111</xdr:rowOff>
    </xdr:to>
    <xdr:pic>
      <xdr:nvPicPr>
        <xdr:cNvPr id="11"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121061</xdr:rowOff>
    </xdr:to>
    <xdr:pic>
      <xdr:nvPicPr>
        <xdr:cNvPr id="12"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24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168686</xdr:rowOff>
    </xdr:to>
    <xdr:pic>
      <xdr:nvPicPr>
        <xdr:cNvPr id="13"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142833</xdr:rowOff>
    </xdr:to>
    <xdr:pic>
      <xdr:nvPicPr>
        <xdr:cNvPr id="14"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133308</xdr:rowOff>
    </xdr:to>
    <xdr:pic>
      <xdr:nvPicPr>
        <xdr:cNvPr id="15"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133307</xdr:rowOff>
    </xdr:to>
    <xdr:pic>
      <xdr:nvPicPr>
        <xdr:cNvPr id="16"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133307</xdr:rowOff>
    </xdr:to>
    <xdr:pic>
      <xdr:nvPicPr>
        <xdr:cNvPr id="17"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168685</xdr:rowOff>
    </xdr:to>
    <xdr:pic>
      <xdr:nvPicPr>
        <xdr:cNvPr id="18"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142832</xdr:rowOff>
    </xdr:to>
    <xdr:pic>
      <xdr:nvPicPr>
        <xdr:cNvPr id="19"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133307</xdr:rowOff>
    </xdr:to>
    <xdr:pic>
      <xdr:nvPicPr>
        <xdr:cNvPr id="20"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156440</xdr:rowOff>
    </xdr:to>
    <xdr:pic>
      <xdr:nvPicPr>
        <xdr:cNvPr id="21"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15</xdr:row>
      <xdr:rowOff>74797</xdr:rowOff>
    </xdr:to>
    <xdr:pic>
      <xdr:nvPicPr>
        <xdr:cNvPr id="22"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156440</xdr:rowOff>
    </xdr:to>
    <xdr:pic>
      <xdr:nvPicPr>
        <xdr:cNvPr id="23"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156439</xdr:rowOff>
    </xdr:to>
    <xdr:pic>
      <xdr:nvPicPr>
        <xdr:cNvPr id="24"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15</xdr:row>
      <xdr:rowOff>74797</xdr:rowOff>
    </xdr:to>
    <xdr:pic>
      <xdr:nvPicPr>
        <xdr:cNvPr id="25"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156439</xdr:rowOff>
    </xdr:to>
    <xdr:pic>
      <xdr:nvPicPr>
        <xdr:cNvPr id="26"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160521</xdr:rowOff>
    </xdr:to>
    <xdr:pic>
      <xdr:nvPicPr>
        <xdr:cNvPr id="27"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149635</xdr:rowOff>
    </xdr:to>
    <xdr:pic>
      <xdr:nvPicPr>
        <xdr:cNvPr id="28"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10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95661</xdr:rowOff>
    </xdr:to>
    <xdr:pic>
      <xdr:nvPicPr>
        <xdr:cNvPr id="29"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38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140111</xdr:rowOff>
    </xdr:to>
    <xdr:pic>
      <xdr:nvPicPr>
        <xdr:cNvPr id="30"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142832</xdr:rowOff>
    </xdr:to>
    <xdr:pic>
      <xdr:nvPicPr>
        <xdr:cNvPr id="31"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64407</xdr:colOff>
      <xdr:row>14</xdr:row>
      <xdr:rowOff>117433</xdr:rowOff>
    </xdr:to>
    <xdr:sp macro="" textlink="">
      <xdr:nvSpPr>
        <xdr:cNvPr id="32" name="AutoShape 1" descr="image001"/>
        <xdr:cNvSpPr>
          <a:spLocks noChangeAspect="1" noChangeArrowheads="1"/>
        </xdr:cNvSpPr>
      </xdr:nvSpPr>
      <xdr:spPr bwMode="auto">
        <a:xfrm>
          <a:off x="7886700" y="132464175"/>
          <a:ext cx="64407" cy="668824"/>
        </a:xfrm>
        <a:prstGeom prst="rect">
          <a:avLst/>
        </a:prstGeom>
        <a:noFill/>
      </xdr:spPr>
    </xdr:sp>
    <xdr:clientData/>
  </xdr:twoCellAnchor>
  <xdr:twoCellAnchor editAs="oneCell">
    <xdr:from>
      <xdr:col>6</xdr:col>
      <xdr:colOff>0</xdr:colOff>
      <xdr:row>12</xdr:row>
      <xdr:rowOff>0</xdr:rowOff>
    </xdr:from>
    <xdr:to>
      <xdr:col>6</xdr:col>
      <xdr:colOff>64407</xdr:colOff>
      <xdr:row>14</xdr:row>
      <xdr:rowOff>105833</xdr:rowOff>
    </xdr:to>
    <xdr:sp macro="" textlink="">
      <xdr:nvSpPr>
        <xdr:cNvPr id="33"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6</xdr:col>
      <xdr:colOff>0</xdr:colOff>
      <xdr:row>12</xdr:row>
      <xdr:rowOff>0</xdr:rowOff>
    </xdr:from>
    <xdr:to>
      <xdr:col>6</xdr:col>
      <xdr:colOff>64407</xdr:colOff>
      <xdr:row>14</xdr:row>
      <xdr:rowOff>105833</xdr:rowOff>
    </xdr:to>
    <xdr:sp macro="" textlink="">
      <xdr:nvSpPr>
        <xdr:cNvPr id="34"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6</xdr:col>
      <xdr:colOff>0</xdr:colOff>
      <xdr:row>12</xdr:row>
      <xdr:rowOff>0</xdr:rowOff>
    </xdr:from>
    <xdr:to>
      <xdr:col>6</xdr:col>
      <xdr:colOff>64407</xdr:colOff>
      <xdr:row>14</xdr:row>
      <xdr:rowOff>105833</xdr:rowOff>
    </xdr:to>
    <xdr:sp macro="" textlink="">
      <xdr:nvSpPr>
        <xdr:cNvPr id="35"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6</xdr:col>
      <xdr:colOff>0</xdr:colOff>
      <xdr:row>12</xdr:row>
      <xdr:rowOff>0</xdr:rowOff>
    </xdr:from>
    <xdr:to>
      <xdr:col>6</xdr:col>
      <xdr:colOff>85725</xdr:colOff>
      <xdr:row>14</xdr:row>
      <xdr:rowOff>133307</xdr:rowOff>
    </xdr:to>
    <xdr:pic>
      <xdr:nvPicPr>
        <xdr:cNvPr id="36"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140111</xdr:rowOff>
    </xdr:to>
    <xdr:pic>
      <xdr:nvPicPr>
        <xdr:cNvPr id="37"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121061</xdr:rowOff>
    </xdr:to>
    <xdr:pic>
      <xdr:nvPicPr>
        <xdr:cNvPr id="38"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24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168686</xdr:rowOff>
    </xdr:to>
    <xdr:pic>
      <xdr:nvPicPr>
        <xdr:cNvPr id="39"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142833</xdr:rowOff>
    </xdr:to>
    <xdr:pic>
      <xdr:nvPicPr>
        <xdr:cNvPr id="40"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133308</xdr:rowOff>
    </xdr:to>
    <xdr:pic>
      <xdr:nvPicPr>
        <xdr:cNvPr id="41"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133307</xdr:rowOff>
    </xdr:to>
    <xdr:pic>
      <xdr:nvPicPr>
        <xdr:cNvPr id="42"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133307</xdr:rowOff>
    </xdr:to>
    <xdr:pic>
      <xdr:nvPicPr>
        <xdr:cNvPr id="43"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168685</xdr:rowOff>
    </xdr:to>
    <xdr:pic>
      <xdr:nvPicPr>
        <xdr:cNvPr id="44"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142832</xdr:rowOff>
    </xdr:to>
    <xdr:pic>
      <xdr:nvPicPr>
        <xdr:cNvPr id="45"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133307</xdr:rowOff>
    </xdr:to>
    <xdr:pic>
      <xdr:nvPicPr>
        <xdr:cNvPr id="46"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156440</xdr:rowOff>
    </xdr:to>
    <xdr:pic>
      <xdr:nvPicPr>
        <xdr:cNvPr id="47"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15</xdr:row>
      <xdr:rowOff>74797</xdr:rowOff>
    </xdr:to>
    <xdr:pic>
      <xdr:nvPicPr>
        <xdr:cNvPr id="48"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156440</xdr:rowOff>
    </xdr:to>
    <xdr:pic>
      <xdr:nvPicPr>
        <xdr:cNvPr id="49"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156439</xdr:rowOff>
    </xdr:to>
    <xdr:pic>
      <xdr:nvPicPr>
        <xdr:cNvPr id="50"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15</xdr:row>
      <xdr:rowOff>74797</xdr:rowOff>
    </xdr:to>
    <xdr:pic>
      <xdr:nvPicPr>
        <xdr:cNvPr id="51"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156439</xdr:rowOff>
    </xdr:to>
    <xdr:pic>
      <xdr:nvPicPr>
        <xdr:cNvPr id="52"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160521</xdr:rowOff>
    </xdr:to>
    <xdr:pic>
      <xdr:nvPicPr>
        <xdr:cNvPr id="53"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149635</xdr:rowOff>
    </xdr:to>
    <xdr:pic>
      <xdr:nvPicPr>
        <xdr:cNvPr id="54"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10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95661</xdr:rowOff>
    </xdr:to>
    <xdr:pic>
      <xdr:nvPicPr>
        <xdr:cNvPr id="55"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38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140111</xdr:rowOff>
    </xdr:to>
    <xdr:pic>
      <xdr:nvPicPr>
        <xdr:cNvPr id="56"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142832</xdr:rowOff>
    </xdr:to>
    <xdr:pic>
      <xdr:nvPicPr>
        <xdr:cNvPr id="57"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64407</xdr:colOff>
      <xdr:row>14</xdr:row>
      <xdr:rowOff>117432</xdr:rowOff>
    </xdr:to>
    <xdr:sp macro="" textlink="">
      <xdr:nvSpPr>
        <xdr:cNvPr id="58" name="AutoShape 1" descr="image001"/>
        <xdr:cNvSpPr>
          <a:spLocks noChangeAspect="1" noChangeArrowheads="1"/>
        </xdr:cNvSpPr>
      </xdr:nvSpPr>
      <xdr:spPr bwMode="auto">
        <a:xfrm>
          <a:off x="7886700" y="132464175"/>
          <a:ext cx="64407" cy="668823"/>
        </a:xfrm>
        <a:prstGeom prst="rect">
          <a:avLst/>
        </a:prstGeom>
        <a:noFill/>
      </xdr:spPr>
    </xdr:sp>
    <xdr:clientData/>
  </xdr:twoCellAnchor>
  <xdr:twoCellAnchor editAs="oneCell">
    <xdr:from>
      <xdr:col>6</xdr:col>
      <xdr:colOff>0</xdr:colOff>
      <xdr:row>12</xdr:row>
      <xdr:rowOff>0</xdr:rowOff>
    </xdr:from>
    <xdr:to>
      <xdr:col>6</xdr:col>
      <xdr:colOff>64407</xdr:colOff>
      <xdr:row>14</xdr:row>
      <xdr:rowOff>105833</xdr:rowOff>
    </xdr:to>
    <xdr:sp macro="" textlink="">
      <xdr:nvSpPr>
        <xdr:cNvPr id="59"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6</xdr:col>
      <xdr:colOff>0</xdr:colOff>
      <xdr:row>12</xdr:row>
      <xdr:rowOff>0</xdr:rowOff>
    </xdr:from>
    <xdr:to>
      <xdr:col>6</xdr:col>
      <xdr:colOff>64407</xdr:colOff>
      <xdr:row>14</xdr:row>
      <xdr:rowOff>105833</xdr:rowOff>
    </xdr:to>
    <xdr:sp macro="" textlink="">
      <xdr:nvSpPr>
        <xdr:cNvPr id="60"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6</xdr:col>
      <xdr:colOff>0</xdr:colOff>
      <xdr:row>12</xdr:row>
      <xdr:rowOff>0</xdr:rowOff>
    </xdr:from>
    <xdr:to>
      <xdr:col>6</xdr:col>
      <xdr:colOff>64407</xdr:colOff>
      <xdr:row>14</xdr:row>
      <xdr:rowOff>105833</xdr:rowOff>
    </xdr:to>
    <xdr:sp macro="" textlink="">
      <xdr:nvSpPr>
        <xdr:cNvPr id="61"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6</xdr:col>
      <xdr:colOff>0</xdr:colOff>
      <xdr:row>12</xdr:row>
      <xdr:rowOff>0</xdr:rowOff>
    </xdr:from>
    <xdr:to>
      <xdr:col>6</xdr:col>
      <xdr:colOff>85725</xdr:colOff>
      <xdr:row>14</xdr:row>
      <xdr:rowOff>133306</xdr:rowOff>
    </xdr:to>
    <xdr:pic>
      <xdr:nvPicPr>
        <xdr:cNvPr id="62"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140110</xdr:rowOff>
    </xdr:to>
    <xdr:pic>
      <xdr:nvPicPr>
        <xdr:cNvPr id="63"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121060</xdr:rowOff>
    </xdr:to>
    <xdr:pic>
      <xdr:nvPicPr>
        <xdr:cNvPr id="64"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24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168685</xdr:rowOff>
    </xdr:to>
    <xdr:pic>
      <xdr:nvPicPr>
        <xdr:cNvPr id="65"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142832</xdr:rowOff>
    </xdr:to>
    <xdr:pic>
      <xdr:nvPicPr>
        <xdr:cNvPr id="66"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133307</xdr:rowOff>
    </xdr:to>
    <xdr:pic>
      <xdr:nvPicPr>
        <xdr:cNvPr id="67"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133306</xdr:rowOff>
    </xdr:to>
    <xdr:pic>
      <xdr:nvPicPr>
        <xdr:cNvPr id="68"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133306</xdr:rowOff>
    </xdr:to>
    <xdr:pic>
      <xdr:nvPicPr>
        <xdr:cNvPr id="69"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168684</xdr:rowOff>
    </xdr:to>
    <xdr:pic>
      <xdr:nvPicPr>
        <xdr:cNvPr id="70"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142831</xdr:rowOff>
    </xdr:to>
    <xdr:pic>
      <xdr:nvPicPr>
        <xdr:cNvPr id="71"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133306</xdr:rowOff>
    </xdr:to>
    <xdr:pic>
      <xdr:nvPicPr>
        <xdr:cNvPr id="72"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156439</xdr:rowOff>
    </xdr:to>
    <xdr:pic>
      <xdr:nvPicPr>
        <xdr:cNvPr id="73"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15</xdr:row>
      <xdr:rowOff>74796</xdr:rowOff>
    </xdr:to>
    <xdr:pic>
      <xdr:nvPicPr>
        <xdr:cNvPr id="74"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156439</xdr:rowOff>
    </xdr:to>
    <xdr:pic>
      <xdr:nvPicPr>
        <xdr:cNvPr id="75"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156438</xdr:rowOff>
    </xdr:to>
    <xdr:pic>
      <xdr:nvPicPr>
        <xdr:cNvPr id="76"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15</xdr:row>
      <xdr:rowOff>74796</xdr:rowOff>
    </xdr:to>
    <xdr:pic>
      <xdr:nvPicPr>
        <xdr:cNvPr id="77"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156438</xdr:rowOff>
    </xdr:to>
    <xdr:pic>
      <xdr:nvPicPr>
        <xdr:cNvPr id="78"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160520</xdr:rowOff>
    </xdr:to>
    <xdr:pic>
      <xdr:nvPicPr>
        <xdr:cNvPr id="79"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149634</xdr:rowOff>
    </xdr:to>
    <xdr:pic>
      <xdr:nvPicPr>
        <xdr:cNvPr id="80"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95660</xdr:rowOff>
    </xdr:to>
    <xdr:pic>
      <xdr:nvPicPr>
        <xdr:cNvPr id="81"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38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140110</xdr:rowOff>
    </xdr:to>
    <xdr:pic>
      <xdr:nvPicPr>
        <xdr:cNvPr id="82"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142831</xdr:rowOff>
    </xdr:to>
    <xdr:pic>
      <xdr:nvPicPr>
        <xdr:cNvPr id="83"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64407</xdr:colOff>
      <xdr:row>14</xdr:row>
      <xdr:rowOff>117432</xdr:rowOff>
    </xdr:to>
    <xdr:sp macro="" textlink="">
      <xdr:nvSpPr>
        <xdr:cNvPr id="84" name="AutoShape 1" descr="image001"/>
        <xdr:cNvSpPr>
          <a:spLocks noChangeAspect="1" noChangeArrowheads="1"/>
        </xdr:cNvSpPr>
      </xdr:nvSpPr>
      <xdr:spPr bwMode="auto">
        <a:xfrm>
          <a:off x="7886700" y="132464175"/>
          <a:ext cx="64407" cy="668823"/>
        </a:xfrm>
        <a:prstGeom prst="rect">
          <a:avLst/>
        </a:prstGeom>
        <a:noFill/>
      </xdr:spPr>
    </xdr:sp>
    <xdr:clientData/>
  </xdr:twoCellAnchor>
  <xdr:twoCellAnchor editAs="oneCell">
    <xdr:from>
      <xdr:col>6</xdr:col>
      <xdr:colOff>0</xdr:colOff>
      <xdr:row>12</xdr:row>
      <xdr:rowOff>0</xdr:rowOff>
    </xdr:from>
    <xdr:to>
      <xdr:col>6</xdr:col>
      <xdr:colOff>64407</xdr:colOff>
      <xdr:row>14</xdr:row>
      <xdr:rowOff>105833</xdr:rowOff>
    </xdr:to>
    <xdr:sp macro="" textlink="">
      <xdr:nvSpPr>
        <xdr:cNvPr id="85"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6</xdr:col>
      <xdr:colOff>0</xdr:colOff>
      <xdr:row>12</xdr:row>
      <xdr:rowOff>0</xdr:rowOff>
    </xdr:from>
    <xdr:to>
      <xdr:col>6</xdr:col>
      <xdr:colOff>64407</xdr:colOff>
      <xdr:row>14</xdr:row>
      <xdr:rowOff>105833</xdr:rowOff>
    </xdr:to>
    <xdr:sp macro="" textlink="">
      <xdr:nvSpPr>
        <xdr:cNvPr id="86"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6</xdr:col>
      <xdr:colOff>0</xdr:colOff>
      <xdr:row>12</xdr:row>
      <xdr:rowOff>0</xdr:rowOff>
    </xdr:from>
    <xdr:to>
      <xdr:col>6</xdr:col>
      <xdr:colOff>64407</xdr:colOff>
      <xdr:row>14</xdr:row>
      <xdr:rowOff>105833</xdr:rowOff>
    </xdr:to>
    <xdr:sp macro="" textlink="">
      <xdr:nvSpPr>
        <xdr:cNvPr id="87"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6</xdr:col>
      <xdr:colOff>0</xdr:colOff>
      <xdr:row>12</xdr:row>
      <xdr:rowOff>0</xdr:rowOff>
    </xdr:from>
    <xdr:to>
      <xdr:col>6</xdr:col>
      <xdr:colOff>85725</xdr:colOff>
      <xdr:row>14</xdr:row>
      <xdr:rowOff>133306</xdr:rowOff>
    </xdr:to>
    <xdr:pic>
      <xdr:nvPicPr>
        <xdr:cNvPr id="88"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140110</xdr:rowOff>
    </xdr:to>
    <xdr:pic>
      <xdr:nvPicPr>
        <xdr:cNvPr id="89"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121060</xdr:rowOff>
    </xdr:to>
    <xdr:pic>
      <xdr:nvPicPr>
        <xdr:cNvPr id="90"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24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168685</xdr:rowOff>
    </xdr:to>
    <xdr:pic>
      <xdr:nvPicPr>
        <xdr:cNvPr id="91"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142832</xdr:rowOff>
    </xdr:to>
    <xdr:pic>
      <xdr:nvPicPr>
        <xdr:cNvPr id="92"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133307</xdr:rowOff>
    </xdr:to>
    <xdr:pic>
      <xdr:nvPicPr>
        <xdr:cNvPr id="93"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133306</xdr:rowOff>
    </xdr:to>
    <xdr:pic>
      <xdr:nvPicPr>
        <xdr:cNvPr id="94"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133306</xdr:rowOff>
    </xdr:to>
    <xdr:pic>
      <xdr:nvPicPr>
        <xdr:cNvPr id="95"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168684</xdr:rowOff>
    </xdr:to>
    <xdr:pic>
      <xdr:nvPicPr>
        <xdr:cNvPr id="96"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142831</xdr:rowOff>
    </xdr:to>
    <xdr:pic>
      <xdr:nvPicPr>
        <xdr:cNvPr id="97"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133306</xdr:rowOff>
    </xdr:to>
    <xdr:pic>
      <xdr:nvPicPr>
        <xdr:cNvPr id="98"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156439</xdr:rowOff>
    </xdr:to>
    <xdr:pic>
      <xdr:nvPicPr>
        <xdr:cNvPr id="99"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15</xdr:row>
      <xdr:rowOff>74796</xdr:rowOff>
    </xdr:to>
    <xdr:pic>
      <xdr:nvPicPr>
        <xdr:cNvPr id="100"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156439</xdr:rowOff>
    </xdr:to>
    <xdr:pic>
      <xdr:nvPicPr>
        <xdr:cNvPr id="101"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156438</xdr:rowOff>
    </xdr:to>
    <xdr:pic>
      <xdr:nvPicPr>
        <xdr:cNvPr id="102"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15</xdr:row>
      <xdr:rowOff>74796</xdr:rowOff>
    </xdr:to>
    <xdr:pic>
      <xdr:nvPicPr>
        <xdr:cNvPr id="103"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156438</xdr:rowOff>
    </xdr:to>
    <xdr:pic>
      <xdr:nvPicPr>
        <xdr:cNvPr id="104"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160520</xdr:rowOff>
    </xdr:to>
    <xdr:pic>
      <xdr:nvPicPr>
        <xdr:cNvPr id="105"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149634</xdr:rowOff>
    </xdr:to>
    <xdr:pic>
      <xdr:nvPicPr>
        <xdr:cNvPr id="106"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95660</xdr:rowOff>
    </xdr:to>
    <xdr:pic>
      <xdr:nvPicPr>
        <xdr:cNvPr id="107"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38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140110</xdr:rowOff>
    </xdr:to>
    <xdr:pic>
      <xdr:nvPicPr>
        <xdr:cNvPr id="108"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xdr:row>
      <xdr:rowOff>0</xdr:rowOff>
    </xdr:from>
    <xdr:to>
      <xdr:col>6</xdr:col>
      <xdr:colOff>85725</xdr:colOff>
      <xdr:row>14</xdr:row>
      <xdr:rowOff>142831</xdr:rowOff>
    </xdr:to>
    <xdr:pic>
      <xdr:nvPicPr>
        <xdr:cNvPr id="109"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0</xdr:colOff>
      <xdr:row>12</xdr:row>
      <xdr:rowOff>0</xdr:rowOff>
    </xdr:from>
    <xdr:ext cx="64407" cy="663160"/>
    <xdr:sp macro="" textlink="">
      <xdr:nvSpPr>
        <xdr:cNvPr id="110" name="AutoShape 1" descr="image001"/>
        <xdr:cNvSpPr>
          <a:spLocks noChangeAspect="1" noChangeArrowheads="1"/>
        </xdr:cNvSpPr>
      </xdr:nvSpPr>
      <xdr:spPr bwMode="auto">
        <a:xfrm>
          <a:off x="7886700" y="132464175"/>
          <a:ext cx="64407" cy="663160"/>
        </a:xfrm>
        <a:prstGeom prst="rect">
          <a:avLst/>
        </a:prstGeom>
        <a:noFill/>
      </xdr:spPr>
    </xdr:sp>
    <xdr:clientData/>
  </xdr:oneCellAnchor>
  <xdr:oneCellAnchor>
    <xdr:from>
      <xdr:col>6</xdr:col>
      <xdr:colOff>0</xdr:colOff>
      <xdr:row>12</xdr:row>
      <xdr:rowOff>0</xdr:rowOff>
    </xdr:from>
    <xdr:ext cx="64407" cy="660438"/>
    <xdr:sp macro="" textlink="">
      <xdr:nvSpPr>
        <xdr:cNvPr id="111"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6</xdr:col>
      <xdr:colOff>0</xdr:colOff>
      <xdr:row>12</xdr:row>
      <xdr:rowOff>0</xdr:rowOff>
    </xdr:from>
    <xdr:ext cx="64407" cy="660438"/>
    <xdr:sp macro="" textlink="">
      <xdr:nvSpPr>
        <xdr:cNvPr id="112"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6</xdr:col>
      <xdr:colOff>0</xdr:colOff>
      <xdr:row>12</xdr:row>
      <xdr:rowOff>0</xdr:rowOff>
    </xdr:from>
    <xdr:ext cx="64407" cy="660438"/>
    <xdr:sp macro="" textlink="">
      <xdr:nvSpPr>
        <xdr:cNvPr id="113"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6</xdr:col>
      <xdr:colOff>0</xdr:colOff>
      <xdr:row>12</xdr:row>
      <xdr:rowOff>0</xdr:rowOff>
    </xdr:from>
    <xdr:ext cx="85725" cy="679034"/>
    <xdr:pic>
      <xdr:nvPicPr>
        <xdr:cNvPr id="114"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5838"/>
    <xdr:pic>
      <xdr:nvPicPr>
        <xdr:cNvPr id="115"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66788"/>
    <xdr:pic>
      <xdr:nvPicPr>
        <xdr:cNvPr id="116"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14413"/>
    <xdr:pic>
      <xdr:nvPicPr>
        <xdr:cNvPr id="117"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8560"/>
    <xdr:pic>
      <xdr:nvPicPr>
        <xdr:cNvPr id="118"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9035"/>
    <xdr:pic>
      <xdr:nvPicPr>
        <xdr:cNvPr id="119"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9034"/>
    <xdr:pic>
      <xdr:nvPicPr>
        <xdr:cNvPr id="120"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9034"/>
    <xdr:pic>
      <xdr:nvPicPr>
        <xdr:cNvPr id="121"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14412"/>
    <xdr:pic>
      <xdr:nvPicPr>
        <xdr:cNvPr id="122"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8559"/>
    <xdr:pic>
      <xdr:nvPicPr>
        <xdr:cNvPr id="123"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9034"/>
    <xdr:pic>
      <xdr:nvPicPr>
        <xdr:cNvPr id="124"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2167"/>
    <xdr:pic>
      <xdr:nvPicPr>
        <xdr:cNvPr id="125"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906274"/>
    <xdr:pic>
      <xdr:nvPicPr>
        <xdr:cNvPr id="126"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2167"/>
    <xdr:pic>
      <xdr:nvPicPr>
        <xdr:cNvPr id="127"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2166"/>
    <xdr:pic>
      <xdr:nvPicPr>
        <xdr:cNvPr id="128"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906274"/>
    <xdr:pic>
      <xdr:nvPicPr>
        <xdr:cNvPr id="129"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2166"/>
    <xdr:pic>
      <xdr:nvPicPr>
        <xdr:cNvPr id="130"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6248"/>
    <xdr:pic>
      <xdr:nvPicPr>
        <xdr:cNvPr id="131"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95362"/>
    <xdr:pic>
      <xdr:nvPicPr>
        <xdr:cNvPr id="132"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41388"/>
    <xdr:pic>
      <xdr:nvPicPr>
        <xdr:cNvPr id="133"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5838"/>
    <xdr:pic>
      <xdr:nvPicPr>
        <xdr:cNvPr id="134"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8559"/>
    <xdr:pic>
      <xdr:nvPicPr>
        <xdr:cNvPr id="135"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64407" cy="663160"/>
    <xdr:sp macro="" textlink="">
      <xdr:nvSpPr>
        <xdr:cNvPr id="136" name="AutoShape 1" descr="image001"/>
        <xdr:cNvSpPr>
          <a:spLocks noChangeAspect="1" noChangeArrowheads="1"/>
        </xdr:cNvSpPr>
      </xdr:nvSpPr>
      <xdr:spPr bwMode="auto">
        <a:xfrm>
          <a:off x="7886700" y="132464175"/>
          <a:ext cx="64407" cy="663160"/>
        </a:xfrm>
        <a:prstGeom prst="rect">
          <a:avLst/>
        </a:prstGeom>
        <a:noFill/>
      </xdr:spPr>
    </xdr:sp>
    <xdr:clientData/>
  </xdr:oneCellAnchor>
  <xdr:oneCellAnchor>
    <xdr:from>
      <xdr:col>6</xdr:col>
      <xdr:colOff>0</xdr:colOff>
      <xdr:row>12</xdr:row>
      <xdr:rowOff>0</xdr:rowOff>
    </xdr:from>
    <xdr:ext cx="64407" cy="660438"/>
    <xdr:sp macro="" textlink="">
      <xdr:nvSpPr>
        <xdr:cNvPr id="137"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6</xdr:col>
      <xdr:colOff>0</xdr:colOff>
      <xdr:row>12</xdr:row>
      <xdr:rowOff>0</xdr:rowOff>
    </xdr:from>
    <xdr:ext cx="64407" cy="660438"/>
    <xdr:sp macro="" textlink="">
      <xdr:nvSpPr>
        <xdr:cNvPr id="138"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6</xdr:col>
      <xdr:colOff>0</xdr:colOff>
      <xdr:row>12</xdr:row>
      <xdr:rowOff>0</xdr:rowOff>
    </xdr:from>
    <xdr:ext cx="64407" cy="660438"/>
    <xdr:sp macro="" textlink="">
      <xdr:nvSpPr>
        <xdr:cNvPr id="139"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6</xdr:col>
      <xdr:colOff>0</xdr:colOff>
      <xdr:row>12</xdr:row>
      <xdr:rowOff>0</xdr:rowOff>
    </xdr:from>
    <xdr:ext cx="85725" cy="679034"/>
    <xdr:pic>
      <xdr:nvPicPr>
        <xdr:cNvPr id="140"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5838"/>
    <xdr:pic>
      <xdr:nvPicPr>
        <xdr:cNvPr id="141"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66788"/>
    <xdr:pic>
      <xdr:nvPicPr>
        <xdr:cNvPr id="142"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14413"/>
    <xdr:pic>
      <xdr:nvPicPr>
        <xdr:cNvPr id="143"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8560"/>
    <xdr:pic>
      <xdr:nvPicPr>
        <xdr:cNvPr id="144"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9035"/>
    <xdr:pic>
      <xdr:nvPicPr>
        <xdr:cNvPr id="145"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9034"/>
    <xdr:pic>
      <xdr:nvPicPr>
        <xdr:cNvPr id="146"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9034"/>
    <xdr:pic>
      <xdr:nvPicPr>
        <xdr:cNvPr id="147"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14412"/>
    <xdr:pic>
      <xdr:nvPicPr>
        <xdr:cNvPr id="148"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8559"/>
    <xdr:pic>
      <xdr:nvPicPr>
        <xdr:cNvPr id="149"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9034"/>
    <xdr:pic>
      <xdr:nvPicPr>
        <xdr:cNvPr id="150"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2167"/>
    <xdr:pic>
      <xdr:nvPicPr>
        <xdr:cNvPr id="151"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906274"/>
    <xdr:pic>
      <xdr:nvPicPr>
        <xdr:cNvPr id="152"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2167"/>
    <xdr:pic>
      <xdr:nvPicPr>
        <xdr:cNvPr id="153"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2166"/>
    <xdr:pic>
      <xdr:nvPicPr>
        <xdr:cNvPr id="154"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906274"/>
    <xdr:pic>
      <xdr:nvPicPr>
        <xdr:cNvPr id="155"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2166"/>
    <xdr:pic>
      <xdr:nvPicPr>
        <xdr:cNvPr id="156"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6248"/>
    <xdr:pic>
      <xdr:nvPicPr>
        <xdr:cNvPr id="157"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95362"/>
    <xdr:pic>
      <xdr:nvPicPr>
        <xdr:cNvPr id="158"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41388"/>
    <xdr:pic>
      <xdr:nvPicPr>
        <xdr:cNvPr id="159"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5838"/>
    <xdr:pic>
      <xdr:nvPicPr>
        <xdr:cNvPr id="160"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8559"/>
    <xdr:pic>
      <xdr:nvPicPr>
        <xdr:cNvPr id="161"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64407" cy="663159"/>
    <xdr:sp macro="" textlink="">
      <xdr:nvSpPr>
        <xdr:cNvPr id="162" name="AutoShape 1" descr="image001"/>
        <xdr:cNvSpPr>
          <a:spLocks noChangeAspect="1" noChangeArrowheads="1"/>
        </xdr:cNvSpPr>
      </xdr:nvSpPr>
      <xdr:spPr bwMode="auto">
        <a:xfrm>
          <a:off x="7886700" y="132464175"/>
          <a:ext cx="64407" cy="663159"/>
        </a:xfrm>
        <a:prstGeom prst="rect">
          <a:avLst/>
        </a:prstGeom>
        <a:noFill/>
      </xdr:spPr>
    </xdr:sp>
    <xdr:clientData/>
  </xdr:oneCellAnchor>
  <xdr:oneCellAnchor>
    <xdr:from>
      <xdr:col>6</xdr:col>
      <xdr:colOff>0</xdr:colOff>
      <xdr:row>12</xdr:row>
      <xdr:rowOff>0</xdr:rowOff>
    </xdr:from>
    <xdr:ext cx="64407" cy="660437"/>
    <xdr:sp macro="" textlink="">
      <xdr:nvSpPr>
        <xdr:cNvPr id="163"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6</xdr:col>
      <xdr:colOff>0</xdr:colOff>
      <xdr:row>12</xdr:row>
      <xdr:rowOff>0</xdr:rowOff>
    </xdr:from>
    <xdr:ext cx="64407" cy="660437"/>
    <xdr:sp macro="" textlink="">
      <xdr:nvSpPr>
        <xdr:cNvPr id="164"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6</xdr:col>
      <xdr:colOff>0</xdr:colOff>
      <xdr:row>12</xdr:row>
      <xdr:rowOff>0</xdr:rowOff>
    </xdr:from>
    <xdr:ext cx="64407" cy="660437"/>
    <xdr:sp macro="" textlink="">
      <xdr:nvSpPr>
        <xdr:cNvPr id="165"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6</xdr:col>
      <xdr:colOff>0</xdr:colOff>
      <xdr:row>12</xdr:row>
      <xdr:rowOff>0</xdr:rowOff>
    </xdr:from>
    <xdr:ext cx="85725" cy="679033"/>
    <xdr:pic>
      <xdr:nvPicPr>
        <xdr:cNvPr id="166"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5837"/>
    <xdr:pic>
      <xdr:nvPicPr>
        <xdr:cNvPr id="167"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66787"/>
    <xdr:pic>
      <xdr:nvPicPr>
        <xdr:cNvPr id="168"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14412"/>
    <xdr:pic>
      <xdr:nvPicPr>
        <xdr:cNvPr id="169"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8559"/>
    <xdr:pic>
      <xdr:nvPicPr>
        <xdr:cNvPr id="170"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9034"/>
    <xdr:pic>
      <xdr:nvPicPr>
        <xdr:cNvPr id="171"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9033"/>
    <xdr:pic>
      <xdr:nvPicPr>
        <xdr:cNvPr id="172"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9033"/>
    <xdr:pic>
      <xdr:nvPicPr>
        <xdr:cNvPr id="173"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14411"/>
    <xdr:pic>
      <xdr:nvPicPr>
        <xdr:cNvPr id="174"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8558"/>
    <xdr:pic>
      <xdr:nvPicPr>
        <xdr:cNvPr id="175"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9033"/>
    <xdr:pic>
      <xdr:nvPicPr>
        <xdr:cNvPr id="176"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2166"/>
    <xdr:pic>
      <xdr:nvPicPr>
        <xdr:cNvPr id="177"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906273"/>
    <xdr:pic>
      <xdr:nvPicPr>
        <xdr:cNvPr id="178"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2166"/>
    <xdr:pic>
      <xdr:nvPicPr>
        <xdr:cNvPr id="179"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2165"/>
    <xdr:pic>
      <xdr:nvPicPr>
        <xdr:cNvPr id="180"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906273"/>
    <xdr:pic>
      <xdr:nvPicPr>
        <xdr:cNvPr id="181"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2165"/>
    <xdr:pic>
      <xdr:nvPicPr>
        <xdr:cNvPr id="182"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6247"/>
    <xdr:pic>
      <xdr:nvPicPr>
        <xdr:cNvPr id="183"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95361"/>
    <xdr:pic>
      <xdr:nvPicPr>
        <xdr:cNvPr id="184"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41387"/>
    <xdr:pic>
      <xdr:nvPicPr>
        <xdr:cNvPr id="185"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5837"/>
    <xdr:pic>
      <xdr:nvPicPr>
        <xdr:cNvPr id="186"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8558"/>
    <xdr:pic>
      <xdr:nvPicPr>
        <xdr:cNvPr id="187"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64407" cy="663159"/>
    <xdr:sp macro="" textlink="">
      <xdr:nvSpPr>
        <xdr:cNvPr id="188" name="AutoShape 1" descr="image001"/>
        <xdr:cNvSpPr>
          <a:spLocks noChangeAspect="1" noChangeArrowheads="1"/>
        </xdr:cNvSpPr>
      </xdr:nvSpPr>
      <xdr:spPr bwMode="auto">
        <a:xfrm>
          <a:off x="7886700" y="132464175"/>
          <a:ext cx="64407" cy="663159"/>
        </a:xfrm>
        <a:prstGeom prst="rect">
          <a:avLst/>
        </a:prstGeom>
        <a:noFill/>
      </xdr:spPr>
    </xdr:sp>
    <xdr:clientData/>
  </xdr:oneCellAnchor>
  <xdr:oneCellAnchor>
    <xdr:from>
      <xdr:col>6</xdr:col>
      <xdr:colOff>0</xdr:colOff>
      <xdr:row>12</xdr:row>
      <xdr:rowOff>0</xdr:rowOff>
    </xdr:from>
    <xdr:ext cx="64407" cy="660437"/>
    <xdr:sp macro="" textlink="">
      <xdr:nvSpPr>
        <xdr:cNvPr id="189"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6</xdr:col>
      <xdr:colOff>0</xdr:colOff>
      <xdr:row>12</xdr:row>
      <xdr:rowOff>0</xdr:rowOff>
    </xdr:from>
    <xdr:ext cx="64407" cy="660437"/>
    <xdr:sp macro="" textlink="">
      <xdr:nvSpPr>
        <xdr:cNvPr id="190"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6</xdr:col>
      <xdr:colOff>0</xdr:colOff>
      <xdr:row>12</xdr:row>
      <xdr:rowOff>0</xdr:rowOff>
    </xdr:from>
    <xdr:ext cx="64407" cy="660437"/>
    <xdr:sp macro="" textlink="">
      <xdr:nvSpPr>
        <xdr:cNvPr id="191"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6</xdr:col>
      <xdr:colOff>0</xdr:colOff>
      <xdr:row>12</xdr:row>
      <xdr:rowOff>0</xdr:rowOff>
    </xdr:from>
    <xdr:ext cx="85725" cy="679033"/>
    <xdr:pic>
      <xdr:nvPicPr>
        <xdr:cNvPr id="192"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5837"/>
    <xdr:pic>
      <xdr:nvPicPr>
        <xdr:cNvPr id="193"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66787"/>
    <xdr:pic>
      <xdr:nvPicPr>
        <xdr:cNvPr id="194"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14412"/>
    <xdr:pic>
      <xdr:nvPicPr>
        <xdr:cNvPr id="195"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8559"/>
    <xdr:pic>
      <xdr:nvPicPr>
        <xdr:cNvPr id="196"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9034"/>
    <xdr:pic>
      <xdr:nvPicPr>
        <xdr:cNvPr id="197"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9033"/>
    <xdr:pic>
      <xdr:nvPicPr>
        <xdr:cNvPr id="198"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9033"/>
    <xdr:pic>
      <xdr:nvPicPr>
        <xdr:cNvPr id="199"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14411"/>
    <xdr:pic>
      <xdr:nvPicPr>
        <xdr:cNvPr id="200"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8558"/>
    <xdr:pic>
      <xdr:nvPicPr>
        <xdr:cNvPr id="201"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9033"/>
    <xdr:pic>
      <xdr:nvPicPr>
        <xdr:cNvPr id="202"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2166"/>
    <xdr:pic>
      <xdr:nvPicPr>
        <xdr:cNvPr id="203"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906273"/>
    <xdr:pic>
      <xdr:nvPicPr>
        <xdr:cNvPr id="204"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2166"/>
    <xdr:pic>
      <xdr:nvPicPr>
        <xdr:cNvPr id="205"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2165"/>
    <xdr:pic>
      <xdr:nvPicPr>
        <xdr:cNvPr id="206"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906273"/>
    <xdr:pic>
      <xdr:nvPicPr>
        <xdr:cNvPr id="207"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2165"/>
    <xdr:pic>
      <xdr:nvPicPr>
        <xdr:cNvPr id="208"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6247"/>
    <xdr:pic>
      <xdr:nvPicPr>
        <xdr:cNvPr id="209"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95361"/>
    <xdr:pic>
      <xdr:nvPicPr>
        <xdr:cNvPr id="210"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41387"/>
    <xdr:pic>
      <xdr:nvPicPr>
        <xdr:cNvPr id="211"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5837"/>
    <xdr:pic>
      <xdr:nvPicPr>
        <xdr:cNvPr id="212"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64407" cy="660358"/>
    <xdr:sp macro="" textlink="">
      <xdr:nvSpPr>
        <xdr:cNvPr id="213" name="AutoShape 1" descr="image001"/>
        <xdr:cNvSpPr>
          <a:spLocks noChangeAspect="1" noChangeArrowheads="1"/>
        </xdr:cNvSpPr>
      </xdr:nvSpPr>
      <xdr:spPr bwMode="auto">
        <a:xfrm>
          <a:off x="7886700" y="132464175"/>
          <a:ext cx="64407" cy="660358"/>
        </a:xfrm>
        <a:prstGeom prst="rect">
          <a:avLst/>
        </a:prstGeom>
        <a:noFill/>
      </xdr:spPr>
    </xdr:sp>
    <xdr:clientData/>
  </xdr:oneCellAnchor>
  <xdr:oneCellAnchor>
    <xdr:from>
      <xdr:col>6</xdr:col>
      <xdr:colOff>0</xdr:colOff>
      <xdr:row>12</xdr:row>
      <xdr:rowOff>0</xdr:rowOff>
    </xdr:from>
    <xdr:ext cx="64407" cy="657636"/>
    <xdr:sp macro="" textlink="">
      <xdr:nvSpPr>
        <xdr:cNvPr id="214" name="AutoShape 1" descr="image001"/>
        <xdr:cNvSpPr>
          <a:spLocks noChangeAspect="1" noChangeArrowheads="1"/>
        </xdr:cNvSpPr>
      </xdr:nvSpPr>
      <xdr:spPr bwMode="auto">
        <a:xfrm>
          <a:off x="7886700" y="132464175"/>
          <a:ext cx="64407" cy="657636"/>
        </a:xfrm>
        <a:prstGeom prst="rect">
          <a:avLst/>
        </a:prstGeom>
        <a:noFill/>
      </xdr:spPr>
    </xdr:sp>
    <xdr:clientData/>
  </xdr:oneCellAnchor>
  <xdr:oneCellAnchor>
    <xdr:from>
      <xdr:col>6</xdr:col>
      <xdr:colOff>0</xdr:colOff>
      <xdr:row>12</xdr:row>
      <xdr:rowOff>0</xdr:rowOff>
    </xdr:from>
    <xdr:ext cx="64407" cy="657636"/>
    <xdr:sp macro="" textlink="">
      <xdr:nvSpPr>
        <xdr:cNvPr id="215" name="AutoShape 1" descr="image001"/>
        <xdr:cNvSpPr>
          <a:spLocks noChangeAspect="1" noChangeArrowheads="1"/>
        </xdr:cNvSpPr>
      </xdr:nvSpPr>
      <xdr:spPr bwMode="auto">
        <a:xfrm>
          <a:off x="7886700" y="132464175"/>
          <a:ext cx="64407" cy="657636"/>
        </a:xfrm>
        <a:prstGeom prst="rect">
          <a:avLst/>
        </a:prstGeom>
        <a:noFill/>
      </xdr:spPr>
    </xdr:sp>
    <xdr:clientData/>
  </xdr:oneCellAnchor>
  <xdr:oneCellAnchor>
    <xdr:from>
      <xdr:col>6</xdr:col>
      <xdr:colOff>0</xdr:colOff>
      <xdr:row>12</xdr:row>
      <xdr:rowOff>0</xdr:rowOff>
    </xdr:from>
    <xdr:ext cx="64407" cy="657636"/>
    <xdr:sp macro="" textlink="">
      <xdr:nvSpPr>
        <xdr:cNvPr id="216" name="AutoShape 1" descr="image001"/>
        <xdr:cNvSpPr>
          <a:spLocks noChangeAspect="1" noChangeArrowheads="1"/>
        </xdr:cNvSpPr>
      </xdr:nvSpPr>
      <xdr:spPr bwMode="auto">
        <a:xfrm>
          <a:off x="7886700" y="132464175"/>
          <a:ext cx="64407" cy="657636"/>
        </a:xfrm>
        <a:prstGeom prst="rect">
          <a:avLst/>
        </a:prstGeom>
        <a:noFill/>
      </xdr:spPr>
    </xdr:sp>
    <xdr:clientData/>
  </xdr:oneCellAnchor>
  <xdr:oneCellAnchor>
    <xdr:from>
      <xdr:col>6</xdr:col>
      <xdr:colOff>0</xdr:colOff>
      <xdr:row>12</xdr:row>
      <xdr:rowOff>0</xdr:rowOff>
    </xdr:from>
    <xdr:ext cx="85725" cy="676232"/>
    <xdr:pic>
      <xdr:nvPicPr>
        <xdr:cNvPr id="217"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3036"/>
    <xdr:pic>
      <xdr:nvPicPr>
        <xdr:cNvPr id="218"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63986"/>
    <xdr:pic>
      <xdr:nvPicPr>
        <xdr:cNvPr id="219"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398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11611"/>
    <xdr:pic>
      <xdr:nvPicPr>
        <xdr:cNvPr id="220"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5758"/>
    <xdr:pic>
      <xdr:nvPicPr>
        <xdr:cNvPr id="221"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6233"/>
    <xdr:pic>
      <xdr:nvPicPr>
        <xdr:cNvPr id="222"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6232"/>
    <xdr:pic>
      <xdr:nvPicPr>
        <xdr:cNvPr id="223"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6232"/>
    <xdr:pic>
      <xdr:nvPicPr>
        <xdr:cNvPr id="224"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11610"/>
    <xdr:pic>
      <xdr:nvPicPr>
        <xdr:cNvPr id="225"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5757"/>
    <xdr:pic>
      <xdr:nvPicPr>
        <xdr:cNvPr id="226"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6232"/>
    <xdr:pic>
      <xdr:nvPicPr>
        <xdr:cNvPr id="227"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99365"/>
    <xdr:pic>
      <xdr:nvPicPr>
        <xdr:cNvPr id="228"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903472"/>
    <xdr:pic>
      <xdr:nvPicPr>
        <xdr:cNvPr id="229"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99365"/>
    <xdr:pic>
      <xdr:nvPicPr>
        <xdr:cNvPr id="230"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99364"/>
    <xdr:pic>
      <xdr:nvPicPr>
        <xdr:cNvPr id="231"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903472"/>
    <xdr:pic>
      <xdr:nvPicPr>
        <xdr:cNvPr id="232"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99364"/>
    <xdr:pic>
      <xdr:nvPicPr>
        <xdr:cNvPr id="233"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3446"/>
    <xdr:pic>
      <xdr:nvPicPr>
        <xdr:cNvPr id="234"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344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92560"/>
    <xdr:pic>
      <xdr:nvPicPr>
        <xdr:cNvPr id="235"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25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38586"/>
    <xdr:pic>
      <xdr:nvPicPr>
        <xdr:cNvPr id="236"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3858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3036"/>
    <xdr:pic>
      <xdr:nvPicPr>
        <xdr:cNvPr id="237"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5757"/>
    <xdr:pic>
      <xdr:nvPicPr>
        <xdr:cNvPr id="238"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64407" cy="660358"/>
    <xdr:sp macro="" textlink="">
      <xdr:nvSpPr>
        <xdr:cNvPr id="239" name="AutoShape 1" descr="image001"/>
        <xdr:cNvSpPr>
          <a:spLocks noChangeAspect="1" noChangeArrowheads="1"/>
        </xdr:cNvSpPr>
      </xdr:nvSpPr>
      <xdr:spPr bwMode="auto">
        <a:xfrm>
          <a:off x="7886700" y="132464175"/>
          <a:ext cx="64407" cy="660358"/>
        </a:xfrm>
        <a:prstGeom prst="rect">
          <a:avLst/>
        </a:prstGeom>
        <a:noFill/>
      </xdr:spPr>
    </xdr:sp>
    <xdr:clientData/>
  </xdr:oneCellAnchor>
  <xdr:oneCellAnchor>
    <xdr:from>
      <xdr:col>6</xdr:col>
      <xdr:colOff>0</xdr:colOff>
      <xdr:row>12</xdr:row>
      <xdr:rowOff>0</xdr:rowOff>
    </xdr:from>
    <xdr:ext cx="64407" cy="657636"/>
    <xdr:sp macro="" textlink="">
      <xdr:nvSpPr>
        <xdr:cNvPr id="240" name="AutoShape 1" descr="image001"/>
        <xdr:cNvSpPr>
          <a:spLocks noChangeAspect="1" noChangeArrowheads="1"/>
        </xdr:cNvSpPr>
      </xdr:nvSpPr>
      <xdr:spPr bwMode="auto">
        <a:xfrm>
          <a:off x="7886700" y="132464175"/>
          <a:ext cx="64407" cy="657636"/>
        </a:xfrm>
        <a:prstGeom prst="rect">
          <a:avLst/>
        </a:prstGeom>
        <a:noFill/>
      </xdr:spPr>
    </xdr:sp>
    <xdr:clientData/>
  </xdr:oneCellAnchor>
  <xdr:oneCellAnchor>
    <xdr:from>
      <xdr:col>6</xdr:col>
      <xdr:colOff>0</xdr:colOff>
      <xdr:row>12</xdr:row>
      <xdr:rowOff>0</xdr:rowOff>
    </xdr:from>
    <xdr:ext cx="64407" cy="657636"/>
    <xdr:sp macro="" textlink="">
      <xdr:nvSpPr>
        <xdr:cNvPr id="241" name="AutoShape 1" descr="image001"/>
        <xdr:cNvSpPr>
          <a:spLocks noChangeAspect="1" noChangeArrowheads="1"/>
        </xdr:cNvSpPr>
      </xdr:nvSpPr>
      <xdr:spPr bwMode="auto">
        <a:xfrm>
          <a:off x="7886700" y="132464175"/>
          <a:ext cx="64407" cy="657636"/>
        </a:xfrm>
        <a:prstGeom prst="rect">
          <a:avLst/>
        </a:prstGeom>
        <a:noFill/>
      </xdr:spPr>
    </xdr:sp>
    <xdr:clientData/>
  </xdr:oneCellAnchor>
  <xdr:oneCellAnchor>
    <xdr:from>
      <xdr:col>6</xdr:col>
      <xdr:colOff>0</xdr:colOff>
      <xdr:row>12</xdr:row>
      <xdr:rowOff>0</xdr:rowOff>
    </xdr:from>
    <xdr:ext cx="64407" cy="657636"/>
    <xdr:sp macro="" textlink="">
      <xdr:nvSpPr>
        <xdr:cNvPr id="242" name="AutoShape 1" descr="image001"/>
        <xdr:cNvSpPr>
          <a:spLocks noChangeAspect="1" noChangeArrowheads="1"/>
        </xdr:cNvSpPr>
      </xdr:nvSpPr>
      <xdr:spPr bwMode="auto">
        <a:xfrm>
          <a:off x="7886700" y="132464175"/>
          <a:ext cx="64407" cy="657636"/>
        </a:xfrm>
        <a:prstGeom prst="rect">
          <a:avLst/>
        </a:prstGeom>
        <a:noFill/>
      </xdr:spPr>
    </xdr:sp>
    <xdr:clientData/>
  </xdr:oneCellAnchor>
  <xdr:oneCellAnchor>
    <xdr:from>
      <xdr:col>6</xdr:col>
      <xdr:colOff>0</xdr:colOff>
      <xdr:row>12</xdr:row>
      <xdr:rowOff>0</xdr:rowOff>
    </xdr:from>
    <xdr:ext cx="85725" cy="676232"/>
    <xdr:pic>
      <xdr:nvPicPr>
        <xdr:cNvPr id="243"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3036"/>
    <xdr:pic>
      <xdr:nvPicPr>
        <xdr:cNvPr id="244"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63986"/>
    <xdr:pic>
      <xdr:nvPicPr>
        <xdr:cNvPr id="245"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398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11611"/>
    <xdr:pic>
      <xdr:nvPicPr>
        <xdr:cNvPr id="246"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5758"/>
    <xdr:pic>
      <xdr:nvPicPr>
        <xdr:cNvPr id="247"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6233"/>
    <xdr:pic>
      <xdr:nvPicPr>
        <xdr:cNvPr id="248"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6232"/>
    <xdr:pic>
      <xdr:nvPicPr>
        <xdr:cNvPr id="249"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6232"/>
    <xdr:pic>
      <xdr:nvPicPr>
        <xdr:cNvPr id="250"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11610"/>
    <xdr:pic>
      <xdr:nvPicPr>
        <xdr:cNvPr id="251"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5757"/>
    <xdr:pic>
      <xdr:nvPicPr>
        <xdr:cNvPr id="252"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6232"/>
    <xdr:pic>
      <xdr:nvPicPr>
        <xdr:cNvPr id="253"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99365"/>
    <xdr:pic>
      <xdr:nvPicPr>
        <xdr:cNvPr id="254"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903472"/>
    <xdr:pic>
      <xdr:nvPicPr>
        <xdr:cNvPr id="255"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99365"/>
    <xdr:pic>
      <xdr:nvPicPr>
        <xdr:cNvPr id="256"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99364"/>
    <xdr:pic>
      <xdr:nvPicPr>
        <xdr:cNvPr id="257"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903472"/>
    <xdr:pic>
      <xdr:nvPicPr>
        <xdr:cNvPr id="258"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99364"/>
    <xdr:pic>
      <xdr:nvPicPr>
        <xdr:cNvPr id="259"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3446"/>
    <xdr:pic>
      <xdr:nvPicPr>
        <xdr:cNvPr id="260"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344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92560"/>
    <xdr:pic>
      <xdr:nvPicPr>
        <xdr:cNvPr id="261"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25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38586"/>
    <xdr:pic>
      <xdr:nvPicPr>
        <xdr:cNvPr id="262"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3858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3036"/>
    <xdr:pic>
      <xdr:nvPicPr>
        <xdr:cNvPr id="263"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5757"/>
    <xdr:pic>
      <xdr:nvPicPr>
        <xdr:cNvPr id="264"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64407" cy="660357"/>
    <xdr:sp macro="" textlink="">
      <xdr:nvSpPr>
        <xdr:cNvPr id="265" name="AutoShape 1" descr="image001"/>
        <xdr:cNvSpPr>
          <a:spLocks noChangeAspect="1" noChangeArrowheads="1"/>
        </xdr:cNvSpPr>
      </xdr:nvSpPr>
      <xdr:spPr bwMode="auto">
        <a:xfrm>
          <a:off x="7886700" y="132464175"/>
          <a:ext cx="64407" cy="660357"/>
        </a:xfrm>
        <a:prstGeom prst="rect">
          <a:avLst/>
        </a:prstGeom>
        <a:noFill/>
      </xdr:spPr>
    </xdr:sp>
    <xdr:clientData/>
  </xdr:oneCellAnchor>
  <xdr:oneCellAnchor>
    <xdr:from>
      <xdr:col>6</xdr:col>
      <xdr:colOff>0</xdr:colOff>
      <xdr:row>12</xdr:row>
      <xdr:rowOff>0</xdr:rowOff>
    </xdr:from>
    <xdr:ext cx="64407" cy="657635"/>
    <xdr:sp macro="" textlink="">
      <xdr:nvSpPr>
        <xdr:cNvPr id="266" name="AutoShape 1" descr="image001"/>
        <xdr:cNvSpPr>
          <a:spLocks noChangeAspect="1" noChangeArrowheads="1"/>
        </xdr:cNvSpPr>
      </xdr:nvSpPr>
      <xdr:spPr bwMode="auto">
        <a:xfrm>
          <a:off x="7886700" y="132464175"/>
          <a:ext cx="64407" cy="657635"/>
        </a:xfrm>
        <a:prstGeom prst="rect">
          <a:avLst/>
        </a:prstGeom>
        <a:noFill/>
      </xdr:spPr>
    </xdr:sp>
    <xdr:clientData/>
  </xdr:oneCellAnchor>
  <xdr:oneCellAnchor>
    <xdr:from>
      <xdr:col>6</xdr:col>
      <xdr:colOff>0</xdr:colOff>
      <xdr:row>12</xdr:row>
      <xdr:rowOff>0</xdr:rowOff>
    </xdr:from>
    <xdr:ext cx="64407" cy="657635"/>
    <xdr:sp macro="" textlink="">
      <xdr:nvSpPr>
        <xdr:cNvPr id="267" name="AutoShape 1" descr="image001"/>
        <xdr:cNvSpPr>
          <a:spLocks noChangeAspect="1" noChangeArrowheads="1"/>
        </xdr:cNvSpPr>
      </xdr:nvSpPr>
      <xdr:spPr bwMode="auto">
        <a:xfrm>
          <a:off x="7886700" y="132464175"/>
          <a:ext cx="64407" cy="657635"/>
        </a:xfrm>
        <a:prstGeom prst="rect">
          <a:avLst/>
        </a:prstGeom>
        <a:noFill/>
      </xdr:spPr>
    </xdr:sp>
    <xdr:clientData/>
  </xdr:oneCellAnchor>
  <xdr:oneCellAnchor>
    <xdr:from>
      <xdr:col>6</xdr:col>
      <xdr:colOff>0</xdr:colOff>
      <xdr:row>12</xdr:row>
      <xdr:rowOff>0</xdr:rowOff>
    </xdr:from>
    <xdr:ext cx="64407" cy="657635"/>
    <xdr:sp macro="" textlink="">
      <xdr:nvSpPr>
        <xdr:cNvPr id="268" name="AutoShape 1" descr="image001"/>
        <xdr:cNvSpPr>
          <a:spLocks noChangeAspect="1" noChangeArrowheads="1"/>
        </xdr:cNvSpPr>
      </xdr:nvSpPr>
      <xdr:spPr bwMode="auto">
        <a:xfrm>
          <a:off x="7886700" y="132464175"/>
          <a:ext cx="64407" cy="657635"/>
        </a:xfrm>
        <a:prstGeom prst="rect">
          <a:avLst/>
        </a:prstGeom>
        <a:noFill/>
      </xdr:spPr>
    </xdr:sp>
    <xdr:clientData/>
  </xdr:oneCellAnchor>
  <xdr:oneCellAnchor>
    <xdr:from>
      <xdr:col>6</xdr:col>
      <xdr:colOff>0</xdr:colOff>
      <xdr:row>12</xdr:row>
      <xdr:rowOff>0</xdr:rowOff>
    </xdr:from>
    <xdr:ext cx="85725" cy="676231"/>
    <xdr:pic>
      <xdr:nvPicPr>
        <xdr:cNvPr id="269"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3035"/>
    <xdr:pic>
      <xdr:nvPicPr>
        <xdr:cNvPr id="270"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63985"/>
    <xdr:pic>
      <xdr:nvPicPr>
        <xdr:cNvPr id="271"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39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11610"/>
    <xdr:pic>
      <xdr:nvPicPr>
        <xdr:cNvPr id="272"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5757"/>
    <xdr:pic>
      <xdr:nvPicPr>
        <xdr:cNvPr id="273"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6232"/>
    <xdr:pic>
      <xdr:nvPicPr>
        <xdr:cNvPr id="274"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6231"/>
    <xdr:pic>
      <xdr:nvPicPr>
        <xdr:cNvPr id="275"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6231"/>
    <xdr:pic>
      <xdr:nvPicPr>
        <xdr:cNvPr id="276"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11609"/>
    <xdr:pic>
      <xdr:nvPicPr>
        <xdr:cNvPr id="277"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0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5756"/>
    <xdr:pic>
      <xdr:nvPicPr>
        <xdr:cNvPr id="278"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6231"/>
    <xdr:pic>
      <xdr:nvPicPr>
        <xdr:cNvPr id="279"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99364"/>
    <xdr:pic>
      <xdr:nvPicPr>
        <xdr:cNvPr id="280"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903471"/>
    <xdr:pic>
      <xdr:nvPicPr>
        <xdr:cNvPr id="281"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99364"/>
    <xdr:pic>
      <xdr:nvPicPr>
        <xdr:cNvPr id="282"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99363"/>
    <xdr:pic>
      <xdr:nvPicPr>
        <xdr:cNvPr id="283"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903471"/>
    <xdr:pic>
      <xdr:nvPicPr>
        <xdr:cNvPr id="284"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99363"/>
    <xdr:pic>
      <xdr:nvPicPr>
        <xdr:cNvPr id="285"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3445"/>
    <xdr:pic>
      <xdr:nvPicPr>
        <xdr:cNvPr id="286"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34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92559"/>
    <xdr:pic>
      <xdr:nvPicPr>
        <xdr:cNvPr id="287"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2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38585"/>
    <xdr:pic>
      <xdr:nvPicPr>
        <xdr:cNvPr id="288"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385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3035"/>
    <xdr:pic>
      <xdr:nvPicPr>
        <xdr:cNvPr id="289"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5756"/>
    <xdr:pic>
      <xdr:nvPicPr>
        <xdr:cNvPr id="290"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64407" cy="660357"/>
    <xdr:sp macro="" textlink="">
      <xdr:nvSpPr>
        <xdr:cNvPr id="291" name="AutoShape 1" descr="image001"/>
        <xdr:cNvSpPr>
          <a:spLocks noChangeAspect="1" noChangeArrowheads="1"/>
        </xdr:cNvSpPr>
      </xdr:nvSpPr>
      <xdr:spPr bwMode="auto">
        <a:xfrm>
          <a:off x="7886700" y="132464175"/>
          <a:ext cx="64407" cy="660357"/>
        </a:xfrm>
        <a:prstGeom prst="rect">
          <a:avLst/>
        </a:prstGeom>
        <a:noFill/>
      </xdr:spPr>
    </xdr:sp>
    <xdr:clientData/>
  </xdr:oneCellAnchor>
  <xdr:oneCellAnchor>
    <xdr:from>
      <xdr:col>6</xdr:col>
      <xdr:colOff>0</xdr:colOff>
      <xdr:row>12</xdr:row>
      <xdr:rowOff>0</xdr:rowOff>
    </xdr:from>
    <xdr:ext cx="64407" cy="657635"/>
    <xdr:sp macro="" textlink="">
      <xdr:nvSpPr>
        <xdr:cNvPr id="292" name="AutoShape 1" descr="image001"/>
        <xdr:cNvSpPr>
          <a:spLocks noChangeAspect="1" noChangeArrowheads="1"/>
        </xdr:cNvSpPr>
      </xdr:nvSpPr>
      <xdr:spPr bwMode="auto">
        <a:xfrm>
          <a:off x="7886700" y="132464175"/>
          <a:ext cx="64407" cy="657635"/>
        </a:xfrm>
        <a:prstGeom prst="rect">
          <a:avLst/>
        </a:prstGeom>
        <a:noFill/>
      </xdr:spPr>
    </xdr:sp>
    <xdr:clientData/>
  </xdr:oneCellAnchor>
  <xdr:oneCellAnchor>
    <xdr:from>
      <xdr:col>6</xdr:col>
      <xdr:colOff>0</xdr:colOff>
      <xdr:row>12</xdr:row>
      <xdr:rowOff>0</xdr:rowOff>
    </xdr:from>
    <xdr:ext cx="64407" cy="657635"/>
    <xdr:sp macro="" textlink="">
      <xdr:nvSpPr>
        <xdr:cNvPr id="293" name="AutoShape 1" descr="image001"/>
        <xdr:cNvSpPr>
          <a:spLocks noChangeAspect="1" noChangeArrowheads="1"/>
        </xdr:cNvSpPr>
      </xdr:nvSpPr>
      <xdr:spPr bwMode="auto">
        <a:xfrm>
          <a:off x="7886700" y="132464175"/>
          <a:ext cx="64407" cy="657635"/>
        </a:xfrm>
        <a:prstGeom prst="rect">
          <a:avLst/>
        </a:prstGeom>
        <a:noFill/>
      </xdr:spPr>
    </xdr:sp>
    <xdr:clientData/>
  </xdr:oneCellAnchor>
  <xdr:oneCellAnchor>
    <xdr:from>
      <xdr:col>6</xdr:col>
      <xdr:colOff>0</xdr:colOff>
      <xdr:row>12</xdr:row>
      <xdr:rowOff>0</xdr:rowOff>
    </xdr:from>
    <xdr:ext cx="64407" cy="657635"/>
    <xdr:sp macro="" textlink="">
      <xdr:nvSpPr>
        <xdr:cNvPr id="294" name="AutoShape 1" descr="image001"/>
        <xdr:cNvSpPr>
          <a:spLocks noChangeAspect="1" noChangeArrowheads="1"/>
        </xdr:cNvSpPr>
      </xdr:nvSpPr>
      <xdr:spPr bwMode="auto">
        <a:xfrm>
          <a:off x="7886700" y="132464175"/>
          <a:ext cx="64407" cy="657635"/>
        </a:xfrm>
        <a:prstGeom prst="rect">
          <a:avLst/>
        </a:prstGeom>
        <a:noFill/>
      </xdr:spPr>
    </xdr:sp>
    <xdr:clientData/>
  </xdr:oneCellAnchor>
  <xdr:oneCellAnchor>
    <xdr:from>
      <xdr:col>6</xdr:col>
      <xdr:colOff>0</xdr:colOff>
      <xdr:row>12</xdr:row>
      <xdr:rowOff>0</xdr:rowOff>
    </xdr:from>
    <xdr:ext cx="85725" cy="676231"/>
    <xdr:pic>
      <xdr:nvPicPr>
        <xdr:cNvPr id="295"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3035"/>
    <xdr:pic>
      <xdr:nvPicPr>
        <xdr:cNvPr id="296"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63985"/>
    <xdr:pic>
      <xdr:nvPicPr>
        <xdr:cNvPr id="297"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39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11610"/>
    <xdr:pic>
      <xdr:nvPicPr>
        <xdr:cNvPr id="298"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5757"/>
    <xdr:pic>
      <xdr:nvPicPr>
        <xdr:cNvPr id="299"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6232"/>
    <xdr:pic>
      <xdr:nvPicPr>
        <xdr:cNvPr id="300"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6231"/>
    <xdr:pic>
      <xdr:nvPicPr>
        <xdr:cNvPr id="301"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6231"/>
    <xdr:pic>
      <xdr:nvPicPr>
        <xdr:cNvPr id="302"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11609"/>
    <xdr:pic>
      <xdr:nvPicPr>
        <xdr:cNvPr id="303"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0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5756"/>
    <xdr:pic>
      <xdr:nvPicPr>
        <xdr:cNvPr id="304"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6231"/>
    <xdr:pic>
      <xdr:nvPicPr>
        <xdr:cNvPr id="305"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99364"/>
    <xdr:pic>
      <xdr:nvPicPr>
        <xdr:cNvPr id="306"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903471"/>
    <xdr:pic>
      <xdr:nvPicPr>
        <xdr:cNvPr id="307"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99364"/>
    <xdr:pic>
      <xdr:nvPicPr>
        <xdr:cNvPr id="308"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99363"/>
    <xdr:pic>
      <xdr:nvPicPr>
        <xdr:cNvPr id="309"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903471"/>
    <xdr:pic>
      <xdr:nvPicPr>
        <xdr:cNvPr id="310"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99363"/>
    <xdr:pic>
      <xdr:nvPicPr>
        <xdr:cNvPr id="311"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3445"/>
    <xdr:pic>
      <xdr:nvPicPr>
        <xdr:cNvPr id="312"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34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92559"/>
    <xdr:pic>
      <xdr:nvPicPr>
        <xdr:cNvPr id="313"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2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38585"/>
    <xdr:pic>
      <xdr:nvPicPr>
        <xdr:cNvPr id="314"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385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3035"/>
    <xdr:pic>
      <xdr:nvPicPr>
        <xdr:cNvPr id="315"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5756"/>
    <xdr:pic>
      <xdr:nvPicPr>
        <xdr:cNvPr id="316"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64407" cy="663160"/>
    <xdr:sp macro="" textlink="">
      <xdr:nvSpPr>
        <xdr:cNvPr id="317" name="AutoShape 1" descr="image001"/>
        <xdr:cNvSpPr>
          <a:spLocks noChangeAspect="1" noChangeArrowheads="1"/>
        </xdr:cNvSpPr>
      </xdr:nvSpPr>
      <xdr:spPr bwMode="auto">
        <a:xfrm>
          <a:off x="7886700" y="132464175"/>
          <a:ext cx="64407" cy="663160"/>
        </a:xfrm>
        <a:prstGeom prst="rect">
          <a:avLst/>
        </a:prstGeom>
        <a:noFill/>
      </xdr:spPr>
    </xdr:sp>
    <xdr:clientData/>
  </xdr:oneCellAnchor>
  <xdr:oneCellAnchor>
    <xdr:from>
      <xdr:col>6</xdr:col>
      <xdr:colOff>0</xdr:colOff>
      <xdr:row>12</xdr:row>
      <xdr:rowOff>0</xdr:rowOff>
    </xdr:from>
    <xdr:ext cx="64407" cy="660438"/>
    <xdr:sp macro="" textlink="">
      <xdr:nvSpPr>
        <xdr:cNvPr id="318"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6</xdr:col>
      <xdr:colOff>0</xdr:colOff>
      <xdr:row>12</xdr:row>
      <xdr:rowOff>0</xdr:rowOff>
    </xdr:from>
    <xdr:ext cx="64407" cy="660438"/>
    <xdr:sp macro="" textlink="">
      <xdr:nvSpPr>
        <xdr:cNvPr id="319"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6</xdr:col>
      <xdr:colOff>0</xdr:colOff>
      <xdr:row>12</xdr:row>
      <xdr:rowOff>0</xdr:rowOff>
    </xdr:from>
    <xdr:ext cx="64407" cy="660438"/>
    <xdr:sp macro="" textlink="">
      <xdr:nvSpPr>
        <xdr:cNvPr id="320"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6</xdr:col>
      <xdr:colOff>0</xdr:colOff>
      <xdr:row>12</xdr:row>
      <xdr:rowOff>0</xdr:rowOff>
    </xdr:from>
    <xdr:ext cx="85725" cy="679034"/>
    <xdr:pic>
      <xdr:nvPicPr>
        <xdr:cNvPr id="321"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5838"/>
    <xdr:pic>
      <xdr:nvPicPr>
        <xdr:cNvPr id="322"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66788"/>
    <xdr:pic>
      <xdr:nvPicPr>
        <xdr:cNvPr id="323"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14413"/>
    <xdr:pic>
      <xdr:nvPicPr>
        <xdr:cNvPr id="324"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8560"/>
    <xdr:pic>
      <xdr:nvPicPr>
        <xdr:cNvPr id="325"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9035"/>
    <xdr:pic>
      <xdr:nvPicPr>
        <xdr:cNvPr id="326"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9034"/>
    <xdr:pic>
      <xdr:nvPicPr>
        <xdr:cNvPr id="327"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9034"/>
    <xdr:pic>
      <xdr:nvPicPr>
        <xdr:cNvPr id="328"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14412"/>
    <xdr:pic>
      <xdr:nvPicPr>
        <xdr:cNvPr id="329"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8559"/>
    <xdr:pic>
      <xdr:nvPicPr>
        <xdr:cNvPr id="330"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9034"/>
    <xdr:pic>
      <xdr:nvPicPr>
        <xdr:cNvPr id="331"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2167"/>
    <xdr:pic>
      <xdr:nvPicPr>
        <xdr:cNvPr id="332"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906274"/>
    <xdr:pic>
      <xdr:nvPicPr>
        <xdr:cNvPr id="333"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2167"/>
    <xdr:pic>
      <xdr:nvPicPr>
        <xdr:cNvPr id="334"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2166"/>
    <xdr:pic>
      <xdr:nvPicPr>
        <xdr:cNvPr id="335"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906274"/>
    <xdr:pic>
      <xdr:nvPicPr>
        <xdr:cNvPr id="336"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2166"/>
    <xdr:pic>
      <xdr:nvPicPr>
        <xdr:cNvPr id="337"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6248"/>
    <xdr:pic>
      <xdr:nvPicPr>
        <xdr:cNvPr id="338"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95362"/>
    <xdr:pic>
      <xdr:nvPicPr>
        <xdr:cNvPr id="339"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41388"/>
    <xdr:pic>
      <xdr:nvPicPr>
        <xdr:cNvPr id="340"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5838"/>
    <xdr:pic>
      <xdr:nvPicPr>
        <xdr:cNvPr id="341"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8559"/>
    <xdr:pic>
      <xdr:nvPicPr>
        <xdr:cNvPr id="342"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64407" cy="663160"/>
    <xdr:sp macro="" textlink="">
      <xdr:nvSpPr>
        <xdr:cNvPr id="343" name="AutoShape 1" descr="image001"/>
        <xdr:cNvSpPr>
          <a:spLocks noChangeAspect="1" noChangeArrowheads="1"/>
        </xdr:cNvSpPr>
      </xdr:nvSpPr>
      <xdr:spPr bwMode="auto">
        <a:xfrm>
          <a:off x="7886700" y="132464175"/>
          <a:ext cx="64407" cy="663160"/>
        </a:xfrm>
        <a:prstGeom prst="rect">
          <a:avLst/>
        </a:prstGeom>
        <a:noFill/>
      </xdr:spPr>
    </xdr:sp>
    <xdr:clientData/>
  </xdr:oneCellAnchor>
  <xdr:oneCellAnchor>
    <xdr:from>
      <xdr:col>6</xdr:col>
      <xdr:colOff>0</xdr:colOff>
      <xdr:row>12</xdr:row>
      <xdr:rowOff>0</xdr:rowOff>
    </xdr:from>
    <xdr:ext cx="64407" cy="660438"/>
    <xdr:sp macro="" textlink="">
      <xdr:nvSpPr>
        <xdr:cNvPr id="344"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6</xdr:col>
      <xdr:colOff>0</xdr:colOff>
      <xdr:row>12</xdr:row>
      <xdr:rowOff>0</xdr:rowOff>
    </xdr:from>
    <xdr:ext cx="64407" cy="660438"/>
    <xdr:sp macro="" textlink="">
      <xdr:nvSpPr>
        <xdr:cNvPr id="345"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6</xdr:col>
      <xdr:colOff>0</xdr:colOff>
      <xdr:row>12</xdr:row>
      <xdr:rowOff>0</xdr:rowOff>
    </xdr:from>
    <xdr:ext cx="64407" cy="660438"/>
    <xdr:sp macro="" textlink="">
      <xdr:nvSpPr>
        <xdr:cNvPr id="346"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6</xdr:col>
      <xdr:colOff>0</xdr:colOff>
      <xdr:row>12</xdr:row>
      <xdr:rowOff>0</xdr:rowOff>
    </xdr:from>
    <xdr:ext cx="85725" cy="679034"/>
    <xdr:pic>
      <xdr:nvPicPr>
        <xdr:cNvPr id="347"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5838"/>
    <xdr:pic>
      <xdr:nvPicPr>
        <xdr:cNvPr id="348"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66788"/>
    <xdr:pic>
      <xdr:nvPicPr>
        <xdr:cNvPr id="349"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14413"/>
    <xdr:pic>
      <xdr:nvPicPr>
        <xdr:cNvPr id="350"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8560"/>
    <xdr:pic>
      <xdr:nvPicPr>
        <xdr:cNvPr id="351"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9035"/>
    <xdr:pic>
      <xdr:nvPicPr>
        <xdr:cNvPr id="352"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9034"/>
    <xdr:pic>
      <xdr:nvPicPr>
        <xdr:cNvPr id="353"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9034"/>
    <xdr:pic>
      <xdr:nvPicPr>
        <xdr:cNvPr id="354"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14412"/>
    <xdr:pic>
      <xdr:nvPicPr>
        <xdr:cNvPr id="355"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8559"/>
    <xdr:pic>
      <xdr:nvPicPr>
        <xdr:cNvPr id="356"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9034"/>
    <xdr:pic>
      <xdr:nvPicPr>
        <xdr:cNvPr id="357"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2167"/>
    <xdr:pic>
      <xdr:nvPicPr>
        <xdr:cNvPr id="358"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906274"/>
    <xdr:pic>
      <xdr:nvPicPr>
        <xdr:cNvPr id="359"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2167"/>
    <xdr:pic>
      <xdr:nvPicPr>
        <xdr:cNvPr id="360"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2166"/>
    <xdr:pic>
      <xdr:nvPicPr>
        <xdr:cNvPr id="361"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906274"/>
    <xdr:pic>
      <xdr:nvPicPr>
        <xdr:cNvPr id="362"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2166"/>
    <xdr:pic>
      <xdr:nvPicPr>
        <xdr:cNvPr id="363"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6248"/>
    <xdr:pic>
      <xdr:nvPicPr>
        <xdr:cNvPr id="364"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95362"/>
    <xdr:pic>
      <xdr:nvPicPr>
        <xdr:cNvPr id="365"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41388"/>
    <xdr:pic>
      <xdr:nvPicPr>
        <xdr:cNvPr id="366"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5838"/>
    <xdr:pic>
      <xdr:nvPicPr>
        <xdr:cNvPr id="367"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8559"/>
    <xdr:pic>
      <xdr:nvPicPr>
        <xdr:cNvPr id="368"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64407" cy="663159"/>
    <xdr:sp macro="" textlink="">
      <xdr:nvSpPr>
        <xdr:cNvPr id="369" name="AutoShape 1" descr="image001"/>
        <xdr:cNvSpPr>
          <a:spLocks noChangeAspect="1" noChangeArrowheads="1"/>
        </xdr:cNvSpPr>
      </xdr:nvSpPr>
      <xdr:spPr bwMode="auto">
        <a:xfrm>
          <a:off x="7886700" y="132464175"/>
          <a:ext cx="64407" cy="663159"/>
        </a:xfrm>
        <a:prstGeom prst="rect">
          <a:avLst/>
        </a:prstGeom>
        <a:noFill/>
      </xdr:spPr>
    </xdr:sp>
    <xdr:clientData/>
  </xdr:oneCellAnchor>
  <xdr:oneCellAnchor>
    <xdr:from>
      <xdr:col>6</xdr:col>
      <xdr:colOff>0</xdr:colOff>
      <xdr:row>12</xdr:row>
      <xdr:rowOff>0</xdr:rowOff>
    </xdr:from>
    <xdr:ext cx="64407" cy="660437"/>
    <xdr:sp macro="" textlink="">
      <xdr:nvSpPr>
        <xdr:cNvPr id="370"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6</xdr:col>
      <xdr:colOff>0</xdr:colOff>
      <xdr:row>12</xdr:row>
      <xdr:rowOff>0</xdr:rowOff>
    </xdr:from>
    <xdr:ext cx="64407" cy="660437"/>
    <xdr:sp macro="" textlink="">
      <xdr:nvSpPr>
        <xdr:cNvPr id="371"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6</xdr:col>
      <xdr:colOff>0</xdr:colOff>
      <xdr:row>12</xdr:row>
      <xdr:rowOff>0</xdr:rowOff>
    </xdr:from>
    <xdr:ext cx="64407" cy="660437"/>
    <xdr:sp macro="" textlink="">
      <xdr:nvSpPr>
        <xdr:cNvPr id="372"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6</xdr:col>
      <xdr:colOff>0</xdr:colOff>
      <xdr:row>12</xdr:row>
      <xdr:rowOff>0</xdr:rowOff>
    </xdr:from>
    <xdr:ext cx="85725" cy="679033"/>
    <xdr:pic>
      <xdr:nvPicPr>
        <xdr:cNvPr id="373"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5837"/>
    <xdr:pic>
      <xdr:nvPicPr>
        <xdr:cNvPr id="374"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66787"/>
    <xdr:pic>
      <xdr:nvPicPr>
        <xdr:cNvPr id="375"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14412"/>
    <xdr:pic>
      <xdr:nvPicPr>
        <xdr:cNvPr id="376"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8559"/>
    <xdr:pic>
      <xdr:nvPicPr>
        <xdr:cNvPr id="377"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9034"/>
    <xdr:pic>
      <xdr:nvPicPr>
        <xdr:cNvPr id="378"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9033"/>
    <xdr:pic>
      <xdr:nvPicPr>
        <xdr:cNvPr id="379"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9033"/>
    <xdr:pic>
      <xdr:nvPicPr>
        <xdr:cNvPr id="380"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14411"/>
    <xdr:pic>
      <xdr:nvPicPr>
        <xdr:cNvPr id="381"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8558"/>
    <xdr:pic>
      <xdr:nvPicPr>
        <xdr:cNvPr id="382"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9033"/>
    <xdr:pic>
      <xdr:nvPicPr>
        <xdr:cNvPr id="383"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2166"/>
    <xdr:pic>
      <xdr:nvPicPr>
        <xdr:cNvPr id="384"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906273"/>
    <xdr:pic>
      <xdr:nvPicPr>
        <xdr:cNvPr id="385"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2166"/>
    <xdr:pic>
      <xdr:nvPicPr>
        <xdr:cNvPr id="386"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2165"/>
    <xdr:pic>
      <xdr:nvPicPr>
        <xdr:cNvPr id="387"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906273"/>
    <xdr:pic>
      <xdr:nvPicPr>
        <xdr:cNvPr id="388"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2165"/>
    <xdr:pic>
      <xdr:nvPicPr>
        <xdr:cNvPr id="389"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6247"/>
    <xdr:pic>
      <xdr:nvPicPr>
        <xdr:cNvPr id="390"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95361"/>
    <xdr:pic>
      <xdr:nvPicPr>
        <xdr:cNvPr id="391"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41387"/>
    <xdr:pic>
      <xdr:nvPicPr>
        <xdr:cNvPr id="392"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5837"/>
    <xdr:pic>
      <xdr:nvPicPr>
        <xdr:cNvPr id="393"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8558"/>
    <xdr:pic>
      <xdr:nvPicPr>
        <xdr:cNvPr id="394"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64407" cy="663159"/>
    <xdr:sp macro="" textlink="">
      <xdr:nvSpPr>
        <xdr:cNvPr id="395" name="AutoShape 1" descr="image001"/>
        <xdr:cNvSpPr>
          <a:spLocks noChangeAspect="1" noChangeArrowheads="1"/>
        </xdr:cNvSpPr>
      </xdr:nvSpPr>
      <xdr:spPr bwMode="auto">
        <a:xfrm>
          <a:off x="7886700" y="132464175"/>
          <a:ext cx="64407" cy="663159"/>
        </a:xfrm>
        <a:prstGeom prst="rect">
          <a:avLst/>
        </a:prstGeom>
        <a:noFill/>
      </xdr:spPr>
    </xdr:sp>
    <xdr:clientData/>
  </xdr:oneCellAnchor>
  <xdr:oneCellAnchor>
    <xdr:from>
      <xdr:col>6</xdr:col>
      <xdr:colOff>0</xdr:colOff>
      <xdr:row>12</xdr:row>
      <xdr:rowOff>0</xdr:rowOff>
    </xdr:from>
    <xdr:ext cx="64407" cy="660437"/>
    <xdr:sp macro="" textlink="">
      <xdr:nvSpPr>
        <xdr:cNvPr id="396"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6</xdr:col>
      <xdr:colOff>0</xdr:colOff>
      <xdr:row>12</xdr:row>
      <xdr:rowOff>0</xdr:rowOff>
    </xdr:from>
    <xdr:ext cx="64407" cy="660437"/>
    <xdr:sp macro="" textlink="">
      <xdr:nvSpPr>
        <xdr:cNvPr id="397"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6</xdr:col>
      <xdr:colOff>0</xdr:colOff>
      <xdr:row>12</xdr:row>
      <xdr:rowOff>0</xdr:rowOff>
    </xdr:from>
    <xdr:ext cx="64407" cy="660437"/>
    <xdr:sp macro="" textlink="">
      <xdr:nvSpPr>
        <xdr:cNvPr id="398"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6</xdr:col>
      <xdr:colOff>0</xdr:colOff>
      <xdr:row>12</xdr:row>
      <xdr:rowOff>0</xdr:rowOff>
    </xdr:from>
    <xdr:ext cx="85725" cy="679033"/>
    <xdr:pic>
      <xdr:nvPicPr>
        <xdr:cNvPr id="399"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5837"/>
    <xdr:pic>
      <xdr:nvPicPr>
        <xdr:cNvPr id="400"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66787"/>
    <xdr:pic>
      <xdr:nvPicPr>
        <xdr:cNvPr id="401"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14412"/>
    <xdr:pic>
      <xdr:nvPicPr>
        <xdr:cNvPr id="402"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8559"/>
    <xdr:pic>
      <xdr:nvPicPr>
        <xdr:cNvPr id="403"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9034"/>
    <xdr:pic>
      <xdr:nvPicPr>
        <xdr:cNvPr id="404"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9033"/>
    <xdr:pic>
      <xdr:nvPicPr>
        <xdr:cNvPr id="405"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9033"/>
    <xdr:pic>
      <xdr:nvPicPr>
        <xdr:cNvPr id="406"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14411"/>
    <xdr:pic>
      <xdr:nvPicPr>
        <xdr:cNvPr id="407"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8558"/>
    <xdr:pic>
      <xdr:nvPicPr>
        <xdr:cNvPr id="408"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79033"/>
    <xdr:pic>
      <xdr:nvPicPr>
        <xdr:cNvPr id="409"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2166"/>
    <xdr:pic>
      <xdr:nvPicPr>
        <xdr:cNvPr id="410"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906273"/>
    <xdr:pic>
      <xdr:nvPicPr>
        <xdr:cNvPr id="411"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2166"/>
    <xdr:pic>
      <xdr:nvPicPr>
        <xdr:cNvPr id="412"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2165"/>
    <xdr:pic>
      <xdr:nvPicPr>
        <xdr:cNvPr id="413"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906273"/>
    <xdr:pic>
      <xdr:nvPicPr>
        <xdr:cNvPr id="414"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2165"/>
    <xdr:pic>
      <xdr:nvPicPr>
        <xdr:cNvPr id="415"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706247"/>
    <xdr:pic>
      <xdr:nvPicPr>
        <xdr:cNvPr id="416"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95361"/>
    <xdr:pic>
      <xdr:nvPicPr>
        <xdr:cNvPr id="417"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41387"/>
    <xdr:pic>
      <xdr:nvPicPr>
        <xdr:cNvPr id="418"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5837"/>
    <xdr:pic>
      <xdr:nvPicPr>
        <xdr:cNvPr id="419"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12</xdr:row>
      <xdr:rowOff>0</xdr:rowOff>
    </xdr:from>
    <xdr:ext cx="85725" cy="688558"/>
    <xdr:pic>
      <xdr:nvPicPr>
        <xdr:cNvPr id="420"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300336</xdr:colOff>
      <xdr:row>12</xdr:row>
      <xdr:rowOff>0</xdr:rowOff>
    </xdr:from>
    <xdr:ext cx="85725" cy="906273"/>
    <xdr:pic>
      <xdr:nvPicPr>
        <xdr:cNvPr id="421"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0336"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12</xdr:row>
      <xdr:rowOff>0</xdr:rowOff>
    </xdr:from>
    <xdr:ext cx="85725" cy="906273"/>
    <xdr:pic>
      <xdr:nvPicPr>
        <xdr:cNvPr id="422"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12</xdr:row>
      <xdr:rowOff>0</xdr:rowOff>
    </xdr:from>
    <xdr:ext cx="85725" cy="906273"/>
    <xdr:pic>
      <xdr:nvPicPr>
        <xdr:cNvPr id="423"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12</xdr:row>
      <xdr:rowOff>0</xdr:rowOff>
    </xdr:from>
    <xdr:ext cx="85725" cy="906273"/>
    <xdr:pic>
      <xdr:nvPicPr>
        <xdr:cNvPr id="424"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279168</xdr:colOff>
      <xdr:row>12</xdr:row>
      <xdr:rowOff>0</xdr:rowOff>
    </xdr:from>
    <xdr:ext cx="85725" cy="906273"/>
    <xdr:pic>
      <xdr:nvPicPr>
        <xdr:cNvPr id="425"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9168"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321502</xdr:colOff>
      <xdr:row>12</xdr:row>
      <xdr:rowOff>0</xdr:rowOff>
    </xdr:from>
    <xdr:ext cx="85725" cy="906273"/>
    <xdr:pic>
      <xdr:nvPicPr>
        <xdr:cNvPr id="426"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50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12</xdr:row>
      <xdr:rowOff>0</xdr:rowOff>
    </xdr:from>
    <xdr:ext cx="85725" cy="906273"/>
    <xdr:pic>
      <xdr:nvPicPr>
        <xdr:cNvPr id="427"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12</xdr:row>
      <xdr:rowOff>0</xdr:rowOff>
    </xdr:from>
    <xdr:ext cx="85725" cy="906273"/>
    <xdr:pic>
      <xdr:nvPicPr>
        <xdr:cNvPr id="428"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12</xdr:row>
      <xdr:rowOff>0</xdr:rowOff>
    </xdr:from>
    <xdr:ext cx="85725" cy="906273"/>
    <xdr:pic>
      <xdr:nvPicPr>
        <xdr:cNvPr id="429"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12</xdr:row>
      <xdr:rowOff>0</xdr:rowOff>
    </xdr:from>
    <xdr:ext cx="85725" cy="906273"/>
    <xdr:pic>
      <xdr:nvPicPr>
        <xdr:cNvPr id="430"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12</xdr:row>
      <xdr:rowOff>0</xdr:rowOff>
    </xdr:from>
    <xdr:ext cx="85725" cy="906273"/>
    <xdr:pic>
      <xdr:nvPicPr>
        <xdr:cNvPr id="431"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12</xdr:row>
      <xdr:rowOff>0</xdr:rowOff>
    </xdr:from>
    <xdr:ext cx="85725" cy="906273"/>
    <xdr:pic>
      <xdr:nvPicPr>
        <xdr:cNvPr id="432"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12</xdr:row>
      <xdr:rowOff>0</xdr:rowOff>
    </xdr:from>
    <xdr:ext cx="85725" cy="906273"/>
    <xdr:pic>
      <xdr:nvPicPr>
        <xdr:cNvPr id="433"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12</xdr:row>
      <xdr:rowOff>0</xdr:rowOff>
    </xdr:from>
    <xdr:ext cx="85725" cy="906273"/>
    <xdr:pic>
      <xdr:nvPicPr>
        <xdr:cNvPr id="434"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12</xdr:row>
      <xdr:rowOff>0</xdr:rowOff>
    </xdr:from>
    <xdr:ext cx="85725" cy="906273"/>
    <xdr:pic>
      <xdr:nvPicPr>
        <xdr:cNvPr id="435"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12</xdr:row>
      <xdr:rowOff>0</xdr:rowOff>
    </xdr:from>
    <xdr:ext cx="85725" cy="906273"/>
    <xdr:pic>
      <xdr:nvPicPr>
        <xdr:cNvPr id="436"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12</xdr:row>
      <xdr:rowOff>0</xdr:rowOff>
    </xdr:from>
    <xdr:ext cx="85725" cy="906273"/>
    <xdr:pic>
      <xdr:nvPicPr>
        <xdr:cNvPr id="437"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79471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70"/>
  <sheetViews>
    <sheetView tabSelected="1" view="pageBreakPreview" zoomScale="90" zoomScaleNormal="70" zoomScaleSheetLayoutView="90" workbookViewId="0">
      <selection activeCell="C22" sqref="C22:J22"/>
    </sheetView>
  </sheetViews>
  <sheetFormatPr defaultRowHeight="12.75" x14ac:dyDescent="0.2"/>
  <cols>
    <col min="1" max="1" width="5" style="28" customWidth="1"/>
    <col min="2" max="2" width="36.85546875" style="35" customWidth="1"/>
    <col min="3" max="3" width="7.42578125" style="35" customWidth="1"/>
    <col min="4" max="4" width="10.42578125" style="35" customWidth="1"/>
    <col min="5" max="5" width="43.7109375" style="18" customWidth="1"/>
    <col min="6" max="6" width="13.42578125" style="35" customWidth="1"/>
    <col min="7" max="7" width="8.28515625" style="35" customWidth="1"/>
    <col min="8" max="8" width="13.7109375" style="40" customWidth="1"/>
    <col min="9" max="9" width="14.140625" style="35" customWidth="1"/>
    <col min="10" max="10" width="15" style="35" customWidth="1"/>
    <col min="11" max="11" width="18.7109375" style="5" customWidth="1"/>
    <col min="12" max="12" width="19.42578125" style="5" customWidth="1"/>
    <col min="13" max="16384" width="9.140625" style="1"/>
  </cols>
  <sheetData>
    <row r="1" spans="1:12" ht="21" customHeight="1" x14ac:dyDescent="0.2">
      <c r="A1" s="60" t="s">
        <v>5</v>
      </c>
      <c r="B1" s="60"/>
      <c r="C1" s="60"/>
      <c r="D1" s="60"/>
      <c r="E1" s="61"/>
      <c r="F1" s="60"/>
      <c r="G1" s="60"/>
      <c r="H1" s="60"/>
      <c r="I1" s="60"/>
      <c r="J1" s="60"/>
      <c r="K1" s="36"/>
    </row>
    <row r="2" spans="1:12" ht="21" customHeight="1" x14ac:dyDescent="0.2">
      <c r="A2" s="62" t="s">
        <v>23</v>
      </c>
      <c r="B2" s="62"/>
      <c r="C2" s="62"/>
      <c r="D2" s="62"/>
      <c r="E2" s="63"/>
      <c r="F2" s="62"/>
      <c r="G2" s="62"/>
      <c r="H2" s="62"/>
      <c r="I2" s="62"/>
      <c r="J2" s="62"/>
      <c r="K2" s="37"/>
    </row>
    <row r="3" spans="1:12" ht="21" customHeight="1" x14ac:dyDescent="0.2">
      <c r="A3" s="62" t="s">
        <v>42</v>
      </c>
      <c r="B3" s="62"/>
      <c r="C3" s="62"/>
      <c r="D3" s="62"/>
      <c r="E3" s="63"/>
      <c r="F3" s="62"/>
      <c r="G3" s="62"/>
      <c r="H3" s="62"/>
      <c r="I3" s="62"/>
      <c r="J3" s="62"/>
      <c r="K3" s="37"/>
    </row>
    <row r="4" spans="1:12" s="5" customFormat="1" ht="21" customHeight="1" x14ac:dyDescent="0.2">
      <c r="A4" s="3"/>
      <c r="B4" s="4"/>
      <c r="C4" s="4"/>
      <c r="D4" s="4"/>
      <c r="E4" s="17"/>
      <c r="F4" s="35"/>
      <c r="G4" s="35"/>
      <c r="H4" s="40"/>
      <c r="I4" s="35"/>
      <c r="J4" s="35"/>
    </row>
    <row r="5" spans="1:12" s="5" customFormat="1" ht="21" customHeight="1" x14ac:dyDescent="0.2">
      <c r="A5" s="64" t="s">
        <v>6</v>
      </c>
      <c r="B5" s="64"/>
      <c r="C5" s="64"/>
      <c r="D5" s="64"/>
      <c r="E5" s="65"/>
      <c r="F5" s="35"/>
      <c r="G5" s="35"/>
      <c r="H5" s="40"/>
      <c r="I5" s="35"/>
      <c r="J5" s="35"/>
    </row>
    <row r="6" spans="1:12" s="5" customFormat="1" ht="13.5" customHeight="1" x14ac:dyDescent="0.2">
      <c r="A6" s="37"/>
      <c r="B6" s="35"/>
      <c r="C6" s="35"/>
      <c r="D6" s="35"/>
      <c r="E6" s="18"/>
      <c r="F6" s="35"/>
      <c r="G6" s="35"/>
      <c r="H6" s="40"/>
      <c r="I6" s="66" t="s">
        <v>13</v>
      </c>
      <c r="J6" s="66"/>
      <c r="K6" s="30"/>
    </row>
    <row r="7" spans="1:12" s="5" customFormat="1" ht="106.5" customHeight="1" x14ac:dyDescent="0.2">
      <c r="A7" s="10" t="s">
        <v>1</v>
      </c>
      <c r="B7" s="10" t="s">
        <v>14</v>
      </c>
      <c r="C7" s="10" t="s">
        <v>2</v>
      </c>
      <c r="D7" s="10" t="s">
        <v>3</v>
      </c>
      <c r="E7" s="10" t="s">
        <v>15</v>
      </c>
      <c r="F7" s="10" t="s">
        <v>4</v>
      </c>
      <c r="G7" s="11" t="s">
        <v>16</v>
      </c>
      <c r="H7" s="10" t="s">
        <v>19</v>
      </c>
      <c r="I7" s="10" t="s">
        <v>20</v>
      </c>
      <c r="J7" s="10" t="s">
        <v>21</v>
      </c>
      <c r="K7" s="10" t="s">
        <v>27</v>
      </c>
      <c r="L7" s="39" t="s">
        <v>28</v>
      </c>
    </row>
    <row r="8" spans="1:12" s="5" customFormat="1" ht="48.75" customHeight="1" x14ac:dyDescent="0.2">
      <c r="A8" s="43">
        <v>1</v>
      </c>
      <c r="B8" s="44" t="s">
        <v>38</v>
      </c>
      <c r="C8" s="43" t="s">
        <v>34</v>
      </c>
      <c r="D8" s="45">
        <v>0.123</v>
      </c>
      <c r="E8" s="46" t="s">
        <v>37</v>
      </c>
      <c r="F8" s="47">
        <v>46446</v>
      </c>
      <c r="G8" s="44" t="s">
        <v>40</v>
      </c>
      <c r="H8" s="48">
        <v>127049.18</v>
      </c>
      <c r="I8" s="49">
        <f>H8*D8</f>
        <v>15627.049139999999</v>
      </c>
      <c r="J8" s="50">
        <f>I8*1.22</f>
        <v>19064.9999508</v>
      </c>
      <c r="K8" s="51" t="s">
        <v>45</v>
      </c>
      <c r="L8" s="67" t="s">
        <v>29</v>
      </c>
    </row>
    <row r="9" spans="1:12" s="5" customFormat="1" ht="48.75" customHeight="1" x14ac:dyDescent="0.2">
      <c r="A9" s="43">
        <v>2</v>
      </c>
      <c r="B9" s="44" t="s">
        <v>39</v>
      </c>
      <c r="C9" s="43" t="s">
        <v>34</v>
      </c>
      <c r="D9" s="45">
        <v>0.17100000000000001</v>
      </c>
      <c r="E9" s="46" t="s">
        <v>37</v>
      </c>
      <c r="F9" s="47">
        <v>46446</v>
      </c>
      <c r="G9" s="44" t="s">
        <v>41</v>
      </c>
      <c r="H9" s="48">
        <v>124590.16</v>
      </c>
      <c r="I9" s="49">
        <f t="shared" ref="I9:I11" si="0">H9*D9</f>
        <v>21304.917360000003</v>
      </c>
      <c r="J9" s="50">
        <f t="shared" ref="J9:J11" si="1">I9*1.22</f>
        <v>25991.999179200004</v>
      </c>
      <c r="K9" s="51" t="s">
        <v>45</v>
      </c>
      <c r="L9" s="68"/>
    </row>
    <row r="10" spans="1:12" s="5" customFormat="1" ht="48.75" customHeight="1" x14ac:dyDescent="0.2">
      <c r="A10" s="43">
        <v>3</v>
      </c>
      <c r="B10" s="44" t="s">
        <v>35</v>
      </c>
      <c r="C10" s="43" t="s">
        <v>34</v>
      </c>
      <c r="D10" s="45">
        <v>0.27200000000000002</v>
      </c>
      <c r="E10" s="46" t="s">
        <v>37</v>
      </c>
      <c r="F10" s="47">
        <v>46446</v>
      </c>
      <c r="G10" s="44" t="s">
        <v>36</v>
      </c>
      <c r="H10" s="48">
        <v>120491.8</v>
      </c>
      <c r="I10" s="49">
        <f t="shared" si="0"/>
        <v>32773.7696</v>
      </c>
      <c r="J10" s="50">
        <f t="shared" si="1"/>
        <v>39983.998911999995</v>
      </c>
      <c r="K10" s="51" t="s">
        <v>45</v>
      </c>
      <c r="L10" s="68"/>
    </row>
    <row r="11" spans="1:12" s="5" customFormat="1" ht="48.75" customHeight="1" x14ac:dyDescent="0.2">
      <c r="A11" s="43">
        <v>4</v>
      </c>
      <c r="B11" s="44" t="s">
        <v>24</v>
      </c>
      <c r="C11" s="43" t="s">
        <v>34</v>
      </c>
      <c r="D11" s="45">
        <v>0.10100000000000001</v>
      </c>
      <c r="E11" s="46" t="s">
        <v>37</v>
      </c>
      <c r="F11" s="47">
        <v>46446</v>
      </c>
      <c r="G11" s="44" t="s">
        <v>26</v>
      </c>
      <c r="H11" s="48">
        <v>120491.8</v>
      </c>
      <c r="I11" s="49">
        <f t="shared" si="0"/>
        <v>12169.671800000002</v>
      </c>
      <c r="J11" s="50">
        <f t="shared" si="1"/>
        <v>14846.999596000001</v>
      </c>
      <c r="K11" s="51" t="s">
        <v>45</v>
      </c>
      <c r="L11" s="68"/>
    </row>
    <row r="12" spans="1:12" ht="22.5" customHeight="1" x14ac:dyDescent="0.2">
      <c r="A12" s="78" t="s">
        <v>30</v>
      </c>
      <c r="B12" s="79"/>
      <c r="C12" s="23"/>
      <c r="D12" s="52">
        <f>SUM(D8:D11)</f>
        <v>0.66700000000000004</v>
      </c>
      <c r="E12" s="53"/>
      <c r="F12" s="24"/>
      <c r="G12" s="25"/>
      <c r="H12" s="26"/>
      <c r="I12" s="26">
        <f>SUM(I8:I11)</f>
        <v>81875.407900000006</v>
      </c>
      <c r="J12" s="27">
        <f>SUM(J8:J11)</f>
        <v>99887.997638000001</v>
      </c>
      <c r="K12" s="22"/>
      <c r="L12" s="22"/>
    </row>
    <row r="13" spans="1:12" ht="20.25" customHeight="1" x14ac:dyDescent="0.2">
      <c r="A13" s="12"/>
      <c r="B13" s="13"/>
      <c r="C13" s="13"/>
      <c r="D13" s="14"/>
      <c r="E13" s="19"/>
      <c r="F13" s="13"/>
      <c r="G13" s="13"/>
      <c r="H13" s="15"/>
      <c r="I13" s="16"/>
      <c r="J13" s="16"/>
      <c r="K13" s="31"/>
    </row>
    <row r="14" spans="1:12" ht="22.5" customHeight="1" x14ac:dyDescent="0.2">
      <c r="A14" s="64" t="s">
        <v>46</v>
      </c>
      <c r="B14" s="64"/>
      <c r="C14" s="70">
        <v>81875.41</v>
      </c>
      <c r="D14" s="71"/>
      <c r="E14" s="69"/>
      <c r="F14" s="71"/>
      <c r="H14" s="20"/>
    </row>
    <row r="15" spans="1:12" ht="22.5" customHeight="1" x14ac:dyDescent="0.2">
      <c r="A15" s="5" t="s">
        <v>31</v>
      </c>
      <c r="C15" s="54">
        <f>C16-C14</f>
        <v>18012.589999999997</v>
      </c>
      <c r="D15" s="54"/>
      <c r="E15" s="54"/>
      <c r="H15" s="20"/>
    </row>
    <row r="16" spans="1:12" ht="22.5" customHeight="1" x14ac:dyDescent="0.2">
      <c r="A16" s="64" t="s">
        <v>18</v>
      </c>
      <c r="B16" s="64"/>
      <c r="C16" s="54">
        <v>99888</v>
      </c>
      <c r="D16" s="54"/>
      <c r="E16" s="54"/>
    </row>
    <row r="17" spans="1:11" ht="26.25" customHeight="1" x14ac:dyDescent="0.2">
      <c r="G17" s="34"/>
      <c r="H17" s="72" t="s">
        <v>22</v>
      </c>
      <c r="I17" s="72"/>
    </row>
    <row r="18" spans="1:11" ht="24" customHeight="1" x14ac:dyDescent="0.25">
      <c r="A18" s="6" t="s">
        <v>0</v>
      </c>
      <c r="B18" s="41" t="s">
        <v>7</v>
      </c>
      <c r="C18" s="73" t="s">
        <v>8</v>
      </c>
      <c r="D18" s="73"/>
      <c r="E18" s="74"/>
      <c r="F18" s="73"/>
      <c r="G18" s="73"/>
      <c r="H18" s="73"/>
      <c r="I18" s="75"/>
      <c r="J18" s="76"/>
      <c r="K18" s="32"/>
    </row>
    <row r="19" spans="1:11" ht="201" customHeight="1" x14ac:dyDescent="0.25">
      <c r="A19" s="7">
        <v>1</v>
      </c>
      <c r="B19" s="42" t="s">
        <v>9</v>
      </c>
      <c r="C19" s="57" t="s">
        <v>32</v>
      </c>
      <c r="D19" s="57"/>
      <c r="E19" s="57"/>
      <c r="F19" s="57"/>
      <c r="G19" s="57"/>
      <c r="H19" s="57"/>
      <c r="I19" s="58"/>
      <c r="J19" s="59"/>
      <c r="K19" s="32"/>
    </row>
    <row r="20" spans="1:11" ht="156.75" customHeight="1" x14ac:dyDescent="0.25">
      <c r="A20" s="7">
        <v>2</v>
      </c>
      <c r="B20" s="42" t="s">
        <v>10</v>
      </c>
      <c r="C20" s="57" t="s">
        <v>43</v>
      </c>
      <c r="D20" s="57"/>
      <c r="E20" s="57"/>
      <c r="F20" s="57"/>
      <c r="G20" s="57"/>
      <c r="H20" s="57"/>
      <c r="I20" s="58"/>
      <c r="J20" s="77"/>
      <c r="K20" s="32"/>
    </row>
    <row r="21" spans="1:11" ht="97.5" customHeight="1" x14ac:dyDescent="0.25">
      <c r="A21" s="7">
        <v>3</v>
      </c>
      <c r="B21" s="42" t="s">
        <v>11</v>
      </c>
      <c r="C21" s="57" t="s">
        <v>25</v>
      </c>
      <c r="D21" s="57"/>
      <c r="E21" s="57"/>
      <c r="F21" s="57"/>
      <c r="G21" s="57"/>
      <c r="H21" s="57"/>
      <c r="I21" s="58"/>
      <c r="J21" s="59"/>
      <c r="K21" s="32"/>
    </row>
    <row r="22" spans="1:11" ht="24.75" customHeight="1" x14ac:dyDescent="0.25">
      <c r="A22" s="7">
        <v>4</v>
      </c>
      <c r="B22" s="42" t="s">
        <v>47</v>
      </c>
      <c r="C22" s="80">
        <v>99887.997638000001</v>
      </c>
      <c r="D22" s="80"/>
      <c r="E22" s="80"/>
      <c r="F22" s="80"/>
      <c r="G22" s="80"/>
      <c r="H22" s="80"/>
      <c r="I22" s="58"/>
      <c r="J22" s="59"/>
      <c r="K22" s="32"/>
    </row>
    <row r="23" spans="1:11" ht="203.25" customHeight="1" x14ac:dyDescent="0.25">
      <c r="A23" s="29">
        <v>5</v>
      </c>
      <c r="B23" s="42" t="s">
        <v>12</v>
      </c>
      <c r="C23" s="57" t="s">
        <v>33</v>
      </c>
      <c r="D23" s="57"/>
      <c r="E23" s="57"/>
      <c r="F23" s="57"/>
      <c r="G23" s="57"/>
      <c r="H23" s="57"/>
      <c r="I23" s="58"/>
      <c r="J23" s="59"/>
      <c r="K23" s="32"/>
    </row>
    <row r="24" spans="1:11" ht="58.5" customHeight="1" x14ac:dyDescent="0.25">
      <c r="A24" s="8">
        <v>6</v>
      </c>
      <c r="B24" s="42" t="s">
        <v>17</v>
      </c>
      <c r="C24" s="57" t="s">
        <v>44</v>
      </c>
      <c r="D24" s="57"/>
      <c r="E24" s="57"/>
      <c r="F24" s="57"/>
      <c r="G24" s="57"/>
      <c r="H24" s="57"/>
      <c r="I24" s="57"/>
      <c r="J24" s="59"/>
      <c r="K24" s="32"/>
    </row>
    <row r="25" spans="1:11" x14ac:dyDescent="0.2">
      <c r="B25" s="9"/>
      <c r="C25" s="9"/>
      <c r="D25" s="9"/>
      <c r="E25" s="21"/>
    </row>
    <row r="26" spans="1:11" x14ac:dyDescent="0.2">
      <c r="B26" s="81"/>
      <c r="C26" s="81"/>
      <c r="D26" s="81"/>
      <c r="E26" s="21"/>
      <c r="F26" s="72"/>
      <c r="G26" s="56"/>
      <c r="H26" s="56"/>
    </row>
    <row r="27" spans="1:11" x14ac:dyDescent="0.2">
      <c r="B27" s="69"/>
      <c r="C27" s="69"/>
      <c r="D27" s="69"/>
      <c r="F27" s="56"/>
      <c r="G27" s="56"/>
      <c r="H27" s="56"/>
    </row>
    <row r="28" spans="1:11" x14ac:dyDescent="0.2">
      <c r="B28" s="33"/>
      <c r="C28" s="34"/>
      <c r="D28" s="34"/>
      <c r="E28" s="21"/>
      <c r="F28" s="34"/>
    </row>
    <row r="29" spans="1:11" ht="12.75" customHeight="1" x14ac:dyDescent="0.2">
      <c r="B29" s="55"/>
      <c r="C29" s="55"/>
      <c r="D29" s="55"/>
      <c r="F29" s="56"/>
      <c r="G29" s="56"/>
      <c r="H29" s="56"/>
    </row>
    <row r="30" spans="1:11" x14ac:dyDescent="0.2">
      <c r="B30" s="38"/>
      <c r="C30" s="38"/>
      <c r="D30" s="38"/>
    </row>
    <row r="31" spans="1:11" x14ac:dyDescent="0.2">
      <c r="B31" s="38"/>
      <c r="C31" s="38"/>
      <c r="D31" s="38"/>
    </row>
    <row r="32" spans="1:11" x14ac:dyDescent="0.2">
      <c r="B32" s="38"/>
      <c r="C32" s="38"/>
      <c r="D32" s="38"/>
    </row>
    <row r="33" spans="2:4" x14ac:dyDescent="0.2">
      <c r="B33" s="38"/>
      <c r="C33" s="38"/>
      <c r="D33" s="38"/>
    </row>
    <row r="34" spans="2:4" ht="38.25" customHeight="1" x14ac:dyDescent="0.2"/>
    <row r="70" spans="1:12" s="2" customFormat="1" x14ac:dyDescent="0.2">
      <c r="A70" s="28"/>
      <c r="B70" s="35"/>
      <c r="C70" s="35"/>
      <c r="D70" s="35"/>
      <c r="E70" s="18"/>
      <c r="F70" s="35"/>
      <c r="G70" s="35"/>
      <c r="H70" s="40"/>
      <c r="I70" s="35"/>
      <c r="J70" s="35"/>
      <c r="K70" s="5"/>
      <c r="L70" s="5"/>
    </row>
  </sheetData>
  <autoFilter ref="A7:L12"/>
  <mergeCells count="26">
    <mergeCell ref="L8:L11"/>
    <mergeCell ref="B27:D27"/>
    <mergeCell ref="F27:H27"/>
    <mergeCell ref="A14:B14"/>
    <mergeCell ref="C14:F14"/>
    <mergeCell ref="A16:B16"/>
    <mergeCell ref="H17:I17"/>
    <mergeCell ref="C18:J18"/>
    <mergeCell ref="C19:J19"/>
    <mergeCell ref="C20:J20"/>
    <mergeCell ref="C21:J21"/>
    <mergeCell ref="A12:B12"/>
    <mergeCell ref="C22:J22"/>
    <mergeCell ref="B26:D26"/>
    <mergeCell ref="F26:H26"/>
    <mergeCell ref="C15:E15"/>
    <mergeCell ref="A1:J1"/>
    <mergeCell ref="A2:J2"/>
    <mergeCell ref="A3:J3"/>
    <mergeCell ref="A5:E5"/>
    <mergeCell ref="I6:J6"/>
    <mergeCell ref="C16:E16"/>
    <mergeCell ref="B29:D29"/>
    <mergeCell ref="F29:H29"/>
    <mergeCell ref="C23:J23"/>
    <mergeCell ref="C24:J24"/>
  </mergeCells>
  <pageMargins left="0.25" right="0.25" top="0.75" bottom="0.75" header="0.3" footer="0.3"/>
  <pageSetup paperSize="9" scale="45" fitToHeight="0" orientation="portrait" r:id="rId1"/>
  <headerFooter>
    <oddFooter>&amp;CСтраница  &amp;P из &amp;N</oddFooter>
  </headerFooter>
  <rowBreaks count="1" manualBreakCount="1">
    <brk id="20"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для проверки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plusnin_ip</dc:creator>
  <cp:lastModifiedBy>Шишкина Ольга Игоревна</cp:lastModifiedBy>
  <cp:lastPrinted>2025-10-30T10:06:06Z</cp:lastPrinted>
  <dcterms:created xsi:type="dcterms:W3CDTF">2011-03-24T09:14:27Z</dcterms:created>
  <dcterms:modified xsi:type="dcterms:W3CDTF">2026-09-11T06:17:26Z</dcterms:modified>
</cp:coreProperties>
</file>