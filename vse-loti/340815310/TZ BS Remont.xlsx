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O:\PRM\AD01\Departments\UZIL\ЦЗО\ПРОТОКОЛЫ ЗК ГКПЗ 2026\09 сентябрь\Проекты\05. Заседание ЗК № (Шишкина) 98062\05. Документация ОЗП 79-27\Приложение №1. Техническое задание\"/>
    </mc:Choice>
  </mc:AlternateContent>
  <bookViews>
    <workbookView xWindow="120" yWindow="75" windowWidth="19020" windowHeight="4335"/>
  </bookViews>
  <sheets>
    <sheet name="для проверки" sheetId="2" r:id="rId1"/>
  </sheets>
  <definedNames>
    <definedName name="_xlnm._FilterDatabase" localSheetId="0" hidden="1">'для проверки'!$A$7:$L$234</definedName>
  </definedNames>
  <calcPr calcId="162913"/>
</workbook>
</file>

<file path=xl/calcChain.xml><?xml version="1.0" encoding="utf-8"?>
<calcChain xmlns="http://schemas.openxmlformats.org/spreadsheetml/2006/main">
  <c r="J29" i="2" l="1"/>
  <c r="J30" i="2"/>
  <c r="J33" i="2"/>
  <c r="J34" i="2"/>
  <c r="J61" i="2"/>
  <c r="J62" i="2"/>
  <c r="J65" i="2"/>
  <c r="J66" i="2"/>
  <c r="J93" i="2"/>
  <c r="J94" i="2"/>
  <c r="J97" i="2"/>
  <c r="J98" i="2"/>
  <c r="J125" i="2"/>
  <c r="J126" i="2"/>
  <c r="J129" i="2"/>
  <c r="J130" i="2"/>
  <c r="J157" i="2"/>
  <c r="J158" i="2"/>
  <c r="J161" i="2"/>
  <c r="J162" i="2"/>
  <c r="J189" i="2"/>
  <c r="J190" i="2"/>
  <c r="J193" i="2"/>
  <c r="J194" i="2"/>
  <c r="J221" i="2"/>
  <c r="J222" i="2"/>
  <c r="J225" i="2"/>
  <c r="J226" i="2"/>
  <c r="I9" i="2"/>
  <c r="J9" i="2" s="1"/>
  <c r="I10" i="2"/>
  <c r="J10" i="2" s="1"/>
  <c r="I11" i="2"/>
  <c r="J11" i="2" s="1"/>
  <c r="I12" i="2"/>
  <c r="J12" i="2" s="1"/>
  <c r="I13" i="2"/>
  <c r="J13" i="2" s="1"/>
  <c r="I14" i="2"/>
  <c r="J14" i="2" s="1"/>
  <c r="I15" i="2"/>
  <c r="J15" i="2" s="1"/>
  <c r="I16" i="2"/>
  <c r="J16" i="2" s="1"/>
  <c r="I17" i="2"/>
  <c r="J17" i="2" s="1"/>
  <c r="I18" i="2"/>
  <c r="J18" i="2" s="1"/>
  <c r="I19" i="2"/>
  <c r="J19" i="2" s="1"/>
  <c r="I20" i="2"/>
  <c r="J20" i="2" s="1"/>
  <c r="I21" i="2"/>
  <c r="J21" i="2" s="1"/>
  <c r="I22" i="2"/>
  <c r="J22" i="2" s="1"/>
  <c r="I23" i="2"/>
  <c r="J23" i="2" s="1"/>
  <c r="I24" i="2"/>
  <c r="J24" i="2" s="1"/>
  <c r="I25" i="2"/>
  <c r="J25" i="2" s="1"/>
  <c r="I26" i="2"/>
  <c r="J26" i="2" s="1"/>
  <c r="I27" i="2"/>
  <c r="J27" i="2" s="1"/>
  <c r="I28" i="2"/>
  <c r="J28" i="2" s="1"/>
  <c r="I29" i="2"/>
  <c r="I30" i="2"/>
  <c r="I31" i="2"/>
  <c r="J31" i="2" s="1"/>
  <c r="I32" i="2"/>
  <c r="J32" i="2" s="1"/>
  <c r="I33" i="2"/>
  <c r="I34" i="2"/>
  <c r="I35" i="2"/>
  <c r="J35" i="2" s="1"/>
  <c r="I36" i="2"/>
  <c r="J36" i="2" s="1"/>
  <c r="I37" i="2"/>
  <c r="J37" i="2" s="1"/>
  <c r="I38" i="2"/>
  <c r="J38" i="2" s="1"/>
  <c r="I39" i="2"/>
  <c r="J39" i="2" s="1"/>
  <c r="I40" i="2"/>
  <c r="J40" i="2" s="1"/>
  <c r="I41" i="2"/>
  <c r="J41" i="2" s="1"/>
  <c r="I42" i="2"/>
  <c r="J42" i="2" s="1"/>
  <c r="I43" i="2"/>
  <c r="J43" i="2" s="1"/>
  <c r="I44" i="2"/>
  <c r="J44" i="2" s="1"/>
  <c r="I45" i="2"/>
  <c r="J45" i="2" s="1"/>
  <c r="I46" i="2"/>
  <c r="J46" i="2" s="1"/>
  <c r="I47" i="2"/>
  <c r="J47" i="2" s="1"/>
  <c r="I48" i="2"/>
  <c r="J48" i="2" s="1"/>
  <c r="I49" i="2"/>
  <c r="J49" i="2" s="1"/>
  <c r="I50" i="2"/>
  <c r="J50" i="2" s="1"/>
  <c r="I51" i="2"/>
  <c r="J51" i="2" s="1"/>
  <c r="I52" i="2"/>
  <c r="J52" i="2" s="1"/>
  <c r="I53" i="2"/>
  <c r="J53" i="2" s="1"/>
  <c r="I54" i="2"/>
  <c r="J54" i="2" s="1"/>
  <c r="I55" i="2"/>
  <c r="J55" i="2" s="1"/>
  <c r="I56" i="2"/>
  <c r="J56" i="2" s="1"/>
  <c r="I57" i="2"/>
  <c r="J57" i="2" s="1"/>
  <c r="I58" i="2"/>
  <c r="J58" i="2" s="1"/>
  <c r="I59" i="2"/>
  <c r="J59" i="2" s="1"/>
  <c r="I60" i="2"/>
  <c r="J60" i="2" s="1"/>
  <c r="I61" i="2"/>
  <c r="I62" i="2"/>
  <c r="I63" i="2"/>
  <c r="J63" i="2" s="1"/>
  <c r="I64" i="2"/>
  <c r="J64" i="2" s="1"/>
  <c r="I65" i="2"/>
  <c r="I66" i="2"/>
  <c r="I67" i="2"/>
  <c r="J67" i="2" s="1"/>
  <c r="I68" i="2"/>
  <c r="J68" i="2" s="1"/>
  <c r="I69" i="2"/>
  <c r="J69" i="2" s="1"/>
  <c r="I70" i="2"/>
  <c r="J70" i="2" s="1"/>
  <c r="I71" i="2"/>
  <c r="J71" i="2" s="1"/>
  <c r="I72" i="2"/>
  <c r="J72" i="2" s="1"/>
  <c r="I73" i="2"/>
  <c r="J73" i="2" s="1"/>
  <c r="I74" i="2"/>
  <c r="J74" i="2" s="1"/>
  <c r="I75" i="2"/>
  <c r="J75" i="2" s="1"/>
  <c r="I76" i="2"/>
  <c r="J76" i="2" s="1"/>
  <c r="I77" i="2"/>
  <c r="J77" i="2" s="1"/>
  <c r="I78" i="2"/>
  <c r="J78" i="2" s="1"/>
  <c r="I79" i="2"/>
  <c r="J79" i="2" s="1"/>
  <c r="I80" i="2"/>
  <c r="J80" i="2" s="1"/>
  <c r="I81" i="2"/>
  <c r="J81" i="2" s="1"/>
  <c r="I82" i="2"/>
  <c r="J82" i="2" s="1"/>
  <c r="I83" i="2"/>
  <c r="J83" i="2" s="1"/>
  <c r="I84" i="2"/>
  <c r="J84" i="2" s="1"/>
  <c r="I85" i="2"/>
  <c r="J85" i="2" s="1"/>
  <c r="I86" i="2"/>
  <c r="J86" i="2" s="1"/>
  <c r="I87" i="2"/>
  <c r="J87" i="2" s="1"/>
  <c r="I88" i="2"/>
  <c r="J88" i="2" s="1"/>
  <c r="I89" i="2"/>
  <c r="J89" i="2" s="1"/>
  <c r="I90" i="2"/>
  <c r="J90" i="2" s="1"/>
  <c r="I91" i="2"/>
  <c r="J91" i="2" s="1"/>
  <c r="I92" i="2"/>
  <c r="J92" i="2" s="1"/>
  <c r="I93" i="2"/>
  <c r="I94" i="2"/>
  <c r="I95" i="2"/>
  <c r="J95" i="2" s="1"/>
  <c r="I96" i="2"/>
  <c r="J96" i="2" s="1"/>
  <c r="I97" i="2"/>
  <c r="I98" i="2"/>
  <c r="I99" i="2"/>
  <c r="J99" i="2" s="1"/>
  <c r="I100" i="2"/>
  <c r="J100" i="2" s="1"/>
  <c r="I101" i="2"/>
  <c r="J101" i="2" s="1"/>
  <c r="I102" i="2"/>
  <c r="J102" i="2" s="1"/>
  <c r="I103" i="2"/>
  <c r="J103" i="2" s="1"/>
  <c r="I104" i="2"/>
  <c r="J104" i="2" s="1"/>
  <c r="I105" i="2"/>
  <c r="J105" i="2" s="1"/>
  <c r="I106" i="2"/>
  <c r="J106" i="2" s="1"/>
  <c r="I107" i="2"/>
  <c r="J107" i="2" s="1"/>
  <c r="I108" i="2"/>
  <c r="J108" i="2" s="1"/>
  <c r="I109" i="2"/>
  <c r="J109" i="2" s="1"/>
  <c r="I110" i="2"/>
  <c r="J110" i="2" s="1"/>
  <c r="I111" i="2"/>
  <c r="J111" i="2" s="1"/>
  <c r="I112" i="2"/>
  <c r="J112" i="2" s="1"/>
  <c r="I113" i="2"/>
  <c r="J113" i="2" s="1"/>
  <c r="I114" i="2"/>
  <c r="J114" i="2" s="1"/>
  <c r="I115" i="2"/>
  <c r="J115" i="2" s="1"/>
  <c r="I116" i="2"/>
  <c r="J116" i="2" s="1"/>
  <c r="I117" i="2"/>
  <c r="J117" i="2" s="1"/>
  <c r="I118" i="2"/>
  <c r="J118" i="2" s="1"/>
  <c r="I119" i="2"/>
  <c r="J119" i="2" s="1"/>
  <c r="I120" i="2"/>
  <c r="J120" i="2" s="1"/>
  <c r="I121" i="2"/>
  <c r="J121" i="2" s="1"/>
  <c r="I122" i="2"/>
  <c r="J122" i="2" s="1"/>
  <c r="I123" i="2"/>
  <c r="J123" i="2" s="1"/>
  <c r="I124" i="2"/>
  <c r="J124" i="2" s="1"/>
  <c r="I125" i="2"/>
  <c r="I126" i="2"/>
  <c r="I127" i="2"/>
  <c r="J127" i="2" s="1"/>
  <c r="I128" i="2"/>
  <c r="J128" i="2" s="1"/>
  <c r="I129" i="2"/>
  <c r="I130" i="2"/>
  <c r="I131" i="2"/>
  <c r="J131" i="2" s="1"/>
  <c r="I132" i="2"/>
  <c r="J132" i="2" s="1"/>
  <c r="I133" i="2"/>
  <c r="J133" i="2" s="1"/>
  <c r="I134" i="2"/>
  <c r="J134" i="2" s="1"/>
  <c r="I135" i="2"/>
  <c r="J135" i="2" s="1"/>
  <c r="I136" i="2"/>
  <c r="J136" i="2" s="1"/>
  <c r="I137" i="2"/>
  <c r="J137" i="2" s="1"/>
  <c r="I138" i="2"/>
  <c r="J138" i="2" s="1"/>
  <c r="I139" i="2"/>
  <c r="J139" i="2" s="1"/>
  <c r="I140" i="2"/>
  <c r="J140" i="2" s="1"/>
  <c r="I141" i="2"/>
  <c r="J141" i="2" s="1"/>
  <c r="I142" i="2"/>
  <c r="J142" i="2" s="1"/>
  <c r="I143" i="2"/>
  <c r="J143" i="2" s="1"/>
  <c r="I144" i="2"/>
  <c r="J144" i="2" s="1"/>
  <c r="I145" i="2"/>
  <c r="J145" i="2" s="1"/>
  <c r="I146" i="2"/>
  <c r="J146" i="2" s="1"/>
  <c r="I147" i="2"/>
  <c r="J147" i="2" s="1"/>
  <c r="I148" i="2"/>
  <c r="J148" i="2" s="1"/>
  <c r="I149" i="2"/>
  <c r="J149" i="2" s="1"/>
  <c r="I150" i="2"/>
  <c r="J150" i="2" s="1"/>
  <c r="I151" i="2"/>
  <c r="J151" i="2" s="1"/>
  <c r="I152" i="2"/>
  <c r="J152" i="2" s="1"/>
  <c r="I153" i="2"/>
  <c r="J153" i="2" s="1"/>
  <c r="I154" i="2"/>
  <c r="J154" i="2" s="1"/>
  <c r="I155" i="2"/>
  <c r="J155" i="2" s="1"/>
  <c r="I156" i="2"/>
  <c r="J156" i="2" s="1"/>
  <c r="I157" i="2"/>
  <c r="I158" i="2"/>
  <c r="I159" i="2"/>
  <c r="J159" i="2" s="1"/>
  <c r="I160" i="2"/>
  <c r="J160" i="2" s="1"/>
  <c r="I161" i="2"/>
  <c r="I162" i="2"/>
  <c r="I163" i="2"/>
  <c r="J163" i="2" s="1"/>
  <c r="I164" i="2"/>
  <c r="J164" i="2" s="1"/>
  <c r="I165" i="2"/>
  <c r="J165" i="2" s="1"/>
  <c r="I166" i="2"/>
  <c r="J166" i="2" s="1"/>
  <c r="I167" i="2"/>
  <c r="J167" i="2" s="1"/>
  <c r="I168" i="2"/>
  <c r="J168" i="2" s="1"/>
  <c r="I169" i="2"/>
  <c r="J169" i="2" s="1"/>
  <c r="I170" i="2"/>
  <c r="J170" i="2" s="1"/>
  <c r="I171" i="2"/>
  <c r="J171" i="2" s="1"/>
  <c r="I172" i="2"/>
  <c r="J172" i="2" s="1"/>
  <c r="I173" i="2"/>
  <c r="J173" i="2" s="1"/>
  <c r="I174" i="2"/>
  <c r="J174" i="2" s="1"/>
  <c r="I175" i="2"/>
  <c r="J175" i="2" s="1"/>
  <c r="I176" i="2"/>
  <c r="J176" i="2" s="1"/>
  <c r="I177" i="2"/>
  <c r="J177" i="2" s="1"/>
  <c r="I178" i="2"/>
  <c r="J178" i="2" s="1"/>
  <c r="I179" i="2"/>
  <c r="J179" i="2" s="1"/>
  <c r="I180" i="2"/>
  <c r="J180" i="2" s="1"/>
  <c r="I181" i="2"/>
  <c r="J181" i="2" s="1"/>
  <c r="I182" i="2"/>
  <c r="J182" i="2" s="1"/>
  <c r="I183" i="2"/>
  <c r="J183" i="2" s="1"/>
  <c r="I184" i="2"/>
  <c r="J184" i="2" s="1"/>
  <c r="I185" i="2"/>
  <c r="J185" i="2" s="1"/>
  <c r="I186" i="2"/>
  <c r="J186" i="2" s="1"/>
  <c r="I187" i="2"/>
  <c r="J187" i="2" s="1"/>
  <c r="I188" i="2"/>
  <c r="J188" i="2" s="1"/>
  <c r="I189" i="2"/>
  <c r="I190" i="2"/>
  <c r="I191" i="2"/>
  <c r="J191" i="2" s="1"/>
  <c r="I192" i="2"/>
  <c r="J192" i="2" s="1"/>
  <c r="I193" i="2"/>
  <c r="I194" i="2"/>
  <c r="I195" i="2"/>
  <c r="J195" i="2" s="1"/>
  <c r="I196" i="2"/>
  <c r="J196" i="2" s="1"/>
  <c r="I197" i="2"/>
  <c r="J197" i="2" s="1"/>
  <c r="I198" i="2"/>
  <c r="J198" i="2" s="1"/>
  <c r="I199" i="2"/>
  <c r="J199" i="2" s="1"/>
  <c r="I200" i="2"/>
  <c r="J200" i="2" s="1"/>
  <c r="I201" i="2"/>
  <c r="J201" i="2" s="1"/>
  <c r="I202" i="2"/>
  <c r="J202" i="2" s="1"/>
  <c r="I203" i="2"/>
  <c r="J203" i="2" s="1"/>
  <c r="I204" i="2"/>
  <c r="J204" i="2" s="1"/>
  <c r="I205" i="2"/>
  <c r="J205" i="2" s="1"/>
  <c r="I206" i="2"/>
  <c r="J206" i="2" s="1"/>
  <c r="I207" i="2"/>
  <c r="J207" i="2" s="1"/>
  <c r="I208" i="2"/>
  <c r="J208" i="2" s="1"/>
  <c r="I209" i="2"/>
  <c r="J209" i="2" s="1"/>
  <c r="I210" i="2"/>
  <c r="J210" i="2" s="1"/>
  <c r="I211" i="2"/>
  <c r="J211" i="2" s="1"/>
  <c r="I212" i="2"/>
  <c r="J212" i="2" s="1"/>
  <c r="I213" i="2"/>
  <c r="J213" i="2" s="1"/>
  <c r="I214" i="2"/>
  <c r="J214" i="2" s="1"/>
  <c r="I215" i="2"/>
  <c r="J215" i="2" s="1"/>
  <c r="I216" i="2"/>
  <c r="J216" i="2" s="1"/>
  <c r="I217" i="2"/>
  <c r="J217" i="2" s="1"/>
  <c r="I218" i="2"/>
  <c r="J218" i="2" s="1"/>
  <c r="I219" i="2"/>
  <c r="J219" i="2" s="1"/>
  <c r="I220" i="2"/>
  <c r="J220" i="2" s="1"/>
  <c r="I221" i="2"/>
  <c r="I222" i="2"/>
  <c r="I223" i="2"/>
  <c r="J223" i="2" s="1"/>
  <c r="I224" i="2"/>
  <c r="J224" i="2" s="1"/>
  <c r="I225" i="2"/>
  <c r="I226" i="2"/>
  <c r="I227" i="2"/>
  <c r="J227" i="2" s="1"/>
  <c r="I228" i="2"/>
  <c r="J228" i="2" s="1"/>
  <c r="I229" i="2"/>
  <c r="J229" i="2" s="1"/>
  <c r="I230" i="2"/>
  <c r="J230" i="2" s="1"/>
  <c r="I231" i="2"/>
  <c r="J231" i="2" s="1"/>
  <c r="I232" i="2"/>
  <c r="J232" i="2" s="1"/>
  <c r="I233" i="2"/>
  <c r="J233" i="2" s="1"/>
  <c r="I8" i="2"/>
  <c r="I234" i="2" l="1"/>
  <c r="J8" i="2"/>
  <c r="J234" i="2"/>
  <c r="C237" i="2" s="1"/>
  <c r="D234" i="2"/>
</calcChain>
</file>

<file path=xl/sharedStrings.xml><?xml version="1.0" encoding="utf-8"?>
<sst xmlns="http://schemas.openxmlformats.org/spreadsheetml/2006/main" count="1167" uniqueCount="201">
  <si>
    <t>п/п</t>
  </si>
  <si>
    <t>№ п/п</t>
  </si>
  <si>
    <t>Ед. изм.</t>
  </si>
  <si>
    <t>Кол-во</t>
  </si>
  <si>
    <t>Сроки поставки</t>
  </si>
  <si>
    <t xml:space="preserve">Техническое задание </t>
  </si>
  <si>
    <t>Перечень и объемы закупаемой продукции.</t>
  </si>
  <si>
    <t>Показатель</t>
  </si>
  <si>
    <t>Описание</t>
  </si>
  <si>
    <t>Общие требования к условиям поставки</t>
  </si>
  <si>
    <t>Технические требования к продукции</t>
  </si>
  <si>
    <t>Подтверждение соответствия продукции предъявляемым требованиям</t>
  </si>
  <si>
    <t>Требования по порядку расчетов</t>
  </si>
  <si>
    <t>Таблица 1</t>
  </si>
  <si>
    <t>Наименование продукции</t>
  </si>
  <si>
    <t>Получатель</t>
  </si>
  <si>
    <t>Код МТР SAP</t>
  </si>
  <si>
    <t>Грузополучатель, реквизиты</t>
  </si>
  <si>
    <t xml:space="preserve">С учетом НДС                                                  </t>
  </si>
  <si>
    <t>Цена единицы, руб. без НДС</t>
  </si>
  <si>
    <t>Сумма, руб. без НДС</t>
  </si>
  <si>
    <t>Сумма, руб. c НДС</t>
  </si>
  <si>
    <t>Таблица 2</t>
  </si>
  <si>
    <t>на поставку труб стальных бесшовных</t>
  </si>
  <si>
    <t>ТРУБА 89Х4 СТ20 ГОСТ8732</t>
  </si>
  <si>
    <t>ТРУБА 219Х6 СТ20 ГОСТ8732</t>
  </si>
  <si>
    <t>ТРУБА 159Х5 СТ20 ГОСТ8732</t>
  </si>
  <si>
    <t>ТРУБА 57Х4 СТ20 ГОСТ8732</t>
  </si>
  <si>
    <t>ТРУБА 89Х5 СТ20 ГОСТ8732</t>
  </si>
  <si>
    <t>ТРУБА 57Х5 СТ20 ГОСТ8732</t>
  </si>
  <si>
    <t>ТРУБА 273Х7 СТ20 ГОСТ8732</t>
  </si>
  <si>
    <t>ТРУБА 57Х6 СТ20 ГОСТ8732</t>
  </si>
  <si>
    <t>ТРУБА 76Х6 СТ20 ГОСТ8732</t>
  </si>
  <si>
    <t>ТРУБА 25Х4 СТ20 ГОСТ8732</t>
  </si>
  <si>
    <t>ТРУБА 219Х7 СТ20 ГОСТ8732</t>
  </si>
  <si>
    <t>32190</t>
  </si>
  <si>
    <t>24714</t>
  </si>
  <si>
    <t>10219</t>
  </si>
  <si>
    <t>32202</t>
  </si>
  <si>
    <t>10235</t>
  </si>
  <si>
    <t>10296</t>
  </si>
  <si>
    <t>58084</t>
  </si>
  <si>
    <t>82758</t>
  </si>
  <si>
    <t>24970</t>
  </si>
  <si>
    <t>Обособленное подразделение ПАО "Т Плюс" (Пермская ТЭЦ-6), Адрес: 614025, РФ, Пермский край, г. Пермь, ул. Героев Хасана, д.38, ИНН 6315376946, КПП 590445005</t>
  </si>
  <si>
    <t xml:space="preserve">Обособленное подразделение ПАО "Т Плюс" (Пермская ТЭЦ-6-Концессия ГКТХ), Адрес: 614025, РФ, Пермский край, г. Пермь, ул. Героев Хасана, д.38, ИНН 6315376946, КПП 590445005 </t>
  </si>
  <si>
    <t xml:space="preserve">3.1.  Качество предлагаемой продукции должно быть подтверждено декларацией или сертификатом соответствия требованиям технического регламента Таможенного союза 032/2013 предоставляется в момент поствки продукции;
3.2 Сертификат качества на продукцию (предусмотренный заводом изготовителем), заверенный печатью поставщика должен быть предоставлены Грузополучателю до  момента поставки продукции по факсу, либо по электронной почте, а затем в момент поставки продукции с синей печатью поставщика.
3.3 Покупатель вправе проверить подлинность сертификата на заводе - изготовителе.                                                                                                   </t>
  </si>
  <si>
    <t>ТРУБА 76Х5 СТ20 ГОСТ8732</t>
  </si>
  <si>
    <t>10313</t>
  </si>
  <si>
    <t>25006</t>
  </si>
  <si>
    <t>32229</t>
  </si>
  <si>
    <t>КОД ОКПД2</t>
  </si>
  <si>
    <t>Преимущество/запрет/ограничение допуска товаров, происходящих из иностранного государства</t>
  </si>
  <si>
    <t>преимущество</t>
  </si>
  <si>
    <t>24.20.13.140</t>
  </si>
  <si>
    <t>ИТОГО</t>
  </si>
  <si>
    <t xml:space="preserve">Сумма НДС                                                     </t>
  </si>
  <si>
    <t>1.1.Продукция должна быть маркирована  и упакована в упаковку, обеспечивающую сохранность Продукции при перевозке, разгрузке и хранении, согласно ГОСТу, ТУ,   и другим нормативным документам. Маркировка должна быть на каждый тип и размер трубы в поставляемой партии.
1.2. Тара (упаковка) возврату не подлежит
1.3.Поставка осуществляетcя путем отгрузок Продукции  автомобильным транспортом силами и за счет Поставщика  до склада Грузополучателя.
1.4.Покупатель вправе уменьшить объем закупаемой продукции, указанный в тех.задании без увеличения стоимости со стороны Поставщика за единицу продукции.
1.5. Заказчик вправе отказаться от принятия Продукции по согласованной спецификации, если поставка по ней просрочена более, чем на десять календарных дней.                                                                                                                                                                                                                                                                                            
1.6. Допускается толеранс в поставке +10%/-5%  веса по договору или не менее/более  одной цельной трубы по каждой позиции.
1.7. Досрочная и укрупненная поставка может производить по согласованию с Заказчиком.</t>
  </si>
  <si>
    <t>ТРУБА 32Х5 СТ20 ГОСТ8732</t>
  </si>
  <si>
    <t>53975</t>
  </si>
  <si>
    <t>5.1. Оплата Партии Продукции, производится Покупателем в следующем порядке:
СМСП: Оплата Партии Продукции производится Покупателем в течение 7 (Семи) рабочих дней с даты поставки Продукции (даты подписания Покупателем накладной по форме ТОРГ-12/Акта приема-передачи Продукции/УПД (Универсальный передаточный документ)) на основании выставленного Поставщиком счета. Счет-фактура выставляется Поставщиком в сроки и в соответствии с требованиями НК РФ.
Не относящиеся к СМСП: Оплата Партии Продукции производится Покупателем с отсрочкой платежа не менее 30 и не более 60 календарных дней с даты поставки Продукции (даты подписания Сторонами ТОРГ-12)/УПД при условии предоставления Покупателю полного комплекта документов на оплату Партии Продукции:
Оригинала товарной накладной (форма ТОРГ-12)/УПД на Продукцию, подписанной Сторонами – 2 экз.; 
Оригинала счета-фактуры/УПД– 1 экз. Счет-фактура выставляется Поставщиком в сроки и в соответствии с требованиями НК РФ.    
Расчеты по Договору производятся путем перечисления денежных средств на расчетный счет Поставщика, указанный в статье 10 настоящего Договора, а также могут иметь иную форму расчетов, не противоречащую законодательству РФ</t>
  </si>
  <si>
    <t>т</t>
  </si>
  <si>
    <t>ТРУБА 83Х4 СТ20 ГОСТ8732</t>
  </si>
  <si>
    <t>ТРУБА 60Х3.5 СТ20 ГОСТ8732</t>
  </si>
  <si>
    <t>ТРУБА 60Х4 СТ20 ГОСТ8732</t>
  </si>
  <si>
    <t>ТРУБА 108Х6 СТ20 ГОСТ8732</t>
  </si>
  <si>
    <t>ТРУБА 89Х3.5 СТ20 ГОСТ8732</t>
  </si>
  <si>
    <t>ТРУБА 32Х3 СТ20 ГОСТ8732</t>
  </si>
  <si>
    <t>ТРУБА 426Х9 СТ20 ГОСТ8732</t>
  </si>
  <si>
    <t>ТРУБА 28Х6 СТ20 ГОСТ8732</t>
  </si>
  <si>
    <t>ТРУБА 22Х4 СТ20 ГОСТ8732</t>
  </si>
  <si>
    <t>ТРУБА 33.7Х3.5 СТ20 ГОСТ8732</t>
  </si>
  <si>
    <t>ТРУБА 108Х8 СТ20 ГОСТ8732</t>
  </si>
  <si>
    <t>ТРУБА 60Х5 СТ20 ГОСТ8732</t>
  </si>
  <si>
    <t>ТРУБА 108Х4.5 СТ20 ГОСТ8732</t>
  </si>
  <si>
    <t>ТРУБА 219Х8 СТ20 ГОСТ8732</t>
  </si>
  <si>
    <t>ТРУБА 27Х3.5 СТ20 ГОСТ8734</t>
  </si>
  <si>
    <t>ТРУБА 32Х3.5 СТ20 ГОСТ8734</t>
  </si>
  <si>
    <t>ТРУБА 42Х4 СТ20 ГОСТ8734</t>
  </si>
  <si>
    <t>ТРУБА 42Х5 СТ20 ГОСТ8732</t>
  </si>
  <si>
    <t>ТРУБА 57Х3.5 09Г2С ГОСТ8734</t>
  </si>
  <si>
    <t>ТРУБА 325Х8 СТ10 ГОСТ8732</t>
  </si>
  <si>
    <t>ТРУБА 159Х6 СТ20 ГОСТ8732</t>
  </si>
  <si>
    <t>ТРУБА 20Х3.2 СТ20 ГОСТ8732</t>
  </si>
  <si>
    <t>ТРУБА 89Х6 СТ20 ГОСТ8732</t>
  </si>
  <si>
    <t>ТРУБА 273Х6 СТ20 ГОСТ8732</t>
  </si>
  <si>
    <t>ТРУБА 76Х4 СТ20 ГОСТ8732</t>
  </si>
  <si>
    <t>ТРУБА 45Х3.5 09Г2С ГОСТ8732</t>
  </si>
  <si>
    <t>ТРУБА 108Х5 СТ20 ГОСТ8732</t>
  </si>
  <si>
    <t>ТРУБА 32Х4 СТ20 ГОСТ8732</t>
  </si>
  <si>
    <t>ТРУБА 38Х4 СТ20 ГОСТ8734</t>
  </si>
  <si>
    <t>ТРУБА 89Х4 СТ20 ГОСТ8734</t>
  </si>
  <si>
    <t>ТРУБА 38Х5 СТ20 ГОСТ8732</t>
  </si>
  <si>
    <t>ТРУБА 42Х5 СТ20 ГОСТ8734</t>
  </si>
  <si>
    <t>ТРУБА 325Х8 СТ20 ГОСТ8732</t>
  </si>
  <si>
    <t>ТРУБА 219Х10 СТ20 ГОСТ8732</t>
  </si>
  <si>
    <t>ТРУБА 377Х8 СТ20 ГОСТ8732</t>
  </si>
  <si>
    <t>ТРУБА 28Х4 СТ20 ГОСТ8734</t>
  </si>
  <si>
    <t>ТРУБА 426Х10 СТ20 ГОСТ8732</t>
  </si>
  <si>
    <t>ТРУБА 28Х3 СТ20 ГОСТ8732</t>
  </si>
  <si>
    <t>ТРУБА 60Х6 СТ20 ГОСТ8732</t>
  </si>
  <si>
    <t>ТРУБА 32Х2.5 СТ20 ГОСТ8734</t>
  </si>
  <si>
    <t>ТРУБА 57Х2.5 СТ20 ГОСТ8734</t>
  </si>
  <si>
    <t>ТРУБА 38Х2.5 СТ20 ГОСТ8734</t>
  </si>
  <si>
    <t>ТРУБА 76Х3.5 СТ20 ГОСТ8732</t>
  </si>
  <si>
    <t>ТРУБА 108Х4 СТ20 ГОСТ8734</t>
  </si>
  <si>
    <t>ТРУБА 114Х4.5 СТ20 ГОСТ8732</t>
  </si>
  <si>
    <t>ТРУБА 325Х6 СТ20 ГОСТ8732</t>
  </si>
  <si>
    <t>ТРУБА 133Х5 СТ20 ГОСТ8732</t>
  </si>
  <si>
    <t>ТРУБА 45Х2.5 СТ20 ГОСТ8732</t>
  </si>
  <si>
    <t>ТРУБА 32Х5 СТ20 ГОСТ8734</t>
  </si>
  <si>
    <t>ТРУБА 26Х4 СТ20 ГОСТ8734</t>
  </si>
  <si>
    <t>ТРУБА 108Х4 СТ20 ГОСТ8732</t>
  </si>
  <si>
    <t>ТРУБА 20Х3 СТ20 ГОСТ8734</t>
  </si>
  <si>
    <t>ТРУБА 50Х3 СТ10 ГОСТ3262</t>
  </si>
  <si>
    <t>ТРУБА 38Х4 СТ20 ГОСТ8732</t>
  </si>
  <si>
    <t>ТРУБА 57Х3 СТ20 ГОСТ8732</t>
  </si>
  <si>
    <t>ТРУБА 32Х6 СТ20 ГОСТ8732</t>
  </si>
  <si>
    <t>ТРУБА 38Х3 СТ20 ГОСТ8732</t>
  </si>
  <si>
    <t>ТРУБА 16Х2 СТ20 ГОСТ8734</t>
  </si>
  <si>
    <t>ТРУБА 40Х4 СТ20 ГОСТ8732</t>
  </si>
  <si>
    <t>10319</t>
  </si>
  <si>
    <t>75010</t>
  </si>
  <si>
    <t>10299</t>
  </si>
  <si>
    <t>48473</t>
  </si>
  <si>
    <t>25005</t>
  </si>
  <si>
    <t>24811</t>
  </si>
  <si>
    <t>24882</t>
  </si>
  <si>
    <t>217880</t>
  </si>
  <si>
    <t>207473</t>
  </si>
  <si>
    <t>108165</t>
  </si>
  <si>
    <t>51268</t>
  </si>
  <si>
    <t>10300</t>
  </si>
  <si>
    <t>10173</t>
  </si>
  <si>
    <t>10221</t>
  </si>
  <si>
    <t>45606</t>
  </si>
  <si>
    <t>75045</t>
  </si>
  <si>
    <t>170519</t>
  </si>
  <si>
    <t>80989</t>
  </si>
  <si>
    <t>303223</t>
  </si>
  <si>
    <t>10247</t>
  </si>
  <si>
    <t>24665</t>
  </si>
  <si>
    <t>70256</t>
  </si>
  <si>
    <t>10329</t>
  </si>
  <si>
    <t>370677</t>
  </si>
  <si>
    <t>10311</t>
  </si>
  <si>
    <t>308151</t>
  </si>
  <si>
    <t>10176</t>
  </si>
  <si>
    <t>53974</t>
  </si>
  <si>
    <t>24848</t>
  </si>
  <si>
    <t>10326</t>
  </si>
  <si>
    <t>154282</t>
  </si>
  <si>
    <t>24892</t>
  </si>
  <si>
    <t>24808</t>
  </si>
  <si>
    <t>57970</t>
  </si>
  <si>
    <t>98968</t>
  </si>
  <si>
    <t>41293</t>
  </si>
  <si>
    <t>58954</t>
  </si>
  <si>
    <t>10240</t>
  </si>
  <si>
    <t>32222</t>
  </si>
  <si>
    <t>10249</t>
  </si>
  <si>
    <t>233134</t>
  </si>
  <si>
    <t>286484</t>
  </si>
  <si>
    <t>10309</t>
  </si>
  <si>
    <t>58361</t>
  </si>
  <si>
    <t>57969</t>
  </si>
  <si>
    <t>302399</t>
  </si>
  <si>
    <t>77149</t>
  </si>
  <si>
    <t>284403</t>
  </si>
  <si>
    <t>58391</t>
  </si>
  <si>
    <t>556267</t>
  </si>
  <si>
    <t>10170</t>
  </si>
  <si>
    <t>41290</t>
  </si>
  <si>
    <t>80990</t>
  </si>
  <si>
    <t>24864</t>
  </si>
  <si>
    <t>290208</t>
  </si>
  <si>
    <t>53976</t>
  </si>
  <si>
    <t>24841</t>
  </si>
  <si>
    <t>10195</t>
  </si>
  <si>
    <t>32213</t>
  </si>
  <si>
    <t xml:space="preserve">Обособленное подразделение ПАО "Т Плюс" (Березниковская ТЭЦ-2). Адрес: 618421, РФ, Пермский край, г.Березники, ул. Загородная , ИНН 6315376946, КПП 591145001    </t>
  </si>
  <si>
    <t xml:space="preserve">Обособленное подразделение ПАО "Т Плюс" ( Закамская ТЭЦ-5). Адрес:  617060, РФ, Пермский край, г. Краснокамск, ул. Коммунистическая, 44, ИНН 6315376946, КПП 591645001  </t>
  </si>
  <si>
    <t xml:space="preserve">Обособленное подразделение ПАО "Т Плюс" (Чайковская ТЭЦ-18), адрес: 617742, РФ, Пермский край, г. Чайковский, Ольховское сельское поселение, Промплощадка.  ИНН/КПП 6315376946/592045001    </t>
  </si>
  <si>
    <t xml:space="preserve">Обособленное подразделение ПАО "Т Плюс" (Пермская ТЭЦ-13), адрес:  614112, РФ, Пермский край, г. Пермь, ул. Гайвинская, 109, ИНН 6315376946, КПП 590445001        </t>
  </si>
  <si>
    <t xml:space="preserve">Обособленное подразделение ПАО "Т Плюс" (Пермская ТЭЦ-14), адрес: 614113, РФ, Пермский край, г.Пермь, ул.Ласьвинская, 106. ИНН 6315376946, КПП 590445002 </t>
  </si>
  <si>
    <t xml:space="preserve">Обособленное подразделение ПАО "Т Плюс" (Пермская ТЭЦ-9), адрес: 614065, РФ, Пермский край, г. Пермь, ул. Промышленная, 103, ИНН 6315376946, КПП 590445003     </t>
  </si>
  <si>
    <t>Обособленное подразделение ПАО "Т Плюс" (ТЭЦ-14-для Закамских ТС). Адрес:  614113, РФ, г.Пермь, ул. Ласьвинская, 106, ИНН 6315376946, КПП 590445002</t>
  </si>
  <si>
    <t xml:space="preserve">Обособленное подразделение ПАО "Т Плюс" (Березниковская ТЭЦ-2-для Березниковских ТС). Адрес: 618421, РФ, Пермский край, г.Березники, ул. Загородная , ИНН 6315376946, КПП 591145001    </t>
  </si>
  <si>
    <t xml:space="preserve">Обособленное подразделение ПАО "Т Плюс" 617762, Россия, Пермский край, Чайковский г.о., Чайковский г., Советская ул., зд. 2/6  ИНН/КПП 6315376946/595945001  </t>
  </si>
  <si>
    <t xml:space="preserve">Обособленное подразделение ПАО "Т Плюс" (Пермская ТЭЦ-6-для Пермских ТС), Адрес: 614025, РФ, Пермский край, г. Пермь, ул. Героев Хасана, д.38, ИНН 6315376946, КПП 590445005 </t>
  </si>
  <si>
    <t xml:space="preserve">Обособленное подразделение ПАО «Т Плюс» Пермская ТЭЦ-6 для Пермских котельных                                                                                                                                                                                                                                                                                                                                                                                                                                                                              
Адрес: 614025, РФ, Пермский край, г. Пермь, ул. Героев Хасана, д.38, ИНН 6315376946, КПП 590445005       
</t>
  </si>
  <si>
    <t xml:space="preserve">Обособленное подразделение ПАО "Т Плюс" (Пермская ТЭЦ-9 для Пермских ТС), Адрес: 614065, РФ, Пермский край, г. Пермь, ул. Промышленая, д.103, ИНН 6315376946, КПП 590445003 </t>
  </si>
  <si>
    <t>Обособленное подразделение ПАО "Т Плюс" 618254, РОССИЯ, Пермский край,
Губахинский м.о., , Губаха г. , Октябрьский пр-кт, д. 1,  ИНН 6315376946 КПП 502401001</t>
  </si>
  <si>
    <t>Обособленное подразделение ПАО "Т Плюс" Пермский край, Лысьвенский г.о., г. Лысьва, ул. Смышляева, 25, ИНН 6315376946/КПП 591845002</t>
  </si>
  <si>
    <t>24.20.13.160</t>
  </si>
  <si>
    <t xml:space="preserve">2.1. Продукция должна соответствовать  ГОСТ 8732; ГОСТ8734; СТ20. Торцы труб с  толщиной  стенки  5мм и более должны иметь фаску под углом 25-30гр. 
2.2. Продукция должна быть новой, не бывшей в употреблении (эксплуатации, консервации). Должна быть изготовлена не ранее IV квартала 2025 года.
2.3. Продукция должна быть изготовлена в заводских условиях.
2.4. Гарантийный срок на Продукцию (далее – Гарантийный срок) составляет 24 (двадцать четыре) месяца с момента поставки Продукции Покупателю. Для Продукции, устанавливаемой на тепловых сетях - 10 (десять) лет с даты получения Покупателем Продукции.          
2.5. Возможность передачи работы по входному контролю качества Продукции  сервисным службам Филиала, независимым экспертным организациям или аттестованным лабораториям на основании Договора                                                                                                                          2.6. Аналоги не рассматриваются и не принимаются (ст. 3 п. 6.1 223-ФЗ "О закупках товаров, работ, услуг отдельными видами юридических лиц")                </t>
  </si>
  <si>
    <t xml:space="preserve">Обособленное подразделение ПАО "Т Плюс"  (Березниковская ТЭЦ-2)  618421, РФ, Пермский край,  г. Березники,  ул. Загородная. ИНН/КПП 6315376946/591145001                                                                                                                                      Обособленное подразделение ПАО "Т Плюс"  (Пермская ТЭЦ-6, для Пермских тепловых сетей)  614025, РФ, Пермский край, г. Пермь, ул. Героев Хасана, 38. ИНН/КПП 6315376946/590445005                                                                                                                    Обособленное подразделение ПАО "Т Плюс"  (Пермская ТЭЦ-14, для  Закамских тепловых сетей)  614113, РФ, Пермский край,  г. Пермь,  ул. Ласьвинская, 106. ИНН/КПП 6315376946/590445002                                                                                                                                                                                                                                                                                                                                                                               Обособленное подразделение ПАО "Т Плюс"  (Пермская ТЭЦ-14 )  614113, РФ, Пермский край,  г. Пермь,  ул. Ласьвинская, 106. ИНН/КПП 6315376946/590445002                                                                                                                                                      Обособленное подразделение ПАО "Т Плюс"  (Чайковская ТЭЦ-18)  617742, РФ, Пермский край, Чайковский, Ольховское сельское поселение, Промплощадка ИНН/КПП  6315376946/592045001                                                                                            Обособленное подразделение ПАО "Т Плюс" (Пермская ТЭЦ-13),     614112, РФ, Пермский край, г. Пермь, ул. Гайвинская, 109.ИНН/КПП:6315376946/590445001                                                                                                                                                                                                                                                    Обособленное подразделение ПАО "Т Плюс" (Пермская ТЭЦ-6), Адрес: 614025, РФ, Пермский край, г. Пермь, ул. Героев Хасана, д.38, ИНН 6315376946, КПП 590445005                                                                                                                                                              Обособленное подразделение ПАО "Т Плюс" 617762, Россия, Пермский край, Чайковский г.о., Чайковский г., Советская ул., зд. 2/6  ИНН/КПП 6315376946/595945001  </t>
  </si>
  <si>
    <t>24.20.13.111</t>
  </si>
  <si>
    <t xml:space="preserve">Начальная (максимальная) цена без НДС  </t>
  </si>
  <si>
    <t>Начальная (максимальная) цена</t>
  </si>
  <si>
    <r>
      <t xml:space="preserve">для нужд Филиала "Пермский" ПАО "Т Плюс" </t>
    </r>
    <r>
      <rPr>
        <b/>
        <sz val="10"/>
        <color theme="1"/>
        <rFont val="Tahoma"/>
        <family val="2"/>
        <charset val="204"/>
      </rPr>
      <t xml:space="preserve">(9368401 РЕМОНТ) </t>
    </r>
    <r>
      <rPr>
        <sz val="10"/>
        <color theme="1"/>
        <rFont val="Tahoma"/>
        <family val="2"/>
        <charset val="20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</si>
</sst>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
    <numFmt numFmtId="165" formatCode="#,##0.00\ _₽"/>
    <numFmt numFmtId="166" formatCode="_-* #,##0.00\ _₽_-;\-* #,##0.00\ _₽_-;_-* &quot;-&quot;??\ _₽_-;_-@_-"/>
  </numFmts>
  <fonts count="19" x14ac:knownFonts="1">
    <font>
      <sz val="11"/>
      <color theme="1"/>
      <name val="Calibri"/>
      <family val="2"/>
      <charset val="204"/>
      <scheme val="minor"/>
    </font>
    <font>
      <sz val="11"/>
      <color indexed="8"/>
      <name val="Calibri"/>
      <family val="2"/>
      <charset val="204"/>
    </font>
    <font>
      <b/>
      <sz val="10"/>
      <color theme="1"/>
      <name val="Tahoma"/>
      <family val="2"/>
      <charset val="204"/>
    </font>
    <font>
      <sz val="10"/>
      <color theme="1"/>
      <name val="Tahoma"/>
      <family val="2"/>
      <charset val="204"/>
    </font>
    <font>
      <sz val="10"/>
      <name val="Arial"/>
      <family val="2"/>
      <charset val="204"/>
    </font>
    <font>
      <b/>
      <sz val="9"/>
      <color theme="1"/>
      <name val="Tahoma"/>
      <family val="2"/>
      <charset val="204"/>
    </font>
    <font>
      <sz val="9"/>
      <color theme="1"/>
      <name val="Tahoma"/>
      <family val="2"/>
      <charset val="204"/>
    </font>
    <font>
      <sz val="8"/>
      <color rgb="FF000000"/>
      <name val="Tahoma"/>
      <family val="2"/>
      <charset val="204"/>
    </font>
    <font>
      <sz val="8"/>
      <color theme="1"/>
      <name val="Tahoma"/>
      <family val="2"/>
      <charset val="204"/>
    </font>
    <font>
      <sz val="8"/>
      <color indexed="8"/>
      <name val="Arial"/>
      <family val="2"/>
      <charset val="204"/>
    </font>
    <font>
      <b/>
      <sz val="8"/>
      <color theme="1"/>
      <name val="Tahoma"/>
      <family val="2"/>
      <charset val="204"/>
    </font>
    <font>
      <sz val="8"/>
      <color indexed="8"/>
      <name val="Tahoma"/>
      <family val="2"/>
      <charset val="204"/>
    </font>
    <font>
      <sz val="9"/>
      <color rgb="FF000000"/>
      <name val="Tahoma"/>
      <family val="2"/>
      <charset val="204"/>
    </font>
    <font>
      <b/>
      <sz val="9"/>
      <color indexed="8"/>
      <name val="Tahoma"/>
      <family val="2"/>
      <charset val="204"/>
    </font>
    <font>
      <b/>
      <sz val="9"/>
      <color rgb="FF000000"/>
      <name val="Tahoma"/>
      <family val="2"/>
      <charset val="204"/>
    </font>
    <font>
      <sz val="11"/>
      <color theme="1"/>
      <name val="Calibri"/>
      <family val="2"/>
      <charset val="204"/>
      <scheme val="minor"/>
    </font>
    <font>
      <sz val="10"/>
      <name val="Arial"/>
      <family val="2"/>
      <charset val="204"/>
    </font>
    <font>
      <sz val="10"/>
      <name val="Helv"/>
    </font>
    <font>
      <sz val="9"/>
      <color indexed="8"/>
      <name val="Tahoma"/>
      <family val="2"/>
      <charset val="204"/>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s>
  <cellStyleXfs count="8">
    <xf numFmtId="0" fontId="0" fillId="0" borderId="0"/>
    <xf numFmtId="0" fontId="1" fillId="0" borderId="0"/>
    <xf numFmtId="0" fontId="4" fillId="0" borderId="0"/>
    <xf numFmtId="0" fontId="6" fillId="0" borderId="1" applyFill="0">
      <alignment vertical="top" wrapText="1"/>
    </xf>
    <xf numFmtId="0" fontId="16" fillId="0" borderId="0"/>
    <xf numFmtId="0" fontId="17" fillId="0" borderId="0"/>
    <xf numFmtId="0" fontId="15" fillId="0" borderId="0"/>
    <xf numFmtId="0" fontId="15" fillId="0" borderId="0"/>
  </cellStyleXfs>
  <cellXfs count="92">
    <xf numFmtId="0" fontId="0" fillId="0" borderId="0" xfId="0"/>
    <xf numFmtId="0" fontId="3" fillId="0" borderId="0" xfId="0" applyFont="1" applyFill="1"/>
    <xf numFmtId="0" fontId="3" fillId="0" borderId="0" xfId="0" applyFont="1" applyFill="1" applyAlignment="1">
      <alignment horizontal="center"/>
    </xf>
    <xf numFmtId="0" fontId="2" fillId="2" borderId="0" xfId="0" applyFont="1" applyFill="1" applyAlignment="1"/>
    <xf numFmtId="0" fontId="2" fillId="2" borderId="0" xfId="0" applyFont="1" applyFill="1" applyAlignment="1">
      <alignment horizontal="center" vertical="center"/>
    </xf>
    <xf numFmtId="0" fontId="3" fillId="2" borderId="0" xfId="0" applyFont="1" applyFill="1"/>
    <xf numFmtId="0" fontId="2" fillId="2" borderId="1" xfId="0" applyFont="1" applyFill="1" applyBorder="1"/>
    <xf numFmtId="0" fontId="3" fillId="2" borderId="1" xfId="0" applyFont="1" applyFill="1" applyBorder="1" applyAlignment="1">
      <alignment horizontal="center" vertical="top"/>
    </xf>
    <xf numFmtId="0" fontId="3" fillId="2" borderId="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0" xfId="0" applyFont="1" applyFill="1" applyAlignment="1">
      <alignment horizontal="center"/>
    </xf>
    <xf numFmtId="0" fontId="8" fillId="2" borderId="0" xfId="0" applyFont="1" applyFill="1" applyAlignment="1">
      <alignment horizontal="center" vertical="center"/>
    </xf>
    <xf numFmtId="164" fontId="9" fillId="2" borderId="0" xfId="0" applyNumberFormat="1" applyFont="1" applyFill="1" applyBorder="1" applyAlignment="1">
      <alignment horizontal="center" vertical="center" wrapText="1"/>
    </xf>
    <xf numFmtId="4" fontId="11" fillId="2" borderId="0" xfId="0" applyNumberFormat="1" applyFont="1" applyFill="1" applyBorder="1" applyAlignment="1">
      <alignment horizontal="center" vertical="center" wrapText="1"/>
    </xf>
    <xf numFmtId="2" fontId="10" fillId="2" borderId="0" xfId="0" applyNumberFormat="1" applyFont="1" applyFill="1" applyBorder="1" applyAlignment="1">
      <alignment horizontal="center" vertical="center"/>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wrapText="1"/>
    </xf>
    <xf numFmtId="2" fontId="3" fillId="2" borderId="0" xfId="0" applyNumberFormat="1" applyFont="1" applyFill="1" applyAlignment="1">
      <alignment horizontal="center" vertical="center"/>
    </xf>
    <xf numFmtId="0" fontId="6" fillId="2" borderId="0" xfId="0" applyFont="1" applyFill="1" applyBorder="1" applyAlignment="1">
      <alignment horizontal="center" vertical="center" wrapText="1"/>
    </xf>
    <xf numFmtId="2" fontId="12" fillId="2" borderId="1" xfId="0" applyNumberFormat="1" applyFont="1" applyFill="1" applyBorder="1" applyAlignment="1">
      <alignment horizontal="center" vertical="center" wrapText="1"/>
    </xf>
    <xf numFmtId="0" fontId="14" fillId="2" borderId="1" xfId="0" applyFont="1" applyFill="1" applyBorder="1" applyAlignment="1">
      <alignment vertical="center" wrapText="1"/>
    </xf>
    <xf numFmtId="14" fontId="13" fillId="2" borderId="1" xfId="0" applyNumberFormat="1" applyFont="1" applyFill="1" applyBorder="1" applyAlignment="1">
      <alignment horizontal="center" vertical="center"/>
    </xf>
    <xf numFmtId="49" fontId="13" fillId="2" borderId="1" xfId="0" applyNumberFormat="1" applyFont="1" applyFill="1" applyBorder="1" applyAlignment="1">
      <alignment horizontal="center" vertical="center"/>
    </xf>
    <xf numFmtId="4" fontId="13" fillId="2" borderId="1" xfId="0" applyNumberFormat="1" applyFont="1" applyFill="1" applyBorder="1" applyAlignment="1">
      <alignment horizontal="center" vertical="center"/>
    </xf>
    <xf numFmtId="165" fontId="14" fillId="2" borderId="1" xfId="0" applyNumberFormat="1" applyFont="1" applyFill="1" applyBorder="1" applyAlignment="1">
      <alignment horizontal="center" vertical="center" wrapText="1"/>
    </xf>
    <xf numFmtId="0" fontId="3" fillId="2" borderId="0" xfId="0" applyFont="1" applyFill="1" applyAlignment="1">
      <alignment horizontal="center"/>
    </xf>
    <xf numFmtId="0" fontId="3" fillId="2" borderId="1" xfId="0" applyFont="1" applyFill="1" applyBorder="1" applyAlignment="1">
      <alignment horizontal="center" vertical="center"/>
    </xf>
    <xf numFmtId="0" fontId="3" fillId="2" borderId="0" xfId="0" applyFont="1" applyFill="1" applyBorder="1" applyAlignment="1">
      <alignment horizontal="right"/>
    </xf>
    <xf numFmtId="0" fontId="2" fillId="2" borderId="0" xfId="0" applyFont="1" applyFill="1" applyBorder="1"/>
    <xf numFmtId="0" fontId="0" fillId="2" borderId="0" xfId="0" applyFill="1" applyBorder="1" applyAlignment="1"/>
    <xf numFmtId="0" fontId="3" fillId="2" borderId="0" xfId="0" applyFont="1" applyFill="1" applyBorder="1" applyAlignment="1">
      <alignment horizontal="left" vertical="center"/>
    </xf>
    <xf numFmtId="0" fontId="3" fillId="2" borderId="0" xfId="0" applyFont="1" applyFill="1" applyBorder="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center"/>
    </xf>
    <xf numFmtId="0" fontId="3" fillId="2" borderId="0" xfId="0" applyFont="1" applyFill="1" applyAlignment="1">
      <alignment horizontal="center" vertical="center" wrapText="1"/>
    </xf>
    <xf numFmtId="0" fontId="12" fillId="2" borderId="1" xfId="0" applyFont="1" applyFill="1" applyBorder="1" applyAlignment="1">
      <alignment vertical="center" wrapText="1"/>
    </xf>
    <xf numFmtId="0" fontId="3" fillId="2" borderId="0" xfId="0" applyFont="1" applyFill="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left" vertical="center" wrapText="1"/>
    </xf>
    <xf numFmtId="0" fontId="6" fillId="0" borderId="1" xfId="4" applyFont="1" applyBorder="1" applyAlignment="1">
      <alignment vertical="top" wrapText="1"/>
    </xf>
    <xf numFmtId="166" fontId="12" fillId="2" borderId="1" xfId="0" applyNumberFormat="1" applyFont="1" applyFill="1" applyBorder="1" applyAlignment="1">
      <alignment vertical="center" wrapText="1"/>
    </xf>
    <xf numFmtId="164" fontId="13" fillId="2" borderId="1" xfId="0" applyNumberFormat="1" applyFont="1" applyFill="1" applyBorder="1" applyAlignment="1">
      <alignment horizontal="center" vertical="center"/>
    </xf>
    <xf numFmtId="0" fontId="2" fillId="2" borderId="0" xfId="0" applyFont="1" applyFill="1" applyAlignment="1">
      <alignment horizontal="center"/>
    </xf>
    <xf numFmtId="0" fontId="3" fillId="2" borderId="0" xfId="0" applyFont="1" applyFill="1" applyAlignment="1">
      <alignment horizontal="center"/>
    </xf>
    <xf numFmtId="0" fontId="3"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166" fontId="12" fillId="2"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center" vertical="top" wrapText="1"/>
    </xf>
    <xf numFmtId="0" fontId="5" fillId="2" borderId="1" xfId="0" applyFont="1" applyFill="1" applyBorder="1" applyAlignment="1">
      <alignment horizontal="center" vertical="center" wrapText="1"/>
    </xf>
    <xf numFmtId="0" fontId="6" fillId="0" borderId="0" xfId="0" applyFont="1" applyAlignment="1">
      <alignment horizontal="center" vertical="center"/>
    </xf>
    <xf numFmtId="4" fontId="6" fillId="0" borderId="1" xfId="0" applyNumberFormat="1" applyFont="1" applyBorder="1" applyAlignment="1">
      <alignment horizontal="center" vertical="center"/>
    </xf>
    <xf numFmtId="14"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4" fontId="6" fillId="0" borderId="0" xfId="0" applyNumberFormat="1" applyFont="1" applyAlignment="1">
      <alignment horizontal="center" vertical="center"/>
    </xf>
    <xf numFmtId="49" fontId="18" fillId="2" borderId="8" xfId="0" applyNumberFormat="1" applyFont="1" applyFill="1" applyBorder="1" applyAlignment="1">
      <alignment horizontal="center" vertical="center"/>
    </xf>
    <xf numFmtId="49" fontId="18" fillId="2" borderId="9" xfId="0" applyNumberFormat="1" applyFont="1" applyFill="1" applyBorder="1" applyAlignment="1">
      <alignment horizontal="center" vertical="center"/>
    </xf>
    <xf numFmtId="164" fontId="6" fillId="0" borderId="1" xfId="0" applyNumberFormat="1" applyFont="1" applyBorder="1" applyAlignment="1">
      <alignment horizontal="center" vertical="center"/>
    </xf>
    <xf numFmtId="49" fontId="18" fillId="2" borderId="10" xfId="0" applyNumberFormat="1" applyFont="1" applyFill="1" applyBorder="1" applyAlignment="1">
      <alignment horizontal="center" vertical="center"/>
    </xf>
    <xf numFmtId="0" fontId="3" fillId="2" borderId="1" xfId="0" applyFont="1" applyFill="1" applyBorder="1" applyAlignment="1">
      <alignment vertical="top" wrapText="1"/>
    </xf>
    <xf numFmtId="4" fontId="3" fillId="2" borderId="0" xfId="0" applyNumberFormat="1" applyFont="1" applyFill="1" applyAlignment="1">
      <alignment horizontal="left" vertical="center" wrapText="1"/>
    </xf>
    <xf numFmtId="0" fontId="8" fillId="2" borderId="0" xfId="0" applyFont="1" applyFill="1" applyAlignment="1">
      <alignment horizontal="left" vertical="center" wrapText="1"/>
    </xf>
    <xf numFmtId="0" fontId="3" fillId="2" borderId="0" xfId="0" applyFont="1" applyFill="1" applyAlignment="1">
      <alignment horizontal="center"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0" fillId="2" borderId="1" xfId="0" applyFill="1" applyBorder="1" applyAlignment="1">
      <alignment horizontal="left" vertical="center"/>
    </xf>
    <xf numFmtId="0" fontId="2" fillId="2" borderId="0" xfId="0" applyFont="1" applyFill="1" applyAlignment="1">
      <alignment horizontal="center"/>
    </xf>
    <xf numFmtId="0" fontId="2" fillId="2" borderId="0" xfId="0" applyFont="1" applyFill="1" applyAlignment="1">
      <alignment horizontal="center" wrapText="1"/>
    </xf>
    <xf numFmtId="0" fontId="3" fillId="2" borderId="0" xfId="0" applyFont="1" applyFill="1" applyAlignment="1">
      <alignment horizontal="center"/>
    </xf>
    <xf numFmtId="0" fontId="3" fillId="2" borderId="0" xfId="0" applyFont="1" applyFill="1" applyAlignment="1">
      <alignment horizontal="center" wrapText="1"/>
    </xf>
    <xf numFmtId="0" fontId="3" fillId="2" borderId="0" xfId="0" applyFont="1" applyFill="1" applyAlignment="1"/>
    <xf numFmtId="0" fontId="3" fillId="2" borderId="0" xfId="0" applyFont="1" applyFill="1" applyAlignment="1">
      <alignment wrapText="1"/>
    </xf>
    <xf numFmtId="0" fontId="3" fillId="2" borderId="3" xfId="0" applyFont="1" applyFill="1" applyBorder="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3" fillId="2" borderId="0" xfId="0" applyFont="1" applyFill="1" applyAlignment="1">
      <alignment horizontal="left" vertical="center" wrapText="1"/>
    </xf>
    <xf numFmtId="4" fontId="3" fillId="2" borderId="0" xfId="0" applyNumberFormat="1"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ont="1" applyFill="1" applyBorder="1" applyAlignment="1">
      <alignment horizontal="left" vertical="center"/>
    </xf>
    <xf numFmtId="0" fontId="14" fillId="2" borderId="2" xfId="0" applyFont="1" applyFill="1" applyBorder="1" applyAlignment="1">
      <alignment horizontal="center" vertical="center" wrapText="1"/>
    </xf>
    <xf numFmtId="0" fontId="14" fillId="2" borderId="6" xfId="0" applyFont="1" applyFill="1" applyBorder="1" applyAlignment="1">
      <alignment horizontal="center" vertical="center" wrapText="1"/>
    </xf>
    <xf numFmtId="4" fontId="3" fillId="2" borderId="1" xfId="0" applyNumberFormat="1" applyFont="1" applyFill="1" applyBorder="1" applyAlignment="1">
      <alignment horizontal="left" vertical="center" wrapText="1"/>
    </xf>
    <xf numFmtId="0" fontId="3" fillId="2" borderId="0" xfId="0" applyFont="1" applyFill="1" applyBorder="1" applyAlignment="1">
      <alignment horizontal="left" vertical="center"/>
    </xf>
  </cellXfs>
  <cellStyles count="8">
    <cellStyle name="=C:\WINNT35\SYSTEM32\COMMAND.COM" xfId="1"/>
    <cellStyle name="Обычный" xfId="0" builtinId="0"/>
    <cellStyle name="Обычный 2" xfId="6"/>
    <cellStyle name="Обычный 3" xfId="7"/>
    <cellStyle name="Обычный 4" xfId="2"/>
    <cellStyle name="Обычный 5" xfId="4"/>
    <cellStyle name="Стиль 1" xfId="3"/>
    <cellStyle name="Стиль 1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4002</xdr:colOff>
      <xdr:row>234</xdr:row>
      <xdr:rowOff>0</xdr:rowOff>
    </xdr:from>
    <xdr:ext cx="85725" cy="906273"/>
    <xdr:pic>
      <xdr:nvPicPr>
        <xdr:cNvPr id="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4002</xdr:colOff>
      <xdr:row>234</xdr:row>
      <xdr:rowOff>0</xdr:rowOff>
    </xdr:from>
    <xdr:ext cx="85725" cy="906273"/>
    <xdr:pic>
      <xdr:nvPicPr>
        <xdr:cNvPr id="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4002</xdr:colOff>
      <xdr:row>234</xdr:row>
      <xdr:rowOff>0</xdr:rowOff>
    </xdr:from>
    <xdr:ext cx="85725" cy="906273"/>
    <xdr:pic>
      <xdr:nvPicPr>
        <xdr:cNvPr id="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234</xdr:row>
      <xdr:rowOff>0</xdr:rowOff>
    </xdr:from>
    <xdr:ext cx="85725" cy="906273"/>
    <xdr:pic>
      <xdr:nvPicPr>
        <xdr:cNvPr id="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11293"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0</xdr:colOff>
      <xdr:row>234</xdr:row>
      <xdr:rowOff>0</xdr:rowOff>
    </xdr:from>
    <xdr:to>
      <xdr:col>6</xdr:col>
      <xdr:colOff>64407</xdr:colOff>
      <xdr:row>236</xdr:row>
      <xdr:rowOff>117433</xdr:rowOff>
    </xdr:to>
    <xdr:sp macro="" textlink="">
      <xdr:nvSpPr>
        <xdr:cNvPr id="6" name="AutoShape 1" descr="image001"/>
        <xdr:cNvSpPr>
          <a:spLocks noChangeAspect="1" noChangeArrowheads="1"/>
        </xdr:cNvSpPr>
      </xdr:nvSpPr>
      <xdr:spPr bwMode="auto">
        <a:xfrm>
          <a:off x="7886700" y="132464175"/>
          <a:ext cx="64407" cy="668824"/>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7"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8"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9"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85725</xdr:colOff>
      <xdr:row>236</xdr:row>
      <xdr:rowOff>133307</xdr:rowOff>
    </xdr:to>
    <xdr:pic>
      <xdr:nvPicPr>
        <xdr:cNvPr id="10"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140111</xdr:rowOff>
    </xdr:to>
    <xdr:pic>
      <xdr:nvPicPr>
        <xdr:cNvPr id="11"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121061</xdr:rowOff>
    </xdr:to>
    <xdr:pic>
      <xdr:nvPicPr>
        <xdr:cNvPr id="12"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168686</xdr:rowOff>
    </xdr:to>
    <xdr:pic>
      <xdr:nvPicPr>
        <xdr:cNvPr id="13"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142833</xdr:rowOff>
    </xdr:to>
    <xdr:pic>
      <xdr:nvPicPr>
        <xdr:cNvPr id="14"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133308</xdr:rowOff>
    </xdr:to>
    <xdr:pic>
      <xdr:nvPicPr>
        <xdr:cNvPr id="15"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133307</xdr:rowOff>
    </xdr:to>
    <xdr:pic>
      <xdr:nvPicPr>
        <xdr:cNvPr id="16"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133307</xdr:rowOff>
    </xdr:to>
    <xdr:pic>
      <xdr:nvPicPr>
        <xdr:cNvPr id="17"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168685</xdr:rowOff>
    </xdr:to>
    <xdr:pic>
      <xdr:nvPicPr>
        <xdr:cNvPr id="18"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142832</xdr:rowOff>
    </xdr:to>
    <xdr:pic>
      <xdr:nvPicPr>
        <xdr:cNvPr id="19"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133307</xdr:rowOff>
    </xdr:to>
    <xdr:pic>
      <xdr:nvPicPr>
        <xdr:cNvPr id="20"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156440</xdr:rowOff>
    </xdr:to>
    <xdr:pic>
      <xdr:nvPicPr>
        <xdr:cNvPr id="21"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237</xdr:row>
      <xdr:rowOff>74797</xdr:rowOff>
    </xdr:to>
    <xdr:pic>
      <xdr:nvPicPr>
        <xdr:cNvPr id="2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156440</xdr:rowOff>
    </xdr:to>
    <xdr:pic>
      <xdr:nvPicPr>
        <xdr:cNvPr id="23"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156439</xdr:rowOff>
    </xdr:to>
    <xdr:pic>
      <xdr:nvPicPr>
        <xdr:cNvPr id="24"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237</xdr:row>
      <xdr:rowOff>74797</xdr:rowOff>
    </xdr:to>
    <xdr:pic>
      <xdr:nvPicPr>
        <xdr:cNvPr id="25"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156439</xdr:rowOff>
    </xdr:to>
    <xdr:pic>
      <xdr:nvPicPr>
        <xdr:cNvPr id="26"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160521</xdr:rowOff>
    </xdr:to>
    <xdr:pic>
      <xdr:nvPicPr>
        <xdr:cNvPr id="27"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149635</xdr:rowOff>
    </xdr:to>
    <xdr:pic>
      <xdr:nvPicPr>
        <xdr:cNvPr id="28"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95661</xdr:rowOff>
    </xdr:to>
    <xdr:pic>
      <xdr:nvPicPr>
        <xdr:cNvPr id="29"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140111</xdr:rowOff>
    </xdr:to>
    <xdr:pic>
      <xdr:nvPicPr>
        <xdr:cNvPr id="30"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142832</xdr:rowOff>
    </xdr:to>
    <xdr:pic>
      <xdr:nvPicPr>
        <xdr:cNvPr id="31"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64407</xdr:colOff>
      <xdr:row>236</xdr:row>
      <xdr:rowOff>117433</xdr:rowOff>
    </xdr:to>
    <xdr:sp macro="" textlink="">
      <xdr:nvSpPr>
        <xdr:cNvPr id="32" name="AutoShape 1" descr="image001"/>
        <xdr:cNvSpPr>
          <a:spLocks noChangeAspect="1" noChangeArrowheads="1"/>
        </xdr:cNvSpPr>
      </xdr:nvSpPr>
      <xdr:spPr bwMode="auto">
        <a:xfrm>
          <a:off x="7886700" y="132464175"/>
          <a:ext cx="64407" cy="668824"/>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33"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34"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35"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85725</xdr:colOff>
      <xdr:row>236</xdr:row>
      <xdr:rowOff>133307</xdr:rowOff>
    </xdr:to>
    <xdr:pic>
      <xdr:nvPicPr>
        <xdr:cNvPr id="36"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140111</xdr:rowOff>
    </xdr:to>
    <xdr:pic>
      <xdr:nvPicPr>
        <xdr:cNvPr id="37"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121061</xdr:rowOff>
    </xdr:to>
    <xdr:pic>
      <xdr:nvPicPr>
        <xdr:cNvPr id="38"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168686</xdr:rowOff>
    </xdr:to>
    <xdr:pic>
      <xdr:nvPicPr>
        <xdr:cNvPr id="39"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142833</xdr:rowOff>
    </xdr:to>
    <xdr:pic>
      <xdr:nvPicPr>
        <xdr:cNvPr id="40"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133308</xdr:rowOff>
    </xdr:to>
    <xdr:pic>
      <xdr:nvPicPr>
        <xdr:cNvPr id="41"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133307</xdr:rowOff>
    </xdr:to>
    <xdr:pic>
      <xdr:nvPicPr>
        <xdr:cNvPr id="42"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133307</xdr:rowOff>
    </xdr:to>
    <xdr:pic>
      <xdr:nvPicPr>
        <xdr:cNvPr id="43"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168685</xdr:rowOff>
    </xdr:to>
    <xdr:pic>
      <xdr:nvPicPr>
        <xdr:cNvPr id="44"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142832</xdr:rowOff>
    </xdr:to>
    <xdr:pic>
      <xdr:nvPicPr>
        <xdr:cNvPr id="45"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133307</xdr:rowOff>
    </xdr:to>
    <xdr:pic>
      <xdr:nvPicPr>
        <xdr:cNvPr id="46"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156440</xdr:rowOff>
    </xdr:to>
    <xdr:pic>
      <xdr:nvPicPr>
        <xdr:cNvPr id="47"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237</xdr:row>
      <xdr:rowOff>74797</xdr:rowOff>
    </xdr:to>
    <xdr:pic>
      <xdr:nvPicPr>
        <xdr:cNvPr id="4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156440</xdr:rowOff>
    </xdr:to>
    <xdr:pic>
      <xdr:nvPicPr>
        <xdr:cNvPr id="49"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156439</xdr:rowOff>
    </xdr:to>
    <xdr:pic>
      <xdr:nvPicPr>
        <xdr:cNvPr id="50"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237</xdr:row>
      <xdr:rowOff>74797</xdr:rowOff>
    </xdr:to>
    <xdr:pic>
      <xdr:nvPicPr>
        <xdr:cNvPr id="51"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156439</xdr:rowOff>
    </xdr:to>
    <xdr:pic>
      <xdr:nvPicPr>
        <xdr:cNvPr id="52"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160521</xdr:rowOff>
    </xdr:to>
    <xdr:pic>
      <xdr:nvPicPr>
        <xdr:cNvPr id="53"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149635</xdr:rowOff>
    </xdr:to>
    <xdr:pic>
      <xdr:nvPicPr>
        <xdr:cNvPr id="54"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95661</xdr:rowOff>
    </xdr:to>
    <xdr:pic>
      <xdr:nvPicPr>
        <xdr:cNvPr id="55"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140111</xdr:rowOff>
    </xdr:to>
    <xdr:pic>
      <xdr:nvPicPr>
        <xdr:cNvPr id="56"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142832</xdr:rowOff>
    </xdr:to>
    <xdr:pic>
      <xdr:nvPicPr>
        <xdr:cNvPr id="57"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64407</xdr:colOff>
      <xdr:row>236</xdr:row>
      <xdr:rowOff>117432</xdr:rowOff>
    </xdr:to>
    <xdr:sp macro="" textlink="">
      <xdr:nvSpPr>
        <xdr:cNvPr id="58" name="AutoShape 1" descr="image001"/>
        <xdr:cNvSpPr>
          <a:spLocks noChangeAspect="1" noChangeArrowheads="1"/>
        </xdr:cNvSpPr>
      </xdr:nvSpPr>
      <xdr:spPr bwMode="auto">
        <a:xfrm>
          <a:off x="7886700" y="132464175"/>
          <a:ext cx="64407" cy="668823"/>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59"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60"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61"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85725</xdr:colOff>
      <xdr:row>236</xdr:row>
      <xdr:rowOff>133306</xdr:rowOff>
    </xdr:to>
    <xdr:pic>
      <xdr:nvPicPr>
        <xdr:cNvPr id="62"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140110</xdr:rowOff>
    </xdr:to>
    <xdr:pic>
      <xdr:nvPicPr>
        <xdr:cNvPr id="63"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121060</xdr:rowOff>
    </xdr:to>
    <xdr:pic>
      <xdr:nvPicPr>
        <xdr:cNvPr id="64"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168685</xdr:rowOff>
    </xdr:to>
    <xdr:pic>
      <xdr:nvPicPr>
        <xdr:cNvPr id="65"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142832</xdr:rowOff>
    </xdr:to>
    <xdr:pic>
      <xdr:nvPicPr>
        <xdr:cNvPr id="66"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133307</xdr:rowOff>
    </xdr:to>
    <xdr:pic>
      <xdr:nvPicPr>
        <xdr:cNvPr id="67"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133306</xdr:rowOff>
    </xdr:to>
    <xdr:pic>
      <xdr:nvPicPr>
        <xdr:cNvPr id="68"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133306</xdr:rowOff>
    </xdr:to>
    <xdr:pic>
      <xdr:nvPicPr>
        <xdr:cNvPr id="69"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168684</xdr:rowOff>
    </xdr:to>
    <xdr:pic>
      <xdr:nvPicPr>
        <xdr:cNvPr id="70"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142831</xdr:rowOff>
    </xdr:to>
    <xdr:pic>
      <xdr:nvPicPr>
        <xdr:cNvPr id="71"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133306</xdr:rowOff>
    </xdr:to>
    <xdr:pic>
      <xdr:nvPicPr>
        <xdr:cNvPr id="72"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156439</xdr:rowOff>
    </xdr:to>
    <xdr:pic>
      <xdr:nvPicPr>
        <xdr:cNvPr id="73"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237</xdr:row>
      <xdr:rowOff>74796</xdr:rowOff>
    </xdr:to>
    <xdr:pic>
      <xdr:nvPicPr>
        <xdr:cNvPr id="7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156439</xdr:rowOff>
    </xdr:to>
    <xdr:pic>
      <xdr:nvPicPr>
        <xdr:cNvPr id="75"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156438</xdr:rowOff>
    </xdr:to>
    <xdr:pic>
      <xdr:nvPicPr>
        <xdr:cNvPr id="76"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237</xdr:row>
      <xdr:rowOff>74796</xdr:rowOff>
    </xdr:to>
    <xdr:pic>
      <xdr:nvPicPr>
        <xdr:cNvPr id="77"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156438</xdr:rowOff>
    </xdr:to>
    <xdr:pic>
      <xdr:nvPicPr>
        <xdr:cNvPr id="78"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160520</xdr:rowOff>
    </xdr:to>
    <xdr:pic>
      <xdr:nvPicPr>
        <xdr:cNvPr id="79"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149634</xdr:rowOff>
    </xdr:to>
    <xdr:pic>
      <xdr:nvPicPr>
        <xdr:cNvPr id="80"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95660</xdr:rowOff>
    </xdr:to>
    <xdr:pic>
      <xdr:nvPicPr>
        <xdr:cNvPr id="81"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140110</xdr:rowOff>
    </xdr:to>
    <xdr:pic>
      <xdr:nvPicPr>
        <xdr:cNvPr id="82"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142831</xdr:rowOff>
    </xdr:to>
    <xdr:pic>
      <xdr:nvPicPr>
        <xdr:cNvPr id="83"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64407</xdr:colOff>
      <xdr:row>236</xdr:row>
      <xdr:rowOff>117432</xdr:rowOff>
    </xdr:to>
    <xdr:sp macro="" textlink="">
      <xdr:nvSpPr>
        <xdr:cNvPr id="84" name="AutoShape 1" descr="image001"/>
        <xdr:cNvSpPr>
          <a:spLocks noChangeAspect="1" noChangeArrowheads="1"/>
        </xdr:cNvSpPr>
      </xdr:nvSpPr>
      <xdr:spPr bwMode="auto">
        <a:xfrm>
          <a:off x="7886700" y="132464175"/>
          <a:ext cx="64407" cy="668823"/>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85"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86"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64407</xdr:colOff>
      <xdr:row>236</xdr:row>
      <xdr:rowOff>105833</xdr:rowOff>
    </xdr:to>
    <xdr:sp macro="" textlink="">
      <xdr:nvSpPr>
        <xdr:cNvPr id="87"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234</xdr:row>
      <xdr:rowOff>0</xdr:rowOff>
    </xdr:from>
    <xdr:to>
      <xdr:col>6</xdr:col>
      <xdr:colOff>85725</xdr:colOff>
      <xdr:row>236</xdr:row>
      <xdr:rowOff>133306</xdr:rowOff>
    </xdr:to>
    <xdr:pic>
      <xdr:nvPicPr>
        <xdr:cNvPr id="88"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140110</xdr:rowOff>
    </xdr:to>
    <xdr:pic>
      <xdr:nvPicPr>
        <xdr:cNvPr id="89"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121060</xdr:rowOff>
    </xdr:to>
    <xdr:pic>
      <xdr:nvPicPr>
        <xdr:cNvPr id="90"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168685</xdr:rowOff>
    </xdr:to>
    <xdr:pic>
      <xdr:nvPicPr>
        <xdr:cNvPr id="91"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142832</xdr:rowOff>
    </xdr:to>
    <xdr:pic>
      <xdr:nvPicPr>
        <xdr:cNvPr id="92"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133307</xdr:rowOff>
    </xdr:to>
    <xdr:pic>
      <xdr:nvPicPr>
        <xdr:cNvPr id="93"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133306</xdr:rowOff>
    </xdr:to>
    <xdr:pic>
      <xdr:nvPicPr>
        <xdr:cNvPr id="94"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133306</xdr:rowOff>
    </xdr:to>
    <xdr:pic>
      <xdr:nvPicPr>
        <xdr:cNvPr id="95"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168684</xdr:rowOff>
    </xdr:to>
    <xdr:pic>
      <xdr:nvPicPr>
        <xdr:cNvPr id="96"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142831</xdr:rowOff>
    </xdr:to>
    <xdr:pic>
      <xdr:nvPicPr>
        <xdr:cNvPr id="97"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133306</xdr:rowOff>
    </xdr:to>
    <xdr:pic>
      <xdr:nvPicPr>
        <xdr:cNvPr id="98"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156439</xdr:rowOff>
    </xdr:to>
    <xdr:pic>
      <xdr:nvPicPr>
        <xdr:cNvPr id="99"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237</xdr:row>
      <xdr:rowOff>74796</xdr:rowOff>
    </xdr:to>
    <xdr:pic>
      <xdr:nvPicPr>
        <xdr:cNvPr id="100"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156439</xdr:rowOff>
    </xdr:to>
    <xdr:pic>
      <xdr:nvPicPr>
        <xdr:cNvPr id="101"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156438</xdr:rowOff>
    </xdr:to>
    <xdr:pic>
      <xdr:nvPicPr>
        <xdr:cNvPr id="102"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237</xdr:row>
      <xdr:rowOff>74796</xdr:rowOff>
    </xdr:to>
    <xdr:pic>
      <xdr:nvPicPr>
        <xdr:cNvPr id="103"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156438</xdr:rowOff>
    </xdr:to>
    <xdr:pic>
      <xdr:nvPicPr>
        <xdr:cNvPr id="104"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160520</xdr:rowOff>
    </xdr:to>
    <xdr:pic>
      <xdr:nvPicPr>
        <xdr:cNvPr id="105"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149634</xdr:rowOff>
    </xdr:to>
    <xdr:pic>
      <xdr:nvPicPr>
        <xdr:cNvPr id="106"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95660</xdr:rowOff>
    </xdr:to>
    <xdr:pic>
      <xdr:nvPicPr>
        <xdr:cNvPr id="107"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140110</xdr:rowOff>
    </xdr:to>
    <xdr:pic>
      <xdr:nvPicPr>
        <xdr:cNvPr id="108"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234</xdr:row>
      <xdr:rowOff>0</xdr:rowOff>
    </xdr:from>
    <xdr:to>
      <xdr:col>6</xdr:col>
      <xdr:colOff>85725</xdr:colOff>
      <xdr:row>236</xdr:row>
      <xdr:rowOff>142831</xdr:rowOff>
    </xdr:to>
    <xdr:pic>
      <xdr:nvPicPr>
        <xdr:cNvPr id="109"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0</xdr:colOff>
      <xdr:row>234</xdr:row>
      <xdr:rowOff>0</xdr:rowOff>
    </xdr:from>
    <xdr:ext cx="64407" cy="663160"/>
    <xdr:sp macro="" textlink="">
      <xdr:nvSpPr>
        <xdr:cNvPr id="110"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6</xdr:col>
      <xdr:colOff>0</xdr:colOff>
      <xdr:row>234</xdr:row>
      <xdr:rowOff>0</xdr:rowOff>
    </xdr:from>
    <xdr:ext cx="64407" cy="660438"/>
    <xdr:sp macro="" textlink="">
      <xdr:nvSpPr>
        <xdr:cNvPr id="111"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64407" cy="660438"/>
    <xdr:sp macro="" textlink="">
      <xdr:nvSpPr>
        <xdr:cNvPr id="112"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64407" cy="660438"/>
    <xdr:sp macro="" textlink="">
      <xdr:nvSpPr>
        <xdr:cNvPr id="113"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85725" cy="679034"/>
    <xdr:pic>
      <xdr:nvPicPr>
        <xdr:cNvPr id="114"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8"/>
    <xdr:pic>
      <xdr:nvPicPr>
        <xdr:cNvPr id="115"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6788"/>
    <xdr:pic>
      <xdr:nvPicPr>
        <xdr:cNvPr id="116"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3"/>
    <xdr:pic>
      <xdr:nvPicPr>
        <xdr:cNvPr id="117"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60"/>
    <xdr:pic>
      <xdr:nvPicPr>
        <xdr:cNvPr id="118"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5"/>
    <xdr:pic>
      <xdr:nvPicPr>
        <xdr:cNvPr id="119"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120"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121"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2"/>
    <xdr:pic>
      <xdr:nvPicPr>
        <xdr:cNvPr id="122"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123"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124"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7"/>
    <xdr:pic>
      <xdr:nvPicPr>
        <xdr:cNvPr id="125"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4"/>
    <xdr:pic>
      <xdr:nvPicPr>
        <xdr:cNvPr id="12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7"/>
    <xdr:pic>
      <xdr:nvPicPr>
        <xdr:cNvPr id="127"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128"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4"/>
    <xdr:pic>
      <xdr:nvPicPr>
        <xdr:cNvPr id="129"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130"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6248"/>
    <xdr:pic>
      <xdr:nvPicPr>
        <xdr:cNvPr id="131"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5362"/>
    <xdr:pic>
      <xdr:nvPicPr>
        <xdr:cNvPr id="132"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41388"/>
    <xdr:pic>
      <xdr:nvPicPr>
        <xdr:cNvPr id="133"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8"/>
    <xdr:pic>
      <xdr:nvPicPr>
        <xdr:cNvPr id="134"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135"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3160"/>
    <xdr:sp macro="" textlink="">
      <xdr:nvSpPr>
        <xdr:cNvPr id="136"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6</xdr:col>
      <xdr:colOff>0</xdr:colOff>
      <xdr:row>234</xdr:row>
      <xdr:rowOff>0</xdr:rowOff>
    </xdr:from>
    <xdr:ext cx="64407" cy="660438"/>
    <xdr:sp macro="" textlink="">
      <xdr:nvSpPr>
        <xdr:cNvPr id="137"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64407" cy="660438"/>
    <xdr:sp macro="" textlink="">
      <xdr:nvSpPr>
        <xdr:cNvPr id="138"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64407" cy="660438"/>
    <xdr:sp macro="" textlink="">
      <xdr:nvSpPr>
        <xdr:cNvPr id="139"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85725" cy="679034"/>
    <xdr:pic>
      <xdr:nvPicPr>
        <xdr:cNvPr id="140"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8"/>
    <xdr:pic>
      <xdr:nvPicPr>
        <xdr:cNvPr id="141"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6788"/>
    <xdr:pic>
      <xdr:nvPicPr>
        <xdr:cNvPr id="142"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3"/>
    <xdr:pic>
      <xdr:nvPicPr>
        <xdr:cNvPr id="143"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60"/>
    <xdr:pic>
      <xdr:nvPicPr>
        <xdr:cNvPr id="144"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5"/>
    <xdr:pic>
      <xdr:nvPicPr>
        <xdr:cNvPr id="145"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146"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147"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2"/>
    <xdr:pic>
      <xdr:nvPicPr>
        <xdr:cNvPr id="148"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149"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150"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7"/>
    <xdr:pic>
      <xdr:nvPicPr>
        <xdr:cNvPr id="151"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4"/>
    <xdr:pic>
      <xdr:nvPicPr>
        <xdr:cNvPr id="15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7"/>
    <xdr:pic>
      <xdr:nvPicPr>
        <xdr:cNvPr id="153"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154"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4"/>
    <xdr:pic>
      <xdr:nvPicPr>
        <xdr:cNvPr id="155"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156"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6248"/>
    <xdr:pic>
      <xdr:nvPicPr>
        <xdr:cNvPr id="157"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5362"/>
    <xdr:pic>
      <xdr:nvPicPr>
        <xdr:cNvPr id="158"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41388"/>
    <xdr:pic>
      <xdr:nvPicPr>
        <xdr:cNvPr id="159"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8"/>
    <xdr:pic>
      <xdr:nvPicPr>
        <xdr:cNvPr id="160"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161"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3159"/>
    <xdr:sp macro="" textlink="">
      <xdr:nvSpPr>
        <xdr:cNvPr id="162"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6</xdr:col>
      <xdr:colOff>0</xdr:colOff>
      <xdr:row>234</xdr:row>
      <xdr:rowOff>0</xdr:rowOff>
    </xdr:from>
    <xdr:ext cx="64407" cy="660437"/>
    <xdr:sp macro="" textlink="">
      <xdr:nvSpPr>
        <xdr:cNvPr id="163"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64407" cy="660437"/>
    <xdr:sp macro="" textlink="">
      <xdr:nvSpPr>
        <xdr:cNvPr id="164"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64407" cy="660437"/>
    <xdr:sp macro="" textlink="">
      <xdr:nvSpPr>
        <xdr:cNvPr id="165"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85725" cy="679033"/>
    <xdr:pic>
      <xdr:nvPicPr>
        <xdr:cNvPr id="166"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7"/>
    <xdr:pic>
      <xdr:nvPicPr>
        <xdr:cNvPr id="167"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6787"/>
    <xdr:pic>
      <xdr:nvPicPr>
        <xdr:cNvPr id="168"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2"/>
    <xdr:pic>
      <xdr:nvPicPr>
        <xdr:cNvPr id="169"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170"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171"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172"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173"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1"/>
    <xdr:pic>
      <xdr:nvPicPr>
        <xdr:cNvPr id="174"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8"/>
    <xdr:pic>
      <xdr:nvPicPr>
        <xdr:cNvPr id="175"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176"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177"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3"/>
    <xdr:pic>
      <xdr:nvPicPr>
        <xdr:cNvPr id="17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179"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5"/>
    <xdr:pic>
      <xdr:nvPicPr>
        <xdr:cNvPr id="180"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3"/>
    <xdr:pic>
      <xdr:nvPicPr>
        <xdr:cNvPr id="181"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5"/>
    <xdr:pic>
      <xdr:nvPicPr>
        <xdr:cNvPr id="182"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6247"/>
    <xdr:pic>
      <xdr:nvPicPr>
        <xdr:cNvPr id="183"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5361"/>
    <xdr:pic>
      <xdr:nvPicPr>
        <xdr:cNvPr id="184"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41387"/>
    <xdr:pic>
      <xdr:nvPicPr>
        <xdr:cNvPr id="185"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7"/>
    <xdr:pic>
      <xdr:nvPicPr>
        <xdr:cNvPr id="186"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8"/>
    <xdr:pic>
      <xdr:nvPicPr>
        <xdr:cNvPr id="187"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3159"/>
    <xdr:sp macro="" textlink="">
      <xdr:nvSpPr>
        <xdr:cNvPr id="188"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6</xdr:col>
      <xdr:colOff>0</xdr:colOff>
      <xdr:row>234</xdr:row>
      <xdr:rowOff>0</xdr:rowOff>
    </xdr:from>
    <xdr:ext cx="64407" cy="660437"/>
    <xdr:sp macro="" textlink="">
      <xdr:nvSpPr>
        <xdr:cNvPr id="189"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64407" cy="660437"/>
    <xdr:sp macro="" textlink="">
      <xdr:nvSpPr>
        <xdr:cNvPr id="190"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64407" cy="660437"/>
    <xdr:sp macro="" textlink="">
      <xdr:nvSpPr>
        <xdr:cNvPr id="191"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85725" cy="679033"/>
    <xdr:pic>
      <xdr:nvPicPr>
        <xdr:cNvPr id="192"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7"/>
    <xdr:pic>
      <xdr:nvPicPr>
        <xdr:cNvPr id="193"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6787"/>
    <xdr:pic>
      <xdr:nvPicPr>
        <xdr:cNvPr id="194"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2"/>
    <xdr:pic>
      <xdr:nvPicPr>
        <xdr:cNvPr id="195"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196"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197"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198"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199"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1"/>
    <xdr:pic>
      <xdr:nvPicPr>
        <xdr:cNvPr id="200"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8"/>
    <xdr:pic>
      <xdr:nvPicPr>
        <xdr:cNvPr id="201"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202"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203"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3"/>
    <xdr:pic>
      <xdr:nvPicPr>
        <xdr:cNvPr id="20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205"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5"/>
    <xdr:pic>
      <xdr:nvPicPr>
        <xdr:cNvPr id="206"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3"/>
    <xdr:pic>
      <xdr:nvPicPr>
        <xdr:cNvPr id="207"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5"/>
    <xdr:pic>
      <xdr:nvPicPr>
        <xdr:cNvPr id="208"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6247"/>
    <xdr:pic>
      <xdr:nvPicPr>
        <xdr:cNvPr id="209"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5361"/>
    <xdr:pic>
      <xdr:nvPicPr>
        <xdr:cNvPr id="210"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41387"/>
    <xdr:pic>
      <xdr:nvPicPr>
        <xdr:cNvPr id="211"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7"/>
    <xdr:pic>
      <xdr:nvPicPr>
        <xdr:cNvPr id="212"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0358"/>
    <xdr:sp macro="" textlink="">
      <xdr:nvSpPr>
        <xdr:cNvPr id="213" name="AutoShape 1" descr="image001"/>
        <xdr:cNvSpPr>
          <a:spLocks noChangeAspect="1" noChangeArrowheads="1"/>
        </xdr:cNvSpPr>
      </xdr:nvSpPr>
      <xdr:spPr bwMode="auto">
        <a:xfrm>
          <a:off x="7886700" y="132464175"/>
          <a:ext cx="64407" cy="660358"/>
        </a:xfrm>
        <a:prstGeom prst="rect">
          <a:avLst/>
        </a:prstGeom>
        <a:noFill/>
      </xdr:spPr>
    </xdr:sp>
    <xdr:clientData/>
  </xdr:oneCellAnchor>
  <xdr:oneCellAnchor>
    <xdr:from>
      <xdr:col>6</xdr:col>
      <xdr:colOff>0</xdr:colOff>
      <xdr:row>234</xdr:row>
      <xdr:rowOff>0</xdr:rowOff>
    </xdr:from>
    <xdr:ext cx="64407" cy="657636"/>
    <xdr:sp macro="" textlink="">
      <xdr:nvSpPr>
        <xdr:cNvPr id="214"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234</xdr:row>
      <xdr:rowOff>0</xdr:rowOff>
    </xdr:from>
    <xdr:ext cx="64407" cy="657636"/>
    <xdr:sp macro="" textlink="">
      <xdr:nvSpPr>
        <xdr:cNvPr id="215"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234</xdr:row>
      <xdr:rowOff>0</xdr:rowOff>
    </xdr:from>
    <xdr:ext cx="64407" cy="657636"/>
    <xdr:sp macro="" textlink="">
      <xdr:nvSpPr>
        <xdr:cNvPr id="216"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234</xdr:row>
      <xdr:rowOff>0</xdr:rowOff>
    </xdr:from>
    <xdr:ext cx="85725" cy="676232"/>
    <xdr:pic>
      <xdr:nvPicPr>
        <xdr:cNvPr id="217"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3036"/>
    <xdr:pic>
      <xdr:nvPicPr>
        <xdr:cNvPr id="218"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3986"/>
    <xdr:pic>
      <xdr:nvPicPr>
        <xdr:cNvPr id="219"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1611"/>
    <xdr:pic>
      <xdr:nvPicPr>
        <xdr:cNvPr id="220"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8"/>
    <xdr:pic>
      <xdr:nvPicPr>
        <xdr:cNvPr id="221"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3"/>
    <xdr:pic>
      <xdr:nvPicPr>
        <xdr:cNvPr id="222"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2"/>
    <xdr:pic>
      <xdr:nvPicPr>
        <xdr:cNvPr id="223"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2"/>
    <xdr:pic>
      <xdr:nvPicPr>
        <xdr:cNvPr id="224"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1610"/>
    <xdr:pic>
      <xdr:nvPicPr>
        <xdr:cNvPr id="225"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7"/>
    <xdr:pic>
      <xdr:nvPicPr>
        <xdr:cNvPr id="226"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2"/>
    <xdr:pic>
      <xdr:nvPicPr>
        <xdr:cNvPr id="227"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5"/>
    <xdr:pic>
      <xdr:nvPicPr>
        <xdr:cNvPr id="228"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3472"/>
    <xdr:pic>
      <xdr:nvPicPr>
        <xdr:cNvPr id="22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5"/>
    <xdr:pic>
      <xdr:nvPicPr>
        <xdr:cNvPr id="230"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4"/>
    <xdr:pic>
      <xdr:nvPicPr>
        <xdr:cNvPr id="231"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3472"/>
    <xdr:pic>
      <xdr:nvPicPr>
        <xdr:cNvPr id="232"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4"/>
    <xdr:pic>
      <xdr:nvPicPr>
        <xdr:cNvPr id="233"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3446"/>
    <xdr:pic>
      <xdr:nvPicPr>
        <xdr:cNvPr id="234"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2560"/>
    <xdr:pic>
      <xdr:nvPicPr>
        <xdr:cNvPr id="235"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38586"/>
    <xdr:pic>
      <xdr:nvPicPr>
        <xdr:cNvPr id="236"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3036"/>
    <xdr:pic>
      <xdr:nvPicPr>
        <xdr:cNvPr id="237"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7"/>
    <xdr:pic>
      <xdr:nvPicPr>
        <xdr:cNvPr id="238"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0358"/>
    <xdr:sp macro="" textlink="">
      <xdr:nvSpPr>
        <xdr:cNvPr id="239" name="AutoShape 1" descr="image001"/>
        <xdr:cNvSpPr>
          <a:spLocks noChangeAspect="1" noChangeArrowheads="1"/>
        </xdr:cNvSpPr>
      </xdr:nvSpPr>
      <xdr:spPr bwMode="auto">
        <a:xfrm>
          <a:off x="7886700" y="132464175"/>
          <a:ext cx="64407" cy="660358"/>
        </a:xfrm>
        <a:prstGeom prst="rect">
          <a:avLst/>
        </a:prstGeom>
        <a:noFill/>
      </xdr:spPr>
    </xdr:sp>
    <xdr:clientData/>
  </xdr:oneCellAnchor>
  <xdr:oneCellAnchor>
    <xdr:from>
      <xdr:col>6</xdr:col>
      <xdr:colOff>0</xdr:colOff>
      <xdr:row>234</xdr:row>
      <xdr:rowOff>0</xdr:rowOff>
    </xdr:from>
    <xdr:ext cx="64407" cy="657636"/>
    <xdr:sp macro="" textlink="">
      <xdr:nvSpPr>
        <xdr:cNvPr id="240"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234</xdr:row>
      <xdr:rowOff>0</xdr:rowOff>
    </xdr:from>
    <xdr:ext cx="64407" cy="657636"/>
    <xdr:sp macro="" textlink="">
      <xdr:nvSpPr>
        <xdr:cNvPr id="241"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234</xdr:row>
      <xdr:rowOff>0</xdr:rowOff>
    </xdr:from>
    <xdr:ext cx="64407" cy="657636"/>
    <xdr:sp macro="" textlink="">
      <xdr:nvSpPr>
        <xdr:cNvPr id="242"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234</xdr:row>
      <xdr:rowOff>0</xdr:rowOff>
    </xdr:from>
    <xdr:ext cx="85725" cy="676232"/>
    <xdr:pic>
      <xdr:nvPicPr>
        <xdr:cNvPr id="243"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3036"/>
    <xdr:pic>
      <xdr:nvPicPr>
        <xdr:cNvPr id="244"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3986"/>
    <xdr:pic>
      <xdr:nvPicPr>
        <xdr:cNvPr id="245"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1611"/>
    <xdr:pic>
      <xdr:nvPicPr>
        <xdr:cNvPr id="246"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8"/>
    <xdr:pic>
      <xdr:nvPicPr>
        <xdr:cNvPr id="247"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3"/>
    <xdr:pic>
      <xdr:nvPicPr>
        <xdr:cNvPr id="248"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2"/>
    <xdr:pic>
      <xdr:nvPicPr>
        <xdr:cNvPr id="249"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2"/>
    <xdr:pic>
      <xdr:nvPicPr>
        <xdr:cNvPr id="250"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1610"/>
    <xdr:pic>
      <xdr:nvPicPr>
        <xdr:cNvPr id="251"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7"/>
    <xdr:pic>
      <xdr:nvPicPr>
        <xdr:cNvPr id="252"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2"/>
    <xdr:pic>
      <xdr:nvPicPr>
        <xdr:cNvPr id="253"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5"/>
    <xdr:pic>
      <xdr:nvPicPr>
        <xdr:cNvPr id="254"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3472"/>
    <xdr:pic>
      <xdr:nvPicPr>
        <xdr:cNvPr id="25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5"/>
    <xdr:pic>
      <xdr:nvPicPr>
        <xdr:cNvPr id="256"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4"/>
    <xdr:pic>
      <xdr:nvPicPr>
        <xdr:cNvPr id="257"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3472"/>
    <xdr:pic>
      <xdr:nvPicPr>
        <xdr:cNvPr id="258"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4"/>
    <xdr:pic>
      <xdr:nvPicPr>
        <xdr:cNvPr id="259"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3446"/>
    <xdr:pic>
      <xdr:nvPicPr>
        <xdr:cNvPr id="260"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2560"/>
    <xdr:pic>
      <xdr:nvPicPr>
        <xdr:cNvPr id="261"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38586"/>
    <xdr:pic>
      <xdr:nvPicPr>
        <xdr:cNvPr id="262"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3036"/>
    <xdr:pic>
      <xdr:nvPicPr>
        <xdr:cNvPr id="263"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7"/>
    <xdr:pic>
      <xdr:nvPicPr>
        <xdr:cNvPr id="264"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0357"/>
    <xdr:sp macro="" textlink="">
      <xdr:nvSpPr>
        <xdr:cNvPr id="265" name="AutoShape 1" descr="image001"/>
        <xdr:cNvSpPr>
          <a:spLocks noChangeAspect="1" noChangeArrowheads="1"/>
        </xdr:cNvSpPr>
      </xdr:nvSpPr>
      <xdr:spPr bwMode="auto">
        <a:xfrm>
          <a:off x="7886700" y="132464175"/>
          <a:ext cx="64407" cy="660357"/>
        </a:xfrm>
        <a:prstGeom prst="rect">
          <a:avLst/>
        </a:prstGeom>
        <a:noFill/>
      </xdr:spPr>
    </xdr:sp>
    <xdr:clientData/>
  </xdr:oneCellAnchor>
  <xdr:oneCellAnchor>
    <xdr:from>
      <xdr:col>6</xdr:col>
      <xdr:colOff>0</xdr:colOff>
      <xdr:row>234</xdr:row>
      <xdr:rowOff>0</xdr:rowOff>
    </xdr:from>
    <xdr:ext cx="64407" cy="657635"/>
    <xdr:sp macro="" textlink="">
      <xdr:nvSpPr>
        <xdr:cNvPr id="266"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234</xdr:row>
      <xdr:rowOff>0</xdr:rowOff>
    </xdr:from>
    <xdr:ext cx="64407" cy="657635"/>
    <xdr:sp macro="" textlink="">
      <xdr:nvSpPr>
        <xdr:cNvPr id="267"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234</xdr:row>
      <xdr:rowOff>0</xdr:rowOff>
    </xdr:from>
    <xdr:ext cx="64407" cy="657635"/>
    <xdr:sp macro="" textlink="">
      <xdr:nvSpPr>
        <xdr:cNvPr id="268"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234</xdr:row>
      <xdr:rowOff>0</xdr:rowOff>
    </xdr:from>
    <xdr:ext cx="85725" cy="676231"/>
    <xdr:pic>
      <xdr:nvPicPr>
        <xdr:cNvPr id="269"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3035"/>
    <xdr:pic>
      <xdr:nvPicPr>
        <xdr:cNvPr id="270"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3985"/>
    <xdr:pic>
      <xdr:nvPicPr>
        <xdr:cNvPr id="271"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1610"/>
    <xdr:pic>
      <xdr:nvPicPr>
        <xdr:cNvPr id="272"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7"/>
    <xdr:pic>
      <xdr:nvPicPr>
        <xdr:cNvPr id="273"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2"/>
    <xdr:pic>
      <xdr:nvPicPr>
        <xdr:cNvPr id="274"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1"/>
    <xdr:pic>
      <xdr:nvPicPr>
        <xdr:cNvPr id="275"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1"/>
    <xdr:pic>
      <xdr:nvPicPr>
        <xdr:cNvPr id="276"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1609"/>
    <xdr:pic>
      <xdr:nvPicPr>
        <xdr:cNvPr id="277"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6"/>
    <xdr:pic>
      <xdr:nvPicPr>
        <xdr:cNvPr id="278"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1"/>
    <xdr:pic>
      <xdr:nvPicPr>
        <xdr:cNvPr id="279"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4"/>
    <xdr:pic>
      <xdr:nvPicPr>
        <xdr:cNvPr id="280"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3471"/>
    <xdr:pic>
      <xdr:nvPicPr>
        <xdr:cNvPr id="28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4"/>
    <xdr:pic>
      <xdr:nvPicPr>
        <xdr:cNvPr id="282"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3"/>
    <xdr:pic>
      <xdr:nvPicPr>
        <xdr:cNvPr id="283"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3471"/>
    <xdr:pic>
      <xdr:nvPicPr>
        <xdr:cNvPr id="284"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3"/>
    <xdr:pic>
      <xdr:nvPicPr>
        <xdr:cNvPr id="285"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3445"/>
    <xdr:pic>
      <xdr:nvPicPr>
        <xdr:cNvPr id="286"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2559"/>
    <xdr:pic>
      <xdr:nvPicPr>
        <xdr:cNvPr id="287"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38585"/>
    <xdr:pic>
      <xdr:nvPicPr>
        <xdr:cNvPr id="288"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3035"/>
    <xdr:pic>
      <xdr:nvPicPr>
        <xdr:cNvPr id="289"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6"/>
    <xdr:pic>
      <xdr:nvPicPr>
        <xdr:cNvPr id="290"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0357"/>
    <xdr:sp macro="" textlink="">
      <xdr:nvSpPr>
        <xdr:cNvPr id="291" name="AutoShape 1" descr="image001"/>
        <xdr:cNvSpPr>
          <a:spLocks noChangeAspect="1" noChangeArrowheads="1"/>
        </xdr:cNvSpPr>
      </xdr:nvSpPr>
      <xdr:spPr bwMode="auto">
        <a:xfrm>
          <a:off x="7886700" y="132464175"/>
          <a:ext cx="64407" cy="660357"/>
        </a:xfrm>
        <a:prstGeom prst="rect">
          <a:avLst/>
        </a:prstGeom>
        <a:noFill/>
      </xdr:spPr>
    </xdr:sp>
    <xdr:clientData/>
  </xdr:oneCellAnchor>
  <xdr:oneCellAnchor>
    <xdr:from>
      <xdr:col>6</xdr:col>
      <xdr:colOff>0</xdr:colOff>
      <xdr:row>234</xdr:row>
      <xdr:rowOff>0</xdr:rowOff>
    </xdr:from>
    <xdr:ext cx="64407" cy="657635"/>
    <xdr:sp macro="" textlink="">
      <xdr:nvSpPr>
        <xdr:cNvPr id="292"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234</xdr:row>
      <xdr:rowOff>0</xdr:rowOff>
    </xdr:from>
    <xdr:ext cx="64407" cy="657635"/>
    <xdr:sp macro="" textlink="">
      <xdr:nvSpPr>
        <xdr:cNvPr id="293"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234</xdr:row>
      <xdr:rowOff>0</xdr:rowOff>
    </xdr:from>
    <xdr:ext cx="64407" cy="657635"/>
    <xdr:sp macro="" textlink="">
      <xdr:nvSpPr>
        <xdr:cNvPr id="294"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234</xdr:row>
      <xdr:rowOff>0</xdr:rowOff>
    </xdr:from>
    <xdr:ext cx="85725" cy="676231"/>
    <xdr:pic>
      <xdr:nvPicPr>
        <xdr:cNvPr id="295"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3035"/>
    <xdr:pic>
      <xdr:nvPicPr>
        <xdr:cNvPr id="296"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3985"/>
    <xdr:pic>
      <xdr:nvPicPr>
        <xdr:cNvPr id="297"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1610"/>
    <xdr:pic>
      <xdr:nvPicPr>
        <xdr:cNvPr id="298"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7"/>
    <xdr:pic>
      <xdr:nvPicPr>
        <xdr:cNvPr id="299"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2"/>
    <xdr:pic>
      <xdr:nvPicPr>
        <xdr:cNvPr id="300"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1"/>
    <xdr:pic>
      <xdr:nvPicPr>
        <xdr:cNvPr id="301"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1"/>
    <xdr:pic>
      <xdr:nvPicPr>
        <xdr:cNvPr id="302"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1609"/>
    <xdr:pic>
      <xdr:nvPicPr>
        <xdr:cNvPr id="303"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6"/>
    <xdr:pic>
      <xdr:nvPicPr>
        <xdr:cNvPr id="304"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6231"/>
    <xdr:pic>
      <xdr:nvPicPr>
        <xdr:cNvPr id="305"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4"/>
    <xdr:pic>
      <xdr:nvPicPr>
        <xdr:cNvPr id="306"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3471"/>
    <xdr:pic>
      <xdr:nvPicPr>
        <xdr:cNvPr id="30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4"/>
    <xdr:pic>
      <xdr:nvPicPr>
        <xdr:cNvPr id="308"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3"/>
    <xdr:pic>
      <xdr:nvPicPr>
        <xdr:cNvPr id="309"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3471"/>
    <xdr:pic>
      <xdr:nvPicPr>
        <xdr:cNvPr id="310"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9363"/>
    <xdr:pic>
      <xdr:nvPicPr>
        <xdr:cNvPr id="311"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3445"/>
    <xdr:pic>
      <xdr:nvPicPr>
        <xdr:cNvPr id="312"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2559"/>
    <xdr:pic>
      <xdr:nvPicPr>
        <xdr:cNvPr id="313"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38585"/>
    <xdr:pic>
      <xdr:nvPicPr>
        <xdr:cNvPr id="314"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3035"/>
    <xdr:pic>
      <xdr:nvPicPr>
        <xdr:cNvPr id="315"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756"/>
    <xdr:pic>
      <xdr:nvPicPr>
        <xdr:cNvPr id="316"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3160"/>
    <xdr:sp macro="" textlink="">
      <xdr:nvSpPr>
        <xdr:cNvPr id="317"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6</xdr:col>
      <xdr:colOff>0</xdr:colOff>
      <xdr:row>234</xdr:row>
      <xdr:rowOff>0</xdr:rowOff>
    </xdr:from>
    <xdr:ext cx="64407" cy="660438"/>
    <xdr:sp macro="" textlink="">
      <xdr:nvSpPr>
        <xdr:cNvPr id="318"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64407" cy="660438"/>
    <xdr:sp macro="" textlink="">
      <xdr:nvSpPr>
        <xdr:cNvPr id="319"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64407" cy="660438"/>
    <xdr:sp macro="" textlink="">
      <xdr:nvSpPr>
        <xdr:cNvPr id="320"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85725" cy="679034"/>
    <xdr:pic>
      <xdr:nvPicPr>
        <xdr:cNvPr id="321"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8"/>
    <xdr:pic>
      <xdr:nvPicPr>
        <xdr:cNvPr id="322"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6788"/>
    <xdr:pic>
      <xdr:nvPicPr>
        <xdr:cNvPr id="323"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3"/>
    <xdr:pic>
      <xdr:nvPicPr>
        <xdr:cNvPr id="324"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60"/>
    <xdr:pic>
      <xdr:nvPicPr>
        <xdr:cNvPr id="325"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5"/>
    <xdr:pic>
      <xdr:nvPicPr>
        <xdr:cNvPr id="326"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327"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328"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2"/>
    <xdr:pic>
      <xdr:nvPicPr>
        <xdr:cNvPr id="329"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330"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331"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7"/>
    <xdr:pic>
      <xdr:nvPicPr>
        <xdr:cNvPr id="332"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4"/>
    <xdr:pic>
      <xdr:nvPicPr>
        <xdr:cNvPr id="33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7"/>
    <xdr:pic>
      <xdr:nvPicPr>
        <xdr:cNvPr id="334"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335"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4"/>
    <xdr:pic>
      <xdr:nvPicPr>
        <xdr:cNvPr id="336"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337"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6248"/>
    <xdr:pic>
      <xdr:nvPicPr>
        <xdr:cNvPr id="338"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5362"/>
    <xdr:pic>
      <xdr:nvPicPr>
        <xdr:cNvPr id="339"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41388"/>
    <xdr:pic>
      <xdr:nvPicPr>
        <xdr:cNvPr id="340"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8"/>
    <xdr:pic>
      <xdr:nvPicPr>
        <xdr:cNvPr id="341"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342"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3160"/>
    <xdr:sp macro="" textlink="">
      <xdr:nvSpPr>
        <xdr:cNvPr id="343"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6</xdr:col>
      <xdr:colOff>0</xdr:colOff>
      <xdr:row>234</xdr:row>
      <xdr:rowOff>0</xdr:rowOff>
    </xdr:from>
    <xdr:ext cx="64407" cy="660438"/>
    <xdr:sp macro="" textlink="">
      <xdr:nvSpPr>
        <xdr:cNvPr id="344"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64407" cy="660438"/>
    <xdr:sp macro="" textlink="">
      <xdr:nvSpPr>
        <xdr:cNvPr id="345"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64407" cy="660438"/>
    <xdr:sp macro="" textlink="">
      <xdr:nvSpPr>
        <xdr:cNvPr id="346"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234</xdr:row>
      <xdr:rowOff>0</xdr:rowOff>
    </xdr:from>
    <xdr:ext cx="85725" cy="679034"/>
    <xdr:pic>
      <xdr:nvPicPr>
        <xdr:cNvPr id="347"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8"/>
    <xdr:pic>
      <xdr:nvPicPr>
        <xdr:cNvPr id="348"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6788"/>
    <xdr:pic>
      <xdr:nvPicPr>
        <xdr:cNvPr id="349"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3"/>
    <xdr:pic>
      <xdr:nvPicPr>
        <xdr:cNvPr id="350"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60"/>
    <xdr:pic>
      <xdr:nvPicPr>
        <xdr:cNvPr id="351"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5"/>
    <xdr:pic>
      <xdr:nvPicPr>
        <xdr:cNvPr id="352"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353"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354"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2"/>
    <xdr:pic>
      <xdr:nvPicPr>
        <xdr:cNvPr id="355"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356"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357"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7"/>
    <xdr:pic>
      <xdr:nvPicPr>
        <xdr:cNvPr id="358"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4"/>
    <xdr:pic>
      <xdr:nvPicPr>
        <xdr:cNvPr id="35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7"/>
    <xdr:pic>
      <xdr:nvPicPr>
        <xdr:cNvPr id="360"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361"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4"/>
    <xdr:pic>
      <xdr:nvPicPr>
        <xdr:cNvPr id="362"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363"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6248"/>
    <xdr:pic>
      <xdr:nvPicPr>
        <xdr:cNvPr id="364"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5362"/>
    <xdr:pic>
      <xdr:nvPicPr>
        <xdr:cNvPr id="365"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41388"/>
    <xdr:pic>
      <xdr:nvPicPr>
        <xdr:cNvPr id="366"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8"/>
    <xdr:pic>
      <xdr:nvPicPr>
        <xdr:cNvPr id="367"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368"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3159"/>
    <xdr:sp macro="" textlink="">
      <xdr:nvSpPr>
        <xdr:cNvPr id="369"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6</xdr:col>
      <xdr:colOff>0</xdr:colOff>
      <xdr:row>234</xdr:row>
      <xdr:rowOff>0</xdr:rowOff>
    </xdr:from>
    <xdr:ext cx="64407" cy="660437"/>
    <xdr:sp macro="" textlink="">
      <xdr:nvSpPr>
        <xdr:cNvPr id="370"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64407" cy="660437"/>
    <xdr:sp macro="" textlink="">
      <xdr:nvSpPr>
        <xdr:cNvPr id="371"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64407" cy="660437"/>
    <xdr:sp macro="" textlink="">
      <xdr:nvSpPr>
        <xdr:cNvPr id="372"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85725" cy="679033"/>
    <xdr:pic>
      <xdr:nvPicPr>
        <xdr:cNvPr id="373"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7"/>
    <xdr:pic>
      <xdr:nvPicPr>
        <xdr:cNvPr id="374"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6787"/>
    <xdr:pic>
      <xdr:nvPicPr>
        <xdr:cNvPr id="375"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2"/>
    <xdr:pic>
      <xdr:nvPicPr>
        <xdr:cNvPr id="376"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377"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378"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379"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380"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1"/>
    <xdr:pic>
      <xdr:nvPicPr>
        <xdr:cNvPr id="381"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8"/>
    <xdr:pic>
      <xdr:nvPicPr>
        <xdr:cNvPr id="382"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383"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384"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3"/>
    <xdr:pic>
      <xdr:nvPicPr>
        <xdr:cNvPr id="38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386"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5"/>
    <xdr:pic>
      <xdr:nvPicPr>
        <xdr:cNvPr id="387"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3"/>
    <xdr:pic>
      <xdr:nvPicPr>
        <xdr:cNvPr id="388"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5"/>
    <xdr:pic>
      <xdr:nvPicPr>
        <xdr:cNvPr id="389"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6247"/>
    <xdr:pic>
      <xdr:nvPicPr>
        <xdr:cNvPr id="390"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5361"/>
    <xdr:pic>
      <xdr:nvPicPr>
        <xdr:cNvPr id="391"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41387"/>
    <xdr:pic>
      <xdr:nvPicPr>
        <xdr:cNvPr id="392"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7"/>
    <xdr:pic>
      <xdr:nvPicPr>
        <xdr:cNvPr id="393"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8"/>
    <xdr:pic>
      <xdr:nvPicPr>
        <xdr:cNvPr id="394"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64407" cy="663159"/>
    <xdr:sp macro="" textlink="">
      <xdr:nvSpPr>
        <xdr:cNvPr id="395"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6</xdr:col>
      <xdr:colOff>0</xdr:colOff>
      <xdr:row>234</xdr:row>
      <xdr:rowOff>0</xdr:rowOff>
    </xdr:from>
    <xdr:ext cx="64407" cy="660437"/>
    <xdr:sp macro="" textlink="">
      <xdr:nvSpPr>
        <xdr:cNvPr id="396"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64407" cy="660437"/>
    <xdr:sp macro="" textlink="">
      <xdr:nvSpPr>
        <xdr:cNvPr id="397"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64407" cy="660437"/>
    <xdr:sp macro="" textlink="">
      <xdr:nvSpPr>
        <xdr:cNvPr id="398"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234</xdr:row>
      <xdr:rowOff>0</xdr:rowOff>
    </xdr:from>
    <xdr:ext cx="85725" cy="679033"/>
    <xdr:pic>
      <xdr:nvPicPr>
        <xdr:cNvPr id="399"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7"/>
    <xdr:pic>
      <xdr:nvPicPr>
        <xdr:cNvPr id="400"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66787"/>
    <xdr:pic>
      <xdr:nvPicPr>
        <xdr:cNvPr id="401"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2"/>
    <xdr:pic>
      <xdr:nvPicPr>
        <xdr:cNvPr id="402"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9"/>
    <xdr:pic>
      <xdr:nvPicPr>
        <xdr:cNvPr id="403"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4"/>
    <xdr:pic>
      <xdr:nvPicPr>
        <xdr:cNvPr id="404"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405"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406"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14411"/>
    <xdr:pic>
      <xdr:nvPicPr>
        <xdr:cNvPr id="407"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8"/>
    <xdr:pic>
      <xdr:nvPicPr>
        <xdr:cNvPr id="408"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79033"/>
    <xdr:pic>
      <xdr:nvPicPr>
        <xdr:cNvPr id="409"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410"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3"/>
    <xdr:pic>
      <xdr:nvPicPr>
        <xdr:cNvPr id="41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6"/>
    <xdr:pic>
      <xdr:nvPicPr>
        <xdr:cNvPr id="412"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5"/>
    <xdr:pic>
      <xdr:nvPicPr>
        <xdr:cNvPr id="413"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906273"/>
    <xdr:pic>
      <xdr:nvPicPr>
        <xdr:cNvPr id="414"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2165"/>
    <xdr:pic>
      <xdr:nvPicPr>
        <xdr:cNvPr id="415"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706247"/>
    <xdr:pic>
      <xdr:nvPicPr>
        <xdr:cNvPr id="416"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95361"/>
    <xdr:pic>
      <xdr:nvPicPr>
        <xdr:cNvPr id="417"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41387"/>
    <xdr:pic>
      <xdr:nvPicPr>
        <xdr:cNvPr id="418"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5837"/>
    <xdr:pic>
      <xdr:nvPicPr>
        <xdr:cNvPr id="419"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234</xdr:row>
      <xdr:rowOff>0</xdr:rowOff>
    </xdr:from>
    <xdr:ext cx="85725" cy="688558"/>
    <xdr:pic>
      <xdr:nvPicPr>
        <xdr:cNvPr id="420"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300336</xdr:colOff>
      <xdr:row>234</xdr:row>
      <xdr:rowOff>0</xdr:rowOff>
    </xdr:from>
    <xdr:ext cx="85725" cy="906273"/>
    <xdr:pic>
      <xdr:nvPicPr>
        <xdr:cNvPr id="42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336"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2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2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2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279168</xdr:colOff>
      <xdr:row>234</xdr:row>
      <xdr:rowOff>0</xdr:rowOff>
    </xdr:from>
    <xdr:ext cx="85725" cy="906273"/>
    <xdr:pic>
      <xdr:nvPicPr>
        <xdr:cNvPr id="42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9168"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321502</xdr:colOff>
      <xdr:row>234</xdr:row>
      <xdr:rowOff>0</xdr:rowOff>
    </xdr:from>
    <xdr:ext cx="85725" cy="906273"/>
    <xdr:pic>
      <xdr:nvPicPr>
        <xdr:cNvPr id="42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50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2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2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2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30"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3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3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3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3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3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234</xdr:row>
      <xdr:rowOff>0</xdr:rowOff>
    </xdr:from>
    <xdr:ext cx="85725" cy="906273"/>
    <xdr:pic>
      <xdr:nvPicPr>
        <xdr:cNvPr id="43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234</xdr:row>
      <xdr:rowOff>0</xdr:rowOff>
    </xdr:from>
    <xdr:ext cx="85725" cy="906273"/>
    <xdr:pic>
      <xdr:nvPicPr>
        <xdr:cNvPr id="43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79471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pageSetUpPr fitToPage="1"/>
  </sheetPr>
  <dimension ref="A1:L292"/>
  <sheetViews>
    <sheetView tabSelected="1" view="pageBreakPreview" topLeftCell="A240" zoomScale="90" zoomScaleNormal="70" zoomScaleSheetLayoutView="90" workbookViewId="0">
      <selection activeCell="D8" sqref="D8:D233"/>
    </sheetView>
  </sheetViews>
  <sheetFormatPr defaultRowHeight="12.75" x14ac:dyDescent="0.2"/>
  <cols>
    <col min="1" max="1" width="5" style="27" customWidth="1"/>
    <col min="2" max="2" width="36.85546875" style="34" customWidth="1"/>
    <col min="3" max="3" width="7.42578125" style="34" customWidth="1"/>
    <col min="4" max="4" width="10.42578125" style="34" customWidth="1"/>
    <col min="5" max="5" width="43.7109375" style="17" customWidth="1"/>
    <col min="6" max="6" width="13.42578125" style="34" customWidth="1"/>
    <col min="7" max="7" width="8.28515625" style="34" customWidth="1"/>
    <col min="8" max="8" width="13.7109375" style="38" customWidth="1"/>
    <col min="9" max="9" width="14.140625" style="34" customWidth="1"/>
    <col min="10" max="10" width="15" style="34" customWidth="1"/>
    <col min="11" max="11" width="18.7109375" style="5" customWidth="1"/>
    <col min="12" max="12" width="19.42578125" style="5" customWidth="1"/>
    <col min="13" max="16384" width="9.140625" style="1"/>
  </cols>
  <sheetData>
    <row r="1" spans="1:12" ht="21" customHeight="1" x14ac:dyDescent="0.2">
      <c r="A1" s="69" t="s">
        <v>5</v>
      </c>
      <c r="B1" s="69"/>
      <c r="C1" s="69"/>
      <c r="D1" s="69"/>
      <c r="E1" s="70"/>
      <c r="F1" s="69"/>
      <c r="G1" s="69"/>
      <c r="H1" s="69"/>
      <c r="I1" s="69"/>
      <c r="J1" s="69"/>
      <c r="K1" s="44"/>
    </row>
    <row r="2" spans="1:12" ht="21" customHeight="1" x14ac:dyDescent="0.2">
      <c r="A2" s="71" t="s">
        <v>23</v>
      </c>
      <c r="B2" s="71"/>
      <c r="C2" s="71"/>
      <c r="D2" s="71"/>
      <c r="E2" s="72"/>
      <c r="F2" s="71"/>
      <c r="G2" s="71"/>
      <c r="H2" s="71"/>
      <c r="I2" s="71"/>
      <c r="J2" s="71"/>
      <c r="K2" s="45"/>
    </row>
    <row r="3" spans="1:12" ht="21" customHeight="1" x14ac:dyDescent="0.2">
      <c r="A3" s="71" t="s">
        <v>200</v>
      </c>
      <c r="B3" s="71"/>
      <c r="C3" s="71"/>
      <c r="D3" s="71"/>
      <c r="E3" s="72"/>
      <c r="F3" s="71"/>
      <c r="G3" s="71"/>
      <c r="H3" s="71"/>
      <c r="I3" s="71"/>
      <c r="J3" s="71"/>
      <c r="K3" s="45"/>
    </row>
    <row r="4" spans="1:12" s="5" customFormat="1" ht="21" customHeight="1" x14ac:dyDescent="0.2">
      <c r="A4" s="3"/>
      <c r="B4" s="4"/>
      <c r="C4" s="4"/>
      <c r="D4" s="4"/>
      <c r="E4" s="16"/>
      <c r="F4" s="34"/>
      <c r="G4" s="34"/>
      <c r="H4" s="38"/>
      <c r="I4" s="34"/>
      <c r="J4" s="34"/>
    </row>
    <row r="5" spans="1:12" s="5" customFormat="1" ht="21" customHeight="1" x14ac:dyDescent="0.2">
      <c r="A5" s="73" t="s">
        <v>6</v>
      </c>
      <c r="B5" s="73"/>
      <c r="C5" s="73"/>
      <c r="D5" s="73"/>
      <c r="E5" s="74"/>
      <c r="F5" s="34"/>
      <c r="G5" s="34"/>
      <c r="H5" s="38"/>
      <c r="I5" s="34"/>
      <c r="J5" s="34"/>
    </row>
    <row r="6" spans="1:12" s="5" customFormat="1" ht="13.5" customHeight="1" x14ac:dyDescent="0.2">
      <c r="A6" s="35"/>
      <c r="B6" s="34"/>
      <c r="C6" s="34"/>
      <c r="D6" s="34"/>
      <c r="E6" s="17"/>
      <c r="F6" s="34"/>
      <c r="G6" s="34"/>
      <c r="H6" s="38"/>
      <c r="I6" s="75" t="s">
        <v>13</v>
      </c>
      <c r="J6" s="75"/>
      <c r="K6" s="29"/>
    </row>
    <row r="7" spans="1:12" s="5" customFormat="1" ht="106.5" customHeight="1" x14ac:dyDescent="0.2">
      <c r="A7" s="9" t="s">
        <v>1</v>
      </c>
      <c r="B7" s="9" t="s">
        <v>14</v>
      </c>
      <c r="C7" s="9" t="s">
        <v>2</v>
      </c>
      <c r="D7" s="9" t="s">
        <v>3</v>
      </c>
      <c r="E7" s="9" t="s">
        <v>15</v>
      </c>
      <c r="F7" s="9" t="s">
        <v>4</v>
      </c>
      <c r="G7" s="10" t="s">
        <v>16</v>
      </c>
      <c r="H7" s="9" t="s">
        <v>19</v>
      </c>
      <c r="I7" s="9" t="s">
        <v>20</v>
      </c>
      <c r="J7" s="9" t="s">
        <v>21</v>
      </c>
      <c r="K7" s="9" t="s">
        <v>51</v>
      </c>
      <c r="L7" s="37" t="s">
        <v>52</v>
      </c>
    </row>
    <row r="8" spans="1:12" s="5" customFormat="1" ht="48.75" customHeight="1" x14ac:dyDescent="0.2">
      <c r="A8" s="47">
        <v>1</v>
      </c>
      <c r="B8" s="53" t="s">
        <v>62</v>
      </c>
      <c r="C8" s="47" t="s">
        <v>61</v>
      </c>
      <c r="D8" s="54">
        <v>0.5</v>
      </c>
      <c r="E8" s="48" t="s">
        <v>44</v>
      </c>
      <c r="F8" s="55">
        <v>46448</v>
      </c>
      <c r="G8" s="56" t="s">
        <v>121</v>
      </c>
      <c r="H8" s="57">
        <v>116393.44262295082</v>
      </c>
      <c r="I8" s="42">
        <f>H8*D8</f>
        <v>58196.721311475412</v>
      </c>
      <c r="J8" s="49">
        <f>I8*1.22</f>
        <v>71000</v>
      </c>
      <c r="K8" s="58" t="s">
        <v>197</v>
      </c>
      <c r="L8" s="76" t="s">
        <v>53</v>
      </c>
    </row>
    <row r="9" spans="1:12" s="5" customFormat="1" ht="48.75" customHeight="1" x14ac:dyDescent="0.2">
      <c r="A9" s="47">
        <v>2</v>
      </c>
      <c r="B9" s="53" t="s">
        <v>63</v>
      </c>
      <c r="C9" s="47" t="s">
        <v>61</v>
      </c>
      <c r="D9" s="54">
        <v>0.2</v>
      </c>
      <c r="E9" s="48" t="s">
        <v>44</v>
      </c>
      <c r="F9" s="55">
        <v>46448</v>
      </c>
      <c r="G9" s="56" t="s">
        <v>122</v>
      </c>
      <c r="H9" s="57">
        <v>145081.96721311475</v>
      </c>
      <c r="I9" s="42">
        <f t="shared" ref="I9:I72" si="0">H9*D9</f>
        <v>29016.393442622953</v>
      </c>
      <c r="J9" s="49">
        <f t="shared" ref="J9:J72" si="1">I9*1.22</f>
        <v>35400</v>
      </c>
      <c r="K9" s="59" t="s">
        <v>197</v>
      </c>
      <c r="L9" s="77"/>
    </row>
    <row r="10" spans="1:12" s="5" customFormat="1" ht="48.75" customHeight="1" x14ac:dyDescent="0.2">
      <c r="A10" s="47">
        <v>3</v>
      </c>
      <c r="B10" s="53" t="s">
        <v>64</v>
      </c>
      <c r="C10" s="47" t="s">
        <v>61</v>
      </c>
      <c r="D10" s="54">
        <v>0.2</v>
      </c>
      <c r="E10" s="48" t="s">
        <v>44</v>
      </c>
      <c r="F10" s="55">
        <v>46570</v>
      </c>
      <c r="G10" s="56" t="s">
        <v>123</v>
      </c>
      <c r="H10" s="57">
        <v>128688.52459016394</v>
      </c>
      <c r="I10" s="42">
        <f t="shared" si="0"/>
        <v>25737.704918032789</v>
      </c>
      <c r="J10" s="49">
        <f t="shared" si="1"/>
        <v>31400</v>
      </c>
      <c r="K10" s="59" t="s">
        <v>197</v>
      </c>
      <c r="L10" s="77"/>
    </row>
    <row r="11" spans="1:12" s="5" customFormat="1" ht="48.75" customHeight="1" x14ac:dyDescent="0.2">
      <c r="A11" s="47">
        <v>4</v>
      </c>
      <c r="B11" s="53" t="s">
        <v>65</v>
      </c>
      <c r="C11" s="47" t="s">
        <v>61</v>
      </c>
      <c r="D11" s="54">
        <v>0.5</v>
      </c>
      <c r="E11" s="48" t="s">
        <v>45</v>
      </c>
      <c r="F11" s="55">
        <v>46478</v>
      </c>
      <c r="G11" s="56" t="s">
        <v>124</v>
      </c>
      <c r="H11" s="57">
        <v>116393.44262295082</v>
      </c>
      <c r="I11" s="42">
        <f t="shared" si="0"/>
        <v>58196.721311475412</v>
      </c>
      <c r="J11" s="49">
        <f t="shared" si="1"/>
        <v>71000</v>
      </c>
      <c r="K11" s="59" t="s">
        <v>197</v>
      </c>
      <c r="L11" s="77"/>
    </row>
    <row r="12" spans="1:12" s="5" customFormat="1" ht="48.75" customHeight="1" x14ac:dyDescent="0.2">
      <c r="A12" s="47">
        <v>5</v>
      </c>
      <c r="B12" s="53" t="s">
        <v>66</v>
      </c>
      <c r="C12" s="47" t="s">
        <v>61</v>
      </c>
      <c r="D12" s="54">
        <v>0.5</v>
      </c>
      <c r="E12" s="48" t="s">
        <v>45</v>
      </c>
      <c r="F12" s="55">
        <v>46478</v>
      </c>
      <c r="G12" s="56" t="s">
        <v>125</v>
      </c>
      <c r="H12" s="57">
        <v>118852.45901639345</v>
      </c>
      <c r="I12" s="42">
        <f t="shared" si="0"/>
        <v>59426.229508196724</v>
      </c>
      <c r="J12" s="49">
        <f t="shared" si="1"/>
        <v>72500</v>
      </c>
      <c r="K12" s="59" t="s">
        <v>197</v>
      </c>
      <c r="L12" s="77"/>
    </row>
    <row r="13" spans="1:12" s="5" customFormat="1" ht="48.75" customHeight="1" x14ac:dyDescent="0.2">
      <c r="A13" s="47">
        <v>6</v>
      </c>
      <c r="B13" s="53" t="s">
        <v>33</v>
      </c>
      <c r="C13" s="47" t="s">
        <v>61</v>
      </c>
      <c r="D13" s="54">
        <v>0.1</v>
      </c>
      <c r="E13" s="48" t="s">
        <v>45</v>
      </c>
      <c r="F13" s="55">
        <v>46478</v>
      </c>
      <c r="G13" s="56" t="s">
        <v>38</v>
      </c>
      <c r="H13" s="57">
        <v>219672.13114754099</v>
      </c>
      <c r="I13" s="42">
        <f t="shared" si="0"/>
        <v>21967.2131147541</v>
      </c>
      <c r="J13" s="49">
        <f t="shared" si="1"/>
        <v>26800.000000000004</v>
      </c>
      <c r="K13" s="59" t="s">
        <v>197</v>
      </c>
      <c r="L13" s="77"/>
    </row>
    <row r="14" spans="1:12" s="5" customFormat="1" ht="48.75" customHeight="1" x14ac:dyDescent="0.2">
      <c r="A14" s="47">
        <v>7</v>
      </c>
      <c r="B14" s="53" t="s">
        <v>67</v>
      </c>
      <c r="C14" s="47" t="s">
        <v>61</v>
      </c>
      <c r="D14" s="54">
        <v>0.2</v>
      </c>
      <c r="E14" s="48" t="s">
        <v>45</v>
      </c>
      <c r="F14" s="55">
        <v>46478</v>
      </c>
      <c r="G14" s="56" t="s">
        <v>126</v>
      </c>
      <c r="H14" s="57">
        <v>232786.88524590165</v>
      </c>
      <c r="I14" s="42">
        <f t="shared" si="0"/>
        <v>46557.37704918033</v>
      </c>
      <c r="J14" s="49">
        <f t="shared" si="1"/>
        <v>56800</v>
      </c>
      <c r="K14" s="59" t="s">
        <v>197</v>
      </c>
      <c r="L14" s="77"/>
    </row>
    <row r="15" spans="1:12" s="5" customFormat="1" ht="48.75" customHeight="1" x14ac:dyDescent="0.2">
      <c r="A15" s="47">
        <v>8</v>
      </c>
      <c r="B15" s="53" t="s">
        <v>68</v>
      </c>
      <c r="C15" s="47" t="s">
        <v>61</v>
      </c>
      <c r="D15" s="54">
        <v>1.1000000000000001</v>
      </c>
      <c r="E15" s="48" t="s">
        <v>188</v>
      </c>
      <c r="F15" s="55">
        <v>46478</v>
      </c>
      <c r="G15" s="56" t="s">
        <v>127</v>
      </c>
      <c r="H15" s="57">
        <v>157377.04918032789</v>
      </c>
      <c r="I15" s="42">
        <f t="shared" si="0"/>
        <v>173114.75409836069</v>
      </c>
      <c r="J15" s="49">
        <f t="shared" si="1"/>
        <v>211200.00000000003</v>
      </c>
      <c r="K15" s="59" t="s">
        <v>197</v>
      </c>
      <c r="L15" s="77"/>
    </row>
    <row r="16" spans="1:12" s="5" customFormat="1" ht="48.75" customHeight="1" x14ac:dyDescent="0.2">
      <c r="A16" s="47">
        <v>9</v>
      </c>
      <c r="B16" s="53" t="s">
        <v>69</v>
      </c>
      <c r="C16" s="47" t="s">
        <v>61</v>
      </c>
      <c r="D16" s="54">
        <v>0.02</v>
      </c>
      <c r="E16" s="48" t="s">
        <v>188</v>
      </c>
      <c r="F16" s="55">
        <v>46478</v>
      </c>
      <c r="G16" s="56" t="s">
        <v>128</v>
      </c>
      <c r="H16" s="57">
        <v>204180.32786885247</v>
      </c>
      <c r="I16" s="42">
        <f t="shared" si="0"/>
        <v>4083.6065573770497</v>
      </c>
      <c r="J16" s="49">
        <f t="shared" si="1"/>
        <v>4982.0000000000009</v>
      </c>
      <c r="K16" s="59" t="s">
        <v>197</v>
      </c>
      <c r="L16" s="77"/>
    </row>
    <row r="17" spans="1:12" s="5" customFormat="1" ht="48.75" customHeight="1" x14ac:dyDescent="0.2">
      <c r="A17" s="47">
        <v>10</v>
      </c>
      <c r="B17" s="53" t="s">
        <v>70</v>
      </c>
      <c r="C17" s="47" t="s">
        <v>61</v>
      </c>
      <c r="D17" s="54">
        <v>0.02</v>
      </c>
      <c r="E17" s="48" t="s">
        <v>188</v>
      </c>
      <c r="F17" s="55">
        <v>46478</v>
      </c>
      <c r="G17" s="56" t="s">
        <v>129</v>
      </c>
      <c r="H17" s="57">
        <v>251065.57377049181</v>
      </c>
      <c r="I17" s="42">
        <f t="shared" si="0"/>
        <v>5021.311475409836</v>
      </c>
      <c r="J17" s="49">
        <f t="shared" si="1"/>
        <v>6126</v>
      </c>
      <c r="K17" s="59" t="s">
        <v>197</v>
      </c>
      <c r="L17" s="77"/>
    </row>
    <row r="18" spans="1:12" s="5" customFormat="1" ht="48.75" customHeight="1" x14ac:dyDescent="0.2">
      <c r="A18" s="47">
        <v>11</v>
      </c>
      <c r="B18" s="53" t="s">
        <v>71</v>
      </c>
      <c r="C18" s="47" t="s">
        <v>61</v>
      </c>
      <c r="D18" s="60">
        <v>1.6E-2</v>
      </c>
      <c r="E18" s="48" t="s">
        <v>188</v>
      </c>
      <c r="F18" s="55">
        <v>46478</v>
      </c>
      <c r="G18" s="56" t="s">
        <v>130</v>
      </c>
      <c r="H18" s="57">
        <v>274590.16393442621</v>
      </c>
      <c r="I18" s="42">
        <f t="shared" si="0"/>
        <v>4393.442622950819</v>
      </c>
      <c r="J18" s="49">
        <f t="shared" si="1"/>
        <v>5359.9999999999991</v>
      </c>
      <c r="K18" s="59" t="s">
        <v>197</v>
      </c>
      <c r="L18" s="77"/>
    </row>
    <row r="19" spans="1:12" s="5" customFormat="1" ht="48.75" customHeight="1" x14ac:dyDescent="0.2">
      <c r="A19" s="47">
        <v>12</v>
      </c>
      <c r="B19" s="53" t="s">
        <v>72</v>
      </c>
      <c r="C19" s="47" t="s">
        <v>61</v>
      </c>
      <c r="D19" s="60">
        <v>0.23699999999999999</v>
      </c>
      <c r="E19" s="48" t="s">
        <v>188</v>
      </c>
      <c r="F19" s="55">
        <v>46478</v>
      </c>
      <c r="G19" s="56" t="s">
        <v>131</v>
      </c>
      <c r="H19" s="57">
        <v>116393.44262295082</v>
      </c>
      <c r="I19" s="42">
        <f t="shared" si="0"/>
        <v>27585.245901639344</v>
      </c>
      <c r="J19" s="49">
        <f t="shared" si="1"/>
        <v>33654</v>
      </c>
      <c r="K19" s="59" t="s">
        <v>197</v>
      </c>
      <c r="L19" s="77"/>
    </row>
    <row r="20" spans="1:12" s="5" customFormat="1" ht="48.75" customHeight="1" x14ac:dyDescent="0.2">
      <c r="A20" s="47">
        <v>13</v>
      </c>
      <c r="B20" s="53" t="s">
        <v>73</v>
      </c>
      <c r="C20" s="47" t="s">
        <v>61</v>
      </c>
      <c r="D20" s="54">
        <v>0.04</v>
      </c>
      <c r="E20" s="48" t="s">
        <v>188</v>
      </c>
      <c r="F20" s="55">
        <v>46478</v>
      </c>
      <c r="G20" s="56" t="s">
        <v>132</v>
      </c>
      <c r="H20" s="57">
        <v>128688.52459016394</v>
      </c>
      <c r="I20" s="42">
        <f t="shared" si="0"/>
        <v>5147.5409836065583</v>
      </c>
      <c r="J20" s="49">
        <f t="shared" si="1"/>
        <v>6280.0000000000009</v>
      </c>
      <c r="K20" s="59" t="s">
        <v>197</v>
      </c>
      <c r="L20" s="77"/>
    </row>
    <row r="21" spans="1:12" s="5" customFormat="1" ht="48.75" customHeight="1" x14ac:dyDescent="0.2">
      <c r="A21" s="47">
        <v>14</v>
      </c>
      <c r="B21" s="53" t="s">
        <v>65</v>
      </c>
      <c r="C21" s="47" t="s">
        <v>61</v>
      </c>
      <c r="D21" s="60">
        <v>1.8109999999999999</v>
      </c>
      <c r="E21" s="48" t="s">
        <v>188</v>
      </c>
      <c r="F21" s="55">
        <v>46478</v>
      </c>
      <c r="G21" s="56" t="s">
        <v>124</v>
      </c>
      <c r="H21" s="57">
        <v>116393.44262295082</v>
      </c>
      <c r="I21" s="42">
        <f t="shared" si="0"/>
        <v>210788.52459016393</v>
      </c>
      <c r="J21" s="49">
        <f t="shared" si="1"/>
        <v>257162</v>
      </c>
      <c r="K21" s="59" t="s">
        <v>197</v>
      </c>
      <c r="L21" s="77"/>
    </row>
    <row r="22" spans="1:12" s="5" customFormat="1" ht="48.75" customHeight="1" x14ac:dyDescent="0.2">
      <c r="A22" s="47">
        <v>15</v>
      </c>
      <c r="B22" s="53" t="s">
        <v>31</v>
      </c>
      <c r="C22" s="47" t="s">
        <v>61</v>
      </c>
      <c r="D22" s="54">
        <v>0.09</v>
      </c>
      <c r="E22" s="48" t="s">
        <v>188</v>
      </c>
      <c r="F22" s="55">
        <v>46478</v>
      </c>
      <c r="G22" s="56" t="s">
        <v>42</v>
      </c>
      <c r="H22" s="57">
        <v>128688.52459016394</v>
      </c>
      <c r="I22" s="42">
        <f t="shared" si="0"/>
        <v>11581.967213114754</v>
      </c>
      <c r="J22" s="49">
        <f t="shared" si="1"/>
        <v>14130</v>
      </c>
      <c r="K22" s="59" t="s">
        <v>197</v>
      </c>
      <c r="L22" s="77"/>
    </row>
    <row r="23" spans="1:12" s="5" customFormat="1" ht="48.75" customHeight="1" x14ac:dyDescent="0.2">
      <c r="A23" s="47">
        <v>16</v>
      </c>
      <c r="B23" s="53" t="s">
        <v>69</v>
      </c>
      <c r="C23" s="47" t="s">
        <v>61</v>
      </c>
      <c r="D23" s="54">
        <v>0.02</v>
      </c>
      <c r="E23" s="48" t="s">
        <v>188</v>
      </c>
      <c r="F23" s="55">
        <v>46478</v>
      </c>
      <c r="G23" s="56" t="s">
        <v>128</v>
      </c>
      <c r="H23" s="57">
        <v>204180.32786885247</v>
      </c>
      <c r="I23" s="42">
        <f t="shared" si="0"/>
        <v>4083.6065573770497</v>
      </c>
      <c r="J23" s="49">
        <f t="shared" si="1"/>
        <v>4982.0000000000009</v>
      </c>
      <c r="K23" s="59" t="s">
        <v>197</v>
      </c>
      <c r="L23" s="77"/>
    </row>
    <row r="24" spans="1:12" s="5" customFormat="1" ht="48.75" customHeight="1" x14ac:dyDescent="0.2">
      <c r="A24" s="47">
        <v>17</v>
      </c>
      <c r="B24" s="53" t="s">
        <v>74</v>
      </c>
      <c r="C24" s="47" t="s">
        <v>61</v>
      </c>
      <c r="D24" s="54">
        <v>2.5</v>
      </c>
      <c r="E24" s="48" t="s">
        <v>187</v>
      </c>
      <c r="F24" s="55">
        <v>46417</v>
      </c>
      <c r="G24" s="56" t="s">
        <v>133</v>
      </c>
      <c r="H24" s="57">
        <v>116393.44262295082</v>
      </c>
      <c r="I24" s="42">
        <f t="shared" si="0"/>
        <v>290983.60655737703</v>
      </c>
      <c r="J24" s="49">
        <f t="shared" si="1"/>
        <v>355000</v>
      </c>
      <c r="K24" s="59" t="s">
        <v>197</v>
      </c>
      <c r="L24" s="77"/>
    </row>
    <row r="25" spans="1:12" s="5" customFormat="1" ht="48.75" customHeight="1" x14ac:dyDescent="0.2">
      <c r="A25" s="47">
        <v>18</v>
      </c>
      <c r="B25" s="53" t="s">
        <v>26</v>
      </c>
      <c r="C25" s="47" t="s">
        <v>61</v>
      </c>
      <c r="D25" s="54">
        <v>2</v>
      </c>
      <c r="E25" s="48" t="s">
        <v>187</v>
      </c>
      <c r="F25" s="55">
        <v>46417</v>
      </c>
      <c r="G25" s="56" t="s">
        <v>35</v>
      </c>
      <c r="H25" s="57">
        <v>116393.44262295082</v>
      </c>
      <c r="I25" s="42">
        <f t="shared" si="0"/>
        <v>232786.88524590165</v>
      </c>
      <c r="J25" s="49">
        <f t="shared" si="1"/>
        <v>284000</v>
      </c>
      <c r="K25" s="59" t="s">
        <v>197</v>
      </c>
      <c r="L25" s="77"/>
    </row>
    <row r="26" spans="1:12" s="5" customFormat="1" ht="48.75" customHeight="1" x14ac:dyDescent="0.2">
      <c r="A26" s="47">
        <v>19</v>
      </c>
      <c r="B26" s="53" t="s">
        <v>75</v>
      </c>
      <c r="C26" s="47" t="s">
        <v>61</v>
      </c>
      <c r="D26" s="54">
        <v>1.5</v>
      </c>
      <c r="E26" s="48" t="s">
        <v>187</v>
      </c>
      <c r="F26" s="55">
        <v>46417</v>
      </c>
      <c r="G26" s="56" t="s">
        <v>134</v>
      </c>
      <c r="H26" s="57">
        <v>116393.44262295082</v>
      </c>
      <c r="I26" s="42">
        <f t="shared" si="0"/>
        <v>174590.16393442624</v>
      </c>
      <c r="J26" s="49">
        <f t="shared" si="1"/>
        <v>213000</v>
      </c>
      <c r="K26" s="59" t="s">
        <v>197</v>
      </c>
      <c r="L26" s="77"/>
    </row>
    <row r="27" spans="1:12" s="5" customFormat="1" ht="48.75" customHeight="1" x14ac:dyDescent="0.2">
      <c r="A27" s="47">
        <v>20</v>
      </c>
      <c r="B27" s="53" t="s">
        <v>76</v>
      </c>
      <c r="C27" s="47" t="s">
        <v>61</v>
      </c>
      <c r="D27" s="54">
        <v>0.1</v>
      </c>
      <c r="E27" s="48" t="s">
        <v>187</v>
      </c>
      <c r="F27" s="55">
        <v>46417</v>
      </c>
      <c r="G27" s="56" t="s">
        <v>135</v>
      </c>
      <c r="H27" s="57">
        <v>227622.95081967214</v>
      </c>
      <c r="I27" s="42">
        <f t="shared" si="0"/>
        <v>22762.295081967215</v>
      </c>
      <c r="J27" s="49">
        <f t="shared" si="1"/>
        <v>27770</v>
      </c>
      <c r="K27" s="59" t="s">
        <v>54</v>
      </c>
      <c r="L27" s="77"/>
    </row>
    <row r="28" spans="1:12" s="5" customFormat="1" ht="48.75" customHeight="1" x14ac:dyDescent="0.2">
      <c r="A28" s="47">
        <v>21</v>
      </c>
      <c r="B28" s="53" t="s">
        <v>77</v>
      </c>
      <c r="C28" s="47" t="s">
        <v>61</v>
      </c>
      <c r="D28" s="54">
        <v>0.1</v>
      </c>
      <c r="E28" s="48" t="s">
        <v>187</v>
      </c>
      <c r="F28" s="55">
        <v>46417</v>
      </c>
      <c r="G28" s="56" t="s">
        <v>136</v>
      </c>
      <c r="H28" s="57">
        <v>210655.73770491805</v>
      </c>
      <c r="I28" s="42">
        <f t="shared" si="0"/>
        <v>21065.573770491806</v>
      </c>
      <c r="J28" s="49">
        <f t="shared" si="1"/>
        <v>25700.000000000004</v>
      </c>
      <c r="K28" s="59" t="s">
        <v>54</v>
      </c>
      <c r="L28" s="77"/>
    </row>
    <row r="29" spans="1:12" s="5" customFormat="1" ht="48.75" customHeight="1" x14ac:dyDescent="0.2">
      <c r="A29" s="47">
        <v>22</v>
      </c>
      <c r="B29" s="53" t="s">
        <v>78</v>
      </c>
      <c r="C29" s="47" t="s">
        <v>61</v>
      </c>
      <c r="D29" s="54">
        <v>0.1</v>
      </c>
      <c r="E29" s="48" t="s">
        <v>187</v>
      </c>
      <c r="F29" s="55">
        <v>46417</v>
      </c>
      <c r="G29" s="56" t="s">
        <v>137</v>
      </c>
      <c r="H29" s="57">
        <v>225409.83606557376</v>
      </c>
      <c r="I29" s="42">
        <f t="shared" si="0"/>
        <v>22540.983606557376</v>
      </c>
      <c r="J29" s="49">
        <f t="shared" si="1"/>
        <v>27500</v>
      </c>
      <c r="K29" s="59" t="s">
        <v>54</v>
      </c>
      <c r="L29" s="77"/>
    </row>
    <row r="30" spans="1:12" s="5" customFormat="1" ht="48.75" customHeight="1" x14ac:dyDescent="0.2">
      <c r="A30" s="47">
        <v>23</v>
      </c>
      <c r="B30" s="53" t="s">
        <v>79</v>
      </c>
      <c r="C30" s="47" t="s">
        <v>61</v>
      </c>
      <c r="D30" s="54">
        <v>0.1</v>
      </c>
      <c r="E30" s="48" t="s">
        <v>187</v>
      </c>
      <c r="F30" s="55">
        <v>46417</v>
      </c>
      <c r="G30" s="56" t="s">
        <v>138</v>
      </c>
      <c r="H30" s="57">
        <v>225409.83606557376</v>
      </c>
      <c r="I30" s="42">
        <f t="shared" si="0"/>
        <v>22540.983606557376</v>
      </c>
      <c r="J30" s="49">
        <f t="shared" si="1"/>
        <v>27500</v>
      </c>
      <c r="K30" s="59" t="s">
        <v>197</v>
      </c>
      <c r="L30" s="77"/>
    </row>
    <row r="31" spans="1:12" s="5" customFormat="1" ht="48.75" customHeight="1" x14ac:dyDescent="0.2">
      <c r="A31" s="47">
        <v>24</v>
      </c>
      <c r="B31" s="53" t="s">
        <v>24</v>
      </c>
      <c r="C31" s="47" t="s">
        <v>61</v>
      </c>
      <c r="D31" s="54">
        <v>2</v>
      </c>
      <c r="E31" s="48" t="s">
        <v>187</v>
      </c>
      <c r="F31" s="55">
        <v>46417</v>
      </c>
      <c r="G31" s="56" t="s">
        <v>49</v>
      </c>
      <c r="H31" s="57">
        <v>116393.44262295082</v>
      </c>
      <c r="I31" s="42">
        <f t="shared" si="0"/>
        <v>232786.88524590165</v>
      </c>
      <c r="J31" s="49">
        <f t="shared" si="1"/>
        <v>284000</v>
      </c>
      <c r="K31" s="59" t="s">
        <v>197</v>
      </c>
      <c r="L31" s="77"/>
    </row>
    <row r="32" spans="1:12" s="5" customFormat="1" ht="48.75" customHeight="1" x14ac:dyDescent="0.2">
      <c r="A32" s="47">
        <v>25</v>
      </c>
      <c r="B32" s="53" t="s">
        <v>80</v>
      </c>
      <c r="C32" s="47" t="s">
        <v>61</v>
      </c>
      <c r="D32" s="60">
        <v>0.27700000000000002</v>
      </c>
      <c r="E32" s="50" t="s">
        <v>193</v>
      </c>
      <c r="F32" s="55">
        <v>46523</v>
      </c>
      <c r="G32" s="56" t="s">
        <v>139</v>
      </c>
      <c r="H32" s="57">
        <v>149180.32786885247</v>
      </c>
      <c r="I32" s="42">
        <f t="shared" si="0"/>
        <v>41322.950819672136</v>
      </c>
      <c r="J32" s="49">
        <f t="shared" si="1"/>
        <v>50414.000000000007</v>
      </c>
      <c r="K32" s="59" t="s">
        <v>54</v>
      </c>
      <c r="L32" s="77"/>
    </row>
    <row r="33" spans="1:12" s="5" customFormat="1" ht="48.75" customHeight="1" x14ac:dyDescent="0.2">
      <c r="A33" s="47">
        <v>26</v>
      </c>
      <c r="B33" s="53" t="s">
        <v>31</v>
      </c>
      <c r="C33" s="47" t="s">
        <v>61</v>
      </c>
      <c r="D33" s="54">
        <v>0.17</v>
      </c>
      <c r="E33" s="48" t="s">
        <v>188</v>
      </c>
      <c r="F33" s="55">
        <v>46478</v>
      </c>
      <c r="G33" s="56" t="s">
        <v>42</v>
      </c>
      <c r="H33" s="57">
        <v>128688.52459016394</v>
      </c>
      <c r="I33" s="42">
        <f t="shared" si="0"/>
        <v>21877.049180327871</v>
      </c>
      <c r="J33" s="49">
        <f t="shared" si="1"/>
        <v>26690.000000000004</v>
      </c>
      <c r="K33" s="59" t="s">
        <v>197</v>
      </c>
      <c r="L33" s="77"/>
    </row>
    <row r="34" spans="1:12" s="5" customFormat="1" ht="48.75" customHeight="1" x14ac:dyDescent="0.2">
      <c r="A34" s="47">
        <v>27</v>
      </c>
      <c r="B34" s="53" t="s">
        <v>81</v>
      </c>
      <c r="C34" s="47" t="s">
        <v>61</v>
      </c>
      <c r="D34" s="60">
        <v>1.2450000000000001</v>
      </c>
      <c r="E34" s="48" t="s">
        <v>188</v>
      </c>
      <c r="F34" s="55">
        <v>46478</v>
      </c>
      <c r="G34" s="56" t="s">
        <v>140</v>
      </c>
      <c r="H34" s="57">
        <v>143442.62295081967</v>
      </c>
      <c r="I34" s="42">
        <f t="shared" si="0"/>
        <v>178586.06557377049</v>
      </c>
      <c r="J34" s="49">
        <f t="shared" si="1"/>
        <v>217875</v>
      </c>
      <c r="K34" s="59" t="s">
        <v>197</v>
      </c>
      <c r="L34" s="77"/>
    </row>
    <row r="35" spans="1:12" s="5" customFormat="1" ht="48.75" customHeight="1" x14ac:dyDescent="0.2">
      <c r="A35" s="47">
        <v>28</v>
      </c>
      <c r="B35" s="53" t="s">
        <v>82</v>
      </c>
      <c r="C35" s="47" t="s">
        <v>61</v>
      </c>
      <c r="D35" s="54">
        <v>0.75</v>
      </c>
      <c r="E35" s="48" t="s">
        <v>188</v>
      </c>
      <c r="F35" s="55">
        <v>46478</v>
      </c>
      <c r="G35" s="56" t="s">
        <v>141</v>
      </c>
      <c r="H35" s="57">
        <v>116393.44262295082</v>
      </c>
      <c r="I35" s="42">
        <f t="shared" si="0"/>
        <v>87295.081967213118</v>
      </c>
      <c r="J35" s="49">
        <f t="shared" si="1"/>
        <v>106500</v>
      </c>
      <c r="K35" s="59" t="s">
        <v>197</v>
      </c>
      <c r="L35" s="77"/>
    </row>
    <row r="36" spans="1:12" s="5" customFormat="1" ht="48.75" customHeight="1" x14ac:dyDescent="0.2">
      <c r="A36" s="47">
        <v>29</v>
      </c>
      <c r="B36" s="53" t="s">
        <v>31</v>
      </c>
      <c r="C36" s="47" t="s">
        <v>61</v>
      </c>
      <c r="D36" s="54">
        <v>0.25</v>
      </c>
      <c r="E36" s="48" t="s">
        <v>188</v>
      </c>
      <c r="F36" s="55">
        <v>46478</v>
      </c>
      <c r="G36" s="56" t="s">
        <v>42</v>
      </c>
      <c r="H36" s="57">
        <v>128688.52459016394</v>
      </c>
      <c r="I36" s="42">
        <f t="shared" si="0"/>
        <v>32172.131147540986</v>
      </c>
      <c r="J36" s="49">
        <f t="shared" si="1"/>
        <v>39250</v>
      </c>
      <c r="K36" s="59" t="s">
        <v>197</v>
      </c>
      <c r="L36" s="77"/>
    </row>
    <row r="37" spans="1:12" s="5" customFormat="1" ht="48.75" customHeight="1" x14ac:dyDescent="0.2">
      <c r="A37" s="47">
        <v>30</v>
      </c>
      <c r="B37" s="53" t="s">
        <v>32</v>
      </c>
      <c r="C37" s="47" t="s">
        <v>61</v>
      </c>
      <c r="D37" s="54">
        <v>0.25</v>
      </c>
      <c r="E37" s="48" t="s">
        <v>188</v>
      </c>
      <c r="F37" s="55">
        <v>46478</v>
      </c>
      <c r="G37" s="56" t="s">
        <v>43</v>
      </c>
      <c r="H37" s="57">
        <v>116393.44262295082</v>
      </c>
      <c r="I37" s="42">
        <f t="shared" si="0"/>
        <v>29098.360655737706</v>
      </c>
      <c r="J37" s="49">
        <f t="shared" si="1"/>
        <v>35500</v>
      </c>
      <c r="K37" s="59" t="s">
        <v>197</v>
      </c>
      <c r="L37" s="77"/>
    </row>
    <row r="38" spans="1:12" s="5" customFormat="1" ht="48.75" customHeight="1" x14ac:dyDescent="0.2">
      <c r="A38" s="47">
        <v>31</v>
      </c>
      <c r="B38" s="53" t="s">
        <v>31</v>
      </c>
      <c r="C38" s="47" t="s">
        <v>61</v>
      </c>
      <c r="D38" s="54">
        <v>0.4</v>
      </c>
      <c r="E38" s="48" t="s">
        <v>188</v>
      </c>
      <c r="F38" s="55">
        <v>46478</v>
      </c>
      <c r="G38" s="56" t="s">
        <v>42</v>
      </c>
      <c r="H38" s="57">
        <v>128688.52459016394</v>
      </c>
      <c r="I38" s="42">
        <f t="shared" si="0"/>
        <v>51475.409836065577</v>
      </c>
      <c r="J38" s="49">
        <f t="shared" si="1"/>
        <v>62800</v>
      </c>
      <c r="K38" s="59" t="s">
        <v>197</v>
      </c>
      <c r="L38" s="77"/>
    </row>
    <row r="39" spans="1:12" s="5" customFormat="1" ht="48.75" customHeight="1" x14ac:dyDescent="0.2">
      <c r="A39" s="47">
        <v>32</v>
      </c>
      <c r="B39" s="53" t="s">
        <v>32</v>
      </c>
      <c r="C39" s="47" t="s">
        <v>61</v>
      </c>
      <c r="D39" s="54">
        <v>0.17</v>
      </c>
      <c r="E39" s="48" t="s">
        <v>188</v>
      </c>
      <c r="F39" s="55">
        <v>46478</v>
      </c>
      <c r="G39" s="56" t="s">
        <v>43</v>
      </c>
      <c r="H39" s="57">
        <v>116393.44262295082</v>
      </c>
      <c r="I39" s="42">
        <f t="shared" si="0"/>
        <v>19786.885245901642</v>
      </c>
      <c r="J39" s="49">
        <f t="shared" si="1"/>
        <v>24140.000000000004</v>
      </c>
      <c r="K39" s="59" t="s">
        <v>197</v>
      </c>
      <c r="L39" s="77"/>
    </row>
    <row r="40" spans="1:12" s="5" customFormat="1" ht="48.75" customHeight="1" x14ac:dyDescent="0.2">
      <c r="A40" s="47">
        <v>33</v>
      </c>
      <c r="B40" s="53" t="s">
        <v>65</v>
      </c>
      <c r="C40" s="47" t="s">
        <v>61</v>
      </c>
      <c r="D40" s="54">
        <v>0.5</v>
      </c>
      <c r="E40" s="48" t="s">
        <v>188</v>
      </c>
      <c r="F40" s="55">
        <v>46478</v>
      </c>
      <c r="G40" s="56" t="s">
        <v>124</v>
      </c>
      <c r="H40" s="57">
        <v>116393.44262295082</v>
      </c>
      <c r="I40" s="42">
        <f t="shared" si="0"/>
        <v>58196.721311475412</v>
      </c>
      <c r="J40" s="49">
        <f t="shared" si="1"/>
        <v>71000</v>
      </c>
      <c r="K40" s="59" t="s">
        <v>197</v>
      </c>
      <c r="L40" s="77"/>
    </row>
    <row r="41" spans="1:12" s="5" customFormat="1" ht="48.75" customHeight="1" x14ac:dyDescent="0.2">
      <c r="A41" s="47">
        <v>34</v>
      </c>
      <c r="B41" s="53" t="s">
        <v>82</v>
      </c>
      <c r="C41" s="47" t="s">
        <v>61</v>
      </c>
      <c r="D41" s="54">
        <v>0.85</v>
      </c>
      <c r="E41" s="48" t="s">
        <v>188</v>
      </c>
      <c r="F41" s="55">
        <v>46478</v>
      </c>
      <c r="G41" s="56" t="s">
        <v>141</v>
      </c>
      <c r="H41" s="57">
        <v>116393.44262295082</v>
      </c>
      <c r="I41" s="42">
        <f t="shared" si="0"/>
        <v>98934.426229508201</v>
      </c>
      <c r="J41" s="49">
        <f t="shared" si="1"/>
        <v>120700</v>
      </c>
      <c r="K41" s="59" t="s">
        <v>197</v>
      </c>
      <c r="L41" s="77"/>
    </row>
    <row r="42" spans="1:12" s="5" customFormat="1" ht="48.75" customHeight="1" x14ac:dyDescent="0.2">
      <c r="A42" s="47">
        <v>35</v>
      </c>
      <c r="B42" s="53" t="s">
        <v>83</v>
      </c>
      <c r="C42" s="47" t="s">
        <v>61</v>
      </c>
      <c r="D42" s="54">
        <v>0.04</v>
      </c>
      <c r="E42" s="48" t="s">
        <v>188</v>
      </c>
      <c r="F42" s="55">
        <v>46478</v>
      </c>
      <c r="G42" s="56" t="s">
        <v>142</v>
      </c>
      <c r="H42" s="57">
        <v>293196.72131147544</v>
      </c>
      <c r="I42" s="42">
        <f t="shared" si="0"/>
        <v>11727.868852459018</v>
      </c>
      <c r="J42" s="49">
        <f t="shared" si="1"/>
        <v>14308.000000000002</v>
      </c>
      <c r="K42" s="59" t="s">
        <v>197</v>
      </c>
      <c r="L42" s="77"/>
    </row>
    <row r="43" spans="1:12" s="5" customFormat="1" ht="48.75" customHeight="1" x14ac:dyDescent="0.2">
      <c r="A43" s="47">
        <v>36</v>
      </c>
      <c r="B43" s="53" t="s">
        <v>25</v>
      </c>
      <c r="C43" s="47" t="s">
        <v>61</v>
      </c>
      <c r="D43" s="60">
        <v>0.41699999999999998</v>
      </c>
      <c r="E43" s="48" t="s">
        <v>188</v>
      </c>
      <c r="F43" s="55">
        <v>46478</v>
      </c>
      <c r="G43" s="56" t="s">
        <v>36</v>
      </c>
      <c r="H43" s="57">
        <v>118852.45901639345</v>
      </c>
      <c r="I43" s="42">
        <f t="shared" si="0"/>
        <v>49561.475409836065</v>
      </c>
      <c r="J43" s="49">
        <f t="shared" si="1"/>
        <v>60465</v>
      </c>
      <c r="K43" s="59" t="s">
        <v>197</v>
      </c>
      <c r="L43" s="77"/>
    </row>
    <row r="44" spans="1:12" s="5" customFormat="1" ht="48.75" customHeight="1" x14ac:dyDescent="0.2">
      <c r="A44" s="47">
        <v>37</v>
      </c>
      <c r="B44" s="53" t="s">
        <v>71</v>
      </c>
      <c r="C44" s="47" t="s">
        <v>61</v>
      </c>
      <c r="D44" s="54">
        <v>0.1</v>
      </c>
      <c r="E44" s="48" t="s">
        <v>188</v>
      </c>
      <c r="F44" s="55">
        <v>46478</v>
      </c>
      <c r="G44" s="56" t="s">
        <v>130</v>
      </c>
      <c r="H44" s="57">
        <v>274590.16393442621</v>
      </c>
      <c r="I44" s="42">
        <f t="shared" si="0"/>
        <v>27459.016393442624</v>
      </c>
      <c r="J44" s="49">
        <f t="shared" si="1"/>
        <v>33500</v>
      </c>
      <c r="K44" s="59" t="s">
        <v>197</v>
      </c>
      <c r="L44" s="77"/>
    </row>
    <row r="45" spans="1:12" s="5" customFormat="1" ht="48.75" customHeight="1" x14ac:dyDescent="0.2">
      <c r="A45" s="47">
        <v>38</v>
      </c>
      <c r="B45" s="53" t="s">
        <v>31</v>
      </c>
      <c r="C45" s="47" t="s">
        <v>61</v>
      </c>
      <c r="D45" s="54">
        <v>0.6</v>
      </c>
      <c r="E45" s="48" t="s">
        <v>188</v>
      </c>
      <c r="F45" s="55">
        <v>46478</v>
      </c>
      <c r="G45" s="56" t="s">
        <v>42</v>
      </c>
      <c r="H45" s="57">
        <v>128688.52459016394</v>
      </c>
      <c r="I45" s="42">
        <f t="shared" si="0"/>
        <v>77213.114754098366</v>
      </c>
      <c r="J45" s="49">
        <f t="shared" si="1"/>
        <v>94200</v>
      </c>
      <c r="K45" s="59" t="s">
        <v>197</v>
      </c>
      <c r="L45" s="77"/>
    </row>
    <row r="46" spans="1:12" s="5" customFormat="1" ht="48.75" customHeight="1" x14ac:dyDescent="0.2">
      <c r="A46" s="47">
        <v>39</v>
      </c>
      <c r="B46" s="53" t="s">
        <v>32</v>
      </c>
      <c r="C46" s="47" t="s">
        <v>61</v>
      </c>
      <c r="D46" s="54">
        <v>0.28000000000000003</v>
      </c>
      <c r="E46" s="48" t="s">
        <v>188</v>
      </c>
      <c r="F46" s="55">
        <v>46478</v>
      </c>
      <c r="G46" s="56" t="s">
        <v>43</v>
      </c>
      <c r="H46" s="57">
        <v>116393.44262295082</v>
      </c>
      <c r="I46" s="42">
        <f t="shared" si="0"/>
        <v>32590.163934426233</v>
      </c>
      <c r="J46" s="49">
        <f t="shared" si="1"/>
        <v>39760</v>
      </c>
      <c r="K46" s="59" t="s">
        <v>197</v>
      </c>
      <c r="L46" s="77"/>
    </row>
    <row r="47" spans="1:12" s="5" customFormat="1" ht="48.75" customHeight="1" x14ac:dyDescent="0.2">
      <c r="A47" s="47">
        <v>40</v>
      </c>
      <c r="B47" s="53" t="s">
        <v>84</v>
      </c>
      <c r="C47" s="47" t="s">
        <v>61</v>
      </c>
      <c r="D47" s="54">
        <v>0.4</v>
      </c>
      <c r="E47" s="48" t="s">
        <v>188</v>
      </c>
      <c r="F47" s="55">
        <v>46478</v>
      </c>
      <c r="G47" s="56" t="s">
        <v>143</v>
      </c>
      <c r="H47" s="57">
        <v>116393.44262295082</v>
      </c>
      <c r="I47" s="42">
        <f t="shared" si="0"/>
        <v>46557.37704918033</v>
      </c>
      <c r="J47" s="49">
        <f t="shared" si="1"/>
        <v>56800</v>
      </c>
      <c r="K47" s="59" t="s">
        <v>197</v>
      </c>
      <c r="L47" s="77"/>
    </row>
    <row r="48" spans="1:12" s="5" customFormat="1" ht="48.75" customHeight="1" x14ac:dyDescent="0.2">
      <c r="A48" s="47">
        <v>41</v>
      </c>
      <c r="B48" s="53" t="s">
        <v>65</v>
      </c>
      <c r="C48" s="47" t="s">
        <v>61</v>
      </c>
      <c r="D48" s="54">
        <v>0.5</v>
      </c>
      <c r="E48" s="48" t="s">
        <v>188</v>
      </c>
      <c r="F48" s="55">
        <v>46478</v>
      </c>
      <c r="G48" s="56" t="s">
        <v>124</v>
      </c>
      <c r="H48" s="57">
        <v>116393.44262295082</v>
      </c>
      <c r="I48" s="42">
        <f t="shared" si="0"/>
        <v>58196.721311475412</v>
      </c>
      <c r="J48" s="49">
        <f t="shared" si="1"/>
        <v>71000</v>
      </c>
      <c r="K48" s="59" t="s">
        <v>197</v>
      </c>
      <c r="L48" s="77"/>
    </row>
    <row r="49" spans="1:12" s="5" customFormat="1" ht="48.75" customHeight="1" x14ac:dyDescent="0.2">
      <c r="A49" s="47">
        <v>42</v>
      </c>
      <c r="B49" s="53" t="s">
        <v>82</v>
      </c>
      <c r="C49" s="47" t="s">
        <v>61</v>
      </c>
      <c r="D49" s="54">
        <v>0.85</v>
      </c>
      <c r="E49" s="48" t="s">
        <v>188</v>
      </c>
      <c r="F49" s="55">
        <v>46478</v>
      </c>
      <c r="G49" s="56" t="s">
        <v>141</v>
      </c>
      <c r="H49" s="57">
        <v>116393.44262295082</v>
      </c>
      <c r="I49" s="42">
        <f t="shared" si="0"/>
        <v>98934.426229508201</v>
      </c>
      <c r="J49" s="49">
        <f t="shared" si="1"/>
        <v>120700</v>
      </c>
      <c r="K49" s="59" t="s">
        <v>197</v>
      </c>
      <c r="L49" s="77"/>
    </row>
    <row r="50" spans="1:12" s="5" customFormat="1" ht="48.75" customHeight="1" x14ac:dyDescent="0.2">
      <c r="A50" s="47">
        <v>43</v>
      </c>
      <c r="B50" s="53" t="s">
        <v>32</v>
      </c>
      <c r="C50" s="47" t="s">
        <v>61</v>
      </c>
      <c r="D50" s="54">
        <v>0.5</v>
      </c>
      <c r="E50" s="48" t="s">
        <v>188</v>
      </c>
      <c r="F50" s="55">
        <v>46478</v>
      </c>
      <c r="G50" s="56" t="s">
        <v>43</v>
      </c>
      <c r="H50" s="57">
        <v>116393.44262295082</v>
      </c>
      <c r="I50" s="42">
        <f t="shared" si="0"/>
        <v>58196.721311475412</v>
      </c>
      <c r="J50" s="49">
        <f t="shared" si="1"/>
        <v>71000</v>
      </c>
      <c r="K50" s="59" t="s">
        <v>197</v>
      </c>
      <c r="L50" s="77"/>
    </row>
    <row r="51" spans="1:12" s="5" customFormat="1" ht="48.75" customHeight="1" x14ac:dyDescent="0.2">
      <c r="A51" s="47">
        <v>44</v>
      </c>
      <c r="B51" s="53" t="s">
        <v>84</v>
      </c>
      <c r="C51" s="47" t="s">
        <v>61</v>
      </c>
      <c r="D51" s="54">
        <v>0.55000000000000004</v>
      </c>
      <c r="E51" s="48" t="s">
        <v>188</v>
      </c>
      <c r="F51" s="55">
        <v>46478</v>
      </c>
      <c r="G51" s="56" t="s">
        <v>143</v>
      </c>
      <c r="H51" s="57">
        <v>116393.44262295082</v>
      </c>
      <c r="I51" s="42">
        <f t="shared" si="0"/>
        <v>64016.393442622961</v>
      </c>
      <c r="J51" s="49">
        <f t="shared" si="1"/>
        <v>78100.000000000015</v>
      </c>
      <c r="K51" s="59" t="s">
        <v>197</v>
      </c>
      <c r="L51" s="77"/>
    </row>
    <row r="52" spans="1:12" s="5" customFormat="1" ht="48.75" customHeight="1" x14ac:dyDescent="0.2">
      <c r="A52" s="47">
        <v>45</v>
      </c>
      <c r="B52" s="53" t="s">
        <v>65</v>
      </c>
      <c r="C52" s="47" t="s">
        <v>61</v>
      </c>
      <c r="D52" s="54">
        <v>0.5</v>
      </c>
      <c r="E52" s="48" t="s">
        <v>188</v>
      </c>
      <c r="F52" s="55">
        <v>46478</v>
      </c>
      <c r="G52" s="56" t="s">
        <v>124</v>
      </c>
      <c r="H52" s="57">
        <v>116393.44262295082</v>
      </c>
      <c r="I52" s="42">
        <f t="shared" si="0"/>
        <v>58196.721311475412</v>
      </c>
      <c r="J52" s="49">
        <f t="shared" si="1"/>
        <v>71000</v>
      </c>
      <c r="K52" s="59" t="s">
        <v>197</v>
      </c>
      <c r="L52" s="77"/>
    </row>
    <row r="53" spans="1:12" s="5" customFormat="1" ht="48.75" customHeight="1" x14ac:dyDescent="0.2">
      <c r="A53" s="47">
        <v>46</v>
      </c>
      <c r="B53" s="53" t="s">
        <v>25</v>
      </c>
      <c r="C53" s="47" t="s">
        <v>61</v>
      </c>
      <c r="D53" s="60">
        <v>1.083</v>
      </c>
      <c r="E53" s="48" t="s">
        <v>188</v>
      </c>
      <c r="F53" s="55">
        <v>46478</v>
      </c>
      <c r="G53" s="56" t="s">
        <v>36</v>
      </c>
      <c r="H53" s="57">
        <v>118852.45901639345</v>
      </c>
      <c r="I53" s="42">
        <f t="shared" si="0"/>
        <v>128717.21311475409</v>
      </c>
      <c r="J53" s="49">
        <f t="shared" si="1"/>
        <v>157035</v>
      </c>
      <c r="K53" s="59" t="s">
        <v>197</v>
      </c>
      <c r="L53" s="77"/>
    </row>
    <row r="54" spans="1:12" s="5" customFormat="1" ht="48.75" customHeight="1" x14ac:dyDescent="0.2">
      <c r="A54" s="47">
        <v>47</v>
      </c>
      <c r="B54" s="53" t="s">
        <v>84</v>
      </c>
      <c r="C54" s="47" t="s">
        <v>61</v>
      </c>
      <c r="D54" s="54">
        <v>0.4</v>
      </c>
      <c r="E54" s="48" t="s">
        <v>188</v>
      </c>
      <c r="F54" s="55">
        <v>46478</v>
      </c>
      <c r="G54" s="56" t="s">
        <v>143</v>
      </c>
      <c r="H54" s="57">
        <v>116393.44262295082</v>
      </c>
      <c r="I54" s="42">
        <f t="shared" si="0"/>
        <v>46557.37704918033</v>
      </c>
      <c r="J54" s="49">
        <f t="shared" si="1"/>
        <v>56800</v>
      </c>
      <c r="K54" s="59" t="s">
        <v>197</v>
      </c>
      <c r="L54" s="77"/>
    </row>
    <row r="55" spans="1:12" s="5" customFormat="1" ht="48.75" customHeight="1" x14ac:dyDescent="0.2">
      <c r="A55" s="47">
        <v>48</v>
      </c>
      <c r="B55" s="53" t="s">
        <v>85</v>
      </c>
      <c r="C55" s="47" t="s">
        <v>61</v>
      </c>
      <c r="D55" s="60">
        <v>0.86899999999999999</v>
      </c>
      <c r="E55" s="48" t="s">
        <v>188</v>
      </c>
      <c r="F55" s="55">
        <v>46478</v>
      </c>
      <c r="G55" s="56" t="s">
        <v>144</v>
      </c>
      <c r="H55" s="57">
        <v>120491.80327868853</v>
      </c>
      <c r="I55" s="42">
        <f t="shared" si="0"/>
        <v>104707.37704918033</v>
      </c>
      <c r="J55" s="49">
        <f t="shared" si="1"/>
        <v>127743</v>
      </c>
      <c r="K55" s="59" t="s">
        <v>197</v>
      </c>
      <c r="L55" s="77"/>
    </row>
    <row r="56" spans="1:12" s="5" customFormat="1" ht="48.75" customHeight="1" x14ac:dyDescent="0.2">
      <c r="A56" s="47">
        <v>49</v>
      </c>
      <c r="B56" s="53" t="s">
        <v>75</v>
      </c>
      <c r="C56" s="47" t="s">
        <v>61</v>
      </c>
      <c r="D56" s="60">
        <v>0.41299999999999998</v>
      </c>
      <c r="E56" s="48" t="s">
        <v>184</v>
      </c>
      <c r="F56" s="55">
        <v>46692</v>
      </c>
      <c r="G56" s="56" t="s">
        <v>134</v>
      </c>
      <c r="H56" s="57">
        <v>116393.44262295082</v>
      </c>
      <c r="I56" s="42">
        <f t="shared" si="0"/>
        <v>48070.491803278688</v>
      </c>
      <c r="J56" s="49">
        <f t="shared" si="1"/>
        <v>58646</v>
      </c>
      <c r="K56" s="59" t="s">
        <v>197</v>
      </c>
      <c r="L56" s="77"/>
    </row>
    <row r="57" spans="1:12" s="5" customFormat="1" ht="48.75" customHeight="1" x14ac:dyDescent="0.2">
      <c r="A57" s="47">
        <v>50</v>
      </c>
      <c r="B57" s="53" t="s">
        <v>27</v>
      </c>
      <c r="C57" s="47" t="s">
        <v>61</v>
      </c>
      <c r="D57" s="54">
        <v>2</v>
      </c>
      <c r="E57" s="48" t="s">
        <v>187</v>
      </c>
      <c r="F57" s="55">
        <v>46417</v>
      </c>
      <c r="G57" s="56" t="s">
        <v>40</v>
      </c>
      <c r="H57" s="57">
        <v>128688.52459016394</v>
      </c>
      <c r="I57" s="42">
        <f t="shared" si="0"/>
        <v>257377.04918032789</v>
      </c>
      <c r="J57" s="49">
        <f t="shared" si="1"/>
        <v>314000</v>
      </c>
      <c r="K57" s="59" t="s">
        <v>197</v>
      </c>
      <c r="L57" s="77"/>
    </row>
    <row r="58" spans="1:12" s="5" customFormat="1" ht="48.75" customHeight="1" x14ac:dyDescent="0.2">
      <c r="A58" s="47">
        <v>51</v>
      </c>
      <c r="B58" s="53" t="s">
        <v>86</v>
      </c>
      <c r="C58" s="47" t="s">
        <v>61</v>
      </c>
      <c r="D58" s="54">
        <v>1.5</v>
      </c>
      <c r="E58" s="48" t="s">
        <v>187</v>
      </c>
      <c r="F58" s="55">
        <v>46417</v>
      </c>
      <c r="G58" s="56" t="s">
        <v>145</v>
      </c>
      <c r="H58" s="57">
        <v>116393.44262295082</v>
      </c>
      <c r="I58" s="42">
        <f t="shared" si="0"/>
        <v>174590.16393442624</v>
      </c>
      <c r="J58" s="49">
        <f t="shared" si="1"/>
        <v>213000</v>
      </c>
      <c r="K58" s="59" t="s">
        <v>197</v>
      </c>
      <c r="L58" s="77"/>
    </row>
    <row r="59" spans="1:12" s="5" customFormat="1" ht="48.75" customHeight="1" x14ac:dyDescent="0.2">
      <c r="A59" s="47">
        <v>52</v>
      </c>
      <c r="B59" s="53" t="s">
        <v>87</v>
      </c>
      <c r="C59" s="47" t="s">
        <v>61</v>
      </c>
      <c r="D59" s="60">
        <v>3.5999999999999997E-2</v>
      </c>
      <c r="E59" s="48" t="s">
        <v>186</v>
      </c>
      <c r="F59" s="55">
        <v>46478</v>
      </c>
      <c r="G59" s="56" t="s">
        <v>146</v>
      </c>
      <c r="H59" s="57">
        <v>161475.40983606558</v>
      </c>
      <c r="I59" s="42">
        <f t="shared" si="0"/>
        <v>5813.1147540983602</v>
      </c>
      <c r="J59" s="49">
        <f t="shared" si="1"/>
        <v>7091.9999999999991</v>
      </c>
      <c r="K59" s="59" t="s">
        <v>197</v>
      </c>
      <c r="L59" s="77"/>
    </row>
    <row r="60" spans="1:12" s="5" customFormat="1" ht="48.75" customHeight="1" x14ac:dyDescent="0.2">
      <c r="A60" s="47">
        <v>53</v>
      </c>
      <c r="B60" s="53" t="s">
        <v>88</v>
      </c>
      <c r="C60" s="47" t="s">
        <v>61</v>
      </c>
      <c r="D60" s="54">
        <v>0.6</v>
      </c>
      <c r="E60" s="48" t="s">
        <v>45</v>
      </c>
      <c r="F60" s="55">
        <v>46570</v>
      </c>
      <c r="G60" s="56" t="s">
        <v>147</v>
      </c>
      <c r="H60" s="57">
        <v>116393.44262295082</v>
      </c>
      <c r="I60" s="42">
        <f t="shared" si="0"/>
        <v>69836.065573770495</v>
      </c>
      <c r="J60" s="49">
        <f t="shared" si="1"/>
        <v>85200</v>
      </c>
      <c r="K60" s="59" t="s">
        <v>197</v>
      </c>
      <c r="L60" s="77"/>
    </row>
    <row r="61" spans="1:12" s="5" customFormat="1" ht="48.75" customHeight="1" x14ac:dyDescent="0.2">
      <c r="A61" s="47">
        <v>54</v>
      </c>
      <c r="B61" s="53" t="s">
        <v>82</v>
      </c>
      <c r="C61" s="47" t="s">
        <v>61</v>
      </c>
      <c r="D61" s="54">
        <v>0.5</v>
      </c>
      <c r="E61" s="48" t="s">
        <v>45</v>
      </c>
      <c r="F61" s="55">
        <v>46570</v>
      </c>
      <c r="G61" s="56" t="s">
        <v>141</v>
      </c>
      <c r="H61" s="57">
        <v>116393.44262295082</v>
      </c>
      <c r="I61" s="42">
        <f t="shared" si="0"/>
        <v>58196.721311475412</v>
      </c>
      <c r="J61" s="49">
        <f t="shared" si="1"/>
        <v>71000</v>
      </c>
      <c r="K61" s="59" t="s">
        <v>197</v>
      </c>
      <c r="L61" s="77"/>
    </row>
    <row r="62" spans="1:12" s="5" customFormat="1" ht="48.75" customHeight="1" x14ac:dyDescent="0.2">
      <c r="A62" s="47">
        <v>55</v>
      </c>
      <c r="B62" s="53" t="s">
        <v>25</v>
      </c>
      <c r="C62" s="47" t="s">
        <v>61</v>
      </c>
      <c r="D62" s="54">
        <v>0.65</v>
      </c>
      <c r="E62" s="48" t="s">
        <v>191</v>
      </c>
      <c r="F62" s="55">
        <v>46570</v>
      </c>
      <c r="G62" s="56" t="s">
        <v>36</v>
      </c>
      <c r="H62" s="57">
        <v>118852.45901639345</v>
      </c>
      <c r="I62" s="42">
        <f t="shared" si="0"/>
        <v>77254.098360655742</v>
      </c>
      <c r="J62" s="49">
        <f t="shared" si="1"/>
        <v>94250</v>
      </c>
      <c r="K62" s="59" t="s">
        <v>197</v>
      </c>
      <c r="L62" s="77"/>
    </row>
    <row r="63" spans="1:12" s="5" customFormat="1" ht="48.75" customHeight="1" x14ac:dyDescent="0.2">
      <c r="A63" s="47">
        <v>56</v>
      </c>
      <c r="B63" s="53" t="s">
        <v>27</v>
      </c>
      <c r="C63" s="47" t="s">
        <v>61</v>
      </c>
      <c r="D63" s="54">
        <v>0.4</v>
      </c>
      <c r="E63" s="48" t="s">
        <v>45</v>
      </c>
      <c r="F63" s="55">
        <v>46509</v>
      </c>
      <c r="G63" s="56" t="s">
        <v>40</v>
      </c>
      <c r="H63" s="57">
        <v>128688.52459016394</v>
      </c>
      <c r="I63" s="42">
        <f t="shared" si="0"/>
        <v>51475.409836065577</v>
      </c>
      <c r="J63" s="49">
        <f t="shared" si="1"/>
        <v>62800</v>
      </c>
      <c r="K63" s="59" t="s">
        <v>197</v>
      </c>
      <c r="L63" s="77"/>
    </row>
    <row r="64" spans="1:12" s="5" customFormat="1" ht="48.75" customHeight="1" x14ac:dyDescent="0.2">
      <c r="A64" s="47">
        <v>57</v>
      </c>
      <c r="B64" s="53" t="s">
        <v>28</v>
      </c>
      <c r="C64" s="47" t="s">
        <v>61</v>
      </c>
      <c r="D64" s="54">
        <v>0.5</v>
      </c>
      <c r="E64" s="48" t="s">
        <v>45</v>
      </c>
      <c r="F64" s="55">
        <v>46570</v>
      </c>
      <c r="G64" s="56" t="s">
        <v>50</v>
      </c>
      <c r="H64" s="57">
        <v>116393.44262295082</v>
      </c>
      <c r="I64" s="42">
        <f t="shared" si="0"/>
        <v>58196.721311475412</v>
      </c>
      <c r="J64" s="49">
        <f t="shared" si="1"/>
        <v>71000</v>
      </c>
      <c r="K64" s="59" t="s">
        <v>197</v>
      </c>
      <c r="L64" s="77"/>
    </row>
    <row r="65" spans="1:12" s="5" customFormat="1" ht="48.75" customHeight="1" x14ac:dyDescent="0.2">
      <c r="A65" s="47">
        <v>58</v>
      </c>
      <c r="B65" s="53" t="s">
        <v>89</v>
      </c>
      <c r="C65" s="47" t="s">
        <v>61</v>
      </c>
      <c r="D65" s="54">
        <v>0.1</v>
      </c>
      <c r="E65" s="48" t="s">
        <v>189</v>
      </c>
      <c r="F65" s="55">
        <v>46570</v>
      </c>
      <c r="G65" s="56" t="s">
        <v>148</v>
      </c>
      <c r="H65" s="57">
        <v>232786.88524590165</v>
      </c>
      <c r="I65" s="42">
        <f t="shared" si="0"/>
        <v>23278.688524590165</v>
      </c>
      <c r="J65" s="49">
        <f t="shared" si="1"/>
        <v>28400</v>
      </c>
      <c r="K65" s="59" t="s">
        <v>197</v>
      </c>
      <c r="L65" s="77"/>
    </row>
    <row r="66" spans="1:12" s="5" customFormat="1" ht="48.75" customHeight="1" x14ac:dyDescent="0.2">
      <c r="A66" s="47">
        <v>59</v>
      </c>
      <c r="B66" s="53" t="s">
        <v>28</v>
      </c>
      <c r="C66" s="47" t="s">
        <v>61</v>
      </c>
      <c r="D66" s="54">
        <v>0.2</v>
      </c>
      <c r="E66" s="48" t="s">
        <v>180</v>
      </c>
      <c r="F66" s="55">
        <v>46606</v>
      </c>
      <c r="G66" s="56" t="s">
        <v>50</v>
      </c>
      <c r="H66" s="57">
        <v>116393.44262295082</v>
      </c>
      <c r="I66" s="42">
        <f t="shared" si="0"/>
        <v>23278.688524590165</v>
      </c>
      <c r="J66" s="49">
        <f t="shared" si="1"/>
        <v>28400</v>
      </c>
      <c r="K66" s="59" t="s">
        <v>197</v>
      </c>
      <c r="L66" s="77"/>
    </row>
    <row r="67" spans="1:12" s="5" customFormat="1" ht="48.75" customHeight="1" x14ac:dyDescent="0.2">
      <c r="A67" s="47">
        <v>60</v>
      </c>
      <c r="B67" s="53" t="s">
        <v>90</v>
      </c>
      <c r="C67" s="47" t="s">
        <v>61</v>
      </c>
      <c r="D67" s="54">
        <v>0.15</v>
      </c>
      <c r="E67" s="48" t="s">
        <v>180</v>
      </c>
      <c r="F67" s="55">
        <v>46606</v>
      </c>
      <c r="G67" s="56" t="s">
        <v>149</v>
      </c>
      <c r="H67" s="57">
        <v>206557.37704918033</v>
      </c>
      <c r="I67" s="42">
        <f t="shared" si="0"/>
        <v>30983.606557377047</v>
      </c>
      <c r="J67" s="49">
        <f t="shared" si="1"/>
        <v>37799.999999999993</v>
      </c>
      <c r="K67" s="59" t="s">
        <v>54</v>
      </c>
      <c r="L67" s="77"/>
    </row>
    <row r="68" spans="1:12" s="5" customFormat="1" ht="48.75" customHeight="1" x14ac:dyDescent="0.2">
      <c r="A68" s="47">
        <v>61</v>
      </c>
      <c r="B68" s="53" t="s">
        <v>91</v>
      </c>
      <c r="C68" s="47" t="s">
        <v>61</v>
      </c>
      <c r="D68" s="54">
        <v>0.4</v>
      </c>
      <c r="E68" s="48" t="s">
        <v>180</v>
      </c>
      <c r="F68" s="55">
        <v>46571</v>
      </c>
      <c r="G68" s="56" t="s">
        <v>150</v>
      </c>
      <c r="H68" s="57">
        <v>116393.44262295082</v>
      </c>
      <c r="I68" s="42">
        <f t="shared" si="0"/>
        <v>46557.37704918033</v>
      </c>
      <c r="J68" s="49">
        <f t="shared" si="1"/>
        <v>56800</v>
      </c>
      <c r="K68" s="59" t="s">
        <v>54</v>
      </c>
      <c r="L68" s="77"/>
    </row>
    <row r="69" spans="1:12" s="5" customFormat="1" ht="48.75" customHeight="1" x14ac:dyDescent="0.2">
      <c r="A69" s="47">
        <v>62</v>
      </c>
      <c r="B69" s="53" t="s">
        <v>31</v>
      </c>
      <c r="C69" s="47" t="s">
        <v>61</v>
      </c>
      <c r="D69" s="54">
        <v>0.3</v>
      </c>
      <c r="E69" s="48" t="s">
        <v>180</v>
      </c>
      <c r="F69" s="55">
        <v>46539</v>
      </c>
      <c r="G69" s="56" t="s">
        <v>42</v>
      </c>
      <c r="H69" s="57">
        <v>128688.52459016394</v>
      </c>
      <c r="I69" s="42">
        <f t="shared" si="0"/>
        <v>38606.557377049183</v>
      </c>
      <c r="J69" s="49">
        <f t="shared" si="1"/>
        <v>47100</v>
      </c>
      <c r="K69" s="59" t="s">
        <v>197</v>
      </c>
      <c r="L69" s="77"/>
    </row>
    <row r="70" spans="1:12" s="5" customFormat="1" ht="48.75" customHeight="1" x14ac:dyDescent="0.2">
      <c r="A70" s="47">
        <v>63</v>
      </c>
      <c r="B70" s="53" t="s">
        <v>90</v>
      </c>
      <c r="C70" s="47" t="s">
        <v>61</v>
      </c>
      <c r="D70" s="54">
        <v>0.2</v>
      </c>
      <c r="E70" s="48" t="s">
        <v>180</v>
      </c>
      <c r="F70" s="55">
        <v>46539</v>
      </c>
      <c r="G70" s="56" t="s">
        <v>149</v>
      </c>
      <c r="H70" s="57">
        <v>206557.37704918033</v>
      </c>
      <c r="I70" s="42">
        <f t="shared" si="0"/>
        <v>41311.475409836072</v>
      </c>
      <c r="J70" s="49">
        <f t="shared" si="1"/>
        <v>50400.000000000007</v>
      </c>
      <c r="K70" s="59" t="s">
        <v>54</v>
      </c>
      <c r="L70" s="77"/>
    </row>
    <row r="71" spans="1:12" s="5" customFormat="1" ht="48.75" customHeight="1" x14ac:dyDescent="0.2">
      <c r="A71" s="47">
        <v>64</v>
      </c>
      <c r="B71" s="53" t="s">
        <v>92</v>
      </c>
      <c r="C71" s="47" t="s">
        <v>61</v>
      </c>
      <c r="D71" s="54">
        <v>0.3</v>
      </c>
      <c r="E71" s="48" t="s">
        <v>180</v>
      </c>
      <c r="F71" s="55">
        <v>46539</v>
      </c>
      <c r="G71" s="56" t="s">
        <v>151</v>
      </c>
      <c r="H71" s="57">
        <v>157377.04918032789</v>
      </c>
      <c r="I71" s="42">
        <f t="shared" si="0"/>
        <v>47213.114754098366</v>
      </c>
      <c r="J71" s="49">
        <f t="shared" si="1"/>
        <v>57600.000000000007</v>
      </c>
      <c r="K71" s="59" t="s">
        <v>197</v>
      </c>
      <c r="L71" s="77"/>
    </row>
    <row r="72" spans="1:12" s="5" customFormat="1" ht="48.75" customHeight="1" x14ac:dyDescent="0.2">
      <c r="A72" s="47">
        <v>65</v>
      </c>
      <c r="B72" s="53" t="s">
        <v>93</v>
      </c>
      <c r="C72" s="47" t="s">
        <v>61</v>
      </c>
      <c r="D72" s="54">
        <v>0.2</v>
      </c>
      <c r="E72" s="48" t="s">
        <v>180</v>
      </c>
      <c r="F72" s="55">
        <v>46539</v>
      </c>
      <c r="G72" s="56" t="s">
        <v>152</v>
      </c>
      <c r="H72" s="57">
        <v>225409.83606557376</v>
      </c>
      <c r="I72" s="42">
        <f t="shared" si="0"/>
        <v>45081.967213114753</v>
      </c>
      <c r="J72" s="49">
        <f t="shared" si="1"/>
        <v>55000</v>
      </c>
      <c r="K72" s="59" t="s">
        <v>54</v>
      </c>
      <c r="L72" s="77"/>
    </row>
    <row r="73" spans="1:12" s="5" customFormat="1" ht="48.75" customHeight="1" x14ac:dyDescent="0.2">
      <c r="A73" s="47">
        <v>66</v>
      </c>
      <c r="B73" s="53" t="s">
        <v>94</v>
      </c>
      <c r="C73" s="47" t="s">
        <v>61</v>
      </c>
      <c r="D73" s="54">
        <v>0.8</v>
      </c>
      <c r="E73" s="48" t="s">
        <v>180</v>
      </c>
      <c r="F73" s="55">
        <v>46539</v>
      </c>
      <c r="G73" s="56" t="s">
        <v>153</v>
      </c>
      <c r="H73" s="57">
        <v>143442.62295081967</v>
      </c>
      <c r="I73" s="42">
        <f t="shared" ref="I73:I136" si="2">H73*D73</f>
        <v>114754.09836065574</v>
      </c>
      <c r="J73" s="49">
        <f t="shared" ref="J73:J136" si="3">I73*1.22</f>
        <v>140000</v>
      </c>
      <c r="K73" s="59" t="s">
        <v>197</v>
      </c>
      <c r="L73" s="77"/>
    </row>
    <row r="74" spans="1:12" s="5" customFormat="1" ht="48.75" customHeight="1" x14ac:dyDescent="0.2">
      <c r="A74" s="47">
        <v>67</v>
      </c>
      <c r="B74" s="53" t="s">
        <v>95</v>
      </c>
      <c r="C74" s="47" t="s">
        <v>61</v>
      </c>
      <c r="D74" s="54">
        <v>0.5</v>
      </c>
      <c r="E74" s="48" t="s">
        <v>180</v>
      </c>
      <c r="F74" s="55">
        <v>46539</v>
      </c>
      <c r="G74" s="56" t="s">
        <v>154</v>
      </c>
      <c r="H74" s="57">
        <v>116393.44262295082</v>
      </c>
      <c r="I74" s="42">
        <f t="shared" si="2"/>
        <v>58196.721311475412</v>
      </c>
      <c r="J74" s="49">
        <f t="shared" si="3"/>
        <v>71000</v>
      </c>
      <c r="K74" s="59" t="s">
        <v>197</v>
      </c>
      <c r="L74" s="77"/>
    </row>
    <row r="75" spans="1:12" s="5" customFormat="1" ht="48.75" customHeight="1" x14ac:dyDescent="0.2">
      <c r="A75" s="47">
        <v>68</v>
      </c>
      <c r="B75" s="53" t="s">
        <v>85</v>
      </c>
      <c r="C75" s="47" t="s">
        <v>61</v>
      </c>
      <c r="D75" s="54">
        <v>0.6</v>
      </c>
      <c r="E75" s="48" t="s">
        <v>180</v>
      </c>
      <c r="F75" s="55">
        <v>46539</v>
      </c>
      <c r="G75" s="56" t="s">
        <v>144</v>
      </c>
      <c r="H75" s="57">
        <v>120491.80327868853</v>
      </c>
      <c r="I75" s="42">
        <f t="shared" si="2"/>
        <v>72295.081967213118</v>
      </c>
      <c r="J75" s="49">
        <f t="shared" si="3"/>
        <v>88200</v>
      </c>
      <c r="K75" s="59" t="s">
        <v>197</v>
      </c>
      <c r="L75" s="77"/>
    </row>
    <row r="76" spans="1:12" s="5" customFormat="1" ht="48.75" customHeight="1" x14ac:dyDescent="0.2">
      <c r="A76" s="47">
        <v>69</v>
      </c>
      <c r="B76" s="53" t="s">
        <v>96</v>
      </c>
      <c r="C76" s="47" t="s">
        <v>61</v>
      </c>
      <c r="D76" s="54">
        <v>0.8</v>
      </c>
      <c r="E76" s="48" t="s">
        <v>180</v>
      </c>
      <c r="F76" s="55">
        <v>46570</v>
      </c>
      <c r="G76" s="56" t="s">
        <v>155</v>
      </c>
      <c r="H76" s="57">
        <v>157377.04918032789</v>
      </c>
      <c r="I76" s="42">
        <f t="shared" si="2"/>
        <v>125901.63934426231</v>
      </c>
      <c r="J76" s="49">
        <f t="shared" si="3"/>
        <v>153600</v>
      </c>
      <c r="K76" s="59" t="s">
        <v>197</v>
      </c>
      <c r="L76" s="77"/>
    </row>
    <row r="77" spans="1:12" s="5" customFormat="1" ht="48.75" customHeight="1" x14ac:dyDescent="0.2">
      <c r="A77" s="47">
        <v>70</v>
      </c>
      <c r="B77" s="53" t="s">
        <v>68</v>
      </c>
      <c r="C77" s="47" t="s">
        <v>61</v>
      </c>
      <c r="D77" s="54">
        <v>0.8</v>
      </c>
      <c r="E77" s="48" t="s">
        <v>180</v>
      </c>
      <c r="F77" s="55">
        <v>46570</v>
      </c>
      <c r="G77" s="56" t="s">
        <v>127</v>
      </c>
      <c r="H77" s="57">
        <v>157377.04918032789</v>
      </c>
      <c r="I77" s="42">
        <f t="shared" si="2"/>
        <v>125901.63934426231</v>
      </c>
      <c r="J77" s="49">
        <f t="shared" si="3"/>
        <v>153600</v>
      </c>
      <c r="K77" s="59" t="s">
        <v>197</v>
      </c>
      <c r="L77" s="77"/>
    </row>
    <row r="78" spans="1:12" s="5" customFormat="1" ht="48.75" customHeight="1" x14ac:dyDescent="0.2">
      <c r="A78" s="47">
        <v>71</v>
      </c>
      <c r="B78" s="53" t="s">
        <v>28</v>
      </c>
      <c r="C78" s="47" t="s">
        <v>61</v>
      </c>
      <c r="D78" s="54">
        <v>0.3</v>
      </c>
      <c r="E78" s="48" t="s">
        <v>180</v>
      </c>
      <c r="F78" s="55">
        <v>46509</v>
      </c>
      <c r="G78" s="56" t="s">
        <v>50</v>
      </c>
      <c r="H78" s="57">
        <v>116393.44262295082</v>
      </c>
      <c r="I78" s="42">
        <f t="shared" si="2"/>
        <v>34918.032786885247</v>
      </c>
      <c r="J78" s="49">
        <f t="shared" si="3"/>
        <v>42600</v>
      </c>
      <c r="K78" s="59" t="s">
        <v>197</v>
      </c>
      <c r="L78" s="77"/>
    </row>
    <row r="79" spans="1:12" s="5" customFormat="1" ht="48.75" customHeight="1" x14ac:dyDescent="0.2">
      <c r="A79" s="47">
        <v>72</v>
      </c>
      <c r="B79" s="53" t="s">
        <v>32</v>
      </c>
      <c r="C79" s="47" t="s">
        <v>61</v>
      </c>
      <c r="D79" s="54">
        <v>0.3</v>
      </c>
      <c r="E79" s="48" t="s">
        <v>180</v>
      </c>
      <c r="F79" s="55">
        <v>46509</v>
      </c>
      <c r="G79" s="56" t="s">
        <v>43</v>
      </c>
      <c r="H79" s="57">
        <v>116393.44262295082</v>
      </c>
      <c r="I79" s="42">
        <f t="shared" si="2"/>
        <v>34918.032786885247</v>
      </c>
      <c r="J79" s="49">
        <f t="shared" si="3"/>
        <v>42600</v>
      </c>
      <c r="K79" s="59" t="s">
        <v>197</v>
      </c>
      <c r="L79" s="77"/>
    </row>
    <row r="80" spans="1:12" s="5" customFormat="1" ht="48.75" customHeight="1" x14ac:dyDescent="0.2">
      <c r="A80" s="47">
        <v>73</v>
      </c>
      <c r="B80" s="53" t="s">
        <v>88</v>
      </c>
      <c r="C80" s="47" t="s">
        <v>61</v>
      </c>
      <c r="D80" s="54">
        <v>0.3</v>
      </c>
      <c r="E80" s="48" t="s">
        <v>180</v>
      </c>
      <c r="F80" s="55">
        <v>46558</v>
      </c>
      <c r="G80" s="56" t="s">
        <v>147</v>
      </c>
      <c r="H80" s="57">
        <v>116393.44262295082</v>
      </c>
      <c r="I80" s="42">
        <f t="shared" si="2"/>
        <v>34918.032786885247</v>
      </c>
      <c r="J80" s="49">
        <f t="shared" si="3"/>
        <v>42600</v>
      </c>
      <c r="K80" s="59" t="s">
        <v>197</v>
      </c>
      <c r="L80" s="77"/>
    </row>
    <row r="81" spans="1:12" s="5" customFormat="1" ht="48.75" customHeight="1" x14ac:dyDescent="0.2">
      <c r="A81" s="47">
        <v>74</v>
      </c>
      <c r="B81" s="53" t="s">
        <v>82</v>
      </c>
      <c r="C81" s="47" t="s">
        <v>61</v>
      </c>
      <c r="D81" s="54">
        <v>0.4</v>
      </c>
      <c r="E81" s="48" t="s">
        <v>180</v>
      </c>
      <c r="F81" s="55">
        <v>46539</v>
      </c>
      <c r="G81" s="56" t="s">
        <v>141</v>
      </c>
      <c r="H81" s="57">
        <v>116393.44262295082</v>
      </c>
      <c r="I81" s="42">
        <f t="shared" si="2"/>
        <v>46557.37704918033</v>
      </c>
      <c r="J81" s="49">
        <f t="shared" si="3"/>
        <v>56800</v>
      </c>
      <c r="K81" s="59" t="s">
        <v>197</v>
      </c>
      <c r="L81" s="77"/>
    </row>
    <row r="82" spans="1:12" s="5" customFormat="1" ht="48.75" customHeight="1" x14ac:dyDescent="0.2">
      <c r="A82" s="47">
        <v>75</v>
      </c>
      <c r="B82" s="53" t="s">
        <v>34</v>
      </c>
      <c r="C82" s="47" t="s">
        <v>61</v>
      </c>
      <c r="D82" s="54">
        <v>0.6</v>
      </c>
      <c r="E82" s="48" t="s">
        <v>180</v>
      </c>
      <c r="F82" s="55">
        <v>46539</v>
      </c>
      <c r="G82" s="56" t="s">
        <v>37</v>
      </c>
      <c r="H82" s="57">
        <v>116393.44262295082</v>
      </c>
      <c r="I82" s="42">
        <f t="shared" si="2"/>
        <v>69836.065573770495</v>
      </c>
      <c r="J82" s="49">
        <f t="shared" si="3"/>
        <v>85200</v>
      </c>
      <c r="K82" s="59" t="s">
        <v>197</v>
      </c>
      <c r="L82" s="77"/>
    </row>
    <row r="83" spans="1:12" s="5" customFormat="1" ht="48.75" customHeight="1" x14ac:dyDescent="0.2">
      <c r="A83" s="47">
        <v>76</v>
      </c>
      <c r="B83" s="53" t="s">
        <v>65</v>
      </c>
      <c r="C83" s="47" t="s">
        <v>61</v>
      </c>
      <c r="D83" s="54">
        <v>0.3</v>
      </c>
      <c r="E83" s="48" t="s">
        <v>180</v>
      </c>
      <c r="F83" s="55">
        <v>46601</v>
      </c>
      <c r="G83" s="56" t="s">
        <v>124</v>
      </c>
      <c r="H83" s="57">
        <v>116393.44262295082</v>
      </c>
      <c r="I83" s="42">
        <f t="shared" si="2"/>
        <v>34918.032786885247</v>
      </c>
      <c r="J83" s="49">
        <f t="shared" si="3"/>
        <v>42600</v>
      </c>
      <c r="K83" s="59" t="s">
        <v>197</v>
      </c>
      <c r="L83" s="77"/>
    </row>
    <row r="84" spans="1:12" s="5" customFormat="1" ht="48.75" customHeight="1" x14ac:dyDescent="0.2">
      <c r="A84" s="47">
        <v>77</v>
      </c>
      <c r="B84" s="53" t="s">
        <v>70</v>
      </c>
      <c r="C84" s="47" t="s">
        <v>61</v>
      </c>
      <c r="D84" s="54">
        <v>0.01</v>
      </c>
      <c r="E84" s="48" t="s">
        <v>180</v>
      </c>
      <c r="F84" s="55">
        <v>46478</v>
      </c>
      <c r="G84" s="56" t="s">
        <v>129</v>
      </c>
      <c r="H84" s="57">
        <v>251065.57377049181</v>
      </c>
      <c r="I84" s="42">
        <f t="shared" si="2"/>
        <v>2510.655737704918</v>
      </c>
      <c r="J84" s="49">
        <f t="shared" si="3"/>
        <v>3063</v>
      </c>
      <c r="K84" s="59" t="s">
        <v>197</v>
      </c>
      <c r="L84" s="77"/>
    </row>
    <row r="85" spans="1:12" s="5" customFormat="1" ht="48.75" customHeight="1" x14ac:dyDescent="0.2">
      <c r="A85" s="47">
        <v>78</v>
      </c>
      <c r="B85" s="53" t="s">
        <v>97</v>
      </c>
      <c r="C85" s="47" t="s">
        <v>61</v>
      </c>
      <c r="D85" s="60">
        <v>1.4999999999999999E-2</v>
      </c>
      <c r="E85" s="48" t="s">
        <v>180</v>
      </c>
      <c r="F85" s="55">
        <v>46478</v>
      </c>
      <c r="G85" s="56" t="s">
        <v>156</v>
      </c>
      <c r="H85" s="57">
        <v>224590.16393442624</v>
      </c>
      <c r="I85" s="42">
        <f t="shared" si="2"/>
        <v>3368.8524590163934</v>
      </c>
      <c r="J85" s="49">
        <f t="shared" si="3"/>
        <v>4110</v>
      </c>
      <c r="K85" s="59" t="s">
        <v>54</v>
      </c>
      <c r="L85" s="77"/>
    </row>
    <row r="86" spans="1:12" s="5" customFormat="1" ht="48.75" customHeight="1" x14ac:dyDescent="0.2">
      <c r="A86" s="47">
        <v>79</v>
      </c>
      <c r="B86" s="53" t="s">
        <v>90</v>
      </c>
      <c r="C86" s="47" t="s">
        <v>61</v>
      </c>
      <c r="D86" s="54">
        <v>0.1</v>
      </c>
      <c r="E86" s="48" t="s">
        <v>180</v>
      </c>
      <c r="F86" s="55">
        <v>46478</v>
      </c>
      <c r="G86" s="56" t="s">
        <v>149</v>
      </c>
      <c r="H86" s="57">
        <v>206557.37704918033</v>
      </c>
      <c r="I86" s="42">
        <f t="shared" si="2"/>
        <v>20655.737704918036</v>
      </c>
      <c r="J86" s="49">
        <f t="shared" si="3"/>
        <v>25200.000000000004</v>
      </c>
      <c r="K86" s="59" t="s">
        <v>54</v>
      </c>
      <c r="L86" s="77"/>
    </row>
    <row r="87" spans="1:12" s="5" customFormat="1" ht="48.75" customHeight="1" x14ac:dyDescent="0.2">
      <c r="A87" s="47">
        <v>80</v>
      </c>
      <c r="B87" s="53" t="s">
        <v>31</v>
      </c>
      <c r="C87" s="47" t="s">
        <v>61</v>
      </c>
      <c r="D87" s="54">
        <v>0.16</v>
      </c>
      <c r="E87" s="48" t="s">
        <v>180</v>
      </c>
      <c r="F87" s="55">
        <v>46601</v>
      </c>
      <c r="G87" s="56" t="s">
        <v>42</v>
      </c>
      <c r="H87" s="57">
        <v>128688.52459016394</v>
      </c>
      <c r="I87" s="42">
        <f t="shared" si="2"/>
        <v>20590.163934426233</v>
      </c>
      <c r="J87" s="49">
        <f t="shared" si="3"/>
        <v>25120.000000000004</v>
      </c>
      <c r="K87" s="59" t="s">
        <v>197</v>
      </c>
      <c r="L87" s="77"/>
    </row>
    <row r="88" spans="1:12" s="5" customFormat="1" ht="48.75" customHeight="1" x14ac:dyDescent="0.2">
      <c r="A88" s="47">
        <v>81</v>
      </c>
      <c r="B88" s="53" t="s">
        <v>75</v>
      </c>
      <c r="C88" s="47" t="s">
        <v>61</v>
      </c>
      <c r="D88" s="54">
        <v>0.45</v>
      </c>
      <c r="E88" s="48" t="s">
        <v>180</v>
      </c>
      <c r="F88" s="55">
        <v>46448</v>
      </c>
      <c r="G88" s="56" t="s">
        <v>134</v>
      </c>
      <c r="H88" s="57">
        <v>116393.44262295082</v>
      </c>
      <c r="I88" s="42">
        <f t="shared" si="2"/>
        <v>52377.049180327871</v>
      </c>
      <c r="J88" s="49">
        <f t="shared" si="3"/>
        <v>63900</v>
      </c>
      <c r="K88" s="59" t="s">
        <v>197</v>
      </c>
      <c r="L88" s="77"/>
    </row>
    <row r="89" spans="1:12" s="5" customFormat="1" ht="48.75" customHeight="1" x14ac:dyDescent="0.2">
      <c r="A89" s="47">
        <v>82</v>
      </c>
      <c r="B89" s="53" t="s">
        <v>75</v>
      </c>
      <c r="C89" s="47" t="s">
        <v>61</v>
      </c>
      <c r="D89" s="54">
        <v>0.45</v>
      </c>
      <c r="E89" s="48" t="s">
        <v>180</v>
      </c>
      <c r="F89" s="55">
        <v>46570</v>
      </c>
      <c r="G89" s="56" t="s">
        <v>134</v>
      </c>
      <c r="H89" s="57">
        <v>116393.44262295082</v>
      </c>
      <c r="I89" s="42">
        <f t="shared" si="2"/>
        <v>52377.049180327871</v>
      </c>
      <c r="J89" s="49">
        <f t="shared" si="3"/>
        <v>63900</v>
      </c>
      <c r="K89" s="59" t="s">
        <v>197</v>
      </c>
      <c r="L89" s="77"/>
    </row>
    <row r="90" spans="1:12" s="5" customFormat="1" ht="48.75" customHeight="1" x14ac:dyDescent="0.2">
      <c r="A90" s="47">
        <v>83</v>
      </c>
      <c r="B90" s="53" t="s">
        <v>98</v>
      </c>
      <c r="C90" s="47" t="s">
        <v>61</v>
      </c>
      <c r="D90" s="54">
        <v>0.4</v>
      </c>
      <c r="E90" s="48" t="s">
        <v>180</v>
      </c>
      <c r="F90" s="55">
        <v>46448</v>
      </c>
      <c r="G90" s="56" t="s">
        <v>157</v>
      </c>
      <c r="H90" s="57">
        <v>157377.04918032789</v>
      </c>
      <c r="I90" s="42">
        <f t="shared" si="2"/>
        <v>62950.819672131154</v>
      </c>
      <c r="J90" s="49">
        <f t="shared" si="3"/>
        <v>76800</v>
      </c>
      <c r="K90" s="59" t="s">
        <v>197</v>
      </c>
      <c r="L90" s="77"/>
    </row>
    <row r="91" spans="1:12" s="5" customFormat="1" ht="48.75" customHeight="1" x14ac:dyDescent="0.2">
      <c r="A91" s="47">
        <v>84</v>
      </c>
      <c r="B91" s="53" t="s">
        <v>28</v>
      </c>
      <c r="C91" s="47" t="s">
        <v>61</v>
      </c>
      <c r="D91" s="54">
        <v>0.4</v>
      </c>
      <c r="E91" s="48" t="s">
        <v>180</v>
      </c>
      <c r="F91" s="55">
        <v>46448</v>
      </c>
      <c r="G91" s="56" t="s">
        <v>50</v>
      </c>
      <c r="H91" s="57">
        <v>116393.44262295082</v>
      </c>
      <c r="I91" s="42">
        <f t="shared" si="2"/>
        <v>46557.37704918033</v>
      </c>
      <c r="J91" s="49">
        <f t="shared" si="3"/>
        <v>56800</v>
      </c>
      <c r="K91" s="59" t="s">
        <v>197</v>
      </c>
      <c r="L91" s="77"/>
    </row>
    <row r="92" spans="1:12" s="5" customFormat="1" ht="48.75" customHeight="1" x14ac:dyDescent="0.2">
      <c r="A92" s="47">
        <v>85</v>
      </c>
      <c r="B92" s="53" t="s">
        <v>75</v>
      </c>
      <c r="C92" s="47" t="s">
        <v>61</v>
      </c>
      <c r="D92" s="54">
        <v>0.25</v>
      </c>
      <c r="E92" s="48" t="s">
        <v>183</v>
      </c>
      <c r="F92" s="55">
        <v>46478</v>
      </c>
      <c r="G92" s="56" t="s">
        <v>134</v>
      </c>
      <c r="H92" s="57">
        <v>116393.44262295082</v>
      </c>
      <c r="I92" s="42">
        <f t="shared" si="2"/>
        <v>29098.360655737706</v>
      </c>
      <c r="J92" s="49">
        <f t="shared" si="3"/>
        <v>35500</v>
      </c>
      <c r="K92" s="59" t="s">
        <v>197</v>
      </c>
      <c r="L92" s="77"/>
    </row>
    <row r="93" spans="1:12" s="5" customFormat="1" ht="48.75" customHeight="1" x14ac:dyDescent="0.2">
      <c r="A93" s="47">
        <v>86</v>
      </c>
      <c r="B93" s="53" t="s">
        <v>32</v>
      </c>
      <c r="C93" s="47" t="s">
        <v>61</v>
      </c>
      <c r="D93" s="54">
        <v>0.7</v>
      </c>
      <c r="E93" s="48" t="s">
        <v>180</v>
      </c>
      <c r="F93" s="55">
        <v>46539</v>
      </c>
      <c r="G93" s="56" t="s">
        <v>43</v>
      </c>
      <c r="H93" s="57">
        <v>116393.44262295082</v>
      </c>
      <c r="I93" s="42">
        <f t="shared" si="2"/>
        <v>81475.409836065577</v>
      </c>
      <c r="J93" s="49">
        <f t="shared" si="3"/>
        <v>99400</v>
      </c>
      <c r="K93" s="59" t="s">
        <v>197</v>
      </c>
      <c r="L93" s="77"/>
    </row>
    <row r="94" spans="1:12" s="5" customFormat="1" ht="48.75" customHeight="1" x14ac:dyDescent="0.2">
      <c r="A94" s="47">
        <v>87</v>
      </c>
      <c r="B94" s="53" t="s">
        <v>26</v>
      </c>
      <c r="C94" s="47" t="s">
        <v>61</v>
      </c>
      <c r="D94" s="54">
        <v>0.2</v>
      </c>
      <c r="E94" s="48" t="s">
        <v>44</v>
      </c>
      <c r="F94" s="55">
        <v>46478</v>
      </c>
      <c r="G94" s="56" t="s">
        <v>35</v>
      </c>
      <c r="H94" s="57">
        <v>116393.44262295082</v>
      </c>
      <c r="I94" s="42">
        <f t="shared" si="2"/>
        <v>23278.688524590165</v>
      </c>
      <c r="J94" s="49">
        <f t="shared" si="3"/>
        <v>28400</v>
      </c>
      <c r="K94" s="59" t="s">
        <v>197</v>
      </c>
      <c r="L94" s="77"/>
    </row>
    <row r="95" spans="1:12" s="5" customFormat="1" ht="48.75" customHeight="1" x14ac:dyDescent="0.2">
      <c r="A95" s="47">
        <v>88</v>
      </c>
      <c r="B95" s="53" t="s">
        <v>26</v>
      </c>
      <c r="C95" s="47" t="s">
        <v>61</v>
      </c>
      <c r="D95" s="54">
        <v>0.1</v>
      </c>
      <c r="E95" s="48" t="s">
        <v>44</v>
      </c>
      <c r="F95" s="55">
        <v>46539</v>
      </c>
      <c r="G95" s="56" t="s">
        <v>35</v>
      </c>
      <c r="H95" s="57">
        <v>116393.44262295082</v>
      </c>
      <c r="I95" s="42">
        <f t="shared" si="2"/>
        <v>11639.344262295082</v>
      </c>
      <c r="J95" s="49">
        <f t="shared" si="3"/>
        <v>14200</v>
      </c>
      <c r="K95" s="59" t="s">
        <v>197</v>
      </c>
      <c r="L95" s="77"/>
    </row>
    <row r="96" spans="1:12" s="5" customFormat="1" ht="48.75" customHeight="1" x14ac:dyDescent="0.2">
      <c r="A96" s="47">
        <v>89</v>
      </c>
      <c r="B96" s="53" t="s">
        <v>62</v>
      </c>
      <c r="C96" s="47" t="s">
        <v>61</v>
      </c>
      <c r="D96" s="54">
        <v>0.05</v>
      </c>
      <c r="E96" s="48" t="s">
        <v>44</v>
      </c>
      <c r="F96" s="55">
        <v>46448</v>
      </c>
      <c r="G96" s="56" t="s">
        <v>121</v>
      </c>
      <c r="H96" s="57">
        <v>116393.44262295082</v>
      </c>
      <c r="I96" s="42">
        <f t="shared" si="2"/>
        <v>5819.6721311475412</v>
      </c>
      <c r="J96" s="49">
        <f t="shared" si="3"/>
        <v>7100</v>
      </c>
      <c r="K96" s="59" t="s">
        <v>197</v>
      </c>
      <c r="L96" s="77"/>
    </row>
    <row r="97" spans="1:12" s="5" customFormat="1" ht="48.75" customHeight="1" x14ac:dyDescent="0.2">
      <c r="A97" s="47">
        <v>90</v>
      </c>
      <c r="B97" s="53" t="s">
        <v>99</v>
      </c>
      <c r="C97" s="47" t="s">
        <v>61</v>
      </c>
      <c r="D97" s="60">
        <v>3.7999999999999999E-2</v>
      </c>
      <c r="E97" s="48" t="s">
        <v>44</v>
      </c>
      <c r="F97" s="55">
        <v>46448</v>
      </c>
      <c r="G97" s="56" t="s">
        <v>158</v>
      </c>
      <c r="H97" s="57">
        <v>275655.73770491802</v>
      </c>
      <c r="I97" s="42">
        <f t="shared" si="2"/>
        <v>10474.918032786885</v>
      </c>
      <c r="J97" s="49">
        <f t="shared" si="3"/>
        <v>12779.4</v>
      </c>
      <c r="K97" s="59" t="s">
        <v>197</v>
      </c>
      <c r="L97" s="77"/>
    </row>
    <row r="98" spans="1:12" s="5" customFormat="1" ht="48.75" customHeight="1" x14ac:dyDescent="0.2">
      <c r="A98" s="47">
        <v>91</v>
      </c>
      <c r="B98" s="53" t="s">
        <v>100</v>
      </c>
      <c r="C98" s="47" t="s">
        <v>61</v>
      </c>
      <c r="D98" s="54">
        <v>0.1</v>
      </c>
      <c r="E98" s="48" t="s">
        <v>44</v>
      </c>
      <c r="F98" s="55">
        <v>46448</v>
      </c>
      <c r="G98" s="56" t="s">
        <v>159</v>
      </c>
      <c r="H98" s="57">
        <v>128688.52459016394</v>
      </c>
      <c r="I98" s="42">
        <f t="shared" si="2"/>
        <v>12868.852459016394</v>
      </c>
      <c r="J98" s="49">
        <f t="shared" si="3"/>
        <v>15700</v>
      </c>
      <c r="K98" s="59" t="s">
        <v>197</v>
      </c>
      <c r="L98" s="77"/>
    </row>
    <row r="99" spans="1:12" s="5" customFormat="1" ht="48.75" customHeight="1" x14ac:dyDescent="0.2">
      <c r="A99" s="47">
        <v>92</v>
      </c>
      <c r="B99" s="53" t="s">
        <v>63</v>
      </c>
      <c r="C99" s="47" t="s">
        <v>61</v>
      </c>
      <c r="D99" s="54">
        <v>0.1</v>
      </c>
      <c r="E99" s="48" t="s">
        <v>44</v>
      </c>
      <c r="F99" s="55">
        <v>46448</v>
      </c>
      <c r="G99" s="56" t="s">
        <v>122</v>
      </c>
      <c r="H99" s="57">
        <v>145081.96721311475</v>
      </c>
      <c r="I99" s="42">
        <f t="shared" si="2"/>
        <v>14508.196721311477</v>
      </c>
      <c r="J99" s="49">
        <f t="shared" si="3"/>
        <v>17700</v>
      </c>
      <c r="K99" s="59" t="s">
        <v>197</v>
      </c>
      <c r="L99" s="77"/>
    </row>
    <row r="100" spans="1:12" s="5" customFormat="1" ht="48.75" customHeight="1" x14ac:dyDescent="0.2">
      <c r="A100" s="47">
        <v>93</v>
      </c>
      <c r="B100" s="53" t="s">
        <v>63</v>
      </c>
      <c r="C100" s="47" t="s">
        <v>61</v>
      </c>
      <c r="D100" s="54">
        <v>0.1</v>
      </c>
      <c r="E100" s="48" t="s">
        <v>44</v>
      </c>
      <c r="F100" s="55">
        <v>46539</v>
      </c>
      <c r="G100" s="56" t="s">
        <v>122</v>
      </c>
      <c r="H100" s="57">
        <v>145081.96721311475</v>
      </c>
      <c r="I100" s="42">
        <f t="shared" si="2"/>
        <v>14508.196721311477</v>
      </c>
      <c r="J100" s="49">
        <f t="shared" si="3"/>
        <v>17700</v>
      </c>
      <c r="K100" s="59" t="s">
        <v>197</v>
      </c>
      <c r="L100" s="77"/>
    </row>
    <row r="101" spans="1:12" s="5" customFormat="1" ht="48.75" customHeight="1" x14ac:dyDescent="0.2">
      <c r="A101" s="47">
        <v>94</v>
      </c>
      <c r="B101" s="53" t="s">
        <v>62</v>
      </c>
      <c r="C101" s="47" t="s">
        <v>61</v>
      </c>
      <c r="D101" s="54">
        <v>0.1</v>
      </c>
      <c r="E101" s="48" t="s">
        <v>44</v>
      </c>
      <c r="F101" s="55">
        <v>46539</v>
      </c>
      <c r="G101" s="56" t="s">
        <v>121</v>
      </c>
      <c r="H101" s="57">
        <v>116393.44262295082</v>
      </c>
      <c r="I101" s="42">
        <f t="shared" si="2"/>
        <v>11639.344262295082</v>
      </c>
      <c r="J101" s="49">
        <f t="shared" si="3"/>
        <v>14200</v>
      </c>
      <c r="K101" s="59" t="s">
        <v>197</v>
      </c>
      <c r="L101" s="77"/>
    </row>
    <row r="102" spans="1:12" s="5" customFormat="1" ht="48.75" customHeight="1" x14ac:dyDescent="0.2">
      <c r="A102" s="47">
        <v>95</v>
      </c>
      <c r="B102" s="53" t="s">
        <v>99</v>
      </c>
      <c r="C102" s="47" t="s">
        <v>61</v>
      </c>
      <c r="D102" s="54">
        <v>0.05</v>
      </c>
      <c r="E102" s="48" t="s">
        <v>44</v>
      </c>
      <c r="F102" s="55">
        <v>46539</v>
      </c>
      <c r="G102" s="56" t="s">
        <v>158</v>
      </c>
      <c r="H102" s="57">
        <v>275655.73770491802</v>
      </c>
      <c r="I102" s="42">
        <f t="shared" si="2"/>
        <v>13782.786885245901</v>
      </c>
      <c r="J102" s="49">
        <f t="shared" si="3"/>
        <v>16815</v>
      </c>
      <c r="K102" s="59" t="s">
        <v>197</v>
      </c>
      <c r="L102" s="77"/>
    </row>
    <row r="103" spans="1:12" s="5" customFormat="1" ht="48.75" customHeight="1" x14ac:dyDescent="0.2">
      <c r="A103" s="47">
        <v>96</v>
      </c>
      <c r="B103" s="53" t="s">
        <v>62</v>
      </c>
      <c r="C103" s="47" t="s">
        <v>61</v>
      </c>
      <c r="D103" s="54">
        <v>0.05</v>
      </c>
      <c r="E103" s="48" t="s">
        <v>44</v>
      </c>
      <c r="F103" s="55">
        <v>46539</v>
      </c>
      <c r="G103" s="56" t="s">
        <v>121</v>
      </c>
      <c r="H103" s="57">
        <v>116393.44262295082</v>
      </c>
      <c r="I103" s="42">
        <f t="shared" si="2"/>
        <v>5819.6721311475412</v>
      </c>
      <c r="J103" s="49">
        <f t="shared" si="3"/>
        <v>7100</v>
      </c>
      <c r="K103" s="59" t="s">
        <v>197</v>
      </c>
      <c r="L103" s="77"/>
    </row>
    <row r="104" spans="1:12" s="5" customFormat="1" ht="48.75" customHeight="1" x14ac:dyDescent="0.2">
      <c r="A104" s="47">
        <v>97</v>
      </c>
      <c r="B104" s="53" t="s">
        <v>62</v>
      </c>
      <c r="C104" s="47" t="s">
        <v>61</v>
      </c>
      <c r="D104" s="54">
        <v>0.05</v>
      </c>
      <c r="E104" s="48" t="s">
        <v>44</v>
      </c>
      <c r="F104" s="55">
        <v>46570</v>
      </c>
      <c r="G104" s="56" t="s">
        <v>121</v>
      </c>
      <c r="H104" s="57">
        <v>116393.44262295082</v>
      </c>
      <c r="I104" s="42">
        <f t="shared" si="2"/>
        <v>5819.6721311475412</v>
      </c>
      <c r="J104" s="49">
        <f t="shared" si="3"/>
        <v>7100</v>
      </c>
      <c r="K104" s="59" t="s">
        <v>197</v>
      </c>
      <c r="L104" s="77"/>
    </row>
    <row r="105" spans="1:12" s="5" customFormat="1" ht="48.75" customHeight="1" x14ac:dyDescent="0.2">
      <c r="A105" s="47">
        <v>98</v>
      </c>
      <c r="B105" s="53" t="s">
        <v>63</v>
      </c>
      <c r="C105" s="47" t="s">
        <v>61</v>
      </c>
      <c r="D105" s="54">
        <v>0.2</v>
      </c>
      <c r="E105" s="48" t="s">
        <v>44</v>
      </c>
      <c r="F105" s="55">
        <v>46570</v>
      </c>
      <c r="G105" s="56" t="s">
        <v>122</v>
      </c>
      <c r="H105" s="57">
        <v>145081.96721311475</v>
      </c>
      <c r="I105" s="42">
        <f t="shared" si="2"/>
        <v>29016.393442622953</v>
      </c>
      <c r="J105" s="49">
        <f t="shared" si="3"/>
        <v>35400</v>
      </c>
      <c r="K105" s="59" t="s">
        <v>197</v>
      </c>
      <c r="L105" s="77"/>
    </row>
    <row r="106" spans="1:12" s="5" customFormat="1" ht="48.75" customHeight="1" x14ac:dyDescent="0.2">
      <c r="A106" s="47">
        <v>99</v>
      </c>
      <c r="B106" s="53" t="s">
        <v>62</v>
      </c>
      <c r="C106" s="47" t="s">
        <v>61</v>
      </c>
      <c r="D106" s="54">
        <v>0.05</v>
      </c>
      <c r="E106" s="48" t="s">
        <v>44</v>
      </c>
      <c r="F106" s="55">
        <v>46631</v>
      </c>
      <c r="G106" s="56" t="s">
        <v>121</v>
      </c>
      <c r="H106" s="57">
        <v>116393.44262295082</v>
      </c>
      <c r="I106" s="42">
        <f t="shared" si="2"/>
        <v>5819.6721311475412</v>
      </c>
      <c r="J106" s="49">
        <f t="shared" si="3"/>
        <v>7100</v>
      </c>
      <c r="K106" s="59" t="s">
        <v>197</v>
      </c>
      <c r="L106" s="77"/>
    </row>
    <row r="107" spans="1:12" s="5" customFormat="1" ht="48.75" customHeight="1" x14ac:dyDescent="0.2">
      <c r="A107" s="47">
        <v>100</v>
      </c>
      <c r="B107" s="53" t="s">
        <v>63</v>
      </c>
      <c r="C107" s="47" t="s">
        <v>61</v>
      </c>
      <c r="D107" s="54">
        <v>0.1</v>
      </c>
      <c r="E107" s="48" t="s">
        <v>44</v>
      </c>
      <c r="F107" s="55">
        <v>46631</v>
      </c>
      <c r="G107" s="56" t="s">
        <v>122</v>
      </c>
      <c r="H107" s="57">
        <v>145081.96721311475</v>
      </c>
      <c r="I107" s="42">
        <f t="shared" si="2"/>
        <v>14508.196721311477</v>
      </c>
      <c r="J107" s="49">
        <f t="shared" si="3"/>
        <v>17700</v>
      </c>
      <c r="K107" s="59" t="s">
        <v>197</v>
      </c>
      <c r="L107" s="77"/>
    </row>
    <row r="108" spans="1:12" s="5" customFormat="1" ht="48.75" customHeight="1" x14ac:dyDescent="0.2">
      <c r="A108" s="47">
        <v>101</v>
      </c>
      <c r="B108" s="53" t="s">
        <v>64</v>
      </c>
      <c r="C108" s="47" t="s">
        <v>61</v>
      </c>
      <c r="D108" s="54">
        <v>0.11</v>
      </c>
      <c r="E108" s="48" t="s">
        <v>44</v>
      </c>
      <c r="F108" s="55">
        <v>46494</v>
      </c>
      <c r="G108" s="56" t="s">
        <v>123</v>
      </c>
      <c r="H108" s="57">
        <v>128688.52459016394</v>
      </c>
      <c r="I108" s="42">
        <f t="shared" si="2"/>
        <v>14155.737704918034</v>
      </c>
      <c r="J108" s="49">
        <f t="shared" si="3"/>
        <v>17270</v>
      </c>
      <c r="K108" s="59" t="s">
        <v>197</v>
      </c>
      <c r="L108" s="77"/>
    </row>
    <row r="109" spans="1:12" s="5" customFormat="1" ht="48.75" customHeight="1" x14ac:dyDescent="0.2">
      <c r="A109" s="47">
        <v>102</v>
      </c>
      <c r="B109" s="53" t="s">
        <v>64</v>
      </c>
      <c r="C109" s="47" t="s">
        <v>61</v>
      </c>
      <c r="D109" s="54">
        <v>0.2</v>
      </c>
      <c r="E109" s="48" t="s">
        <v>44</v>
      </c>
      <c r="F109" s="55">
        <v>46478</v>
      </c>
      <c r="G109" s="56" t="s">
        <v>123</v>
      </c>
      <c r="H109" s="57">
        <v>128688.52459016394</v>
      </c>
      <c r="I109" s="42">
        <f t="shared" si="2"/>
        <v>25737.704918032789</v>
      </c>
      <c r="J109" s="49">
        <f t="shared" si="3"/>
        <v>31400</v>
      </c>
      <c r="K109" s="59" t="s">
        <v>197</v>
      </c>
      <c r="L109" s="77"/>
    </row>
    <row r="110" spans="1:12" s="5" customFormat="1" ht="48.75" customHeight="1" x14ac:dyDescent="0.2">
      <c r="A110" s="47">
        <v>103</v>
      </c>
      <c r="B110" s="53" t="s">
        <v>64</v>
      </c>
      <c r="C110" s="47" t="s">
        <v>61</v>
      </c>
      <c r="D110" s="54">
        <v>0.2</v>
      </c>
      <c r="E110" s="48" t="s">
        <v>44</v>
      </c>
      <c r="F110" s="55">
        <v>46601</v>
      </c>
      <c r="G110" s="56" t="s">
        <v>123</v>
      </c>
      <c r="H110" s="57">
        <v>128688.52459016394</v>
      </c>
      <c r="I110" s="42">
        <f t="shared" si="2"/>
        <v>25737.704918032789</v>
      </c>
      <c r="J110" s="49">
        <f t="shared" si="3"/>
        <v>31400</v>
      </c>
      <c r="K110" s="59" t="s">
        <v>197</v>
      </c>
      <c r="L110" s="77"/>
    </row>
    <row r="111" spans="1:12" s="5" customFormat="1" ht="48.75" customHeight="1" x14ac:dyDescent="0.2">
      <c r="A111" s="47">
        <v>104</v>
      </c>
      <c r="B111" s="53" t="s">
        <v>101</v>
      </c>
      <c r="C111" s="47" t="s">
        <v>61</v>
      </c>
      <c r="D111" s="54">
        <v>0.1</v>
      </c>
      <c r="E111" s="48" t="s">
        <v>44</v>
      </c>
      <c r="F111" s="55">
        <v>46358</v>
      </c>
      <c r="G111" s="56" t="s">
        <v>160</v>
      </c>
      <c r="H111" s="57">
        <v>265000</v>
      </c>
      <c r="I111" s="42">
        <f t="shared" si="2"/>
        <v>26500</v>
      </c>
      <c r="J111" s="49">
        <f t="shared" si="3"/>
        <v>32330</v>
      </c>
      <c r="K111" s="59" t="s">
        <v>54</v>
      </c>
      <c r="L111" s="77"/>
    </row>
    <row r="112" spans="1:12" s="5" customFormat="1" ht="48.75" customHeight="1" x14ac:dyDescent="0.2">
      <c r="A112" s="47">
        <v>105</v>
      </c>
      <c r="B112" s="53" t="s">
        <v>102</v>
      </c>
      <c r="C112" s="47" t="s">
        <v>61</v>
      </c>
      <c r="D112" s="54">
        <v>0.15</v>
      </c>
      <c r="E112" s="48" t="s">
        <v>44</v>
      </c>
      <c r="F112" s="55">
        <v>46358</v>
      </c>
      <c r="G112" s="56" t="s">
        <v>161</v>
      </c>
      <c r="H112" s="57">
        <v>192622.95081967214</v>
      </c>
      <c r="I112" s="42">
        <f t="shared" si="2"/>
        <v>28893.442622950821</v>
      </c>
      <c r="J112" s="49">
        <f t="shared" si="3"/>
        <v>35250</v>
      </c>
      <c r="K112" s="59" t="s">
        <v>54</v>
      </c>
      <c r="L112" s="77"/>
    </row>
    <row r="113" spans="1:12" s="5" customFormat="1" ht="48.75" customHeight="1" x14ac:dyDescent="0.2">
      <c r="A113" s="47">
        <v>106</v>
      </c>
      <c r="B113" s="53" t="s">
        <v>103</v>
      </c>
      <c r="C113" s="47" t="s">
        <v>61</v>
      </c>
      <c r="D113" s="60">
        <v>5.0000000000000001E-3</v>
      </c>
      <c r="E113" s="48" t="s">
        <v>44</v>
      </c>
      <c r="F113" s="55">
        <v>46389</v>
      </c>
      <c r="G113" s="56" t="s">
        <v>162</v>
      </c>
      <c r="H113" s="57">
        <v>203524.59016393442</v>
      </c>
      <c r="I113" s="42">
        <f t="shared" si="2"/>
        <v>1017.6229508196722</v>
      </c>
      <c r="J113" s="49">
        <f t="shared" si="3"/>
        <v>1241.5</v>
      </c>
      <c r="K113" s="59" t="s">
        <v>54</v>
      </c>
      <c r="L113" s="77"/>
    </row>
    <row r="114" spans="1:12" s="5" customFormat="1" ht="48.75" customHeight="1" x14ac:dyDescent="0.2">
      <c r="A114" s="47">
        <v>107</v>
      </c>
      <c r="B114" s="53" t="s">
        <v>104</v>
      </c>
      <c r="C114" s="47" t="s">
        <v>61</v>
      </c>
      <c r="D114" s="60">
        <v>4.0000000000000001E-3</v>
      </c>
      <c r="E114" s="48" t="s">
        <v>44</v>
      </c>
      <c r="F114" s="55">
        <v>46389</v>
      </c>
      <c r="G114" s="56" t="s">
        <v>163</v>
      </c>
      <c r="H114" s="57">
        <v>118852.45901639345</v>
      </c>
      <c r="I114" s="42">
        <f t="shared" si="2"/>
        <v>475.40983606557381</v>
      </c>
      <c r="J114" s="49">
        <f t="shared" si="3"/>
        <v>580</v>
      </c>
      <c r="K114" s="59" t="s">
        <v>197</v>
      </c>
      <c r="L114" s="77"/>
    </row>
    <row r="115" spans="1:12" s="5" customFormat="1" ht="48.75" customHeight="1" x14ac:dyDescent="0.2">
      <c r="A115" s="47">
        <v>108</v>
      </c>
      <c r="B115" s="53" t="s">
        <v>103</v>
      </c>
      <c r="C115" s="47" t="s">
        <v>61</v>
      </c>
      <c r="D115" s="60">
        <v>5.0000000000000001E-3</v>
      </c>
      <c r="E115" s="48" t="s">
        <v>44</v>
      </c>
      <c r="F115" s="55">
        <v>46389</v>
      </c>
      <c r="G115" s="56" t="s">
        <v>162</v>
      </c>
      <c r="H115" s="57">
        <v>203524.59016393442</v>
      </c>
      <c r="I115" s="42">
        <f t="shared" si="2"/>
        <v>1017.6229508196722</v>
      </c>
      <c r="J115" s="49">
        <f t="shared" si="3"/>
        <v>1241.5</v>
      </c>
      <c r="K115" s="59" t="s">
        <v>54</v>
      </c>
      <c r="L115" s="77"/>
    </row>
    <row r="116" spans="1:12" s="5" customFormat="1" ht="48.75" customHeight="1" x14ac:dyDescent="0.2">
      <c r="A116" s="47">
        <v>109</v>
      </c>
      <c r="B116" s="53" t="s">
        <v>104</v>
      </c>
      <c r="C116" s="47" t="s">
        <v>61</v>
      </c>
      <c r="D116" s="60">
        <v>4.0000000000000001E-3</v>
      </c>
      <c r="E116" s="48" t="s">
        <v>44</v>
      </c>
      <c r="F116" s="55">
        <v>46389</v>
      </c>
      <c r="G116" s="56" t="s">
        <v>163</v>
      </c>
      <c r="H116" s="57">
        <v>118852.45901639345</v>
      </c>
      <c r="I116" s="42">
        <f t="shared" si="2"/>
        <v>475.40983606557381</v>
      </c>
      <c r="J116" s="49">
        <f t="shared" si="3"/>
        <v>580</v>
      </c>
      <c r="K116" s="59" t="s">
        <v>197</v>
      </c>
      <c r="L116" s="77"/>
    </row>
    <row r="117" spans="1:12" s="5" customFormat="1" ht="48.75" customHeight="1" x14ac:dyDescent="0.2">
      <c r="A117" s="47">
        <v>110</v>
      </c>
      <c r="B117" s="53" t="s">
        <v>103</v>
      </c>
      <c r="C117" s="47" t="s">
        <v>61</v>
      </c>
      <c r="D117" s="60">
        <v>5.0000000000000001E-3</v>
      </c>
      <c r="E117" s="48" t="s">
        <v>44</v>
      </c>
      <c r="F117" s="55">
        <v>46389</v>
      </c>
      <c r="G117" s="56" t="s">
        <v>162</v>
      </c>
      <c r="H117" s="57">
        <v>203524.59016393442</v>
      </c>
      <c r="I117" s="42">
        <f t="shared" si="2"/>
        <v>1017.6229508196722</v>
      </c>
      <c r="J117" s="49">
        <f t="shared" si="3"/>
        <v>1241.5</v>
      </c>
      <c r="K117" s="59" t="s">
        <v>54</v>
      </c>
      <c r="L117" s="77"/>
    </row>
    <row r="118" spans="1:12" s="5" customFormat="1" ht="48.75" customHeight="1" x14ac:dyDescent="0.2">
      <c r="A118" s="47">
        <v>111</v>
      </c>
      <c r="B118" s="53" t="s">
        <v>104</v>
      </c>
      <c r="C118" s="47" t="s">
        <v>61</v>
      </c>
      <c r="D118" s="60">
        <v>4.0000000000000001E-3</v>
      </c>
      <c r="E118" s="48" t="s">
        <v>44</v>
      </c>
      <c r="F118" s="55">
        <v>46389</v>
      </c>
      <c r="G118" s="56" t="s">
        <v>163</v>
      </c>
      <c r="H118" s="57">
        <v>118852.45901639345</v>
      </c>
      <c r="I118" s="42">
        <f t="shared" si="2"/>
        <v>475.40983606557381</v>
      </c>
      <c r="J118" s="49">
        <f t="shared" si="3"/>
        <v>580</v>
      </c>
      <c r="K118" s="59" t="s">
        <v>197</v>
      </c>
      <c r="L118" s="77"/>
    </row>
    <row r="119" spans="1:12" s="5" customFormat="1" ht="48.75" customHeight="1" x14ac:dyDescent="0.2">
      <c r="A119" s="47">
        <v>112</v>
      </c>
      <c r="B119" s="53" t="s">
        <v>103</v>
      </c>
      <c r="C119" s="47" t="s">
        <v>61</v>
      </c>
      <c r="D119" s="60">
        <v>5.0000000000000001E-3</v>
      </c>
      <c r="E119" s="48" t="s">
        <v>44</v>
      </c>
      <c r="F119" s="55">
        <v>46389</v>
      </c>
      <c r="G119" s="56" t="s">
        <v>162</v>
      </c>
      <c r="H119" s="57">
        <v>203524.59016393442</v>
      </c>
      <c r="I119" s="42">
        <f t="shared" si="2"/>
        <v>1017.6229508196722</v>
      </c>
      <c r="J119" s="49">
        <f t="shared" si="3"/>
        <v>1241.5</v>
      </c>
      <c r="K119" s="59" t="s">
        <v>54</v>
      </c>
      <c r="L119" s="77"/>
    </row>
    <row r="120" spans="1:12" s="5" customFormat="1" ht="48.75" customHeight="1" x14ac:dyDescent="0.2">
      <c r="A120" s="47">
        <v>113</v>
      </c>
      <c r="B120" s="53" t="s">
        <v>104</v>
      </c>
      <c r="C120" s="47" t="s">
        <v>61</v>
      </c>
      <c r="D120" s="60">
        <v>4.0000000000000001E-3</v>
      </c>
      <c r="E120" s="48" t="s">
        <v>44</v>
      </c>
      <c r="F120" s="55">
        <v>46389</v>
      </c>
      <c r="G120" s="56" t="s">
        <v>163</v>
      </c>
      <c r="H120" s="57">
        <v>118852.45901639345</v>
      </c>
      <c r="I120" s="42">
        <f t="shared" si="2"/>
        <v>475.40983606557381</v>
      </c>
      <c r="J120" s="49">
        <f t="shared" si="3"/>
        <v>580</v>
      </c>
      <c r="K120" s="59" t="s">
        <v>197</v>
      </c>
      <c r="L120" s="77"/>
    </row>
    <row r="121" spans="1:12" s="5" customFormat="1" ht="48.75" customHeight="1" x14ac:dyDescent="0.2">
      <c r="A121" s="47">
        <v>114</v>
      </c>
      <c r="B121" s="53" t="s">
        <v>66</v>
      </c>
      <c r="C121" s="47" t="s">
        <v>61</v>
      </c>
      <c r="D121" s="54">
        <v>0.17</v>
      </c>
      <c r="E121" s="48" t="s">
        <v>44</v>
      </c>
      <c r="F121" s="55">
        <v>46389</v>
      </c>
      <c r="G121" s="56" t="s">
        <v>125</v>
      </c>
      <c r="H121" s="57">
        <v>118852.45901639345</v>
      </c>
      <c r="I121" s="42">
        <f t="shared" si="2"/>
        <v>20204.918032786889</v>
      </c>
      <c r="J121" s="49">
        <f t="shared" si="3"/>
        <v>24650.000000000004</v>
      </c>
      <c r="K121" s="59" t="s">
        <v>197</v>
      </c>
      <c r="L121" s="77"/>
    </row>
    <row r="122" spans="1:12" s="5" customFormat="1" ht="48.75" customHeight="1" x14ac:dyDescent="0.2">
      <c r="A122" s="47">
        <v>115</v>
      </c>
      <c r="B122" s="53" t="s">
        <v>71</v>
      </c>
      <c r="C122" s="47" t="s">
        <v>61</v>
      </c>
      <c r="D122" s="54">
        <v>0.02</v>
      </c>
      <c r="E122" s="48" t="s">
        <v>44</v>
      </c>
      <c r="F122" s="55">
        <v>46417</v>
      </c>
      <c r="G122" s="56" t="s">
        <v>130</v>
      </c>
      <c r="H122" s="57">
        <v>274590.16393442621</v>
      </c>
      <c r="I122" s="42">
        <f t="shared" si="2"/>
        <v>5491.8032786885242</v>
      </c>
      <c r="J122" s="49">
        <f t="shared" si="3"/>
        <v>6699.9999999999991</v>
      </c>
      <c r="K122" s="59" t="s">
        <v>197</v>
      </c>
      <c r="L122" s="77"/>
    </row>
    <row r="123" spans="1:12" s="5" customFormat="1" ht="48.75" customHeight="1" x14ac:dyDescent="0.2">
      <c r="A123" s="47">
        <v>116</v>
      </c>
      <c r="B123" s="53" t="s">
        <v>105</v>
      </c>
      <c r="C123" s="47" t="s">
        <v>61</v>
      </c>
      <c r="D123" s="54">
        <v>0.15</v>
      </c>
      <c r="E123" s="48" t="s">
        <v>44</v>
      </c>
      <c r="F123" s="55">
        <v>46478</v>
      </c>
      <c r="G123" s="56" t="s">
        <v>164</v>
      </c>
      <c r="H123" s="57">
        <v>118852.45901639345</v>
      </c>
      <c r="I123" s="42">
        <f t="shared" si="2"/>
        <v>17827.868852459018</v>
      </c>
      <c r="J123" s="49">
        <f t="shared" si="3"/>
        <v>21750</v>
      </c>
      <c r="K123" s="59" t="s">
        <v>54</v>
      </c>
      <c r="L123" s="77"/>
    </row>
    <row r="124" spans="1:12" s="5" customFormat="1" ht="48.75" customHeight="1" x14ac:dyDescent="0.2">
      <c r="A124" s="47">
        <v>117</v>
      </c>
      <c r="B124" s="53" t="s">
        <v>25</v>
      </c>
      <c r="C124" s="47" t="s">
        <v>61</v>
      </c>
      <c r="D124" s="60">
        <v>0.14399999999999999</v>
      </c>
      <c r="E124" s="48" t="s">
        <v>44</v>
      </c>
      <c r="F124" s="55">
        <v>46478</v>
      </c>
      <c r="G124" s="56" t="s">
        <v>36</v>
      </c>
      <c r="H124" s="57">
        <v>118852.45901639345</v>
      </c>
      <c r="I124" s="42">
        <f t="shared" si="2"/>
        <v>17114.754098360656</v>
      </c>
      <c r="J124" s="49">
        <f t="shared" si="3"/>
        <v>20880</v>
      </c>
      <c r="K124" s="59" t="s">
        <v>197</v>
      </c>
      <c r="L124" s="77"/>
    </row>
    <row r="125" spans="1:12" s="5" customFormat="1" ht="48.75" customHeight="1" x14ac:dyDescent="0.2">
      <c r="A125" s="47">
        <v>118</v>
      </c>
      <c r="B125" s="53" t="s">
        <v>104</v>
      </c>
      <c r="C125" s="47" t="s">
        <v>61</v>
      </c>
      <c r="D125" s="54">
        <v>0.04</v>
      </c>
      <c r="E125" s="48" t="s">
        <v>44</v>
      </c>
      <c r="F125" s="55">
        <v>46478</v>
      </c>
      <c r="G125" s="56" t="s">
        <v>163</v>
      </c>
      <c r="H125" s="57">
        <v>118852.45901639345</v>
      </c>
      <c r="I125" s="42">
        <f t="shared" si="2"/>
        <v>4754.0983606557384</v>
      </c>
      <c r="J125" s="49">
        <f t="shared" si="3"/>
        <v>5800.0000000000009</v>
      </c>
      <c r="K125" s="59" t="s">
        <v>197</v>
      </c>
      <c r="L125" s="77"/>
    </row>
    <row r="126" spans="1:12" s="5" customFormat="1" ht="48.75" customHeight="1" x14ac:dyDescent="0.2">
      <c r="A126" s="47">
        <v>119</v>
      </c>
      <c r="B126" s="53" t="s">
        <v>66</v>
      </c>
      <c r="C126" s="47" t="s">
        <v>61</v>
      </c>
      <c r="D126" s="54">
        <v>0.16</v>
      </c>
      <c r="E126" s="48" t="s">
        <v>44</v>
      </c>
      <c r="F126" s="55">
        <v>46478</v>
      </c>
      <c r="G126" s="56" t="s">
        <v>125</v>
      </c>
      <c r="H126" s="57">
        <v>118852.45901639345</v>
      </c>
      <c r="I126" s="42">
        <f t="shared" si="2"/>
        <v>19016.393442622953</v>
      </c>
      <c r="J126" s="49">
        <f t="shared" si="3"/>
        <v>23200.000000000004</v>
      </c>
      <c r="K126" s="59" t="s">
        <v>197</v>
      </c>
      <c r="L126" s="77"/>
    </row>
    <row r="127" spans="1:12" s="5" customFormat="1" ht="48.75" customHeight="1" x14ac:dyDescent="0.2">
      <c r="A127" s="47">
        <v>120</v>
      </c>
      <c r="B127" s="53" t="s">
        <v>71</v>
      </c>
      <c r="C127" s="47" t="s">
        <v>61</v>
      </c>
      <c r="D127" s="54">
        <v>0.03</v>
      </c>
      <c r="E127" s="48" t="s">
        <v>44</v>
      </c>
      <c r="F127" s="55">
        <v>46509</v>
      </c>
      <c r="G127" s="56" t="s">
        <v>130</v>
      </c>
      <c r="H127" s="57">
        <v>274590.16393442621</v>
      </c>
      <c r="I127" s="42">
        <f t="shared" si="2"/>
        <v>8237.7049180327867</v>
      </c>
      <c r="J127" s="49">
        <f t="shared" si="3"/>
        <v>10050</v>
      </c>
      <c r="K127" s="59" t="s">
        <v>197</v>
      </c>
      <c r="L127" s="77"/>
    </row>
    <row r="128" spans="1:12" s="5" customFormat="1" ht="48.75" customHeight="1" x14ac:dyDescent="0.2">
      <c r="A128" s="47">
        <v>121</v>
      </c>
      <c r="B128" s="53" t="s">
        <v>66</v>
      </c>
      <c r="C128" s="47" t="s">
        <v>61</v>
      </c>
      <c r="D128" s="54">
        <v>0.09</v>
      </c>
      <c r="E128" s="48" t="s">
        <v>44</v>
      </c>
      <c r="F128" s="55">
        <v>46509</v>
      </c>
      <c r="G128" s="56" t="s">
        <v>125</v>
      </c>
      <c r="H128" s="57">
        <v>118852.45901639345</v>
      </c>
      <c r="I128" s="42">
        <f t="shared" si="2"/>
        <v>10696.72131147541</v>
      </c>
      <c r="J128" s="49">
        <f t="shared" si="3"/>
        <v>13050</v>
      </c>
      <c r="K128" s="59" t="s">
        <v>197</v>
      </c>
      <c r="L128" s="77"/>
    </row>
    <row r="129" spans="1:12" s="5" customFormat="1" ht="48.75" customHeight="1" x14ac:dyDescent="0.2">
      <c r="A129" s="47">
        <v>122</v>
      </c>
      <c r="B129" s="53" t="s">
        <v>71</v>
      </c>
      <c r="C129" s="47" t="s">
        <v>61</v>
      </c>
      <c r="D129" s="60">
        <v>2.5000000000000001E-2</v>
      </c>
      <c r="E129" s="48" t="s">
        <v>44</v>
      </c>
      <c r="F129" s="55">
        <v>46509</v>
      </c>
      <c r="G129" s="56" t="s">
        <v>130</v>
      </c>
      <c r="H129" s="57">
        <v>274590.16393442621</v>
      </c>
      <c r="I129" s="42">
        <f t="shared" si="2"/>
        <v>6864.7540983606559</v>
      </c>
      <c r="J129" s="49">
        <f t="shared" si="3"/>
        <v>8375</v>
      </c>
      <c r="K129" s="59" t="s">
        <v>197</v>
      </c>
      <c r="L129" s="77"/>
    </row>
    <row r="130" spans="1:12" s="5" customFormat="1" ht="48.75" customHeight="1" x14ac:dyDescent="0.2">
      <c r="A130" s="47">
        <v>123</v>
      </c>
      <c r="B130" s="53" t="s">
        <v>106</v>
      </c>
      <c r="C130" s="47" t="s">
        <v>61</v>
      </c>
      <c r="D130" s="54">
        <v>0.02</v>
      </c>
      <c r="E130" s="48" t="s">
        <v>44</v>
      </c>
      <c r="F130" s="55">
        <v>46509</v>
      </c>
      <c r="G130" s="56" t="s">
        <v>165</v>
      </c>
      <c r="H130" s="57">
        <v>116393.44262295082</v>
      </c>
      <c r="I130" s="42">
        <f t="shared" si="2"/>
        <v>2327.8688524590166</v>
      </c>
      <c r="J130" s="49">
        <f t="shared" si="3"/>
        <v>2840</v>
      </c>
      <c r="K130" s="59" t="s">
        <v>197</v>
      </c>
      <c r="L130" s="77"/>
    </row>
    <row r="131" spans="1:12" s="5" customFormat="1" ht="48.75" customHeight="1" x14ac:dyDescent="0.2">
      <c r="A131" s="47">
        <v>124</v>
      </c>
      <c r="B131" s="53" t="s">
        <v>25</v>
      </c>
      <c r="C131" s="47" t="s">
        <v>61</v>
      </c>
      <c r="D131" s="54">
        <v>0.14000000000000001</v>
      </c>
      <c r="E131" s="48" t="s">
        <v>44</v>
      </c>
      <c r="F131" s="55">
        <v>46509</v>
      </c>
      <c r="G131" s="56" t="s">
        <v>36</v>
      </c>
      <c r="H131" s="57">
        <v>118852.45901639345</v>
      </c>
      <c r="I131" s="42">
        <f t="shared" si="2"/>
        <v>16639.344262295086</v>
      </c>
      <c r="J131" s="49">
        <f t="shared" si="3"/>
        <v>20300.000000000004</v>
      </c>
      <c r="K131" s="59" t="s">
        <v>197</v>
      </c>
      <c r="L131" s="77"/>
    </row>
    <row r="132" spans="1:12" s="5" customFormat="1" ht="48.75" customHeight="1" x14ac:dyDescent="0.2">
      <c r="A132" s="47">
        <v>125</v>
      </c>
      <c r="B132" s="53" t="s">
        <v>85</v>
      </c>
      <c r="C132" s="47" t="s">
        <v>61</v>
      </c>
      <c r="D132" s="54">
        <v>0.3</v>
      </c>
      <c r="E132" s="48" t="s">
        <v>44</v>
      </c>
      <c r="F132" s="55">
        <v>46509</v>
      </c>
      <c r="G132" s="56" t="s">
        <v>144</v>
      </c>
      <c r="H132" s="57">
        <v>120491.80327868853</v>
      </c>
      <c r="I132" s="42">
        <f t="shared" si="2"/>
        <v>36147.540983606559</v>
      </c>
      <c r="J132" s="49">
        <f t="shared" si="3"/>
        <v>44100</v>
      </c>
      <c r="K132" s="59" t="s">
        <v>197</v>
      </c>
      <c r="L132" s="77"/>
    </row>
    <row r="133" spans="1:12" s="5" customFormat="1" ht="48.75" customHeight="1" x14ac:dyDescent="0.2">
      <c r="A133" s="47">
        <v>126</v>
      </c>
      <c r="B133" s="53" t="s">
        <v>107</v>
      </c>
      <c r="C133" s="47" t="s">
        <v>61</v>
      </c>
      <c r="D133" s="54">
        <v>0.48</v>
      </c>
      <c r="E133" s="48" t="s">
        <v>44</v>
      </c>
      <c r="F133" s="55">
        <v>46509</v>
      </c>
      <c r="G133" s="56" t="s">
        <v>166</v>
      </c>
      <c r="H133" s="57">
        <v>143442.62295081967</v>
      </c>
      <c r="I133" s="42">
        <f t="shared" si="2"/>
        <v>68852.459016393434</v>
      </c>
      <c r="J133" s="49">
        <f t="shared" si="3"/>
        <v>83999.999999999985</v>
      </c>
      <c r="K133" s="59" t="s">
        <v>197</v>
      </c>
      <c r="L133" s="77"/>
    </row>
    <row r="134" spans="1:12" s="5" customFormat="1" ht="48.75" customHeight="1" x14ac:dyDescent="0.2">
      <c r="A134" s="47">
        <v>127</v>
      </c>
      <c r="B134" s="53" t="s">
        <v>71</v>
      </c>
      <c r="C134" s="47" t="s">
        <v>61</v>
      </c>
      <c r="D134" s="54">
        <v>0.11</v>
      </c>
      <c r="E134" s="48" t="s">
        <v>44</v>
      </c>
      <c r="F134" s="55">
        <v>46509</v>
      </c>
      <c r="G134" s="56" t="s">
        <v>130</v>
      </c>
      <c r="H134" s="57">
        <v>274590.16393442621</v>
      </c>
      <c r="I134" s="42">
        <f t="shared" si="2"/>
        <v>30204.918032786882</v>
      </c>
      <c r="J134" s="49">
        <f t="shared" si="3"/>
        <v>36849.999999999993</v>
      </c>
      <c r="K134" s="59" t="s">
        <v>197</v>
      </c>
      <c r="L134" s="77"/>
    </row>
    <row r="135" spans="1:12" s="5" customFormat="1" ht="48.75" customHeight="1" x14ac:dyDescent="0.2">
      <c r="A135" s="47">
        <v>128</v>
      </c>
      <c r="B135" s="53" t="s">
        <v>105</v>
      </c>
      <c r="C135" s="47" t="s">
        <v>61</v>
      </c>
      <c r="D135" s="54">
        <v>0.19</v>
      </c>
      <c r="E135" s="48" t="s">
        <v>44</v>
      </c>
      <c r="F135" s="55">
        <v>46539</v>
      </c>
      <c r="G135" s="56" t="s">
        <v>164</v>
      </c>
      <c r="H135" s="57">
        <v>118852.45901639345</v>
      </c>
      <c r="I135" s="42">
        <f t="shared" si="2"/>
        <v>22581.967213114756</v>
      </c>
      <c r="J135" s="49">
        <f t="shared" si="3"/>
        <v>27550.000000000004</v>
      </c>
      <c r="K135" s="59" t="s">
        <v>54</v>
      </c>
      <c r="L135" s="77"/>
    </row>
    <row r="136" spans="1:12" s="5" customFormat="1" ht="48.75" customHeight="1" x14ac:dyDescent="0.2">
      <c r="A136" s="47">
        <v>129</v>
      </c>
      <c r="B136" s="53" t="s">
        <v>108</v>
      </c>
      <c r="C136" s="47" t="s">
        <v>61</v>
      </c>
      <c r="D136" s="54">
        <v>0.32</v>
      </c>
      <c r="E136" s="48" t="s">
        <v>44</v>
      </c>
      <c r="F136" s="55">
        <v>46539</v>
      </c>
      <c r="G136" s="56" t="s">
        <v>167</v>
      </c>
      <c r="H136" s="57">
        <v>116393.44262295082</v>
      </c>
      <c r="I136" s="42">
        <f t="shared" si="2"/>
        <v>37245.901639344265</v>
      </c>
      <c r="J136" s="49">
        <f t="shared" si="3"/>
        <v>45440</v>
      </c>
      <c r="K136" s="59" t="s">
        <v>197</v>
      </c>
      <c r="L136" s="77"/>
    </row>
    <row r="137" spans="1:12" s="5" customFormat="1" ht="48.75" customHeight="1" x14ac:dyDescent="0.2">
      <c r="A137" s="47">
        <v>130</v>
      </c>
      <c r="B137" s="53" t="s">
        <v>85</v>
      </c>
      <c r="C137" s="47" t="s">
        <v>61</v>
      </c>
      <c r="D137" s="54">
        <v>0.03</v>
      </c>
      <c r="E137" s="48" t="s">
        <v>44</v>
      </c>
      <c r="F137" s="55">
        <v>46539</v>
      </c>
      <c r="G137" s="56" t="s">
        <v>144</v>
      </c>
      <c r="H137" s="57">
        <v>120491.80327868853</v>
      </c>
      <c r="I137" s="42">
        <f t="shared" ref="I137:I200" si="4">H137*D137</f>
        <v>3614.7540983606559</v>
      </c>
      <c r="J137" s="49">
        <f t="shared" ref="J137:J200" si="5">I137*1.22</f>
        <v>4410</v>
      </c>
      <c r="K137" s="59" t="s">
        <v>197</v>
      </c>
      <c r="L137" s="77"/>
    </row>
    <row r="138" spans="1:12" s="5" customFormat="1" ht="48.75" customHeight="1" x14ac:dyDescent="0.2">
      <c r="A138" s="47">
        <v>131</v>
      </c>
      <c r="B138" s="53" t="s">
        <v>103</v>
      </c>
      <c r="C138" s="47" t="s">
        <v>61</v>
      </c>
      <c r="D138" s="54">
        <v>0.03</v>
      </c>
      <c r="E138" s="48" t="s">
        <v>44</v>
      </c>
      <c r="F138" s="55">
        <v>46539</v>
      </c>
      <c r="G138" s="56" t="s">
        <v>162</v>
      </c>
      <c r="H138" s="57">
        <v>203524.59016393442</v>
      </c>
      <c r="I138" s="42">
        <f t="shared" si="4"/>
        <v>6105.7377049180323</v>
      </c>
      <c r="J138" s="49">
        <f t="shared" si="5"/>
        <v>7448.9999999999991</v>
      </c>
      <c r="K138" s="59" t="s">
        <v>54</v>
      </c>
      <c r="L138" s="77"/>
    </row>
    <row r="139" spans="1:12" s="5" customFormat="1" ht="48.75" customHeight="1" x14ac:dyDescent="0.2">
      <c r="A139" s="47">
        <v>132</v>
      </c>
      <c r="B139" s="53" t="s">
        <v>109</v>
      </c>
      <c r="C139" s="47" t="s">
        <v>61</v>
      </c>
      <c r="D139" s="54">
        <v>0.02</v>
      </c>
      <c r="E139" s="48" t="s">
        <v>44</v>
      </c>
      <c r="F139" s="55">
        <v>46539</v>
      </c>
      <c r="G139" s="56" t="s">
        <v>168</v>
      </c>
      <c r="H139" s="57">
        <v>161475.40983606558</v>
      </c>
      <c r="I139" s="42">
        <f t="shared" si="4"/>
        <v>3229.5081967213118</v>
      </c>
      <c r="J139" s="49">
        <f t="shared" si="5"/>
        <v>3940.0000000000005</v>
      </c>
      <c r="K139" s="59" t="s">
        <v>197</v>
      </c>
      <c r="L139" s="77"/>
    </row>
    <row r="140" spans="1:12" s="5" customFormat="1" ht="48.75" customHeight="1" x14ac:dyDescent="0.2">
      <c r="A140" s="47">
        <v>133</v>
      </c>
      <c r="B140" s="53" t="s">
        <v>102</v>
      </c>
      <c r="C140" s="47" t="s">
        <v>61</v>
      </c>
      <c r="D140" s="54">
        <v>0.09</v>
      </c>
      <c r="E140" s="48" t="s">
        <v>44</v>
      </c>
      <c r="F140" s="55">
        <v>46539</v>
      </c>
      <c r="G140" s="56" t="s">
        <v>161</v>
      </c>
      <c r="H140" s="57">
        <v>192622.95081967214</v>
      </c>
      <c r="I140" s="42">
        <f t="shared" si="4"/>
        <v>17336.065573770491</v>
      </c>
      <c r="J140" s="49">
        <f t="shared" si="5"/>
        <v>21150</v>
      </c>
      <c r="K140" s="59" t="s">
        <v>54</v>
      </c>
      <c r="L140" s="77"/>
    </row>
    <row r="141" spans="1:12" s="5" customFormat="1" ht="48.75" customHeight="1" x14ac:dyDescent="0.2">
      <c r="A141" s="47">
        <v>134</v>
      </c>
      <c r="B141" s="53" t="s">
        <v>104</v>
      </c>
      <c r="C141" s="47" t="s">
        <v>61</v>
      </c>
      <c r="D141" s="54">
        <v>0.09</v>
      </c>
      <c r="E141" s="48" t="s">
        <v>44</v>
      </c>
      <c r="F141" s="55">
        <v>46539</v>
      </c>
      <c r="G141" s="56" t="s">
        <v>163</v>
      </c>
      <c r="H141" s="57">
        <v>118852.45901639345</v>
      </c>
      <c r="I141" s="42">
        <f t="shared" si="4"/>
        <v>10696.72131147541</v>
      </c>
      <c r="J141" s="49">
        <f t="shared" si="5"/>
        <v>13050</v>
      </c>
      <c r="K141" s="59" t="s">
        <v>197</v>
      </c>
      <c r="L141" s="77"/>
    </row>
    <row r="142" spans="1:12" s="5" customFormat="1" ht="48.75" customHeight="1" x14ac:dyDescent="0.2">
      <c r="A142" s="47">
        <v>135</v>
      </c>
      <c r="B142" s="53" t="s">
        <v>66</v>
      </c>
      <c r="C142" s="47" t="s">
        <v>61</v>
      </c>
      <c r="D142" s="54">
        <v>0.09</v>
      </c>
      <c r="E142" s="48" t="s">
        <v>44</v>
      </c>
      <c r="F142" s="55">
        <v>46539</v>
      </c>
      <c r="G142" s="56" t="s">
        <v>125</v>
      </c>
      <c r="H142" s="57">
        <v>118852.45901639345</v>
      </c>
      <c r="I142" s="42">
        <f t="shared" si="4"/>
        <v>10696.72131147541</v>
      </c>
      <c r="J142" s="49">
        <f t="shared" si="5"/>
        <v>13050</v>
      </c>
      <c r="K142" s="59" t="s">
        <v>197</v>
      </c>
      <c r="L142" s="77"/>
    </row>
    <row r="143" spans="1:12" s="5" customFormat="1" ht="48.75" customHeight="1" x14ac:dyDescent="0.2">
      <c r="A143" s="47">
        <v>136</v>
      </c>
      <c r="B143" s="53" t="s">
        <v>29</v>
      </c>
      <c r="C143" s="47" t="s">
        <v>61</v>
      </c>
      <c r="D143" s="54">
        <v>0.1</v>
      </c>
      <c r="E143" s="48" t="s">
        <v>44</v>
      </c>
      <c r="F143" s="55">
        <v>46448</v>
      </c>
      <c r="G143" s="56" t="s">
        <v>41</v>
      </c>
      <c r="H143" s="57">
        <v>128688.52459016394</v>
      </c>
      <c r="I143" s="42">
        <f t="shared" si="4"/>
        <v>12868.852459016394</v>
      </c>
      <c r="J143" s="49">
        <f t="shared" si="5"/>
        <v>15700</v>
      </c>
      <c r="K143" s="59" t="s">
        <v>197</v>
      </c>
      <c r="L143" s="77"/>
    </row>
    <row r="144" spans="1:12" s="5" customFormat="1" ht="48.75" customHeight="1" x14ac:dyDescent="0.2">
      <c r="A144" s="47">
        <v>137</v>
      </c>
      <c r="B144" s="53" t="s">
        <v>88</v>
      </c>
      <c r="C144" s="47" t="s">
        <v>61</v>
      </c>
      <c r="D144" s="54">
        <v>0.7</v>
      </c>
      <c r="E144" s="48" t="s">
        <v>44</v>
      </c>
      <c r="F144" s="55">
        <v>46448</v>
      </c>
      <c r="G144" s="56" t="s">
        <v>147</v>
      </c>
      <c r="H144" s="57">
        <v>116393.44262295082</v>
      </c>
      <c r="I144" s="42">
        <f t="shared" si="4"/>
        <v>81475.409836065577</v>
      </c>
      <c r="J144" s="49">
        <f t="shared" si="5"/>
        <v>99400</v>
      </c>
      <c r="K144" s="59" t="s">
        <v>197</v>
      </c>
      <c r="L144" s="77"/>
    </row>
    <row r="145" spans="1:12" s="5" customFormat="1" ht="48.75" customHeight="1" x14ac:dyDescent="0.2">
      <c r="A145" s="47">
        <v>138</v>
      </c>
      <c r="B145" s="53" t="s">
        <v>110</v>
      </c>
      <c r="C145" s="47" t="s">
        <v>61</v>
      </c>
      <c r="D145" s="54">
        <v>0.05</v>
      </c>
      <c r="E145" s="48" t="s">
        <v>44</v>
      </c>
      <c r="F145" s="55">
        <v>46478</v>
      </c>
      <c r="G145" s="56" t="s">
        <v>169</v>
      </c>
      <c r="H145" s="57">
        <v>232786.88524590165</v>
      </c>
      <c r="I145" s="42">
        <f t="shared" si="4"/>
        <v>11639.344262295082</v>
      </c>
      <c r="J145" s="49">
        <f t="shared" si="5"/>
        <v>14200</v>
      </c>
      <c r="K145" s="59" t="s">
        <v>54</v>
      </c>
      <c r="L145" s="77"/>
    </row>
    <row r="146" spans="1:12" s="5" customFormat="1" ht="48.75" customHeight="1" x14ac:dyDescent="0.2">
      <c r="A146" s="47">
        <v>139</v>
      </c>
      <c r="B146" s="53" t="s">
        <v>70</v>
      </c>
      <c r="C146" s="47" t="s">
        <v>61</v>
      </c>
      <c r="D146" s="54">
        <v>0.05</v>
      </c>
      <c r="E146" s="48" t="s">
        <v>44</v>
      </c>
      <c r="F146" s="55">
        <v>46478</v>
      </c>
      <c r="G146" s="56" t="s">
        <v>129</v>
      </c>
      <c r="H146" s="57">
        <v>251065.57377049181</v>
      </c>
      <c r="I146" s="42">
        <f t="shared" si="4"/>
        <v>12553.278688524591</v>
      </c>
      <c r="J146" s="49">
        <f t="shared" si="5"/>
        <v>15315.000000000002</v>
      </c>
      <c r="K146" s="59" t="s">
        <v>197</v>
      </c>
      <c r="L146" s="77"/>
    </row>
    <row r="147" spans="1:12" s="5" customFormat="1" ht="48.75" customHeight="1" x14ac:dyDescent="0.2">
      <c r="A147" s="47">
        <v>140</v>
      </c>
      <c r="B147" s="53" t="s">
        <v>111</v>
      </c>
      <c r="C147" s="47" t="s">
        <v>61</v>
      </c>
      <c r="D147" s="54">
        <v>0.05</v>
      </c>
      <c r="E147" s="48" t="s">
        <v>44</v>
      </c>
      <c r="F147" s="55">
        <v>46478</v>
      </c>
      <c r="G147" s="56" t="s">
        <v>170</v>
      </c>
      <c r="H147" s="57">
        <v>219672.13114754099</v>
      </c>
      <c r="I147" s="42">
        <f t="shared" si="4"/>
        <v>10983.60655737705</v>
      </c>
      <c r="J147" s="49">
        <f t="shared" si="5"/>
        <v>13400.000000000002</v>
      </c>
      <c r="K147" s="59" t="s">
        <v>54</v>
      </c>
      <c r="L147" s="77"/>
    </row>
    <row r="148" spans="1:12" s="5" customFormat="1" ht="48.75" customHeight="1" x14ac:dyDescent="0.2">
      <c r="A148" s="47">
        <v>141</v>
      </c>
      <c r="B148" s="53" t="s">
        <v>88</v>
      </c>
      <c r="C148" s="47" t="s">
        <v>61</v>
      </c>
      <c r="D148" s="54">
        <v>0.5</v>
      </c>
      <c r="E148" s="48" t="s">
        <v>44</v>
      </c>
      <c r="F148" s="55">
        <v>46539</v>
      </c>
      <c r="G148" s="56" t="s">
        <v>147</v>
      </c>
      <c r="H148" s="57">
        <v>116393.44262295082</v>
      </c>
      <c r="I148" s="42">
        <f t="shared" si="4"/>
        <v>58196.721311475412</v>
      </c>
      <c r="J148" s="49">
        <f t="shared" si="5"/>
        <v>71000</v>
      </c>
      <c r="K148" s="59" t="s">
        <v>197</v>
      </c>
      <c r="L148" s="77"/>
    </row>
    <row r="149" spans="1:12" s="5" customFormat="1" ht="48.75" customHeight="1" x14ac:dyDescent="0.2">
      <c r="A149" s="47">
        <v>142</v>
      </c>
      <c r="B149" s="53" t="s">
        <v>30</v>
      </c>
      <c r="C149" s="47" t="s">
        <v>61</v>
      </c>
      <c r="D149" s="54">
        <v>0.3</v>
      </c>
      <c r="E149" s="48" t="s">
        <v>44</v>
      </c>
      <c r="F149" s="55">
        <v>46539</v>
      </c>
      <c r="G149" s="56" t="s">
        <v>39</v>
      </c>
      <c r="H149" s="57">
        <v>120491.80327868853</v>
      </c>
      <c r="I149" s="42">
        <f t="shared" si="4"/>
        <v>36147.540983606559</v>
      </c>
      <c r="J149" s="49">
        <f t="shared" si="5"/>
        <v>44100</v>
      </c>
      <c r="K149" s="59" t="s">
        <v>197</v>
      </c>
      <c r="L149" s="77"/>
    </row>
    <row r="150" spans="1:12" s="5" customFormat="1" ht="48.75" customHeight="1" x14ac:dyDescent="0.2">
      <c r="A150" s="47">
        <v>143</v>
      </c>
      <c r="B150" s="53" t="s">
        <v>25</v>
      </c>
      <c r="C150" s="47" t="s">
        <v>61</v>
      </c>
      <c r="D150" s="54">
        <v>0.3</v>
      </c>
      <c r="E150" s="48" t="s">
        <v>44</v>
      </c>
      <c r="F150" s="55">
        <v>46539</v>
      </c>
      <c r="G150" s="56" t="s">
        <v>36</v>
      </c>
      <c r="H150" s="57">
        <v>118852.45901639345</v>
      </c>
      <c r="I150" s="42">
        <f t="shared" si="4"/>
        <v>35655.737704918036</v>
      </c>
      <c r="J150" s="49">
        <f t="shared" si="5"/>
        <v>43500</v>
      </c>
      <c r="K150" s="59" t="s">
        <v>197</v>
      </c>
      <c r="L150" s="77"/>
    </row>
    <row r="151" spans="1:12" s="5" customFormat="1" ht="48.75" customHeight="1" x14ac:dyDescent="0.2">
      <c r="A151" s="47">
        <v>144</v>
      </c>
      <c r="B151" s="53" t="s">
        <v>94</v>
      </c>
      <c r="C151" s="47" t="s">
        <v>61</v>
      </c>
      <c r="D151" s="54">
        <v>0.5</v>
      </c>
      <c r="E151" s="48" t="s">
        <v>44</v>
      </c>
      <c r="F151" s="55">
        <v>46539</v>
      </c>
      <c r="G151" s="56" t="s">
        <v>153</v>
      </c>
      <c r="H151" s="57">
        <v>143442.62295081967</v>
      </c>
      <c r="I151" s="42">
        <f t="shared" si="4"/>
        <v>71721.311475409835</v>
      </c>
      <c r="J151" s="49">
        <f t="shared" si="5"/>
        <v>87500</v>
      </c>
      <c r="K151" s="59" t="s">
        <v>197</v>
      </c>
      <c r="L151" s="77"/>
    </row>
    <row r="152" spans="1:12" s="5" customFormat="1" ht="48.75" customHeight="1" x14ac:dyDescent="0.2">
      <c r="A152" s="47">
        <v>145</v>
      </c>
      <c r="B152" s="53" t="s">
        <v>32</v>
      </c>
      <c r="C152" s="47" t="s">
        <v>61</v>
      </c>
      <c r="D152" s="54">
        <v>0.1</v>
      </c>
      <c r="E152" s="48" t="s">
        <v>44</v>
      </c>
      <c r="F152" s="55">
        <v>46539</v>
      </c>
      <c r="G152" s="56" t="s">
        <v>43</v>
      </c>
      <c r="H152" s="57">
        <v>116393.44262295082</v>
      </c>
      <c r="I152" s="42">
        <f t="shared" si="4"/>
        <v>11639.344262295082</v>
      </c>
      <c r="J152" s="49">
        <f t="shared" si="5"/>
        <v>14200</v>
      </c>
      <c r="K152" s="59" t="s">
        <v>197</v>
      </c>
      <c r="L152" s="77"/>
    </row>
    <row r="153" spans="1:12" s="5" customFormat="1" ht="48.75" customHeight="1" x14ac:dyDescent="0.2">
      <c r="A153" s="47">
        <v>146</v>
      </c>
      <c r="B153" s="53" t="s">
        <v>26</v>
      </c>
      <c r="C153" s="47" t="s">
        <v>61</v>
      </c>
      <c r="D153" s="54">
        <v>1</v>
      </c>
      <c r="E153" s="48" t="s">
        <v>44</v>
      </c>
      <c r="F153" s="55">
        <v>46539</v>
      </c>
      <c r="G153" s="56" t="s">
        <v>35</v>
      </c>
      <c r="H153" s="57">
        <v>116393.44262295082</v>
      </c>
      <c r="I153" s="42">
        <f t="shared" si="4"/>
        <v>116393.44262295082</v>
      </c>
      <c r="J153" s="49">
        <f t="shared" si="5"/>
        <v>142000</v>
      </c>
      <c r="K153" s="59" t="s">
        <v>197</v>
      </c>
      <c r="L153" s="77"/>
    </row>
    <row r="154" spans="1:12" s="5" customFormat="1" ht="48.75" customHeight="1" x14ac:dyDescent="0.2">
      <c r="A154" s="47">
        <v>147</v>
      </c>
      <c r="B154" s="53" t="s">
        <v>28</v>
      </c>
      <c r="C154" s="47" t="s">
        <v>61</v>
      </c>
      <c r="D154" s="54">
        <v>0.3</v>
      </c>
      <c r="E154" s="48" t="s">
        <v>44</v>
      </c>
      <c r="F154" s="55">
        <v>46539</v>
      </c>
      <c r="G154" s="56" t="s">
        <v>50</v>
      </c>
      <c r="H154" s="57">
        <v>116393.44262295082</v>
      </c>
      <c r="I154" s="42">
        <f t="shared" si="4"/>
        <v>34918.032786885247</v>
      </c>
      <c r="J154" s="49">
        <f t="shared" si="5"/>
        <v>42600</v>
      </c>
      <c r="K154" s="59" t="s">
        <v>197</v>
      </c>
      <c r="L154" s="77"/>
    </row>
    <row r="155" spans="1:12" s="5" customFormat="1" ht="48.75" customHeight="1" x14ac:dyDescent="0.2">
      <c r="A155" s="47">
        <v>148</v>
      </c>
      <c r="B155" s="53" t="s">
        <v>75</v>
      </c>
      <c r="C155" s="47" t="s">
        <v>61</v>
      </c>
      <c r="D155" s="54">
        <v>0.38</v>
      </c>
      <c r="E155" s="48" t="s">
        <v>181</v>
      </c>
      <c r="F155" s="55">
        <v>46448</v>
      </c>
      <c r="G155" s="56" t="s">
        <v>134</v>
      </c>
      <c r="H155" s="57">
        <v>116393.44262295082</v>
      </c>
      <c r="I155" s="42">
        <f t="shared" si="4"/>
        <v>44229.508196721312</v>
      </c>
      <c r="J155" s="49">
        <f t="shared" si="5"/>
        <v>53960</v>
      </c>
      <c r="K155" s="59" t="s">
        <v>197</v>
      </c>
      <c r="L155" s="77"/>
    </row>
    <row r="156" spans="1:12" s="5" customFormat="1" ht="48.75" customHeight="1" x14ac:dyDescent="0.2">
      <c r="A156" s="47">
        <v>149</v>
      </c>
      <c r="B156" s="53" t="s">
        <v>98</v>
      </c>
      <c r="C156" s="47" t="s">
        <v>61</v>
      </c>
      <c r="D156" s="54">
        <v>0.25</v>
      </c>
      <c r="E156" s="48" t="s">
        <v>181</v>
      </c>
      <c r="F156" s="55">
        <v>46509</v>
      </c>
      <c r="G156" s="56" t="s">
        <v>157</v>
      </c>
      <c r="H156" s="57">
        <v>157377.04918032789</v>
      </c>
      <c r="I156" s="42">
        <f t="shared" si="4"/>
        <v>39344.262295081971</v>
      </c>
      <c r="J156" s="49">
        <f t="shared" si="5"/>
        <v>48000.000000000007</v>
      </c>
      <c r="K156" s="59" t="s">
        <v>197</v>
      </c>
      <c r="L156" s="77"/>
    </row>
    <row r="157" spans="1:12" s="5" customFormat="1" ht="48.75" customHeight="1" x14ac:dyDescent="0.2">
      <c r="A157" s="47">
        <v>150</v>
      </c>
      <c r="B157" s="53" t="s">
        <v>27</v>
      </c>
      <c r="C157" s="47" t="s">
        <v>61</v>
      </c>
      <c r="D157" s="54">
        <v>0.1</v>
      </c>
      <c r="E157" s="48" t="s">
        <v>181</v>
      </c>
      <c r="F157" s="55">
        <v>46448</v>
      </c>
      <c r="G157" s="56" t="s">
        <v>40</v>
      </c>
      <c r="H157" s="57">
        <v>128688.52459016394</v>
      </c>
      <c r="I157" s="42">
        <f t="shared" si="4"/>
        <v>12868.852459016394</v>
      </c>
      <c r="J157" s="49">
        <f t="shared" si="5"/>
        <v>15700</v>
      </c>
      <c r="K157" s="59" t="s">
        <v>197</v>
      </c>
      <c r="L157" s="77"/>
    </row>
    <row r="158" spans="1:12" s="5" customFormat="1" ht="48.75" customHeight="1" x14ac:dyDescent="0.2">
      <c r="A158" s="47">
        <v>151</v>
      </c>
      <c r="B158" s="53" t="s">
        <v>88</v>
      </c>
      <c r="C158" s="47" t="s">
        <v>61</v>
      </c>
      <c r="D158" s="54">
        <v>0.25</v>
      </c>
      <c r="E158" s="48" t="s">
        <v>182</v>
      </c>
      <c r="F158" s="55">
        <v>46389</v>
      </c>
      <c r="G158" s="56" t="s">
        <v>147</v>
      </c>
      <c r="H158" s="57">
        <v>116393.44262295082</v>
      </c>
      <c r="I158" s="42">
        <f t="shared" si="4"/>
        <v>29098.360655737706</v>
      </c>
      <c r="J158" s="49">
        <f t="shared" si="5"/>
        <v>35500</v>
      </c>
      <c r="K158" s="59" t="s">
        <v>197</v>
      </c>
      <c r="L158" s="77"/>
    </row>
    <row r="159" spans="1:12" s="5" customFormat="1" ht="48.75" customHeight="1" x14ac:dyDescent="0.2">
      <c r="A159" s="47">
        <v>152</v>
      </c>
      <c r="B159" s="53" t="s">
        <v>27</v>
      </c>
      <c r="C159" s="47" t="s">
        <v>61</v>
      </c>
      <c r="D159" s="54">
        <v>0.1</v>
      </c>
      <c r="E159" s="48" t="s">
        <v>182</v>
      </c>
      <c r="F159" s="55">
        <v>46389</v>
      </c>
      <c r="G159" s="56" t="s">
        <v>40</v>
      </c>
      <c r="H159" s="57">
        <v>128688.52459016394</v>
      </c>
      <c r="I159" s="42">
        <f t="shared" si="4"/>
        <v>12868.852459016394</v>
      </c>
      <c r="J159" s="49">
        <f t="shared" si="5"/>
        <v>15700</v>
      </c>
      <c r="K159" s="59" t="s">
        <v>197</v>
      </c>
      <c r="L159" s="77"/>
    </row>
    <row r="160" spans="1:12" s="5" customFormat="1" ht="48.75" customHeight="1" x14ac:dyDescent="0.2">
      <c r="A160" s="47">
        <v>153</v>
      </c>
      <c r="B160" s="53" t="s">
        <v>28</v>
      </c>
      <c r="C160" s="47" t="s">
        <v>61</v>
      </c>
      <c r="D160" s="54">
        <v>0.2</v>
      </c>
      <c r="E160" s="48" t="s">
        <v>182</v>
      </c>
      <c r="F160" s="55">
        <v>46389</v>
      </c>
      <c r="G160" s="56" t="s">
        <v>50</v>
      </c>
      <c r="H160" s="57">
        <v>116393.44262295082</v>
      </c>
      <c r="I160" s="42">
        <f t="shared" si="4"/>
        <v>23278.688524590165</v>
      </c>
      <c r="J160" s="49">
        <f t="shared" si="5"/>
        <v>28400</v>
      </c>
      <c r="K160" s="59" t="s">
        <v>197</v>
      </c>
      <c r="L160" s="77"/>
    </row>
    <row r="161" spans="1:12" s="5" customFormat="1" ht="48.75" customHeight="1" x14ac:dyDescent="0.2">
      <c r="A161" s="47">
        <v>154</v>
      </c>
      <c r="B161" s="53" t="s">
        <v>112</v>
      </c>
      <c r="C161" s="47" t="s">
        <v>61</v>
      </c>
      <c r="D161" s="54">
        <v>0.06</v>
      </c>
      <c r="E161" s="48" t="s">
        <v>183</v>
      </c>
      <c r="F161" s="55">
        <v>46509</v>
      </c>
      <c r="G161" s="56" t="s">
        <v>171</v>
      </c>
      <c r="H161" s="57">
        <v>118852.45901639345</v>
      </c>
      <c r="I161" s="42">
        <f t="shared" si="4"/>
        <v>7131.1475409836066</v>
      </c>
      <c r="J161" s="49">
        <f t="shared" si="5"/>
        <v>8700</v>
      </c>
      <c r="K161" s="59" t="s">
        <v>197</v>
      </c>
      <c r="L161" s="77"/>
    </row>
    <row r="162" spans="1:12" s="5" customFormat="1" ht="48.75" customHeight="1" x14ac:dyDescent="0.2">
      <c r="A162" s="47">
        <v>155</v>
      </c>
      <c r="B162" s="53" t="s">
        <v>24</v>
      </c>
      <c r="C162" s="47" t="s">
        <v>61</v>
      </c>
      <c r="D162" s="54">
        <v>7.0000000000000007E-2</v>
      </c>
      <c r="E162" s="48" t="s">
        <v>183</v>
      </c>
      <c r="F162" s="55">
        <v>46509</v>
      </c>
      <c r="G162" s="56" t="s">
        <v>49</v>
      </c>
      <c r="H162" s="57">
        <v>116393.44262295082</v>
      </c>
      <c r="I162" s="42">
        <f t="shared" si="4"/>
        <v>8147.5409836065583</v>
      </c>
      <c r="J162" s="49">
        <f t="shared" si="5"/>
        <v>9940</v>
      </c>
      <c r="K162" s="59" t="s">
        <v>197</v>
      </c>
      <c r="L162" s="77"/>
    </row>
    <row r="163" spans="1:12" s="5" customFormat="1" ht="48.75" customHeight="1" x14ac:dyDescent="0.2">
      <c r="A163" s="47">
        <v>156</v>
      </c>
      <c r="B163" s="53" t="s">
        <v>24</v>
      </c>
      <c r="C163" s="47" t="s">
        <v>61</v>
      </c>
      <c r="D163" s="54">
        <v>0.17</v>
      </c>
      <c r="E163" s="48" t="s">
        <v>183</v>
      </c>
      <c r="F163" s="55">
        <v>46448</v>
      </c>
      <c r="G163" s="56" t="s">
        <v>49</v>
      </c>
      <c r="H163" s="57">
        <v>116393.44262295082</v>
      </c>
      <c r="I163" s="42">
        <f t="shared" si="4"/>
        <v>19786.885245901642</v>
      </c>
      <c r="J163" s="49">
        <f t="shared" si="5"/>
        <v>24140.000000000004</v>
      </c>
      <c r="K163" s="59" t="s">
        <v>197</v>
      </c>
      <c r="L163" s="77"/>
    </row>
    <row r="164" spans="1:12" s="5" customFormat="1" ht="48.75" customHeight="1" x14ac:dyDescent="0.2">
      <c r="A164" s="47">
        <v>157</v>
      </c>
      <c r="B164" s="53" t="s">
        <v>108</v>
      </c>
      <c r="C164" s="47" t="s">
        <v>61</v>
      </c>
      <c r="D164" s="60">
        <v>3.1E-2</v>
      </c>
      <c r="E164" s="48" t="s">
        <v>183</v>
      </c>
      <c r="F164" s="55">
        <v>46631</v>
      </c>
      <c r="G164" s="56" t="s">
        <v>167</v>
      </c>
      <c r="H164" s="57">
        <v>116393.44262295082</v>
      </c>
      <c r="I164" s="42">
        <f t="shared" si="4"/>
        <v>3608.1967213114754</v>
      </c>
      <c r="J164" s="49">
        <f t="shared" si="5"/>
        <v>4402</v>
      </c>
      <c r="K164" s="59" t="s">
        <v>197</v>
      </c>
      <c r="L164" s="77"/>
    </row>
    <row r="165" spans="1:12" s="5" customFormat="1" ht="48.75" customHeight="1" x14ac:dyDescent="0.2">
      <c r="A165" s="47">
        <v>158</v>
      </c>
      <c r="B165" s="53" t="s">
        <v>108</v>
      </c>
      <c r="C165" s="47" t="s">
        <v>61</v>
      </c>
      <c r="D165" s="60">
        <v>3.1E-2</v>
      </c>
      <c r="E165" s="48" t="s">
        <v>183</v>
      </c>
      <c r="F165" s="55">
        <v>46539</v>
      </c>
      <c r="G165" s="56" t="s">
        <v>167</v>
      </c>
      <c r="H165" s="57">
        <v>116393.44262295082</v>
      </c>
      <c r="I165" s="42">
        <f t="shared" si="4"/>
        <v>3608.1967213114754</v>
      </c>
      <c r="J165" s="49">
        <f t="shared" si="5"/>
        <v>4402</v>
      </c>
      <c r="K165" s="59" t="s">
        <v>197</v>
      </c>
      <c r="L165" s="77"/>
    </row>
    <row r="166" spans="1:12" s="5" customFormat="1" ht="48.75" customHeight="1" x14ac:dyDescent="0.2">
      <c r="A166" s="47">
        <v>159</v>
      </c>
      <c r="B166" s="53" t="s">
        <v>113</v>
      </c>
      <c r="C166" s="47" t="s">
        <v>61</v>
      </c>
      <c r="D166" s="54">
        <v>0.2</v>
      </c>
      <c r="E166" s="48" t="s">
        <v>45</v>
      </c>
      <c r="F166" s="55">
        <v>46448</v>
      </c>
      <c r="G166" s="56" t="s">
        <v>172</v>
      </c>
      <c r="H166" s="57">
        <v>293196.72131147544</v>
      </c>
      <c r="I166" s="42">
        <f t="shared" si="4"/>
        <v>58639.34426229509</v>
      </c>
      <c r="J166" s="49">
        <f t="shared" si="5"/>
        <v>71540.000000000015</v>
      </c>
      <c r="K166" s="59" t="s">
        <v>54</v>
      </c>
      <c r="L166" s="77"/>
    </row>
    <row r="167" spans="1:12" s="5" customFormat="1" ht="48.75" customHeight="1" x14ac:dyDescent="0.2">
      <c r="A167" s="47">
        <v>160</v>
      </c>
      <c r="B167" s="53" t="s">
        <v>33</v>
      </c>
      <c r="C167" s="47" t="s">
        <v>61</v>
      </c>
      <c r="D167" s="54">
        <v>0.2</v>
      </c>
      <c r="E167" s="51" t="s">
        <v>190</v>
      </c>
      <c r="F167" s="55">
        <v>46448</v>
      </c>
      <c r="G167" s="56" t="s">
        <v>38</v>
      </c>
      <c r="H167" s="57">
        <v>219672.13114754099</v>
      </c>
      <c r="I167" s="42">
        <f t="shared" si="4"/>
        <v>43934.426229508201</v>
      </c>
      <c r="J167" s="49">
        <f t="shared" si="5"/>
        <v>53600.000000000007</v>
      </c>
      <c r="K167" s="59" t="s">
        <v>197</v>
      </c>
      <c r="L167" s="77"/>
    </row>
    <row r="168" spans="1:12" s="5" customFormat="1" ht="48.75" customHeight="1" x14ac:dyDescent="0.2">
      <c r="A168" s="47">
        <v>161</v>
      </c>
      <c r="B168" s="53" t="s">
        <v>27</v>
      </c>
      <c r="C168" s="47" t="s">
        <v>61</v>
      </c>
      <c r="D168" s="54">
        <v>0.1</v>
      </c>
      <c r="E168" s="51" t="s">
        <v>190</v>
      </c>
      <c r="F168" s="55">
        <v>46448</v>
      </c>
      <c r="G168" s="56" t="s">
        <v>40</v>
      </c>
      <c r="H168" s="57">
        <v>128688.52459016394</v>
      </c>
      <c r="I168" s="42">
        <f t="shared" si="4"/>
        <v>12868.852459016394</v>
      </c>
      <c r="J168" s="49">
        <f t="shared" si="5"/>
        <v>15700</v>
      </c>
      <c r="K168" s="59" t="s">
        <v>197</v>
      </c>
      <c r="L168" s="77"/>
    </row>
    <row r="169" spans="1:12" s="5" customFormat="1" ht="48.75" customHeight="1" x14ac:dyDescent="0.2">
      <c r="A169" s="47">
        <v>162</v>
      </c>
      <c r="B169" s="53" t="s">
        <v>27</v>
      </c>
      <c r="C169" s="47" t="s">
        <v>61</v>
      </c>
      <c r="D169" s="54">
        <v>0.1</v>
      </c>
      <c r="E169" s="48" t="s">
        <v>184</v>
      </c>
      <c r="F169" s="55">
        <v>46509</v>
      </c>
      <c r="G169" s="56" t="s">
        <v>40</v>
      </c>
      <c r="H169" s="57">
        <v>128688.52459016394</v>
      </c>
      <c r="I169" s="42">
        <f t="shared" si="4"/>
        <v>12868.852459016394</v>
      </c>
      <c r="J169" s="49">
        <f t="shared" si="5"/>
        <v>15700</v>
      </c>
      <c r="K169" s="59" t="s">
        <v>197</v>
      </c>
      <c r="L169" s="77"/>
    </row>
    <row r="170" spans="1:12" s="5" customFormat="1" ht="48.75" customHeight="1" x14ac:dyDescent="0.2">
      <c r="A170" s="47">
        <v>163</v>
      </c>
      <c r="B170" s="53" t="s">
        <v>29</v>
      </c>
      <c r="C170" s="47" t="s">
        <v>61</v>
      </c>
      <c r="D170" s="54">
        <v>0.1</v>
      </c>
      <c r="E170" s="48" t="s">
        <v>184</v>
      </c>
      <c r="F170" s="55">
        <v>46448</v>
      </c>
      <c r="G170" s="56" t="s">
        <v>41</v>
      </c>
      <c r="H170" s="57">
        <v>128688.52459016394</v>
      </c>
      <c r="I170" s="42">
        <f t="shared" si="4"/>
        <v>12868.852459016394</v>
      </c>
      <c r="J170" s="49">
        <f t="shared" si="5"/>
        <v>15700</v>
      </c>
      <c r="K170" s="59" t="s">
        <v>197</v>
      </c>
      <c r="L170" s="77"/>
    </row>
    <row r="171" spans="1:12" s="5" customFormat="1" ht="48.75" customHeight="1" x14ac:dyDescent="0.2">
      <c r="A171" s="47">
        <v>164</v>
      </c>
      <c r="B171" s="53" t="s">
        <v>29</v>
      </c>
      <c r="C171" s="47" t="s">
        <v>61</v>
      </c>
      <c r="D171" s="54">
        <v>0.1</v>
      </c>
      <c r="E171" s="48" t="s">
        <v>184</v>
      </c>
      <c r="F171" s="55">
        <v>46601</v>
      </c>
      <c r="G171" s="56" t="s">
        <v>41</v>
      </c>
      <c r="H171" s="57">
        <v>128688.52459016394</v>
      </c>
      <c r="I171" s="42">
        <f t="shared" si="4"/>
        <v>12868.852459016394</v>
      </c>
      <c r="J171" s="49">
        <f t="shared" si="5"/>
        <v>15700</v>
      </c>
      <c r="K171" s="59" t="s">
        <v>197</v>
      </c>
      <c r="L171" s="77"/>
    </row>
    <row r="172" spans="1:12" s="5" customFormat="1" ht="48.75" customHeight="1" x14ac:dyDescent="0.2">
      <c r="A172" s="47">
        <v>165</v>
      </c>
      <c r="B172" s="53" t="s">
        <v>25</v>
      </c>
      <c r="C172" s="47" t="s">
        <v>61</v>
      </c>
      <c r="D172" s="54">
        <v>0.1</v>
      </c>
      <c r="E172" s="48" t="s">
        <v>184</v>
      </c>
      <c r="F172" s="55">
        <v>46509</v>
      </c>
      <c r="G172" s="56" t="s">
        <v>36</v>
      </c>
      <c r="H172" s="57">
        <v>118852.45901639345</v>
      </c>
      <c r="I172" s="42">
        <f t="shared" si="4"/>
        <v>11885.245901639346</v>
      </c>
      <c r="J172" s="49">
        <f t="shared" si="5"/>
        <v>14500.000000000002</v>
      </c>
      <c r="K172" s="59" t="s">
        <v>197</v>
      </c>
      <c r="L172" s="77"/>
    </row>
    <row r="173" spans="1:12" s="5" customFormat="1" ht="48.75" customHeight="1" x14ac:dyDescent="0.2">
      <c r="A173" s="47">
        <v>166</v>
      </c>
      <c r="B173" s="53" t="s">
        <v>25</v>
      </c>
      <c r="C173" s="47" t="s">
        <v>61</v>
      </c>
      <c r="D173" s="54">
        <v>0.3</v>
      </c>
      <c r="E173" s="48" t="s">
        <v>184</v>
      </c>
      <c r="F173" s="55">
        <v>46570</v>
      </c>
      <c r="G173" s="56" t="s">
        <v>36</v>
      </c>
      <c r="H173" s="57">
        <v>118852.45901639345</v>
      </c>
      <c r="I173" s="42">
        <f t="shared" si="4"/>
        <v>35655.737704918036</v>
      </c>
      <c r="J173" s="49">
        <f t="shared" si="5"/>
        <v>43500</v>
      </c>
      <c r="K173" s="59" t="s">
        <v>197</v>
      </c>
      <c r="L173" s="77"/>
    </row>
    <row r="174" spans="1:12" s="5" customFormat="1" ht="48.75" customHeight="1" x14ac:dyDescent="0.2">
      <c r="A174" s="47">
        <v>167</v>
      </c>
      <c r="B174" s="53" t="s">
        <v>34</v>
      </c>
      <c r="C174" s="47" t="s">
        <v>61</v>
      </c>
      <c r="D174" s="54">
        <v>0.3</v>
      </c>
      <c r="E174" s="48" t="s">
        <v>184</v>
      </c>
      <c r="F174" s="55">
        <v>46539</v>
      </c>
      <c r="G174" s="56" t="s">
        <v>37</v>
      </c>
      <c r="H174" s="57">
        <v>116393.44262295082</v>
      </c>
      <c r="I174" s="42">
        <f t="shared" si="4"/>
        <v>34918.032786885247</v>
      </c>
      <c r="J174" s="49">
        <f t="shared" si="5"/>
        <v>42600</v>
      </c>
      <c r="K174" s="59" t="s">
        <v>197</v>
      </c>
      <c r="L174" s="77"/>
    </row>
    <row r="175" spans="1:12" s="5" customFormat="1" ht="48.75" customHeight="1" x14ac:dyDescent="0.2">
      <c r="A175" s="47">
        <v>168</v>
      </c>
      <c r="B175" s="53" t="s">
        <v>75</v>
      </c>
      <c r="C175" s="47" t="s">
        <v>61</v>
      </c>
      <c r="D175" s="54">
        <v>0.2</v>
      </c>
      <c r="E175" s="48" t="s">
        <v>184</v>
      </c>
      <c r="F175" s="55">
        <v>46570</v>
      </c>
      <c r="G175" s="56" t="s">
        <v>134</v>
      </c>
      <c r="H175" s="57">
        <v>116393.44262295082</v>
      </c>
      <c r="I175" s="42">
        <f t="shared" si="4"/>
        <v>23278.688524590165</v>
      </c>
      <c r="J175" s="49">
        <f t="shared" si="5"/>
        <v>28400</v>
      </c>
      <c r="K175" s="59" t="s">
        <v>197</v>
      </c>
      <c r="L175" s="77"/>
    </row>
    <row r="176" spans="1:12" s="5" customFormat="1" ht="48.75" customHeight="1" x14ac:dyDescent="0.2">
      <c r="A176" s="47">
        <v>169</v>
      </c>
      <c r="B176" s="53" t="s">
        <v>82</v>
      </c>
      <c r="C176" s="47" t="s">
        <v>61</v>
      </c>
      <c r="D176" s="54">
        <v>0.1</v>
      </c>
      <c r="E176" s="48" t="s">
        <v>184</v>
      </c>
      <c r="F176" s="55">
        <v>46509</v>
      </c>
      <c r="G176" s="56" t="s">
        <v>141</v>
      </c>
      <c r="H176" s="57">
        <v>116393.44262295082</v>
      </c>
      <c r="I176" s="42">
        <f t="shared" si="4"/>
        <v>11639.344262295082</v>
      </c>
      <c r="J176" s="49">
        <f t="shared" si="5"/>
        <v>14200</v>
      </c>
      <c r="K176" s="59" t="s">
        <v>197</v>
      </c>
      <c r="L176" s="77"/>
    </row>
    <row r="177" spans="1:12" s="5" customFormat="1" ht="48.75" customHeight="1" x14ac:dyDescent="0.2">
      <c r="A177" s="47">
        <v>170</v>
      </c>
      <c r="B177" s="53" t="s">
        <v>82</v>
      </c>
      <c r="C177" s="47" t="s">
        <v>61</v>
      </c>
      <c r="D177" s="54">
        <v>0.1</v>
      </c>
      <c r="E177" s="48" t="s">
        <v>184</v>
      </c>
      <c r="F177" s="55">
        <v>46570</v>
      </c>
      <c r="G177" s="56" t="s">
        <v>141</v>
      </c>
      <c r="H177" s="57">
        <v>116393.44262295082</v>
      </c>
      <c r="I177" s="42">
        <f t="shared" si="4"/>
        <v>11639.344262295082</v>
      </c>
      <c r="J177" s="49">
        <f t="shared" si="5"/>
        <v>14200</v>
      </c>
      <c r="K177" s="59" t="s">
        <v>197</v>
      </c>
      <c r="L177" s="77"/>
    </row>
    <row r="178" spans="1:12" s="5" customFormat="1" ht="48.75" customHeight="1" x14ac:dyDescent="0.2">
      <c r="A178" s="47">
        <v>171</v>
      </c>
      <c r="B178" s="53" t="s">
        <v>82</v>
      </c>
      <c r="C178" s="47" t="s">
        <v>61</v>
      </c>
      <c r="D178" s="54">
        <v>0.1</v>
      </c>
      <c r="E178" s="48" t="s">
        <v>184</v>
      </c>
      <c r="F178" s="55">
        <v>46601</v>
      </c>
      <c r="G178" s="56" t="s">
        <v>141</v>
      </c>
      <c r="H178" s="57">
        <v>116393.44262295082</v>
      </c>
      <c r="I178" s="42">
        <f t="shared" si="4"/>
        <v>11639.344262295082</v>
      </c>
      <c r="J178" s="49">
        <f t="shared" si="5"/>
        <v>14200</v>
      </c>
      <c r="K178" s="59" t="s">
        <v>197</v>
      </c>
      <c r="L178" s="77"/>
    </row>
    <row r="179" spans="1:12" s="5" customFormat="1" ht="48.75" customHeight="1" x14ac:dyDescent="0.2">
      <c r="A179" s="47">
        <v>172</v>
      </c>
      <c r="B179" s="53" t="s">
        <v>108</v>
      </c>
      <c r="C179" s="47" t="s">
        <v>61</v>
      </c>
      <c r="D179" s="54">
        <v>0.2</v>
      </c>
      <c r="E179" s="48" t="s">
        <v>184</v>
      </c>
      <c r="F179" s="55">
        <v>46570</v>
      </c>
      <c r="G179" s="56" t="s">
        <v>167</v>
      </c>
      <c r="H179" s="57">
        <v>116393.44262295082</v>
      </c>
      <c r="I179" s="42">
        <f t="shared" si="4"/>
        <v>23278.688524590165</v>
      </c>
      <c r="J179" s="49">
        <f t="shared" si="5"/>
        <v>28400</v>
      </c>
      <c r="K179" s="59" t="s">
        <v>197</v>
      </c>
      <c r="L179" s="77"/>
    </row>
    <row r="180" spans="1:12" s="5" customFormat="1" ht="48.75" customHeight="1" x14ac:dyDescent="0.2">
      <c r="A180" s="47">
        <v>173</v>
      </c>
      <c r="B180" s="53" t="s">
        <v>88</v>
      </c>
      <c r="C180" s="47" t="s">
        <v>61</v>
      </c>
      <c r="D180" s="54">
        <v>0.1</v>
      </c>
      <c r="E180" s="48" t="s">
        <v>184</v>
      </c>
      <c r="F180" s="55">
        <v>46478</v>
      </c>
      <c r="G180" s="56" t="s">
        <v>147</v>
      </c>
      <c r="H180" s="57">
        <v>116393.44262295082</v>
      </c>
      <c r="I180" s="42">
        <f t="shared" si="4"/>
        <v>11639.344262295082</v>
      </c>
      <c r="J180" s="49">
        <f t="shared" si="5"/>
        <v>14200</v>
      </c>
      <c r="K180" s="59" t="s">
        <v>197</v>
      </c>
      <c r="L180" s="77"/>
    </row>
    <row r="181" spans="1:12" s="5" customFormat="1" ht="48.75" customHeight="1" x14ac:dyDescent="0.2">
      <c r="A181" s="47">
        <v>174</v>
      </c>
      <c r="B181" s="53" t="s">
        <v>88</v>
      </c>
      <c r="C181" s="47" t="s">
        <v>61</v>
      </c>
      <c r="D181" s="54">
        <v>0.1</v>
      </c>
      <c r="E181" s="48" t="s">
        <v>184</v>
      </c>
      <c r="F181" s="55">
        <v>46509</v>
      </c>
      <c r="G181" s="56" t="s">
        <v>147</v>
      </c>
      <c r="H181" s="57">
        <v>116393.44262295082</v>
      </c>
      <c r="I181" s="42">
        <f t="shared" si="4"/>
        <v>11639.344262295082</v>
      </c>
      <c r="J181" s="49">
        <f t="shared" si="5"/>
        <v>14200</v>
      </c>
      <c r="K181" s="59" t="s">
        <v>197</v>
      </c>
      <c r="L181" s="77"/>
    </row>
    <row r="182" spans="1:12" s="5" customFormat="1" ht="48.75" customHeight="1" x14ac:dyDescent="0.2">
      <c r="A182" s="47">
        <v>175</v>
      </c>
      <c r="B182" s="53" t="s">
        <v>88</v>
      </c>
      <c r="C182" s="47" t="s">
        <v>61</v>
      </c>
      <c r="D182" s="54">
        <v>0.1</v>
      </c>
      <c r="E182" s="48" t="s">
        <v>184</v>
      </c>
      <c r="F182" s="55">
        <v>46570</v>
      </c>
      <c r="G182" s="56" t="s">
        <v>147</v>
      </c>
      <c r="H182" s="57">
        <v>116393.44262295082</v>
      </c>
      <c r="I182" s="42">
        <f t="shared" si="4"/>
        <v>11639.344262295082</v>
      </c>
      <c r="J182" s="49">
        <f t="shared" si="5"/>
        <v>14200</v>
      </c>
      <c r="K182" s="59" t="s">
        <v>197</v>
      </c>
      <c r="L182" s="77"/>
    </row>
    <row r="183" spans="1:12" s="5" customFormat="1" ht="48.75" customHeight="1" x14ac:dyDescent="0.2">
      <c r="A183" s="47">
        <v>176</v>
      </c>
      <c r="B183" s="53" t="s">
        <v>24</v>
      </c>
      <c r="C183" s="47" t="s">
        <v>61</v>
      </c>
      <c r="D183" s="54">
        <v>0.05</v>
      </c>
      <c r="E183" s="48" t="s">
        <v>184</v>
      </c>
      <c r="F183" s="55">
        <v>46448</v>
      </c>
      <c r="G183" s="56" t="s">
        <v>49</v>
      </c>
      <c r="H183" s="57">
        <v>116393.44262295082</v>
      </c>
      <c r="I183" s="42">
        <f t="shared" si="4"/>
        <v>5819.6721311475412</v>
      </c>
      <c r="J183" s="49">
        <f t="shared" si="5"/>
        <v>7100</v>
      </c>
      <c r="K183" s="59" t="s">
        <v>197</v>
      </c>
      <c r="L183" s="77"/>
    </row>
    <row r="184" spans="1:12" s="5" customFormat="1" ht="48.75" customHeight="1" x14ac:dyDescent="0.2">
      <c r="A184" s="47">
        <v>177</v>
      </c>
      <c r="B184" s="53" t="s">
        <v>24</v>
      </c>
      <c r="C184" s="47" t="s">
        <v>61</v>
      </c>
      <c r="D184" s="54">
        <v>0.1</v>
      </c>
      <c r="E184" s="48" t="s">
        <v>184</v>
      </c>
      <c r="F184" s="55">
        <v>46570</v>
      </c>
      <c r="G184" s="56" t="s">
        <v>49</v>
      </c>
      <c r="H184" s="57">
        <v>116393.44262295082</v>
      </c>
      <c r="I184" s="42">
        <f t="shared" si="4"/>
        <v>11639.344262295082</v>
      </c>
      <c r="J184" s="49">
        <f t="shared" si="5"/>
        <v>14200</v>
      </c>
      <c r="K184" s="59" t="s">
        <v>197</v>
      </c>
      <c r="L184" s="77"/>
    </row>
    <row r="185" spans="1:12" s="5" customFormat="1" ht="48.75" customHeight="1" x14ac:dyDescent="0.2">
      <c r="A185" s="47">
        <v>178</v>
      </c>
      <c r="B185" s="53" t="s">
        <v>24</v>
      </c>
      <c r="C185" s="47" t="s">
        <v>61</v>
      </c>
      <c r="D185" s="54">
        <v>0.1</v>
      </c>
      <c r="E185" s="48" t="s">
        <v>184</v>
      </c>
      <c r="F185" s="55">
        <v>46601</v>
      </c>
      <c r="G185" s="56" t="s">
        <v>49</v>
      </c>
      <c r="H185" s="57">
        <v>116393.44262295082</v>
      </c>
      <c r="I185" s="42">
        <f t="shared" si="4"/>
        <v>11639.344262295082</v>
      </c>
      <c r="J185" s="49">
        <f t="shared" si="5"/>
        <v>14200</v>
      </c>
      <c r="K185" s="59" t="s">
        <v>197</v>
      </c>
      <c r="L185" s="77"/>
    </row>
    <row r="186" spans="1:12" s="5" customFormat="1" ht="48.75" customHeight="1" x14ac:dyDescent="0.2">
      <c r="A186" s="47">
        <v>179</v>
      </c>
      <c r="B186" s="53" t="s">
        <v>47</v>
      </c>
      <c r="C186" s="47" t="s">
        <v>61</v>
      </c>
      <c r="D186" s="54">
        <v>0.05</v>
      </c>
      <c r="E186" s="48" t="s">
        <v>184</v>
      </c>
      <c r="F186" s="55">
        <v>46478</v>
      </c>
      <c r="G186" s="56" t="s">
        <v>48</v>
      </c>
      <c r="H186" s="57">
        <v>116393.44262295082</v>
      </c>
      <c r="I186" s="42">
        <f t="shared" si="4"/>
        <v>5819.6721311475412</v>
      </c>
      <c r="J186" s="49">
        <f t="shared" si="5"/>
        <v>7100</v>
      </c>
      <c r="K186" s="59" t="s">
        <v>197</v>
      </c>
      <c r="L186" s="77"/>
    </row>
    <row r="187" spans="1:12" s="5" customFormat="1" ht="48.75" customHeight="1" x14ac:dyDescent="0.2">
      <c r="A187" s="47">
        <v>180</v>
      </c>
      <c r="B187" s="53" t="s">
        <v>47</v>
      </c>
      <c r="C187" s="47" t="s">
        <v>61</v>
      </c>
      <c r="D187" s="54">
        <v>0.1</v>
      </c>
      <c r="E187" s="48" t="s">
        <v>184</v>
      </c>
      <c r="F187" s="55">
        <v>46509</v>
      </c>
      <c r="G187" s="56" t="s">
        <v>48</v>
      </c>
      <c r="H187" s="57">
        <v>116393.44262295082</v>
      </c>
      <c r="I187" s="42">
        <f t="shared" si="4"/>
        <v>11639.344262295082</v>
      </c>
      <c r="J187" s="49">
        <f t="shared" si="5"/>
        <v>14200</v>
      </c>
      <c r="K187" s="59" t="s">
        <v>197</v>
      </c>
      <c r="L187" s="77"/>
    </row>
    <row r="188" spans="1:12" s="5" customFormat="1" ht="48.75" customHeight="1" x14ac:dyDescent="0.2">
      <c r="A188" s="47">
        <v>181</v>
      </c>
      <c r="B188" s="53" t="s">
        <v>47</v>
      </c>
      <c r="C188" s="47" t="s">
        <v>61</v>
      </c>
      <c r="D188" s="54">
        <v>0.05</v>
      </c>
      <c r="E188" s="48" t="s">
        <v>184</v>
      </c>
      <c r="F188" s="55">
        <v>46570</v>
      </c>
      <c r="G188" s="56" t="s">
        <v>48</v>
      </c>
      <c r="H188" s="57">
        <v>116393.44262295082</v>
      </c>
      <c r="I188" s="42">
        <f t="shared" si="4"/>
        <v>5819.6721311475412</v>
      </c>
      <c r="J188" s="49">
        <f t="shared" si="5"/>
        <v>7100</v>
      </c>
      <c r="K188" s="59" t="s">
        <v>197</v>
      </c>
      <c r="L188" s="77"/>
    </row>
    <row r="189" spans="1:12" s="5" customFormat="1" ht="48.75" customHeight="1" x14ac:dyDescent="0.2">
      <c r="A189" s="47">
        <v>182</v>
      </c>
      <c r="B189" s="53" t="s">
        <v>47</v>
      </c>
      <c r="C189" s="47" t="s">
        <v>61</v>
      </c>
      <c r="D189" s="54">
        <v>0.05</v>
      </c>
      <c r="E189" s="48" t="s">
        <v>184</v>
      </c>
      <c r="F189" s="55">
        <v>46601</v>
      </c>
      <c r="G189" s="56" t="s">
        <v>48</v>
      </c>
      <c r="H189" s="57">
        <v>116393.44262295082</v>
      </c>
      <c r="I189" s="42">
        <f t="shared" si="4"/>
        <v>5819.6721311475412</v>
      </c>
      <c r="J189" s="49">
        <f t="shared" si="5"/>
        <v>7100</v>
      </c>
      <c r="K189" s="59" t="s">
        <v>197</v>
      </c>
      <c r="L189" s="77"/>
    </row>
    <row r="190" spans="1:12" s="5" customFormat="1" ht="48.75" customHeight="1" x14ac:dyDescent="0.2">
      <c r="A190" s="47">
        <v>183</v>
      </c>
      <c r="B190" s="53" t="s">
        <v>58</v>
      </c>
      <c r="C190" s="47" t="s">
        <v>61</v>
      </c>
      <c r="D190" s="54">
        <v>0.01</v>
      </c>
      <c r="E190" s="48" t="s">
        <v>184</v>
      </c>
      <c r="F190" s="55">
        <v>46509</v>
      </c>
      <c r="G190" s="56" t="s">
        <v>59</v>
      </c>
      <c r="H190" s="57">
        <v>232786.88524590165</v>
      </c>
      <c r="I190" s="42">
        <f t="shared" si="4"/>
        <v>2327.8688524590166</v>
      </c>
      <c r="J190" s="49">
        <f t="shared" si="5"/>
        <v>2840</v>
      </c>
      <c r="K190" s="59" t="s">
        <v>197</v>
      </c>
      <c r="L190" s="77"/>
    </row>
    <row r="191" spans="1:12" s="5" customFormat="1" ht="48.75" customHeight="1" x14ac:dyDescent="0.2">
      <c r="A191" s="47">
        <v>184</v>
      </c>
      <c r="B191" s="53" t="s">
        <v>58</v>
      </c>
      <c r="C191" s="47" t="s">
        <v>61</v>
      </c>
      <c r="D191" s="54">
        <v>0.05</v>
      </c>
      <c r="E191" s="48" t="s">
        <v>184</v>
      </c>
      <c r="F191" s="55">
        <v>46570</v>
      </c>
      <c r="G191" s="56" t="s">
        <v>59</v>
      </c>
      <c r="H191" s="57">
        <v>232786.88524590165</v>
      </c>
      <c r="I191" s="42">
        <f t="shared" si="4"/>
        <v>11639.344262295082</v>
      </c>
      <c r="J191" s="49">
        <f t="shared" si="5"/>
        <v>14200</v>
      </c>
      <c r="K191" s="59" t="s">
        <v>197</v>
      </c>
      <c r="L191" s="77"/>
    </row>
    <row r="192" spans="1:12" s="5" customFormat="1" ht="48.75" customHeight="1" x14ac:dyDescent="0.2">
      <c r="A192" s="47">
        <v>185</v>
      </c>
      <c r="B192" s="53" t="s">
        <v>58</v>
      </c>
      <c r="C192" s="47" t="s">
        <v>61</v>
      </c>
      <c r="D192" s="54">
        <v>0.03</v>
      </c>
      <c r="E192" s="48" t="s">
        <v>184</v>
      </c>
      <c r="F192" s="55">
        <v>46601</v>
      </c>
      <c r="G192" s="56" t="s">
        <v>59</v>
      </c>
      <c r="H192" s="57">
        <v>232786.88524590165</v>
      </c>
      <c r="I192" s="42">
        <f t="shared" si="4"/>
        <v>6983.6065573770493</v>
      </c>
      <c r="J192" s="49">
        <f t="shared" si="5"/>
        <v>8520</v>
      </c>
      <c r="K192" s="59" t="s">
        <v>197</v>
      </c>
      <c r="L192" s="77"/>
    </row>
    <row r="193" spans="1:12" s="5" customFormat="1" ht="48.75" customHeight="1" x14ac:dyDescent="0.2">
      <c r="A193" s="47">
        <v>186</v>
      </c>
      <c r="B193" s="53" t="s">
        <v>114</v>
      </c>
      <c r="C193" s="47" t="s">
        <v>61</v>
      </c>
      <c r="D193" s="54">
        <v>7.0000000000000007E-2</v>
      </c>
      <c r="E193" s="48" t="s">
        <v>184</v>
      </c>
      <c r="F193" s="55">
        <v>46448</v>
      </c>
      <c r="G193" s="56" t="s">
        <v>173</v>
      </c>
      <c r="H193" s="57">
        <v>70491.803278688531</v>
      </c>
      <c r="I193" s="42">
        <f t="shared" si="4"/>
        <v>4934.426229508198</v>
      </c>
      <c r="J193" s="49">
        <f t="shared" si="5"/>
        <v>6020.0000000000018</v>
      </c>
      <c r="K193" s="59" t="s">
        <v>194</v>
      </c>
      <c r="L193" s="77"/>
    </row>
    <row r="194" spans="1:12" s="5" customFormat="1" ht="48.75" customHeight="1" x14ac:dyDescent="0.2">
      <c r="A194" s="47">
        <v>187</v>
      </c>
      <c r="B194" s="53" t="s">
        <v>115</v>
      </c>
      <c r="C194" s="47" t="s">
        <v>61</v>
      </c>
      <c r="D194" s="54">
        <v>0.2</v>
      </c>
      <c r="E194" s="48" t="s">
        <v>185</v>
      </c>
      <c r="F194" s="55">
        <v>46478</v>
      </c>
      <c r="G194" s="56" t="s">
        <v>174</v>
      </c>
      <c r="H194" s="57">
        <v>206557.37704918033</v>
      </c>
      <c r="I194" s="42">
        <f t="shared" si="4"/>
        <v>41311.475409836072</v>
      </c>
      <c r="J194" s="49">
        <f t="shared" si="5"/>
        <v>50400.000000000007</v>
      </c>
      <c r="K194" s="59" t="s">
        <v>197</v>
      </c>
      <c r="L194" s="77"/>
    </row>
    <row r="195" spans="1:12" s="5" customFormat="1" ht="48.75" customHeight="1" x14ac:dyDescent="0.2">
      <c r="A195" s="47">
        <v>188</v>
      </c>
      <c r="B195" s="53" t="s">
        <v>89</v>
      </c>
      <c r="C195" s="47" t="s">
        <v>61</v>
      </c>
      <c r="D195" s="54">
        <v>0.2</v>
      </c>
      <c r="E195" s="48" t="s">
        <v>185</v>
      </c>
      <c r="F195" s="55">
        <v>46601</v>
      </c>
      <c r="G195" s="56" t="s">
        <v>148</v>
      </c>
      <c r="H195" s="57">
        <v>232786.88524590165</v>
      </c>
      <c r="I195" s="42">
        <f t="shared" si="4"/>
        <v>46557.37704918033</v>
      </c>
      <c r="J195" s="49">
        <f t="shared" si="5"/>
        <v>56800</v>
      </c>
      <c r="K195" s="59" t="s">
        <v>197</v>
      </c>
      <c r="L195" s="77"/>
    </row>
    <row r="196" spans="1:12" s="5" customFormat="1" ht="48.75" customHeight="1" x14ac:dyDescent="0.2">
      <c r="A196" s="47">
        <v>189</v>
      </c>
      <c r="B196" s="53" t="s">
        <v>112</v>
      </c>
      <c r="C196" s="47" t="s">
        <v>61</v>
      </c>
      <c r="D196" s="54">
        <v>0.4</v>
      </c>
      <c r="E196" s="48" t="s">
        <v>185</v>
      </c>
      <c r="F196" s="55">
        <v>46478</v>
      </c>
      <c r="G196" s="56" t="s">
        <v>171</v>
      </c>
      <c r="H196" s="57">
        <v>118852.45901639345</v>
      </c>
      <c r="I196" s="42">
        <f t="shared" si="4"/>
        <v>47540.983606557384</v>
      </c>
      <c r="J196" s="49">
        <f t="shared" si="5"/>
        <v>58000.000000000007</v>
      </c>
      <c r="K196" s="59" t="s">
        <v>197</v>
      </c>
      <c r="L196" s="77"/>
    </row>
    <row r="197" spans="1:12" s="5" customFormat="1" ht="48.75" customHeight="1" x14ac:dyDescent="0.2">
      <c r="A197" s="47">
        <v>190</v>
      </c>
      <c r="B197" s="53" t="s">
        <v>116</v>
      </c>
      <c r="C197" s="47" t="s">
        <v>61</v>
      </c>
      <c r="D197" s="54">
        <v>0.2</v>
      </c>
      <c r="E197" s="48" t="s">
        <v>185</v>
      </c>
      <c r="F197" s="55">
        <v>46570</v>
      </c>
      <c r="G197" s="56" t="s">
        <v>175</v>
      </c>
      <c r="H197" s="57">
        <v>192622.95081967214</v>
      </c>
      <c r="I197" s="42">
        <f t="shared" si="4"/>
        <v>38524.59016393443</v>
      </c>
      <c r="J197" s="49">
        <f t="shared" si="5"/>
        <v>47000.000000000007</v>
      </c>
      <c r="K197" s="59" t="s">
        <v>197</v>
      </c>
      <c r="L197" s="77"/>
    </row>
    <row r="198" spans="1:12" s="5" customFormat="1" ht="48.75" customHeight="1" x14ac:dyDescent="0.2">
      <c r="A198" s="47">
        <v>191</v>
      </c>
      <c r="B198" s="53" t="s">
        <v>115</v>
      </c>
      <c r="C198" s="47" t="s">
        <v>61</v>
      </c>
      <c r="D198" s="54">
        <v>0.2</v>
      </c>
      <c r="E198" s="48" t="s">
        <v>185</v>
      </c>
      <c r="F198" s="55">
        <v>46570</v>
      </c>
      <c r="G198" s="56" t="s">
        <v>174</v>
      </c>
      <c r="H198" s="57">
        <v>206557.37704918033</v>
      </c>
      <c r="I198" s="42">
        <f t="shared" si="4"/>
        <v>41311.475409836072</v>
      </c>
      <c r="J198" s="49">
        <f t="shared" si="5"/>
        <v>50400.000000000007</v>
      </c>
      <c r="K198" s="59" t="s">
        <v>197</v>
      </c>
      <c r="L198" s="77"/>
    </row>
    <row r="199" spans="1:12" s="5" customFormat="1" ht="48.75" customHeight="1" x14ac:dyDescent="0.2">
      <c r="A199" s="47">
        <v>192</v>
      </c>
      <c r="B199" s="53" t="s">
        <v>89</v>
      </c>
      <c r="C199" s="47" t="s">
        <v>61</v>
      </c>
      <c r="D199" s="54">
        <v>0.2</v>
      </c>
      <c r="E199" s="48" t="s">
        <v>185</v>
      </c>
      <c r="F199" s="55">
        <v>46570</v>
      </c>
      <c r="G199" s="56" t="s">
        <v>148</v>
      </c>
      <c r="H199" s="57">
        <v>232786.88524590165</v>
      </c>
      <c r="I199" s="42">
        <f t="shared" si="4"/>
        <v>46557.37704918033</v>
      </c>
      <c r="J199" s="49">
        <f t="shared" si="5"/>
        <v>56800</v>
      </c>
      <c r="K199" s="59" t="s">
        <v>197</v>
      </c>
      <c r="L199" s="77"/>
    </row>
    <row r="200" spans="1:12" s="5" customFormat="1" ht="48.75" customHeight="1" x14ac:dyDescent="0.2">
      <c r="A200" s="47">
        <v>193</v>
      </c>
      <c r="B200" s="53" t="s">
        <v>112</v>
      </c>
      <c r="C200" s="47" t="s">
        <v>61</v>
      </c>
      <c r="D200" s="54">
        <v>0.5</v>
      </c>
      <c r="E200" s="48" t="s">
        <v>185</v>
      </c>
      <c r="F200" s="55">
        <v>46570</v>
      </c>
      <c r="G200" s="56" t="s">
        <v>171</v>
      </c>
      <c r="H200" s="57">
        <v>118852.45901639345</v>
      </c>
      <c r="I200" s="42">
        <f t="shared" si="4"/>
        <v>59426.229508196724</v>
      </c>
      <c r="J200" s="49">
        <f t="shared" si="5"/>
        <v>72500</v>
      </c>
      <c r="K200" s="59" t="s">
        <v>197</v>
      </c>
      <c r="L200" s="77"/>
    </row>
    <row r="201" spans="1:12" s="5" customFormat="1" ht="48.75" customHeight="1" x14ac:dyDescent="0.2">
      <c r="A201" s="47">
        <v>194</v>
      </c>
      <c r="B201" s="53" t="s">
        <v>82</v>
      </c>
      <c r="C201" s="47" t="s">
        <v>61</v>
      </c>
      <c r="D201" s="54">
        <v>0.2</v>
      </c>
      <c r="E201" s="48" t="s">
        <v>185</v>
      </c>
      <c r="F201" s="55">
        <v>46570</v>
      </c>
      <c r="G201" s="56" t="s">
        <v>141</v>
      </c>
      <c r="H201" s="57">
        <v>116393.44262295082</v>
      </c>
      <c r="I201" s="42">
        <f t="shared" ref="I201:I233" si="6">H201*D201</f>
        <v>23278.688524590165</v>
      </c>
      <c r="J201" s="49">
        <f t="shared" ref="J201:J233" si="7">I201*1.22</f>
        <v>28400</v>
      </c>
      <c r="K201" s="59" t="s">
        <v>197</v>
      </c>
      <c r="L201" s="77"/>
    </row>
    <row r="202" spans="1:12" s="5" customFormat="1" ht="48.75" customHeight="1" x14ac:dyDescent="0.2">
      <c r="A202" s="47">
        <v>195</v>
      </c>
      <c r="B202" s="53" t="s">
        <v>75</v>
      </c>
      <c r="C202" s="47" t="s">
        <v>61</v>
      </c>
      <c r="D202" s="54">
        <v>0.2</v>
      </c>
      <c r="E202" s="48" t="s">
        <v>185</v>
      </c>
      <c r="F202" s="55">
        <v>46570</v>
      </c>
      <c r="G202" s="56" t="s">
        <v>134</v>
      </c>
      <c r="H202" s="57">
        <v>116393.44262295082</v>
      </c>
      <c r="I202" s="42">
        <f t="shared" si="6"/>
        <v>23278.688524590165</v>
      </c>
      <c r="J202" s="49">
        <f t="shared" si="7"/>
        <v>28400</v>
      </c>
      <c r="K202" s="59" t="s">
        <v>197</v>
      </c>
      <c r="L202" s="77"/>
    </row>
    <row r="203" spans="1:12" s="5" customFormat="1" ht="48.75" customHeight="1" x14ac:dyDescent="0.2">
      <c r="A203" s="47">
        <v>196</v>
      </c>
      <c r="B203" s="53" t="s">
        <v>24</v>
      </c>
      <c r="C203" s="47" t="s">
        <v>61</v>
      </c>
      <c r="D203" s="54">
        <v>0.2</v>
      </c>
      <c r="E203" s="48" t="s">
        <v>185</v>
      </c>
      <c r="F203" s="55">
        <v>46570</v>
      </c>
      <c r="G203" s="56" t="s">
        <v>49</v>
      </c>
      <c r="H203" s="57">
        <v>116393.44262295082</v>
      </c>
      <c r="I203" s="42">
        <f t="shared" si="6"/>
        <v>23278.688524590165</v>
      </c>
      <c r="J203" s="49">
        <f t="shared" si="7"/>
        <v>28400</v>
      </c>
      <c r="K203" s="59" t="s">
        <v>197</v>
      </c>
      <c r="L203" s="77"/>
    </row>
    <row r="204" spans="1:12" s="5" customFormat="1" ht="48.75" customHeight="1" x14ac:dyDescent="0.2">
      <c r="A204" s="47">
        <v>197</v>
      </c>
      <c r="B204" s="53" t="s">
        <v>88</v>
      </c>
      <c r="C204" s="47" t="s">
        <v>61</v>
      </c>
      <c r="D204" s="54">
        <v>0.2</v>
      </c>
      <c r="E204" s="48" t="s">
        <v>182</v>
      </c>
      <c r="F204" s="55">
        <v>46509</v>
      </c>
      <c r="G204" s="56" t="s">
        <v>147</v>
      </c>
      <c r="H204" s="57">
        <v>116393.44262295082</v>
      </c>
      <c r="I204" s="42">
        <f t="shared" si="6"/>
        <v>23278.688524590165</v>
      </c>
      <c r="J204" s="49">
        <f t="shared" si="7"/>
        <v>28400</v>
      </c>
      <c r="K204" s="59" t="s">
        <v>197</v>
      </c>
      <c r="L204" s="77"/>
    </row>
    <row r="205" spans="1:12" s="5" customFormat="1" ht="48.75" customHeight="1" x14ac:dyDescent="0.2">
      <c r="A205" s="47">
        <v>198</v>
      </c>
      <c r="B205" s="53" t="s">
        <v>84</v>
      </c>
      <c r="C205" s="47" t="s">
        <v>61</v>
      </c>
      <c r="D205" s="54">
        <v>0.2</v>
      </c>
      <c r="E205" s="48" t="s">
        <v>182</v>
      </c>
      <c r="F205" s="55">
        <v>46509</v>
      </c>
      <c r="G205" s="56" t="s">
        <v>143</v>
      </c>
      <c r="H205" s="57">
        <v>116393.44262295082</v>
      </c>
      <c r="I205" s="42">
        <f t="shared" si="6"/>
        <v>23278.688524590165</v>
      </c>
      <c r="J205" s="49">
        <f t="shared" si="7"/>
        <v>28400</v>
      </c>
      <c r="K205" s="59" t="s">
        <v>197</v>
      </c>
      <c r="L205" s="77"/>
    </row>
    <row r="206" spans="1:12" s="5" customFormat="1" ht="48.75" customHeight="1" x14ac:dyDescent="0.2">
      <c r="A206" s="47">
        <v>199</v>
      </c>
      <c r="B206" s="53" t="s">
        <v>117</v>
      </c>
      <c r="C206" s="47" t="s">
        <v>61</v>
      </c>
      <c r="D206" s="60">
        <v>8.1000000000000003E-2</v>
      </c>
      <c r="E206" s="48" t="s">
        <v>182</v>
      </c>
      <c r="F206" s="55">
        <v>46448</v>
      </c>
      <c r="G206" s="56" t="s">
        <v>176</v>
      </c>
      <c r="H206" s="57">
        <v>232786.88524590165</v>
      </c>
      <c r="I206" s="42">
        <f t="shared" si="6"/>
        <v>18855.737704918036</v>
      </c>
      <c r="J206" s="49">
        <f t="shared" si="7"/>
        <v>23004.000000000004</v>
      </c>
      <c r="K206" s="59" t="s">
        <v>197</v>
      </c>
      <c r="L206" s="77"/>
    </row>
    <row r="207" spans="1:12" s="5" customFormat="1" ht="48.75" customHeight="1" x14ac:dyDescent="0.2">
      <c r="A207" s="47">
        <v>200</v>
      </c>
      <c r="B207" s="53" t="s">
        <v>34</v>
      </c>
      <c r="C207" s="47" t="s">
        <v>61</v>
      </c>
      <c r="D207" s="54">
        <v>0.22</v>
      </c>
      <c r="E207" s="48" t="s">
        <v>182</v>
      </c>
      <c r="F207" s="55">
        <v>46509</v>
      </c>
      <c r="G207" s="56" t="s">
        <v>37</v>
      </c>
      <c r="H207" s="57">
        <v>116393.44262295082</v>
      </c>
      <c r="I207" s="42">
        <f t="shared" si="6"/>
        <v>25606.557377049183</v>
      </c>
      <c r="J207" s="49">
        <f t="shared" si="7"/>
        <v>31240.000000000004</v>
      </c>
      <c r="K207" s="59" t="s">
        <v>197</v>
      </c>
      <c r="L207" s="77"/>
    </row>
    <row r="208" spans="1:12" s="5" customFormat="1" ht="48.75" customHeight="1" x14ac:dyDescent="0.2">
      <c r="A208" s="47">
        <v>201</v>
      </c>
      <c r="B208" s="53" t="s">
        <v>82</v>
      </c>
      <c r="C208" s="47" t="s">
        <v>61</v>
      </c>
      <c r="D208" s="54">
        <v>0.26</v>
      </c>
      <c r="E208" s="48" t="s">
        <v>182</v>
      </c>
      <c r="F208" s="55">
        <v>46509</v>
      </c>
      <c r="G208" s="56" t="s">
        <v>141</v>
      </c>
      <c r="H208" s="57">
        <v>116393.44262295082</v>
      </c>
      <c r="I208" s="42">
        <f t="shared" si="6"/>
        <v>30262.295081967215</v>
      </c>
      <c r="J208" s="49">
        <f t="shared" si="7"/>
        <v>36920</v>
      </c>
      <c r="K208" s="59" t="s">
        <v>197</v>
      </c>
      <c r="L208" s="77"/>
    </row>
    <row r="209" spans="1:12" s="5" customFormat="1" ht="48.75" customHeight="1" x14ac:dyDescent="0.2">
      <c r="A209" s="47">
        <v>202</v>
      </c>
      <c r="B209" s="53" t="s">
        <v>118</v>
      </c>
      <c r="C209" s="47" t="s">
        <v>61</v>
      </c>
      <c r="D209" s="54">
        <v>0.05</v>
      </c>
      <c r="E209" s="48" t="s">
        <v>182</v>
      </c>
      <c r="F209" s="55">
        <v>46509</v>
      </c>
      <c r="G209" s="56" t="s">
        <v>177</v>
      </c>
      <c r="H209" s="57">
        <v>203524.59016393442</v>
      </c>
      <c r="I209" s="42">
        <f t="shared" si="6"/>
        <v>10176.229508196722</v>
      </c>
      <c r="J209" s="49">
        <f t="shared" si="7"/>
        <v>12415</v>
      </c>
      <c r="K209" s="59" t="s">
        <v>197</v>
      </c>
      <c r="L209" s="77"/>
    </row>
    <row r="210" spans="1:12" s="5" customFormat="1" ht="48.75" customHeight="1" x14ac:dyDescent="0.2">
      <c r="A210" s="47">
        <v>203</v>
      </c>
      <c r="B210" s="53" t="s">
        <v>82</v>
      </c>
      <c r="C210" s="47" t="s">
        <v>61</v>
      </c>
      <c r="D210" s="54">
        <v>0.4</v>
      </c>
      <c r="E210" s="48" t="s">
        <v>183</v>
      </c>
      <c r="F210" s="55">
        <v>46509</v>
      </c>
      <c r="G210" s="56" t="s">
        <v>141</v>
      </c>
      <c r="H210" s="57">
        <v>116393.44262295082</v>
      </c>
      <c r="I210" s="42">
        <f t="shared" si="6"/>
        <v>46557.37704918033</v>
      </c>
      <c r="J210" s="49">
        <f t="shared" si="7"/>
        <v>56800</v>
      </c>
      <c r="K210" s="59" t="s">
        <v>197</v>
      </c>
      <c r="L210" s="77"/>
    </row>
    <row r="211" spans="1:12" s="5" customFormat="1" ht="48.75" customHeight="1" x14ac:dyDescent="0.2">
      <c r="A211" s="47">
        <v>204</v>
      </c>
      <c r="B211" s="53" t="s">
        <v>25</v>
      </c>
      <c r="C211" s="47" t="s">
        <v>61</v>
      </c>
      <c r="D211" s="54">
        <v>0.3</v>
      </c>
      <c r="E211" s="48" t="s">
        <v>183</v>
      </c>
      <c r="F211" s="55">
        <v>46570</v>
      </c>
      <c r="G211" s="56" t="s">
        <v>36</v>
      </c>
      <c r="H211" s="57">
        <v>118852.45901639345</v>
      </c>
      <c r="I211" s="42">
        <f t="shared" si="6"/>
        <v>35655.737704918036</v>
      </c>
      <c r="J211" s="49">
        <f t="shared" si="7"/>
        <v>43500</v>
      </c>
      <c r="K211" s="59" t="s">
        <v>197</v>
      </c>
      <c r="L211" s="77"/>
    </row>
    <row r="212" spans="1:12" s="5" customFormat="1" ht="48.75" customHeight="1" x14ac:dyDescent="0.2">
      <c r="A212" s="47">
        <v>205</v>
      </c>
      <c r="B212" s="53" t="s">
        <v>65</v>
      </c>
      <c r="C212" s="47" t="s">
        <v>61</v>
      </c>
      <c r="D212" s="54">
        <v>0.5</v>
      </c>
      <c r="E212" s="48" t="s">
        <v>183</v>
      </c>
      <c r="F212" s="55">
        <v>46570</v>
      </c>
      <c r="G212" s="56" t="s">
        <v>124</v>
      </c>
      <c r="H212" s="57">
        <v>116393.44262295082</v>
      </c>
      <c r="I212" s="42">
        <f t="shared" si="6"/>
        <v>58196.721311475412</v>
      </c>
      <c r="J212" s="49">
        <f t="shared" si="7"/>
        <v>71000</v>
      </c>
      <c r="K212" s="59" t="s">
        <v>197</v>
      </c>
      <c r="L212" s="77"/>
    </row>
    <row r="213" spans="1:12" s="5" customFormat="1" ht="48.75" customHeight="1" x14ac:dyDescent="0.2">
      <c r="A213" s="47">
        <v>206</v>
      </c>
      <c r="B213" s="53" t="s">
        <v>75</v>
      </c>
      <c r="C213" s="47" t="s">
        <v>61</v>
      </c>
      <c r="D213" s="54">
        <v>0.36</v>
      </c>
      <c r="E213" s="48" t="s">
        <v>191</v>
      </c>
      <c r="F213" s="55">
        <v>46539</v>
      </c>
      <c r="G213" s="56" t="s">
        <v>134</v>
      </c>
      <c r="H213" s="57">
        <v>116393.44262295082</v>
      </c>
      <c r="I213" s="42">
        <f t="shared" si="6"/>
        <v>41901.639344262294</v>
      </c>
      <c r="J213" s="49">
        <f t="shared" si="7"/>
        <v>51120</v>
      </c>
      <c r="K213" s="59" t="s">
        <v>197</v>
      </c>
      <c r="L213" s="77"/>
    </row>
    <row r="214" spans="1:12" s="5" customFormat="1" ht="48.75" customHeight="1" x14ac:dyDescent="0.2">
      <c r="A214" s="47">
        <v>207</v>
      </c>
      <c r="B214" s="53" t="s">
        <v>75</v>
      </c>
      <c r="C214" s="47" t="s">
        <v>61</v>
      </c>
      <c r="D214" s="54">
        <v>0.36</v>
      </c>
      <c r="E214" s="48" t="s">
        <v>191</v>
      </c>
      <c r="F214" s="55">
        <v>46478</v>
      </c>
      <c r="G214" s="56" t="s">
        <v>134</v>
      </c>
      <c r="H214" s="57">
        <v>116393.44262295082</v>
      </c>
      <c r="I214" s="42">
        <f t="shared" si="6"/>
        <v>41901.639344262294</v>
      </c>
      <c r="J214" s="49">
        <f t="shared" si="7"/>
        <v>51120</v>
      </c>
      <c r="K214" s="59" t="s">
        <v>197</v>
      </c>
      <c r="L214" s="77"/>
    </row>
    <row r="215" spans="1:12" s="5" customFormat="1" ht="48.75" customHeight="1" x14ac:dyDescent="0.2">
      <c r="A215" s="47">
        <v>208</v>
      </c>
      <c r="B215" s="53" t="s">
        <v>75</v>
      </c>
      <c r="C215" s="47" t="s">
        <v>61</v>
      </c>
      <c r="D215" s="54">
        <v>0.36</v>
      </c>
      <c r="E215" s="48" t="s">
        <v>191</v>
      </c>
      <c r="F215" s="55">
        <v>46509</v>
      </c>
      <c r="G215" s="56" t="s">
        <v>134</v>
      </c>
      <c r="H215" s="57">
        <v>116393.44262295082</v>
      </c>
      <c r="I215" s="42">
        <f t="shared" si="6"/>
        <v>41901.639344262294</v>
      </c>
      <c r="J215" s="49">
        <f t="shared" si="7"/>
        <v>51120</v>
      </c>
      <c r="K215" s="59" t="s">
        <v>197</v>
      </c>
      <c r="L215" s="77"/>
    </row>
    <row r="216" spans="1:12" s="5" customFormat="1" ht="48.75" customHeight="1" x14ac:dyDescent="0.2">
      <c r="A216" s="47">
        <v>209</v>
      </c>
      <c r="B216" s="53" t="s">
        <v>82</v>
      </c>
      <c r="C216" s="47" t="s">
        <v>61</v>
      </c>
      <c r="D216" s="54">
        <v>0.5</v>
      </c>
      <c r="E216" s="48" t="s">
        <v>45</v>
      </c>
      <c r="F216" s="55">
        <v>46478</v>
      </c>
      <c r="G216" s="56" t="s">
        <v>141</v>
      </c>
      <c r="H216" s="57">
        <v>116393.44262295082</v>
      </c>
      <c r="I216" s="42">
        <f t="shared" si="6"/>
        <v>58196.721311475412</v>
      </c>
      <c r="J216" s="49">
        <f t="shared" si="7"/>
        <v>71000</v>
      </c>
      <c r="K216" s="59" t="s">
        <v>197</v>
      </c>
      <c r="L216" s="77"/>
    </row>
    <row r="217" spans="1:12" s="5" customFormat="1" ht="48.75" customHeight="1" x14ac:dyDescent="0.2">
      <c r="A217" s="47">
        <v>210</v>
      </c>
      <c r="B217" s="53" t="s">
        <v>24</v>
      </c>
      <c r="C217" s="47" t="s">
        <v>61</v>
      </c>
      <c r="D217" s="54">
        <v>0.5</v>
      </c>
      <c r="E217" s="48" t="s">
        <v>45</v>
      </c>
      <c r="F217" s="55">
        <v>46601</v>
      </c>
      <c r="G217" s="56" t="s">
        <v>49</v>
      </c>
      <c r="H217" s="57">
        <v>116393.44262295082</v>
      </c>
      <c r="I217" s="42">
        <f t="shared" si="6"/>
        <v>58196.721311475412</v>
      </c>
      <c r="J217" s="49">
        <f t="shared" si="7"/>
        <v>71000</v>
      </c>
      <c r="K217" s="59" t="s">
        <v>197</v>
      </c>
      <c r="L217" s="77"/>
    </row>
    <row r="218" spans="1:12" s="5" customFormat="1" ht="48.75" customHeight="1" x14ac:dyDescent="0.2">
      <c r="A218" s="47">
        <v>211</v>
      </c>
      <c r="B218" s="53" t="s">
        <v>119</v>
      </c>
      <c r="C218" s="47" t="s">
        <v>61</v>
      </c>
      <c r="D218" s="54">
        <v>0.1</v>
      </c>
      <c r="E218" s="51" t="s">
        <v>190</v>
      </c>
      <c r="F218" s="55">
        <v>46570</v>
      </c>
      <c r="G218" s="56" t="s">
        <v>178</v>
      </c>
      <c r="H218" s="57">
        <v>363442.62295081967</v>
      </c>
      <c r="I218" s="42">
        <f t="shared" si="6"/>
        <v>36344.262295081971</v>
      </c>
      <c r="J218" s="49">
        <f t="shared" si="7"/>
        <v>44340.000000000007</v>
      </c>
      <c r="K218" s="59" t="s">
        <v>54</v>
      </c>
      <c r="L218" s="77"/>
    </row>
    <row r="219" spans="1:12" s="5" customFormat="1" ht="48.75" customHeight="1" x14ac:dyDescent="0.2">
      <c r="A219" s="47">
        <v>212</v>
      </c>
      <c r="B219" s="53" t="s">
        <v>101</v>
      </c>
      <c r="C219" s="47" t="s">
        <v>61</v>
      </c>
      <c r="D219" s="54">
        <v>0.1</v>
      </c>
      <c r="E219" s="51" t="s">
        <v>190</v>
      </c>
      <c r="F219" s="55">
        <v>46601</v>
      </c>
      <c r="G219" s="56" t="s">
        <v>160</v>
      </c>
      <c r="H219" s="57">
        <v>265000</v>
      </c>
      <c r="I219" s="42">
        <f t="shared" si="6"/>
        <v>26500</v>
      </c>
      <c r="J219" s="49">
        <f t="shared" si="7"/>
        <v>32330</v>
      </c>
      <c r="K219" s="59" t="s">
        <v>54</v>
      </c>
      <c r="L219" s="77"/>
    </row>
    <row r="220" spans="1:12" s="5" customFormat="1" ht="48.75" customHeight="1" x14ac:dyDescent="0.2">
      <c r="A220" s="47">
        <v>213</v>
      </c>
      <c r="B220" s="53" t="s">
        <v>81</v>
      </c>
      <c r="C220" s="47" t="s">
        <v>61</v>
      </c>
      <c r="D220" s="54">
        <v>1</v>
      </c>
      <c r="E220" s="48" t="s">
        <v>191</v>
      </c>
      <c r="F220" s="55">
        <v>46509</v>
      </c>
      <c r="G220" s="56" t="s">
        <v>140</v>
      </c>
      <c r="H220" s="57">
        <v>143442.62295081967</v>
      </c>
      <c r="I220" s="42">
        <f t="shared" si="6"/>
        <v>143442.62295081967</v>
      </c>
      <c r="J220" s="49">
        <f t="shared" si="7"/>
        <v>175000</v>
      </c>
      <c r="K220" s="59" t="s">
        <v>197</v>
      </c>
      <c r="L220" s="77"/>
    </row>
    <row r="221" spans="1:12" s="5" customFormat="1" ht="48.75" customHeight="1" x14ac:dyDescent="0.2">
      <c r="A221" s="47">
        <v>214</v>
      </c>
      <c r="B221" s="53" t="s">
        <v>77</v>
      </c>
      <c r="C221" s="47" t="s">
        <v>61</v>
      </c>
      <c r="D221" s="54">
        <v>0.03</v>
      </c>
      <c r="E221" s="51" t="s">
        <v>190</v>
      </c>
      <c r="F221" s="55">
        <v>46509</v>
      </c>
      <c r="G221" s="56" t="s">
        <v>136</v>
      </c>
      <c r="H221" s="57">
        <v>210655.73770491805</v>
      </c>
      <c r="I221" s="42">
        <f t="shared" si="6"/>
        <v>6319.6721311475412</v>
      </c>
      <c r="J221" s="49">
        <f t="shared" si="7"/>
        <v>7710</v>
      </c>
      <c r="K221" s="59" t="s">
        <v>54</v>
      </c>
      <c r="L221" s="77"/>
    </row>
    <row r="222" spans="1:12" s="5" customFormat="1" ht="48.75" customHeight="1" x14ac:dyDescent="0.2">
      <c r="A222" s="47">
        <v>215</v>
      </c>
      <c r="B222" s="53" t="s">
        <v>30</v>
      </c>
      <c r="C222" s="47" t="s">
        <v>61</v>
      </c>
      <c r="D222" s="54">
        <v>1</v>
      </c>
      <c r="E222" s="48" t="s">
        <v>191</v>
      </c>
      <c r="F222" s="55">
        <v>46570</v>
      </c>
      <c r="G222" s="56" t="s">
        <v>39</v>
      </c>
      <c r="H222" s="57">
        <v>120491.80327868853</v>
      </c>
      <c r="I222" s="42">
        <f t="shared" si="6"/>
        <v>120491.80327868853</v>
      </c>
      <c r="J222" s="49">
        <f t="shared" si="7"/>
        <v>147000</v>
      </c>
      <c r="K222" s="59" t="s">
        <v>197</v>
      </c>
      <c r="L222" s="77"/>
    </row>
    <row r="223" spans="1:12" s="5" customFormat="1" ht="48.75" customHeight="1" x14ac:dyDescent="0.2">
      <c r="A223" s="47">
        <v>216</v>
      </c>
      <c r="B223" s="53" t="s">
        <v>89</v>
      </c>
      <c r="C223" s="47" t="s">
        <v>61</v>
      </c>
      <c r="D223" s="54">
        <v>1</v>
      </c>
      <c r="E223" s="51" t="s">
        <v>190</v>
      </c>
      <c r="F223" s="55">
        <v>46570</v>
      </c>
      <c r="G223" s="56" t="s">
        <v>148</v>
      </c>
      <c r="H223" s="57">
        <v>232786.88524590165</v>
      </c>
      <c r="I223" s="42">
        <f t="shared" si="6"/>
        <v>232786.88524590165</v>
      </c>
      <c r="J223" s="49">
        <f t="shared" si="7"/>
        <v>284000</v>
      </c>
      <c r="K223" s="59" t="s">
        <v>197</v>
      </c>
      <c r="L223" s="77"/>
    </row>
    <row r="224" spans="1:12" s="5" customFormat="1" ht="48.75" customHeight="1" x14ac:dyDescent="0.2">
      <c r="A224" s="47">
        <v>217</v>
      </c>
      <c r="B224" s="53" t="s">
        <v>80</v>
      </c>
      <c r="C224" s="47" t="s">
        <v>61</v>
      </c>
      <c r="D224" s="60">
        <v>0.27700000000000002</v>
      </c>
      <c r="E224" s="41" t="s">
        <v>192</v>
      </c>
      <c r="F224" s="55">
        <v>46523</v>
      </c>
      <c r="G224" s="56" t="s">
        <v>139</v>
      </c>
      <c r="H224" s="57">
        <v>149180.32786885247</v>
      </c>
      <c r="I224" s="42">
        <f t="shared" si="6"/>
        <v>41322.950819672136</v>
      </c>
      <c r="J224" s="49">
        <f t="shared" si="7"/>
        <v>50414.000000000007</v>
      </c>
      <c r="K224" s="59" t="s">
        <v>54</v>
      </c>
      <c r="L224" s="77"/>
    </row>
    <row r="225" spans="1:12" s="5" customFormat="1" ht="48.75" customHeight="1" x14ac:dyDescent="0.2">
      <c r="A225" s="47">
        <v>218</v>
      </c>
      <c r="B225" s="53" t="s">
        <v>84</v>
      </c>
      <c r="C225" s="47" t="s">
        <v>61</v>
      </c>
      <c r="D225" s="54">
        <v>0.35</v>
      </c>
      <c r="E225" s="48" t="s">
        <v>187</v>
      </c>
      <c r="F225" s="55">
        <v>46448</v>
      </c>
      <c r="G225" s="56" t="s">
        <v>143</v>
      </c>
      <c r="H225" s="57">
        <v>116393.44262295082</v>
      </c>
      <c r="I225" s="42">
        <f t="shared" si="6"/>
        <v>40737.704918032789</v>
      </c>
      <c r="J225" s="49">
        <f t="shared" si="7"/>
        <v>49700</v>
      </c>
      <c r="K225" s="59" t="s">
        <v>197</v>
      </c>
      <c r="L225" s="77"/>
    </row>
    <row r="226" spans="1:12" s="5" customFormat="1" ht="48.75" customHeight="1" x14ac:dyDescent="0.2">
      <c r="A226" s="47">
        <v>219</v>
      </c>
      <c r="B226" s="53" t="s">
        <v>27</v>
      </c>
      <c r="C226" s="47" t="s">
        <v>61</v>
      </c>
      <c r="D226" s="54">
        <v>0.3</v>
      </c>
      <c r="E226" s="48" t="s">
        <v>187</v>
      </c>
      <c r="F226" s="55">
        <v>46448</v>
      </c>
      <c r="G226" s="56" t="s">
        <v>40</v>
      </c>
      <c r="H226" s="57">
        <v>128688.52459016394</v>
      </c>
      <c r="I226" s="42">
        <f t="shared" si="6"/>
        <v>38606.557377049183</v>
      </c>
      <c r="J226" s="49">
        <f t="shared" si="7"/>
        <v>47100</v>
      </c>
      <c r="K226" s="59" t="s">
        <v>197</v>
      </c>
      <c r="L226" s="77"/>
    </row>
    <row r="227" spans="1:12" s="5" customFormat="1" ht="48.75" customHeight="1" x14ac:dyDescent="0.2">
      <c r="A227" s="47">
        <v>220</v>
      </c>
      <c r="B227" s="53" t="s">
        <v>88</v>
      </c>
      <c r="C227" s="47" t="s">
        <v>61</v>
      </c>
      <c r="D227" s="54">
        <v>0.15</v>
      </c>
      <c r="E227" s="48" t="s">
        <v>187</v>
      </c>
      <c r="F227" s="55">
        <v>46448</v>
      </c>
      <c r="G227" s="56" t="s">
        <v>147</v>
      </c>
      <c r="H227" s="57">
        <v>116393.44262295082</v>
      </c>
      <c r="I227" s="42">
        <f t="shared" si="6"/>
        <v>17459.016393442624</v>
      </c>
      <c r="J227" s="49">
        <f t="shared" si="7"/>
        <v>21300</v>
      </c>
      <c r="K227" s="59" t="s">
        <v>197</v>
      </c>
      <c r="L227" s="77"/>
    </row>
    <row r="228" spans="1:12" s="5" customFormat="1" ht="48.75" customHeight="1" x14ac:dyDescent="0.2">
      <c r="A228" s="47">
        <v>221</v>
      </c>
      <c r="B228" s="53" t="s">
        <v>75</v>
      </c>
      <c r="C228" s="47" t="s">
        <v>61</v>
      </c>
      <c r="D228" s="54">
        <v>2</v>
      </c>
      <c r="E228" s="48" t="s">
        <v>180</v>
      </c>
      <c r="F228" s="55">
        <v>46509</v>
      </c>
      <c r="G228" s="56" t="s">
        <v>134</v>
      </c>
      <c r="H228" s="57">
        <v>116393.44262295082</v>
      </c>
      <c r="I228" s="42">
        <f t="shared" si="6"/>
        <v>232786.88524590165</v>
      </c>
      <c r="J228" s="49">
        <f t="shared" si="7"/>
        <v>284000</v>
      </c>
      <c r="K228" s="59" t="s">
        <v>197</v>
      </c>
      <c r="L228" s="77"/>
    </row>
    <row r="229" spans="1:12" s="5" customFormat="1" ht="48.75" customHeight="1" x14ac:dyDescent="0.2">
      <c r="A229" s="47">
        <v>222</v>
      </c>
      <c r="B229" s="53" t="s">
        <v>84</v>
      </c>
      <c r="C229" s="47" t="s">
        <v>61</v>
      </c>
      <c r="D229" s="54">
        <v>0.35</v>
      </c>
      <c r="E229" s="48" t="s">
        <v>187</v>
      </c>
      <c r="F229" s="55">
        <v>46448</v>
      </c>
      <c r="G229" s="56" t="s">
        <v>143</v>
      </c>
      <c r="H229" s="57">
        <v>116393.44262295082</v>
      </c>
      <c r="I229" s="42">
        <f t="shared" si="6"/>
        <v>40737.704918032789</v>
      </c>
      <c r="J229" s="49">
        <f t="shared" si="7"/>
        <v>49700</v>
      </c>
      <c r="K229" s="59" t="s">
        <v>197</v>
      </c>
      <c r="L229" s="77"/>
    </row>
    <row r="230" spans="1:12" s="5" customFormat="1" ht="48.75" customHeight="1" x14ac:dyDescent="0.2">
      <c r="A230" s="47">
        <v>223</v>
      </c>
      <c r="B230" s="53" t="s">
        <v>27</v>
      </c>
      <c r="C230" s="47" t="s">
        <v>61</v>
      </c>
      <c r="D230" s="54">
        <v>0.3</v>
      </c>
      <c r="E230" s="48" t="s">
        <v>187</v>
      </c>
      <c r="F230" s="55">
        <v>46448</v>
      </c>
      <c r="G230" s="56" t="s">
        <v>40</v>
      </c>
      <c r="H230" s="57">
        <v>128688.52459016394</v>
      </c>
      <c r="I230" s="42">
        <f t="shared" si="6"/>
        <v>38606.557377049183</v>
      </c>
      <c r="J230" s="49">
        <f t="shared" si="7"/>
        <v>47100</v>
      </c>
      <c r="K230" s="59" t="s">
        <v>197</v>
      </c>
      <c r="L230" s="77"/>
    </row>
    <row r="231" spans="1:12" s="5" customFormat="1" ht="48.75" customHeight="1" x14ac:dyDescent="0.2">
      <c r="A231" s="47">
        <v>224</v>
      </c>
      <c r="B231" s="53" t="s">
        <v>88</v>
      </c>
      <c r="C231" s="47" t="s">
        <v>61</v>
      </c>
      <c r="D231" s="54">
        <v>0.15</v>
      </c>
      <c r="E231" s="48" t="s">
        <v>187</v>
      </c>
      <c r="F231" s="55">
        <v>46478</v>
      </c>
      <c r="G231" s="56" t="s">
        <v>147</v>
      </c>
      <c r="H231" s="57">
        <v>116393.44262295082</v>
      </c>
      <c r="I231" s="42">
        <f t="shared" si="6"/>
        <v>17459.016393442624</v>
      </c>
      <c r="J231" s="49">
        <f t="shared" si="7"/>
        <v>21300</v>
      </c>
      <c r="K231" s="59" t="s">
        <v>197</v>
      </c>
      <c r="L231" s="77"/>
    </row>
    <row r="232" spans="1:12" s="5" customFormat="1" ht="48.75" customHeight="1" x14ac:dyDescent="0.2">
      <c r="A232" s="47">
        <v>225</v>
      </c>
      <c r="B232" s="53" t="s">
        <v>120</v>
      </c>
      <c r="C232" s="47" t="s">
        <v>61</v>
      </c>
      <c r="D232" s="54">
        <v>0.1</v>
      </c>
      <c r="E232" s="48" t="s">
        <v>189</v>
      </c>
      <c r="F232" s="55">
        <v>46570</v>
      </c>
      <c r="G232" s="56" t="s">
        <v>179</v>
      </c>
      <c r="H232" s="57">
        <v>200819.67213114756</v>
      </c>
      <c r="I232" s="42">
        <f t="shared" si="6"/>
        <v>20081.967213114756</v>
      </c>
      <c r="J232" s="49">
        <f t="shared" si="7"/>
        <v>24500.000000000004</v>
      </c>
      <c r="K232" s="59" t="s">
        <v>197</v>
      </c>
      <c r="L232" s="77"/>
    </row>
    <row r="233" spans="1:12" s="5" customFormat="1" ht="48.75" customHeight="1" x14ac:dyDescent="0.2">
      <c r="A233" s="47">
        <v>226</v>
      </c>
      <c r="B233" s="53" t="s">
        <v>96</v>
      </c>
      <c r="C233" s="47" t="s">
        <v>61</v>
      </c>
      <c r="D233" s="60">
        <v>1.9359999999999999</v>
      </c>
      <c r="E233" s="48" t="s">
        <v>191</v>
      </c>
      <c r="F233" s="55">
        <v>46692</v>
      </c>
      <c r="G233" s="56" t="s">
        <v>155</v>
      </c>
      <c r="H233" s="57">
        <v>157377.04918032789</v>
      </c>
      <c r="I233" s="42">
        <f t="shared" si="6"/>
        <v>304681.96721311478</v>
      </c>
      <c r="J233" s="49">
        <f t="shared" si="7"/>
        <v>371712</v>
      </c>
      <c r="K233" s="61" t="s">
        <v>197</v>
      </c>
      <c r="L233" s="78"/>
    </row>
    <row r="234" spans="1:12" ht="22.5" customHeight="1" x14ac:dyDescent="0.2">
      <c r="A234" s="88" t="s">
        <v>55</v>
      </c>
      <c r="B234" s="89"/>
      <c r="C234" s="22"/>
      <c r="D234" s="43">
        <f>SUM(D8:D233)</f>
        <v>72.498000000000019</v>
      </c>
      <c r="E234" s="52"/>
      <c r="F234" s="23"/>
      <c r="G234" s="24"/>
      <c r="H234" s="25"/>
      <c r="I234" s="25">
        <f>SUM(I8:I233)</f>
        <v>9549463.4426229503</v>
      </c>
      <c r="J234" s="26">
        <f>SUM(J8:J233)</f>
        <v>11650345.4</v>
      </c>
      <c r="K234" s="21"/>
      <c r="L234" s="21"/>
    </row>
    <row r="235" spans="1:12" ht="20.25" customHeight="1" x14ac:dyDescent="0.2">
      <c r="A235" s="11"/>
      <c r="B235" s="12"/>
      <c r="C235" s="12"/>
      <c r="D235" s="13"/>
      <c r="E235" s="18"/>
      <c r="F235" s="12"/>
      <c r="G235" s="12"/>
      <c r="H235" s="14"/>
      <c r="I235" s="15"/>
      <c r="J235" s="15"/>
      <c r="K235" s="30"/>
    </row>
    <row r="236" spans="1:12" ht="22.5" customHeight="1" x14ac:dyDescent="0.2">
      <c r="A236" s="73" t="s">
        <v>198</v>
      </c>
      <c r="B236" s="73"/>
      <c r="C236" s="80">
        <v>9549463.4399999995</v>
      </c>
      <c r="D236" s="81"/>
      <c r="E236" s="79"/>
      <c r="F236" s="81"/>
      <c r="H236" s="19"/>
    </row>
    <row r="237" spans="1:12" ht="22.5" customHeight="1" x14ac:dyDescent="0.2">
      <c r="A237" s="5" t="s">
        <v>56</v>
      </c>
      <c r="C237" s="63">
        <f>J234-I234</f>
        <v>2100881.9573770501</v>
      </c>
      <c r="D237" s="63"/>
      <c r="E237" s="63"/>
      <c r="H237" s="19"/>
    </row>
    <row r="238" spans="1:12" ht="22.5" customHeight="1" x14ac:dyDescent="0.2">
      <c r="A238" s="73" t="s">
        <v>18</v>
      </c>
      <c r="B238" s="73"/>
      <c r="C238" s="63">
        <v>11650345.4</v>
      </c>
      <c r="D238" s="63"/>
      <c r="E238" s="63"/>
    </row>
    <row r="239" spans="1:12" ht="26.25" customHeight="1" x14ac:dyDescent="0.2">
      <c r="G239" s="33"/>
      <c r="H239" s="82" t="s">
        <v>22</v>
      </c>
      <c r="I239" s="82"/>
    </row>
    <row r="240" spans="1:12" ht="24" customHeight="1" x14ac:dyDescent="0.25">
      <c r="A240" s="6" t="s">
        <v>0</v>
      </c>
      <c r="B240" s="39" t="s">
        <v>7</v>
      </c>
      <c r="C240" s="83" t="s">
        <v>8</v>
      </c>
      <c r="D240" s="83"/>
      <c r="E240" s="84"/>
      <c r="F240" s="83"/>
      <c r="G240" s="83"/>
      <c r="H240" s="83"/>
      <c r="I240" s="85"/>
      <c r="J240" s="86"/>
      <c r="K240" s="31"/>
    </row>
    <row r="241" spans="1:11" ht="201" customHeight="1" x14ac:dyDescent="0.25">
      <c r="A241" s="7">
        <v>1</v>
      </c>
      <c r="B241" s="40" t="s">
        <v>9</v>
      </c>
      <c r="C241" s="66" t="s">
        <v>57</v>
      </c>
      <c r="D241" s="66"/>
      <c r="E241" s="66"/>
      <c r="F241" s="66"/>
      <c r="G241" s="66"/>
      <c r="H241" s="66"/>
      <c r="I241" s="67"/>
      <c r="J241" s="68"/>
      <c r="K241" s="31"/>
    </row>
    <row r="242" spans="1:11" ht="156.75" customHeight="1" x14ac:dyDescent="0.25">
      <c r="A242" s="7">
        <v>2</v>
      </c>
      <c r="B242" s="40" t="s">
        <v>10</v>
      </c>
      <c r="C242" s="66" t="s">
        <v>195</v>
      </c>
      <c r="D242" s="66"/>
      <c r="E242" s="66"/>
      <c r="F242" s="66"/>
      <c r="G242" s="66"/>
      <c r="H242" s="66"/>
      <c r="I242" s="67"/>
      <c r="J242" s="87"/>
      <c r="K242" s="31"/>
    </row>
    <row r="243" spans="1:11" ht="97.5" customHeight="1" x14ac:dyDescent="0.25">
      <c r="A243" s="7">
        <v>3</v>
      </c>
      <c r="B243" s="40" t="s">
        <v>11</v>
      </c>
      <c r="C243" s="66" t="s">
        <v>46</v>
      </c>
      <c r="D243" s="66"/>
      <c r="E243" s="66"/>
      <c r="F243" s="66"/>
      <c r="G243" s="66"/>
      <c r="H243" s="66"/>
      <c r="I243" s="67"/>
      <c r="J243" s="68"/>
      <c r="K243" s="31"/>
    </row>
    <row r="244" spans="1:11" ht="24.75" customHeight="1" x14ac:dyDescent="0.25">
      <c r="A244" s="7">
        <v>4</v>
      </c>
      <c r="B244" s="40" t="s">
        <v>199</v>
      </c>
      <c r="C244" s="90">
        <v>11650345.4</v>
      </c>
      <c r="D244" s="90"/>
      <c r="E244" s="90"/>
      <c r="F244" s="90"/>
      <c r="G244" s="90"/>
      <c r="H244" s="90"/>
      <c r="I244" s="67"/>
      <c r="J244" s="68"/>
      <c r="K244" s="31"/>
    </row>
    <row r="245" spans="1:11" ht="203.25" customHeight="1" x14ac:dyDescent="0.25">
      <c r="A245" s="28">
        <v>5</v>
      </c>
      <c r="B245" s="40" t="s">
        <v>12</v>
      </c>
      <c r="C245" s="66" t="s">
        <v>60</v>
      </c>
      <c r="D245" s="66"/>
      <c r="E245" s="66"/>
      <c r="F245" s="66"/>
      <c r="G245" s="66"/>
      <c r="H245" s="66"/>
      <c r="I245" s="67"/>
      <c r="J245" s="68"/>
      <c r="K245" s="31"/>
    </row>
    <row r="246" spans="1:11" ht="203.25" customHeight="1" x14ac:dyDescent="0.25">
      <c r="A246" s="62">
        <v>6</v>
      </c>
      <c r="B246" s="46" t="s">
        <v>17</v>
      </c>
      <c r="C246" s="66" t="s">
        <v>196</v>
      </c>
      <c r="D246" s="66"/>
      <c r="E246" s="66"/>
      <c r="F246" s="66"/>
      <c r="G246" s="66"/>
      <c r="H246" s="66"/>
      <c r="I246" s="66"/>
      <c r="J246" s="68"/>
      <c r="K246" s="31"/>
    </row>
    <row r="247" spans="1:11" x14ac:dyDescent="0.2">
      <c r="B247" s="8"/>
      <c r="C247" s="8"/>
      <c r="D247" s="8"/>
      <c r="E247" s="20"/>
    </row>
    <row r="248" spans="1:11" x14ac:dyDescent="0.2">
      <c r="B248" s="91"/>
      <c r="C248" s="91"/>
      <c r="D248" s="91"/>
      <c r="E248" s="20"/>
      <c r="F248" s="82"/>
      <c r="G248" s="65"/>
      <c r="H248" s="65"/>
    </row>
    <row r="249" spans="1:11" x14ac:dyDescent="0.2">
      <c r="B249" s="79"/>
      <c r="C249" s="79"/>
      <c r="D249" s="79"/>
      <c r="F249" s="65"/>
      <c r="G249" s="65"/>
      <c r="H249" s="65"/>
    </row>
    <row r="250" spans="1:11" x14ac:dyDescent="0.2">
      <c r="B250" s="32"/>
      <c r="C250" s="33"/>
      <c r="D250" s="33"/>
      <c r="E250" s="20"/>
      <c r="F250" s="33"/>
    </row>
    <row r="251" spans="1:11" ht="12.75" customHeight="1" x14ac:dyDescent="0.2">
      <c r="B251" s="64"/>
      <c r="C251" s="64"/>
      <c r="D251" s="64"/>
      <c r="F251" s="65"/>
      <c r="G251" s="65"/>
      <c r="H251" s="65"/>
    </row>
    <row r="252" spans="1:11" x14ac:dyDescent="0.2">
      <c r="B252" s="36"/>
      <c r="C252" s="36"/>
      <c r="D252" s="36"/>
    </row>
    <row r="253" spans="1:11" x14ac:dyDescent="0.2">
      <c r="B253" s="36"/>
      <c r="C253" s="36"/>
      <c r="D253" s="36"/>
    </row>
    <row r="254" spans="1:11" x14ac:dyDescent="0.2">
      <c r="B254" s="36"/>
      <c r="C254" s="36"/>
      <c r="D254" s="36"/>
    </row>
    <row r="255" spans="1:11" x14ac:dyDescent="0.2">
      <c r="B255" s="36"/>
      <c r="C255" s="36"/>
      <c r="D255" s="36"/>
    </row>
    <row r="256" spans="1:11" ht="38.25" customHeight="1" x14ac:dyDescent="0.2"/>
    <row r="292" spans="1:12" s="2" customFormat="1" x14ac:dyDescent="0.2">
      <c r="A292" s="27"/>
      <c r="B292" s="34"/>
      <c r="C292" s="34"/>
      <c r="D292" s="34"/>
      <c r="E292" s="17"/>
      <c r="F292" s="34"/>
      <c r="G292" s="34"/>
      <c r="H292" s="38"/>
      <c r="I292" s="34"/>
      <c r="J292" s="34"/>
      <c r="K292" s="5"/>
      <c r="L292" s="5"/>
    </row>
  </sheetData>
  <autoFilter ref="A7:L234"/>
  <mergeCells count="26">
    <mergeCell ref="L8:L233"/>
    <mergeCell ref="B249:D249"/>
    <mergeCell ref="F249:H249"/>
    <mergeCell ref="A236:B236"/>
    <mergeCell ref="C236:F236"/>
    <mergeCell ref="A238:B238"/>
    <mergeCell ref="H239:I239"/>
    <mergeCell ref="C240:J240"/>
    <mergeCell ref="C241:J241"/>
    <mergeCell ref="C242:J242"/>
    <mergeCell ref="C243:J243"/>
    <mergeCell ref="A234:B234"/>
    <mergeCell ref="C244:J244"/>
    <mergeCell ref="B248:D248"/>
    <mergeCell ref="F248:H248"/>
    <mergeCell ref="C237:E237"/>
    <mergeCell ref="A1:J1"/>
    <mergeCell ref="A2:J2"/>
    <mergeCell ref="A3:J3"/>
    <mergeCell ref="A5:E5"/>
    <mergeCell ref="I6:J6"/>
    <mergeCell ref="C238:E238"/>
    <mergeCell ref="B251:D251"/>
    <mergeCell ref="F251:H251"/>
    <mergeCell ref="C245:J245"/>
    <mergeCell ref="C246:J246"/>
  </mergeCells>
  <pageMargins left="0.25" right="0.25" top="0.75" bottom="0.75" header="0.3" footer="0.3"/>
  <pageSetup paperSize="9" scale="45" fitToHeight="0" orientation="portrait" r:id="rId1"/>
  <headerFooter>
    <oddFooter>&amp;CСтраница  &amp;P из &amp;N</oddFooter>
  </headerFooter>
  <rowBreaks count="1" manualBreakCount="1">
    <brk id="24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для проверки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plusnin_ip</dc:creator>
  <cp:lastModifiedBy>Долматова Ирина Викторовна</cp:lastModifiedBy>
  <cp:lastPrinted>2025-10-30T10:06:06Z</cp:lastPrinted>
  <dcterms:created xsi:type="dcterms:W3CDTF">2011-03-24T09:14:27Z</dcterms:created>
  <dcterms:modified xsi:type="dcterms:W3CDTF">2026-09-11T06:51:53Z</dcterms:modified>
</cp:coreProperties>
</file>