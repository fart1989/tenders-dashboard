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O:\MOR\AD01\Departments\Управление ОТС\_2_Отдел ОТС ТС\Заказы ТЗ на 2027 год\до 04.09\"/>
    </mc:Choice>
  </mc:AlternateContent>
  <bookViews>
    <workbookView xWindow="0" yWindow="0" windowWidth="18990" windowHeight="12495"/>
  </bookViews>
  <sheets>
    <sheet name="Техническое задание" sheetId="4" r:id="rId1"/>
    <sheet name="Справка" sheetId="5" r:id="rId2"/>
  </sheets>
  <definedNames>
    <definedName name="_xlnm._FilterDatabase" localSheetId="0" hidden="1">'Техническое задание'!$A$9:$N$24</definedName>
    <definedName name="BAN_DATA">Справка!$A$11:$L$21</definedName>
    <definedName name="CELL">#REF!</definedName>
    <definedName name="MAIN_DATA">'Техническое задание'!$A$8:$N$24</definedName>
    <definedName name="_xlnm.Print_Titles" localSheetId="1">Справка!$9:$9</definedName>
    <definedName name="_xlnm.Print_Titles" localSheetId="0">'Техническое задание'!#REF!</definedName>
  </definedNames>
  <calcPr calcId="162913"/>
</workbook>
</file>

<file path=xl/calcChain.xml><?xml version="1.0" encoding="utf-8"?>
<calcChain xmlns="http://schemas.openxmlformats.org/spreadsheetml/2006/main">
  <c r="F24" i="4" l="1"/>
</calcChain>
</file>

<file path=xl/sharedStrings.xml><?xml version="1.0" encoding="utf-8"?>
<sst xmlns="http://schemas.openxmlformats.org/spreadsheetml/2006/main" count="195" uniqueCount="107">
  <si>
    <t>Показатель</t>
  </si>
  <si>
    <t>Описание</t>
  </si>
  <si>
    <t>№ П/П</t>
  </si>
  <si>
    <t>Таблица 2</t>
  </si>
  <si>
    <t>Общие требования к условиям поставки</t>
  </si>
  <si>
    <t>Технические требования к продукции</t>
  </si>
  <si>
    <t>Требование к размерам товара</t>
  </si>
  <si>
    <t>Подтверждение соответствия продукции предъявляемым требованиям</t>
  </si>
  <si>
    <t>Требования к порядку расчета</t>
  </si>
  <si>
    <t>Таблица 1</t>
  </si>
  <si>
    <t>Требования к Участнику закупки</t>
  </si>
  <si>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</si>
  <si>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</si>
  <si>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</si>
  <si>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</si>
  <si>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</si>
  <si>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</si>
  <si>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</si>
  <si>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Требование к кол-ву баллов (РФ)</t>
  </si>
  <si>
    <t>Требование к кол-ву баллов (ЕАЭС)</t>
  </si>
  <si>
    <t>Требование к уровню РЭП (РФ)</t>
  </si>
  <si>
    <t>Требование к уровню РЭП (ЕАЭС)</t>
  </si>
  <si>
    <t>Страна происхождения товара</t>
  </si>
  <si>
    <t>№ и порядковый номер [..] реестра  (при наличии информации о продукции в реестрах)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</si>
  <si>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</si>
  <si>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</si>
  <si>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Наименование поставщика</t>
  </si>
  <si>
    <t>ИНН поставщика</t>
  </si>
  <si>
    <t>Процентный показатель совокупного количества баллов</t>
  </si>
  <si>
    <t xml:space="preserve">Требование к процентному показателю </t>
  </si>
  <si>
    <t>№ лота в ГКПЗ</t>
  </si>
  <si>
    <t>Наименование лота</t>
  </si>
  <si>
    <t>Код МТР SAP</t>
  </si>
  <si>
    <t>Наименование продукции, технические требования</t>
  </si>
  <si>
    <t>K закупке</t>
  </si>
  <si>
    <t>ЕИ</t>
  </si>
  <si>
    <t>Прогнозная цена, руб. без НДС</t>
  </si>
  <si>
    <t>Стоимость(к закупке), руб. без НДС</t>
  </si>
  <si>
    <t>Дата поставки</t>
  </si>
  <si>
    <t>Способ доставки (Ж/Д, авто)</t>
  </si>
  <si>
    <t>Место поставки (реквизиты Грузополучателя)</t>
  </si>
  <si>
    <t>Региональный филиал/БЕ наименование</t>
  </si>
  <si>
    <t>Примечания</t>
  </si>
  <si>
    <t>Продукция трубная (ТС)</t>
  </si>
  <si>
    <t>ТРУБА 16Х2 СТ20 ГОСТ8734</t>
  </si>
  <si>
    <t>т</t>
  </si>
  <si>
    <t>Т+ Мордовский филиал</t>
  </si>
  <si>
    <t>24.20.13.140</t>
  </si>
  <si>
    <t>ТРУБА 32Х3.2 СТ3СП ГОСТ3262</t>
  </si>
  <si>
    <t>24.20.13.160</t>
  </si>
  <si>
    <t>ТРУБА 426Х8 СТ20 ГОСТ10704</t>
  </si>
  <si>
    <t>24.20.13.130</t>
  </si>
  <si>
    <t>ТРУБА 325Х8 СТ20 ГОСТ10704</t>
  </si>
  <si>
    <t>ТРУБА 51Х2.5 СТ20 ГОСТ8734</t>
  </si>
  <si>
    <t>ТРУБА 15Х2.8 СТ3ПС ГОСТ3262</t>
  </si>
  <si>
    <t>ТРУБА 25Х3.2 СТ2ПС ГОСТ3262</t>
  </si>
  <si>
    <t>ТРУБА 20Х2.8 СТ3СП ГОСТ3262</t>
  </si>
  <si>
    <t>ТРУБА 530Х8 СТ20 ГОСТ10704</t>
  </si>
  <si>
    <t>ТРУБА 630Х9 СТ20 ГОСТ10704</t>
  </si>
  <si>
    <t>ТРУБА 25Х3.2 СТ3 ГОСТ3262</t>
  </si>
  <si>
    <t>Общий итог:</t>
  </si>
  <si>
    <t>24.2</t>
  </si>
  <si>
    <t>4</t>
  </si>
  <si>
    <t>Вид защитной меры  (запрет/ограничение)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</si>
  <si>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</si>
  <si>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</si>
  <si>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</si>
  <si>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</si>
  <si>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Лист 1 к Приложению №3 к приказу ПАО «Т ПЛЮС»</t>
  </si>
  <si>
    <t>от _______________ № _________</t>
  </si>
  <si>
    <t xml:space="preserve">Техническое задание  </t>
  </si>
  <si>
    <t>На поставку Продукция трубная(ТС)</t>
  </si>
  <si>
    <t>Продукция должна быть маркирована и упакована в упаковку, обеспечивающую сохранность продукции от порчи, повреждений при транспортировании всеми видами транспорта, перегрузке, хранении, согласно ГОСТ, ТУ, ОСТ. Тара (упаковка) возврату не подлежит  Особые требования к упаковке:нет</t>
  </si>
  <si>
    <t>Поставка осуществляется путем отгрузок продукции силами и за счет Поставщика до склада Грузополучателя.</t>
  </si>
  <si>
    <t>Покупатель вправе отказаться от приемки Товара, поставка которого просрочена, в соответствии с условиями договора</t>
  </si>
  <si>
    <t>Поставщик обязан одновременно с передачей Продукции передать покупателю ее принадлежности, а также относящиеся к ней документы (паспорт или сертификат качества и т.п.), предусмотренные законом, иными правовыми актами или договором.</t>
  </si>
  <si>
    <t>Дополнительные требования (наличие шеф-монтажа, послепродажного технического обслуживания и т. п.): нет</t>
  </si>
  <si>
    <t>Толеранс (+/-), % - В соответствии с условиями договора.</t>
  </si>
  <si>
    <t xml:space="preserve">Предлагаемое Поставщиком к закупке количество товара должно соответствовать количеству закупаемой продукции, указанной в настоящем ТЗ соответственно марке товара. В случае невозможности обеспечения соответствия и отклонения количества товара от объема закупаемой Продукции ввиду наличия нестандартной расфасовки товара в большую сторону согласование сверх поставки товара с Заказчиком обязательно в письменном виде до подачи предложения (оферты). При этом стоимость лота не должна увеличиваться на величину стоимости сверх поставки, т.е. остается прежней. </t>
  </si>
  <si>
    <t>Продукция должна соответствовать обязательным техническим правилам (ГОСТ, ТУ, РД и др), чертежу, иным техническим требованиям к продукции, указанным в Таблице 1 Технического задания.</t>
  </si>
  <si>
    <t>Продукция должна быть новым Товаром, который не был в употреблении, ремонте, в том числе, который не был восстановлен, у которого не была осуществлена замена составных частей, не были восстановлены потребительские свойства.</t>
  </si>
  <si>
    <t>Срок службы (расчетный ресурс): Информация о сроке службы (расчетном ресурсе) должна быть включена в паспорт и/или сертификат и/или декларацию о соответствии поставляемой продукции.</t>
  </si>
  <si>
    <t>Размеры товара в соответствие техническим требованием указанной номенклатуры  в столбце №5</t>
  </si>
  <si>
    <t>Поставщик должен гарантировать безопасность продукции для жизни, здоровья, имущества Заказчика и окружающей среды при обычных условиях его использования, хранения, транспортировки и утилизации.</t>
  </si>
  <si>
    <t>Поставляемый Товар должен быть экологически безопасен, сертифицирован и по безопасности должен соответствовать требованиям государственных стандартов, техническим условиям и действующему законодательству РФ.</t>
  </si>
  <si>
    <t>Согласно закупочной документации</t>
  </si>
  <si>
    <t>На стадии закупки участниками предоставляются:  паспорт или сертификат качества на ранее изготовленную продукцию или на планируемую к поставке продукцию;</t>
  </si>
  <si>
    <t>Главный инженер</t>
  </si>
  <si>
    <t>И.Н. Сухарев</t>
  </si>
  <si>
    <t>Гарантийный срок должен составлять не менее 24 месяцев с даты получения Покупателем Продукции, для труб устанавливаемых на тепловых сетях -10 лет с даты получения Покупателем продукции в соответствии с пунктом 17 статьи 14 Федерального Закона РФ «О теплоснабжении» от 27.07.2010 г. № 190-ФЗ (с изменениями от 19.12.2016 г.) должен составлять не менее 10 (десять) лет с даты поставки.</t>
  </si>
  <si>
    <t>ТРУБА 426Х8 СТ20 ГОСТ10704 .Труба стальная прямошовная электросварная ГОСТ 10704-91/ ГОСТ 10705-80*.</t>
  </si>
  <si>
    <t>ТРУБА 325Х8 СТ20 ГОСТ10704.Труба стальная прямошовная электросварная ГОСТ 10704-91/ ГОСТ 10705-80*.</t>
  </si>
  <si>
    <t>ТРУБА 530Х8 СТ20 ГОСТ10704. Труба стальная прямошовная электросварная ГОСТ 10704-91/ ГОСТ 10705-80*.</t>
  </si>
  <si>
    <t>ТРУБА 630Х9 СТ20 ГОСТ10704. Труба стальная прямошовная электросварная ГОСТ 10704-91/ ГОСТ 10705-80*.</t>
  </si>
  <si>
    <t>авто</t>
  </si>
  <si>
    <t xml:space="preserve"> 4300032, РФ, Республика Мордовия, г. Саранск, пр. 50 лет Октября, д. 29 </t>
  </si>
  <si>
    <t>ТРУБА 15Х2.8 СТ3ПС ГОСТ3262.Труба стальная водогазопроводная ГОСТ3262 . Размер:15Х2,8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</si>
  <si>
    <t>ТРУБА 20Х2.8 СТ3СП ГОСТ3262. Труба стальная водогазопроводная ГОСТ3262 . Размер:20Х2,8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</si>
  <si>
    <t>ТРУБА 20Х2.8 СТ3СП ГОСТ3262.Труба стальная водогазопроводная ГОСТ3262 . Размер:20Х2,8 мм-6000.марка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</si>
  <si>
    <t>ТРУБА 25Х3.2 СТ3 ГОСТ3262.Труба стальная водогазопроводная ГОСТ3262 . Размер:25Х3,2 мм-6000. марка стали:СТ3.Отклонение по наружному диаметру возможно: от -0,5 мм до +0,4 мм. Отклонение по толщине стенки возможно6 до -15 %. Кривизна трубы на 1 м длины :не должна превышать 2 мм. Отклонение по длине возможно: от -20 мм до +20 мм.</t>
  </si>
  <si>
    <t>ТРУБА 25Х3.2 СТ2ПС ГОСТ3262.Труба стальная водогазопроводная ГОСТ3262 . Размер:25Х3,2 мм-6000. марка стали:СТ2ПС.Отклонение по наружному диаметру возможно: от -0,5 мм до +0,4 мм. Отклонение по толщине стенки возможно6 до -15 %. Кривизна трубы на 1 м длины :не должна превышать 2 мм. Отклонение по длине возможно: от -20 мм до +20 мм.</t>
  </si>
  <si>
    <t>ТРУБА 32Х3.2 СТ3СП ГОСТ3262.Труба стальная водогазопроводная ГОСТ3262-75 . Размер:32Х3,2 мм-6000. марка стали:СТ3СП.Отклонение по наружному диаметру возможно: от -0,5 мм до +0,4 мм. Отклонение по толщине стенки возможн:до -15 %. Кривизна трубы на 1 м длины :не должна превышать 2 мм. Отклонение по длине возможно: от -20 мм до +20 мм.</t>
  </si>
  <si>
    <t>ТРУБА 51Х2.5 СТ20 ГОСТ8734.Труба бесшовная холоднодеформированная  ГОСТ 8734-75.</t>
  </si>
  <si>
    <t>Участник в своем коммерческом и техническом предложении гарантирует качество продукции,  характеристики должны в точности соответствовать качеству запрашиваемой продукции.Параметры эквивалентности:не применяются.</t>
  </si>
  <si>
    <t>ТРУБА 16Х2 СТ20 ГОСТ8734.Труба бесшовная холоднодеформированная  ГОСТ 8734-75.</t>
  </si>
  <si>
    <t>И.о.заместителя директора филиала по логистике и закупкам</t>
  </si>
  <si>
    <t>В.В. Кияйкин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</si>
</sst>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0"/>
    <numFmt numFmtId="165" formatCode="[$-419]mmmm\ yyyy;@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4"/>
      <name val="Tahoma"/>
      <family val="2"/>
      <charset val="204"/>
    </font>
    <font>
      <b/>
      <sz val="14"/>
      <name val="Tahoma"/>
      <family val="2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Tahoma"/>
      <family val="2"/>
      <charset val="204"/>
    </font>
    <font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name val="Tahoma"/>
      <family val="2"/>
      <charset val="204"/>
    </font>
    <font>
      <sz val="14"/>
      <color theme="1"/>
      <name val="Calibri"/>
      <family val="2"/>
      <scheme val="minor"/>
    </font>
    <font>
      <b/>
      <sz val="14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14" applyNumberFormat="0" applyAlignment="0" applyProtection="0"/>
    <xf numFmtId="0" fontId="12" fillId="28" borderId="1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14" applyNumberFormat="0" applyAlignment="0" applyProtection="0"/>
    <xf numFmtId="0" fontId="19" fillId="0" borderId="19" applyNumberFormat="0" applyFill="0" applyAlignment="0" applyProtection="0"/>
    <xf numFmtId="0" fontId="20" fillId="31" borderId="0" applyNumberFormat="0" applyBorder="0" applyAlignment="0" applyProtection="0"/>
    <xf numFmtId="0" fontId="8" fillId="32" borderId="20" applyNumberFormat="0" applyFont="0" applyAlignment="0" applyProtection="0"/>
    <xf numFmtId="0" fontId="21" fillId="27" borderId="21" applyNumberFormat="0" applyAlignment="0" applyProtection="0"/>
    <xf numFmtId="0" fontId="22" fillId="0" borderId="0" applyNumberFormat="0" applyFill="0" applyBorder="0" applyAlignment="0" applyProtection="0"/>
    <xf numFmtId="0" fontId="23" fillId="0" borderId="22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8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25" fillId="0" borderId="0" xfId="0" applyFont="1" applyFill="1"/>
    <xf numFmtId="0" fontId="25" fillId="0" borderId="0" xfId="0" applyFont="1" applyFill="1" applyBorder="1"/>
    <xf numFmtId="49" fontId="0" fillId="0" borderId="0" xfId="0" applyNumberFormat="1"/>
    <xf numFmtId="0" fontId="26" fillId="0" borderId="0" xfId="0" applyFont="1" applyFill="1" applyAlignment="1">
      <alignment vertical="center"/>
    </xf>
    <xf numFmtId="0" fontId="26" fillId="0" borderId="0" xfId="0" applyFont="1" applyFill="1"/>
    <xf numFmtId="0" fontId="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0" fontId="26" fillId="0" borderId="0" xfId="0" applyFont="1" applyFill="1" applyBorder="1" applyAlignment="1">
      <alignment horizontal="left"/>
    </xf>
    <xf numFmtId="0" fontId="27" fillId="0" borderId="0" xfId="0" applyFont="1" applyAlignment="1">
      <alignment horizontal="left" vertical="center"/>
    </xf>
    <xf numFmtId="0" fontId="28" fillId="0" borderId="0" xfId="0" applyFont="1"/>
    <xf numFmtId="49" fontId="28" fillId="0" borderId="0" xfId="0" applyNumberFormat="1" applyFont="1"/>
    <xf numFmtId="0" fontId="29" fillId="0" borderId="1" xfId="0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 applyProtection="1">
      <alignment horizontal="center" vertical="center" wrapText="1"/>
      <protection locked="0"/>
    </xf>
    <xf numFmtId="0" fontId="30" fillId="0" borderId="0" xfId="43" applyFont="1" applyAlignment="1"/>
    <xf numFmtId="0" fontId="25" fillId="0" borderId="0" xfId="0" applyFont="1" applyFill="1" applyProtection="1"/>
    <xf numFmtId="0" fontId="2" fillId="0" borderId="0" xfId="0" applyFont="1" applyFill="1" applyAlignment="1" applyProtection="1">
      <alignment horizontal="center" vertical="center"/>
    </xf>
    <xf numFmtId="0" fontId="25" fillId="0" borderId="0" xfId="0" applyFont="1" applyFill="1" applyAlignment="1" applyProtection="1">
      <alignment vertical="center"/>
    </xf>
    <xf numFmtId="43" fontId="2" fillId="0" borderId="0" xfId="44" applyFont="1" applyFill="1" applyAlignment="1" applyProtection="1">
      <alignment vertical="center"/>
    </xf>
    <xf numFmtId="0" fontId="25" fillId="0" borderId="0" xfId="0" applyFont="1" applyFill="1" applyBorder="1" applyAlignment="1" applyProtection="1"/>
    <xf numFmtId="0" fontId="25" fillId="0" borderId="0" xfId="0" applyFont="1" applyFill="1" applyBorder="1" applyAlignment="1" applyProtection="1">
      <alignment horizontal="center" vertical="center"/>
    </xf>
    <xf numFmtId="0" fontId="8" fillId="0" borderId="1" xfId="43" applyBorder="1"/>
    <xf numFmtId="0" fontId="8" fillId="33" borderId="1" xfId="43" applyFill="1" applyBorder="1" applyProtection="1">
      <protection locked="0"/>
    </xf>
    <xf numFmtId="0" fontId="23" fillId="0" borderId="0" xfId="0" applyFont="1"/>
    <xf numFmtId="0" fontId="0" fillId="0" borderId="0" xfId="0" applyAlignment="1">
      <alignment vertical="center"/>
    </xf>
    <xf numFmtId="0" fontId="23" fillId="0" borderId="0" xfId="0" applyFont="1" applyAlignment="1">
      <alignment horizontal="center" vertical="top"/>
    </xf>
    <xf numFmtId="0" fontId="25" fillId="0" borderId="0" xfId="0" applyFont="1" applyBorder="1" applyAlignment="1" applyProtection="1">
      <alignment horizontal="center" vertical="center" wrapText="1"/>
    </xf>
    <xf numFmtId="0" fontId="33" fillId="0" borderId="1" xfId="0" applyFont="1" applyFill="1" applyBorder="1" applyAlignment="1" applyProtection="1">
      <alignment horizontal="center" vertical="center" wrapText="1"/>
    </xf>
    <xf numFmtId="0" fontId="33" fillId="0" borderId="1" xfId="0" applyFont="1" applyFill="1" applyBorder="1" applyAlignment="1" applyProtection="1">
      <alignment horizontal="center" vertical="top" wrapText="1"/>
    </xf>
    <xf numFmtId="0" fontId="25" fillId="34" borderId="0" xfId="0" applyNumberFormat="1" applyFont="1" applyFill="1" applyBorder="1" applyAlignment="1" applyProtection="1">
      <alignment horizontal="center" vertical="center" wrapText="1"/>
    </xf>
    <xf numFmtId="0" fontId="2" fillId="34" borderId="0" xfId="0" applyNumberFormat="1" applyFont="1" applyFill="1" applyBorder="1" applyAlignment="1" applyProtection="1">
      <alignment horizontal="center" vertical="center" wrapText="1"/>
    </xf>
    <xf numFmtId="0" fontId="2" fillId="34" borderId="0" xfId="0" applyFont="1" applyFill="1" applyBorder="1" applyAlignment="1" applyProtection="1">
      <alignment vertical="center" wrapText="1"/>
    </xf>
    <xf numFmtId="0" fontId="2" fillId="34" borderId="0" xfId="0" applyFont="1" applyFill="1" applyBorder="1" applyAlignment="1" applyProtection="1">
      <alignment horizontal="center" vertical="center" wrapText="1"/>
    </xf>
    <xf numFmtId="0" fontId="29" fillId="0" borderId="0" xfId="43" applyFont="1" applyAlignment="1"/>
    <xf numFmtId="0" fontId="29" fillId="0" borderId="0" xfId="0" applyFont="1"/>
    <xf numFmtId="0" fontId="31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vertical="center"/>
    </xf>
    <xf numFmtId="0" fontId="25" fillId="0" borderId="0" xfId="0" applyFont="1" applyFill="1" applyBorder="1" applyAlignment="1" applyProtection="1">
      <alignment horizontal="left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36" fillId="0" borderId="0" xfId="0" applyFont="1" applyAlignment="1"/>
    <xf numFmtId="0" fontId="26" fillId="0" borderId="0" xfId="0" applyFont="1" applyAlignment="1"/>
    <xf numFmtId="0" fontId="0" fillId="0" borderId="0" xfId="0" applyAlignment="1"/>
    <xf numFmtId="0" fontId="26" fillId="0" borderId="0" xfId="0" applyFont="1" applyFill="1" applyBorder="1" applyAlignment="1" applyProtection="1">
      <alignment vertical="center"/>
    </xf>
    <xf numFmtId="0" fontId="26" fillId="0" borderId="0" xfId="0" applyFont="1" applyBorder="1" applyAlignment="1" applyProtection="1">
      <alignment horizontal="center" vertical="center" wrapText="1"/>
    </xf>
    <xf numFmtId="49" fontId="26" fillId="0" borderId="1" xfId="0" applyNumberFormat="1" applyFont="1" applyBorder="1" applyAlignment="1" applyProtection="1">
      <alignment horizontal="center" vertical="center" wrapText="1"/>
    </xf>
    <xf numFmtId="49" fontId="26" fillId="34" borderId="1" xfId="0" applyNumberFormat="1" applyFont="1" applyFill="1" applyBorder="1" applyAlignment="1" applyProtection="1">
      <alignment horizontal="center" vertical="center" wrapText="1"/>
    </xf>
    <xf numFmtId="49" fontId="5" fillId="34" borderId="1" xfId="0" applyNumberFormat="1" applyFont="1" applyFill="1" applyBorder="1" applyAlignment="1" applyProtection="1">
      <alignment horizontal="center" vertical="center" wrapText="1"/>
    </xf>
    <xf numFmtId="49" fontId="5" fillId="34" borderId="1" xfId="0" applyNumberFormat="1" applyFont="1" applyFill="1" applyBorder="1" applyAlignment="1" applyProtection="1">
      <alignment vertical="center" wrapText="1"/>
    </xf>
    <xf numFmtId="164" fontId="5" fillId="34" borderId="1" xfId="0" applyNumberFormat="1" applyFont="1" applyFill="1" applyBorder="1" applyAlignment="1" applyProtection="1">
      <alignment horizontal="center" vertical="center" wrapText="1"/>
    </xf>
    <xf numFmtId="4" fontId="5" fillId="34" borderId="1" xfId="0" applyNumberFormat="1" applyFont="1" applyFill="1" applyBorder="1" applyAlignment="1" applyProtection="1">
      <alignment horizontal="center" vertical="center" wrapText="1"/>
    </xf>
    <xf numFmtId="165" fontId="5" fillId="34" borderId="1" xfId="0" applyNumberFormat="1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Fill="1" applyBorder="1" applyAlignment="1" applyProtection="1">
      <alignment horizontal="center" vertical="center" wrapText="1"/>
      <protection locked="0"/>
    </xf>
    <xf numFmtId="49" fontId="33" fillId="34" borderId="1" xfId="0" applyNumberFormat="1" applyFont="1" applyFill="1" applyBorder="1" applyAlignment="1" applyProtection="1">
      <alignment horizontal="center" vertical="center" wrapText="1"/>
    </xf>
    <xf numFmtId="49" fontId="37" fillId="34" borderId="1" xfId="0" applyNumberFormat="1" applyFont="1" applyFill="1" applyBorder="1" applyAlignment="1" applyProtection="1">
      <alignment horizontal="center" vertical="center" wrapText="1"/>
    </xf>
    <xf numFmtId="49" fontId="37" fillId="34" borderId="1" xfId="0" applyNumberFormat="1" applyFont="1" applyFill="1" applyBorder="1" applyAlignment="1" applyProtection="1">
      <alignment vertical="center" wrapText="1"/>
    </xf>
    <xf numFmtId="164" fontId="37" fillId="34" borderId="1" xfId="0" applyNumberFormat="1" applyFont="1" applyFill="1" applyBorder="1" applyAlignment="1" applyProtection="1">
      <alignment horizontal="center" vertical="center" wrapText="1"/>
    </xf>
    <xf numFmtId="4" fontId="37" fillId="34" borderId="1" xfId="0" applyNumberFormat="1" applyFont="1" applyFill="1" applyBorder="1" applyAlignment="1" applyProtection="1">
      <alignment horizontal="center" vertical="center" wrapText="1"/>
    </xf>
    <xf numFmtId="14" fontId="37" fillId="34" borderId="1" xfId="0" applyNumberFormat="1" applyFont="1" applyFill="1" applyBorder="1" applyAlignment="1" applyProtection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 applyProtection="1">
      <alignment horizontal="left" vertical="center" wrapText="1"/>
      <protection locked="0"/>
    </xf>
    <xf numFmtId="0" fontId="34" fillId="0" borderId="4" xfId="0" applyFont="1" applyFill="1" applyBorder="1" applyAlignment="1" applyProtection="1">
      <alignment horizontal="left" vertical="center" wrapText="1"/>
      <protection locked="0"/>
    </xf>
    <xf numFmtId="0" fontId="26" fillId="0" borderId="9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34" fillId="34" borderId="2" xfId="0" applyFont="1" applyFill="1" applyBorder="1" applyAlignment="1" applyProtection="1">
      <alignment horizontal="left" vertical="center" wrapText="1"/>
      <protection locked="0"/>
    </xf>
    <xf numFmtId="0" fontId="34" fillId="34" borderId="4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Fill="1" applyBorder="1" applyAlignment="1" applyProtection="1">
      <alignment horizontal="left" vertical="center" wrapText="1"/>
      <protection locked="0"/>
    </xf>
    <xf numFmtId="0" fontId="4" fillId="0" borderId="4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31" fillId="0" borderId="0" xfId="0" applyFont="1" applyFill="1" applyBorder="1" applyAlignment="1" applyProtection="1">
      <alignment horizontal="left" vertical="center" wrapText="1"/>
    </xf>
    <xf numFmtId="0" fontId="31" fillId="0" borderId="0" xfId="0" applyFont="1" applyFill="1" applyBorder="1" applyAlignment="1" applyProtection="1">
      <alignment horizontal="center" vertical="center"/>
    </xf>
    <xf numFmtId="0" fontId="32" fillId="0" borderId="0" xfId="0" applyFont="1" applyFill="1" applyAlignment="1" applyProtection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49" fontId="33" fillId="0" borderId="2" xfId="0" applyNumberFormat="1" applyFont="1" applyBorder="1" applyAlignment="1" applyProtection="1">
      <alignment horizontal="center" vertical="center" wrapText="1"/>
    </xf>
    <xf numFmtId="49" fontId="33" fillId="0" borderId="3" xfId="0" applyNumberFormat="1" applyFont="1" applyBorder="1" applyAlignment="1" applyProtection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</cellXfs>
  <cellStyles count="45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" xfId="0" builtinId="0"/>
    <cellStyle name="Обычный 2" xfId="42"/>
    <cellStyle name="Обычный_Справка" xfId="43"/>
    <cellStyle name="Финансовый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50"/>
  <sheetViews>
    <sheetView tabSelected="1" view="pageBreakPreview" topLeftCell="A25" zoomScale="60" zoomScaleNormal="70" workbookViewId="0">
      <selection activeCell="I49" sqref="I49"/>
    </sheetView>
  </sheetViews>
  <sheetFormatPr defaultColWidth="40.42578125" defaultRowHeight="18.75" x14ac:dyDescent="0.3"/>
  <cols>
    <col min="1" max="1" width="10.140625" style="5" customWidth="1"/>
    <col min="2" max="2" width="12.28515625" style="5" customWidth="1"/>
    <col min="3" max="3" width="20.7109375" style="5" customWidth="1"/>
    <col min="4" max="4" width="12" style="6" customWidth="1"/>
    <col min="5" max="5" width="38.5703125" style="4" customWidth="1"/>
    <col min="6" max="6" width="15" style="7" customWidth="1"/>
    <col min="7" max="7" width="9.42578125" style="8" customWidth="1"/>
    <col min="8" max="8" width="17.85546875" style="8" customWidth="1"/>
    <col min="9" max="9" width="21.28515625" style="8" customWidth="1"/>
    <col min="10" max="10" width="25" style="8" customWidth="1"/>
    <col min="11" max="11" width="18.42578125" style="8" customWidth="1"/>
    <col min="12" max="12" width="26.42578125" style="5" customWidth="1"/>
    <col min="13" max="13" width="25" style="9" customWidth="1"/>
    <col min="14" max="14" width="18" style="9" customWidth="1"/>
  </cols>
  <sheetData>
    <row r="1" spans="1:14" s="2" customFormat="1" ht="18" x14ac:dyDescent="0.25">
      <c r="D1" s="39"/>
      <c r="E1" s="39"/>
      <c r="F1" s="39"/>
      <c r="G1" s="39"/>
      <c r="H1" s="39"/>
      <c r="I1" s="39"/>
      <c r="J1" s="39"/>
      <c r="K1" s="39"/>
      <c r="L1" s="81" t="s">
        <v>68</v>
      </c>
      <c r="M1" s="82"/>
      <c r="N1" s="82"/>
    </row>
    <row r="2" spans="1:14" s="1" customFormat="1" ht="18" x14ac:dyDescent="0.25">
      <c r="A2" s="18"/>
      <c r="B2" s="18"/>
      <c r="C2" s="18"/>
      <c r="D2" s="19"/>
      <c r="E2" s="20"/>
      <c r="F2" s="20"/>
      <c r="G2" s="20"/>
      <c r="H2" s="20"/>
      <c r="I2" s="21"/>
      <c r="J2" s="21"/>
      <c r="K2" s="21"/>
      <c r="L2" s="81" t="s">
        <v>69</v>
      </c>
      <c r="M2" s="82"/>
      <c r="N2" s="82"/>
    </row>
    <row r="3" spans="1:14" s="1" customFormat="1" ht="18" customHeight="1" x14ac:dyDescent="0.25">
      <c r="A3" s="18"/>
      <c r="B3" s="18"/>
      <c r="C3" s="18"/>
      <c r="D3" s="19"/>
      <c r="E3" s="20"/>
      <c r="F3" s="20"/>
      <c r="G3" s="20"/>
      <c r="H3" s="20"/>
      <c r="I3" s="21"/>
      <c r="J3" s="21"/>
      <c r="K3" s="21"/>
      <c r="L3" s="40"/>
      <c r="M3" s="83"/>
      <c r="N3" s="83"/>
    </row>
    <row r="4" spans="1:14" s="1" customFormat="1" ht="18" x14ac:dyDescent="0.25">
      <c r="A4" s="18"/>
      <c r="B4" s="18"/>
      <c r="C4" s="18"/>
      <c r="D4" s="19"/>
      <c r="E4" s="20"/>
      <c r="F4" s="20"/>
      <c r="G4" s="20"/>
      <c r="H4" s="20"/>
      <c r="I4" s="21"/>
      <c r="J4" s="21"/>
      <c r="K4" s="21"/>
      <c r="L4" s="22"/>
      <c r="M4" s="84"/>
      <c r="N4" s="84"/>
    </row>
    <row r="5" spans="1:14" s="1" customFormat="1" ht="18" customHeight="1" x14ac:dyDescent="0.25">
      <c r="A5" s="18"/>
      <c r="B5" s="85" t="s">
        <v>70</v>
      </c>
      <c r="C5" s="85"/>
      <c r="D5" s="85"/>
      <c r="E5" s="85"/>
      <c r="F5" s="85"/>
      <c r="G5" s="85"/>
      <c r="H5" s="85"/>
      <c r="I5" s="85"/>
      <c r="J5" s="85"/>
      <c r="K5" s="85"/>
      <c r="L5" s="22"/>
      <c r="M5" s="23"/>
      <c r="N5" s="23"/>
    </row>
    <row r="6" spans="1:14" s="1" customFormat="1" ht="18" customHeight="1" x14ac:dyDescent="0.25">
      <c r="A6" s="18"/>
      <c r="B6" s="85" t="s">
        <v>71</v>
      </c>
      <c r="C6" s="85"/>
      <c r="D6" s="85"/>
      <c r="E6" s="85"/>
      <c r="F6" s="85"/>
      <c r="G6" s="85"/>
      <c r="H6" s="85"/>
      <c r="I6" s="85"/>
      <c r="J6" s="85"/>
      <c r="K6" s="85"/>
      <c r="L6" s="22"/>
      <c r="M6" s="38"/>
      <c r="N6" s="23"/>
    </row>
    <row r="7" spans="1:14" s="2" customFormat="1" ht="21.95" customHeight="1" x14ac:dyDescent="0.25">
      <c r="A7" s="50" t="s">
        <v>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ht="56.25" x14ac:dyDescent="0.25">
      <c r="A8" s="30" t="s">
        <v>2</v>
      </c>
      <c r="B8" s="30" t="s">
        <v>30</v>
      </c>
      <c r="C8" s="30" t="s">
        <v>31</v>
      </c>
      <c r="D8" s="30" t="s">
        <v>32</v>
      </c>
      <c r="E8" s="30" t="s">
        <v>33</v>
      </c>
      <c r="F8" s="30" t="s">
        <v>34</v>
      </c>
      <c r="G8" s="30" t="s">
        <v>35</v>
      </c>
      <c r="H8" s="30" t="s">
        <v>36</v>
      </c>
      <c r="I8" s="30" t="s">
        <v>37</v>
      </c>
      <c r="J8" s="30" t="s">
        <v>38</v>
      </c>
      <c r="K8" s="30" t="s">
        <v>39</v>
      </c>
      <c r="L8" s="30" t="s">
        <v>40</v>
      </c>
      <c r="M8" s="30" t="s">
        <v>41</v>
      </c>
      <c r="N8" s="30" t="s">
        <v>42</v>
      </c>
    </row>
    <row r="9" spans="1:14" s="28" customFormat="1" ht="24.95" customHeight="1" x14ac:dyDescent="0.25">
      <c r="A9" s="31">
        <v>1</v>
      </c>
      <c r="B9" s="31">
        <v>2</v>
      </c>
      <c r="C9" s="31">
        <v>3</v>
      </c>
      <c r="D9" s="31">
        <v>4</v>
      </c>
      <c r="E9" s="31">
        <v>5</v>
      </c>
      <c r="F9" s="31">
        <v>6</v>
      </c>
      <c r="G9" s="31">
        <v>7</v>
      </c>
      <c r="H9" s="31">
        <v>8</v>
      </c>
      <c r="I9" s="31">
        <v>9</v>
      </c>
      <c r="J9" s="31">
        <v>10</v>
      </c>
      <c r="K9" s="31">
        <v>11</v>
      </c>
      <c r="L9" s="31">
        <v>12</v>
      </c>
      <c r="M9" s="31">
        <v>13</v>
      </c>
      <c r="N9" s="31">
        <v>14</v>
      </c>
    </row>
    <row r="10" spans="1:14" ht="93.75" x14ac:dyDescent="0.25">
      <c r="A10" s="52">
        <v>1</v>
      </c>
      <c r="B10" s="53">
        <v>9360828</v>
      </c>
      <c r="C10" s="53" t="s">
        <v>43</v>
      </c>
      <c r="D10" s="54">
        <v>10195</v>
      </c>
      <c r="E10" s="55" t="s">
        <v>104</v>
      </c>
      <c r="F10" s="56">
        <v>0.02</v>
      </c>
      <c r="G10" s="54" t="s">
        <v>45</v>
      </c>
      <c r="H10" s="57">
        <v>367614.76</v>
      </c>
      <c r="I10" s="57">
        <v>7352.3</v>
      </c>
      <c r="J10" s="58">
        <v>46419</v>
      </c>
      <c r="K10" s="59" t="s">
        <v>94</v>
      </c>
      <c r="L10" s="60" t="s">
        <v>95</v>
      </c>
      <c r="M10" s="54" t="s">
        <v>46</v>
      </c>
      <c r="N10" s="54"/>
    </row>
    <row r="11" spans="1:14" ht="281.25" x14ac:dyDescent="0.25">
      <c r="A11" s="52">
        <v>2</v>
      </c>
      <c r="B11" s="53">
        <v>9360828</v>
      </c>
      <c r="C11" s="53" t="s">
        <v>43</v>
      </c>
      <c r="D11" s="54">
        <v>10347</v>
      </c>
      <c r="E11" s="55" t="s">
        <v>101</v>
      </c>
      <c r="F11" s="56">
        <v>2.7E-2</v>
      </c>
      <c r="G11" s="54" t="s">
        <v>45</v>
      </c>
      <c r="H11" s="57">
        <v>115877.3</v>
      </c>
      <c r="I11" s="57">
        <v>3128.69</v>
      </c>
      <c r="J11" s="58">
        <v>46419</v>
      </c>
      <c r="K11" s="59" t="s">
        <v>94</v>
      </c>
      <c r="L11" s="60" t="s">
        <v>95</v>
      </c>
      <c r="M11" s="54" t="s">
        <v>46</v>
      </c>
      <c r="N11" s="54"/>
    </row>
    <row r="12" spans="1:14" ht="281.25" x14ac:dyDescent="0.25">
      <c r="A12" s="52">
        <v>3</v>
      </c>
      <c r="B12" s="53">
        <v>9360828</v>
      </c>
      <c r="C12" s="53" t="s">
        <v>43</v>
      </c>
      <c r="D12" s="54">
        <v>10347</v>
      </c>
      <c r="E12" s="55" t="s">
        <v>101</v>
      </c>
      <c r="F12" s="56">
        <v>3.1E-2</v>
      </c>
      <c r="G12" s="54" t="s">
        <v>45</v>
      </c>
      <c r="H12" s="57">
        <v>115877.3</v>
      </c>
      <c r="I12" s="57">
        <v>3592.19</v>
      </c>
      <c r="J12" s="58">
        <v>46419</v>
      </c>
      <c r="K12" s="59" t="s">
        <v>94</v>
      </c>
      <c r="L12" s="60" t="s">
        <v>95</v>
      </c>
      <c r="M12" s="54" t="s">
        <v>46</v>
      </c>
      <c r="N12" s="54"/>
    </row>
    <row r="13" spans="1:14" ht="93.75" x14ac:dyDescent="0.25">
      <c r="A13" s="52">
        <v>4</v>
      </c>
      <c r="B13" s="53">
        <v>9360828</v>
      </c>
      <c r="C13" s="53" t="s">
        <v>43</v>
      </c>
      <c r="D13" s="54">
        <v>24878</v>
      </c>
      <c r="E13" s="55" t="s">
        <v>90</v>
      </c>
      <c r="F13" s="56">
        <v>3.9580000000000002</v>
      </c>
      <c r="G13" s="54" t="s">
        <v>45</v>
      </c>
      <c r="H13" s="57">
        <v>75993.66</v>
      </c>
      <c r="I13" s="57">
        <v>300782.90999999997</v>
      </c>
      <c r="J13" s="58">
        <v>46419</v>
      </c>
      <c r="K13" s="59" t="s">
        <v>94</v>
      </c>
      <c r="L13" s="60" t="s">
        <v>95</v>
      </c>
      <c r="M13" s="54" t="s">
        <v>46</v>
      </c>
      <c r="N13" s="54"/>
    </row>
    <row r="14" spans="1:14" ht="93.75" x14ac:dyDescent="0.25">
      <c r="A14" s="52">
        <v>5</v>
      </c>
      <c r="B14" s="53">
        <v>9360828</v>
      </c>
      <c r="C14" s="53" t="s">
        <v>43</v>
      </c>
      <c r="D14" s="54">
        <v>48726</v>
      </c>
      <c r="E14" s="55" t="s">
        <v>91</v>
      </c>
      <c r="F14" s="56">
        <v>2.2170000000000001</v>
      </c>
      <c r="G14" s="54" t="s">
        <v>45</v>
      </c>
      <c r="H14" s="57">
        <v>66760.55</v>
      </c>
      <c r="I14" s="57">
        <v>148008.15</v>
      </c>
      <c r="J14" s="58">
        <v>46419</v>
      </c>
      <c r="K14" s="59" t="s">
        <v>94</v>
      </c>
      <c r="L14" s="60" t="s">
        <v>95</v>
      </c>
      <c r="M14" s="54" t="s">
        <v>46</v>
      </c>
      <c r="N14" s="54"/>
    </row>
    <row r="15" spans="1:14" ht="93.75" x14ac:dyDescent="0.25">
      <c r="A15" s="52">
        <v>6</v>
      </c>
      <c r="B15" s="53">
        <v>9360828</v>
      </c>
      <c r="C15" s="53" t="s">
        <v>43</v>
      </c>
      <c r="D15" s="54">
        <v>48889</v>
      </c>
      <c r="E15" s="55" t="s">
        <v>102</v>
      </c>
      <c r="F15" s="56">
        <v>0.60499999999999998</v>
      </c>
      <c r="G15" s="54" t="s">
        <v>45</v>
      </c>
      <c r="H15" s="57">
        <v>188081.97</v>
      </c>
      <c r="I15" s="57">
        <v>113789.59</v>
      </c>
      <c r="J15" s="58">
        <v>46419</v>
      </c>
      <c r="K15" s="59" t="s">
        <v>94</v>
      </c>
      <c r="L15" s="60" t="s">
        <v>95</v>
      </c>
      <c r="M15" s="54" t="s">
        <v>46</v>
      </c>
      <c r="N15" s="54"/>
    </row>
    <row r="16" spans="1:14" ht="262.5" x14ac:dyDescent="0.25">
      <c r="A16" s="52">
        <v>7</v>
      </c>
      <c r="B16" s="53">
        <v>9360828</v>
      </c>
      <c r="C16" s="53" t="s">
        <v>43</v>
      </c>
      <c r="D16" s="54">
        <v>53990</v>
      </c>
      <c r="E16" s="55" t="s">
        <v>96</v>
      </c>
      <c r="F16" s="56">
        <v>0.14899999999999999</v>
      </c>
      <c r="G16" s="54" t="s">
        <v>45</v>
      </c>
      <c r="H16" s="57">
        <v>109515</v>
      </c>
      <c r="I16" s="57">
        <v>16317.74</v>
      </c>
      <c r="J16" s="58">
        <v>46419</v>
      </c>
      <c r="K16" s="59" t="s">
        <v>94</v>
      </c>
      <c r="L16" s="60" t="s">
        <v>95</v>
      </c>
      <c r="M16" s="54" t="s">
        <v>46</v>
      </c>
      <c r="N16" s="54"/>
    </row>
    <row r="17" spans="1:15" ht="262.5" x14ac:dyDescent="0.25">
      <c r="A17" s="52">
        <v>8</v>
      </c>
      <c r="B17" s="53">
        <v>9360828</v>
      </c>
      <c r="C17" s="53" t="s">
        <v>43</v>
      </c>
      <c r="D17" s="54">
        <v>53990</v>
      </c>
      <c r="E17" s="55" t="s">
        <v>96</v>
      </c>
      <c r="F17" s="56">
        <v>0.06</v>
      </c>
      <c r="G17" s="54" t="s">
        <v>45</v>
      </c>
      <c r="H17" s="57">
        <v>109515</v>
      </c>
      <c r="I17" s="57">
        <v>6570.9</v>
      </c>
      <c r="J17" s="58">
        <v>46419</v>
      </c>
      <c r="K17" s="59" t="s">
        <v>94</v>
      </c>
      <c r="L17" s="60" t="s">
        <v>95</v>
      </c>
      <c r="M17" s="54" t="s">
        <v>46</v>
      </c>
      <c r="N17" s="54"/>
    </row>
    <row r="18" spans="1:15" ht="281.25" x14ac:dyDescent="0.25">
      <c r="A18" s="52">
        <v>9</v>
      </c>
      <c r="B18" s="53">
        <v>9360828</v>
      </c>
      <c r="C18" s="53" t="s">
        <v>43</v>
      </c>
      <c r="D18" s="54">
        <v>69536</v>
      </c>
      <c r="E18" s="55" t="s">
        <v>100</v>
      </c>
      <c r="F18" s="56">
        <v>0.05</v>
      </c>
      <c r="G18" s="54" t="s">
        <v>45</v>
      </c>
      <c r="H18" s="57">
        <v>75461.05</v>
      </c>
      <c r="I18" s="57">
        <v>3773.05</v>
      </c>
      <c r="J18" s="58">
        <v>46419</v>
      </c>
      <c r="K18" s="59" t="s">
        <v>94</v>
      </c>
      <c r="L18" s="60" t="s">
        <v>95</v>
      </c>
      <c r="M18" s="54" t="s">
        <v>46</v>
      </c>
      <c r="N18" s="54"/>
    </row>
    <row r="19" spans="1:15" ht="262.5" x14ac:dyDescent="0.25">
      <c r="A19" s="52">
        <v>10</v>
      </c>
      <c r="B19" s="53">
        <v>9360828</v>
      </c>
      <c r="C19" s="53" t="s">
        <v>43</v>
      </c>
      <c r="D19" s="54">
        <v>154275</v>
      </c>
      <c r="E19" s="55" t="s">
        <v>97</v>
      </c>
      <c r="F19" s="56">
        <v>7.3999999999999996E-2</v>
      </c>
      <c r="G19" s="54" t="s">
        <v>45</v>
      </c>
      <c r="H19" s="57">
        <v>132617.45000000001</v>
      </c>
      <c r="I19" s="57">
        <v>9813.69</v>
      </c>
      <c r="J19" s="58">
        <v>46419</v>
      </c>
      <c r="K19" s="59" t="s">
        <v>94</v>
      </c>
      <c r="L19" s="60" t="s">
        <v>95</v>
      </c>
      <c r="M19" s="54" t="s">
        <v>46</v>
      </c>
      <c r="N19" s="54"/>
    </row>
    <row r="20" spans="1:15" ht="262.5" x14ac:dyDescent="0.25">
      <c r="A20" s="52">
        <v>11</v>
      </c>
      <c r="B20" s="53">
        <v>9360828</v>
      </c>
      <c r="C20" s="53" t="s">
        <v>43</v>
      </c>
      <c r="D20" s="54">
        <v>154275</v>
      </c>
      <c r="E20" s="55" t="s">
        <v>98</v>
      </c>
      <c r="F20" s="56">
        <v>2.5999999999999999E-2</v>
      </c>
      <c r="G20" s="54" t="s">
        <v>45</v>
      </c>
      <c r="H20" s="57">
        <v>132617.45000000001</v>
      </c>
      <c r="I20" s="57">
        <v>3448.05</v>
      </c>
      <c r="J20" s="58">
        <v>46419</v>
      </c>
      <c r="K20" s="59" t="s">
        <v>94</v>
      </c>
      <c r="L20" s="60" t="s">
        <v>95</v>
      </c>
      <c r="M20" s="54" t="s">
        <v>46</v>
      </c>
      <c r="N20" s="54"/>
    </row>
    <row r="21" spans="1:15" ht="93.75" x14ac:dyDescent="0.25">
      <c r="A21" s="52">
        <v>12</v>
      </c>
      <c r="B21" s="53">
        <v>9360828</v>
      </c>
      <c r="C21" s="53" t="s">
        <v>43</v>
      </c>
      <c r="D21" s="54">
        <v>238329</v>
      </c>
      <c r="E21" s="55" t="s">
        <v>92</v>
      </c>
      <c r="F21" s="56">
        <v>4.944</v>
      </c>
      <c r="G21" s="54" t="s">
        <v>45</v>
      </c>
      <c r="H21" s="57">
        <v>76139</v>
      </c>
      <c r="I21" s="57">
        <v>376431.22</v>
      </c>
      <c r="J21" s="58">
        <v>46419</v>
      </c>
      <c r="K21" s="59" t="s">
        <v>94</v>
      </c>
      <c r="L21" s="60" t="s">
        <v>95</v>
      </c>
      <c r="M21" s="54" t="s">
        <v>46</v>
      </c>
      <c r="N21" s="54"/>
    </row>
    <row r="22" spans="1:15" ht="93.75" x14ac:dyDescent="0.25">
      <c r="A22" s="52">
        <v>13</v>
      </c>
      <c r="B22" s="53">
        <v>9360828</v>
      </c>
      <c r="C22" s="53" t="s">
        <v>43</v>
      </c>
      <c r="D22" s="54">
        <v>292188</v>
      </c>
      <c r="E22" s="55" t="s">
        <v>93</v>
      </c>
      <c r="F22" s="56">
        <v>3.3079999999999998</v>
      </c>
      <c r="G22" s="54" t="s">
        <v>45</v>
      </c>
      <c r="H22" s="57">
        <v>85226.78</v>
      </c>
      <c r="I22" s="57">
        <v>281930.19</v>
      </c>
      <c r="J22" s="58">
        <v>46419</v>
      </c>
      <c r="K22" s="59" t="s">
        <v>94</v>
      </c>
      <c r="L22" s="60" t="s">
        <v>95</v>
      </c>
      <c r="M22" s="54" t="s">
        <v>46</v>
      </c>
      <c r="N22" s="54"/>
    </row>
    <row r="23" spans="1:15" ht="262.5" x14ac:dyDescent="0.25">
      <c r="A23" s="52">
        <v>14</v>
      </c>
      <c r="B23" s="53">
        <v>9360828</v>
      </c>
      <c r="C23" s="53" t="s">
        <v>43</v>
      </c>
      <c r="D23" s="54">
        <v>481321</v>
      </c>
      <c r="E23" s="55" t="s">
        <v>99</v>
      </c>
      <c r="F23" s="56">
        <v>2.9000000000000001E-2</v>
      </c>
      <c r="G23" s="54" t="s">
        <v>45</v>
      </c>
      <c r="H23" s="57">
        <v>109515</v>
      </c>
      <c r="I23" s="57">
        <v>3175.94</v>
      </c>
      <c r="J23" s="58">
        <v>46419</v>
      </c>
      <c r="K23" s="59" t="s">
        <v>94</v>
      </c>
      <c r="L23" s="60" t="s">
        <v>95</v>
      </c>
      <c r="M23" s="54" t="s">
        <v>46</v>
      </c>
      <c r="N23" s="54"/>
    </row>
    <row r="24" spans="1:15" s="26" customFormat="1" ht="31.5" customHeight="1" x14ac:dyDescent="0.25">
      <c r="A24" s="89" t="s">
        <v>60</v>
      </c>
      <c r="B24" s="90"/>
      <c r="C24" s="61"/>
      <c r="D24" s="62"/>
      <c r="E24" s="63"/>
      <c r="F24" s="64">
        <f>SUM(F10:F23)</f>
        <v>15.497999999999999</v>
      </c>
      <c r="G24" s="62"/>
      <c r="H24" s="65"/>
      <c r="I24" s="65">
        <v>1278114.6100000001</v>
      </c>
      <c r="J24" s="66"/>
      <c r="K24" s="62"/>
      <c r="L24" s="62"/>
      <c r="M24" s="62"/>
      <c r="N24" s="62"/>
    </row>
    <row r="25" spans="1:15" ht="18" x14ac:dyDescent="0.25">
      <c r="A25" s="29"/>
      <c r="B25" s="29"/>
      <c r="C25" s="29"/>
      <c r="D25" s="32"/>
      <c r="E25" s="32"/>
      <c r="F25" s="32"/>
      <c r="G25" s="32"/>
      <c r="H25" s="32"/>
      <c r="I25" s="32"/>
      <c r="J25" s="33"/>
      <c r="K25" s="34"/>
      <c r="L25" s="35"/>
      <c r="M25" s="35"/>
      <c r="N25" s="35"/>
    </row>
    <row r="26" spans="1:15" s="27" customFormat="1" ht="21.95" customHeight="1" x14ac:dyDescent="0.25">
      <c r="A26" s="41" t="s">
        <v>3</v>
      </c>
      <c r="B26" s="42"/>
      <c r="C26" s="42"/>
      <c r="D26" s="42"/>
      <c r="E26" s="42"/>
      <c r="F26" s="42"/>
      <c r="G26" s="42"/>
      <c r="H26" s="42"/>
      <c r="I26" s="42"/>
      <c r="J26" s="43"/>
      <c r="K26" s="42"/>
      <c r="L26" s="42"/>
      <c r="M26" s="42"/>
      <c r="N26" s="42"/>
      <c r="O26" s="8"/>
    </row>
    <row r="27" spans="1:15" x14ac:dyDescent="0.25">
      <c r="A27" s="44" t="s">
        <v>2</v>
      </c>
      <c r="B27" s="86" t="s">
        <v>0</v>
      </c>
      <c r="C27" s="87"/>
      <c r="D27" s="86" t="s">
        <v>1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"/>
    </row>
    <row r="28" spans="1:15" ht="31.5" customHeight="1" x14ac:dyDescent="0.25">
      <c r="A28" s="67">
        <v>1</v>
      </c>
      <c r="B28" s="69" t="s">
        <v>4</v>
      </c>
      <c r="C28" s="70"/>
      <c r="D28" s="73" t="s">
        <v>72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8"/>
    </row>
    <row r="29" spans="1:15" ht="18.75" customHeight="1" x14ac:dyDescent="0.25">
      <c r="A29" s="91"/>
      <c r="B29" s="75"/>
      <c r="C29" s="76"/>
      <c r="D29" s="73" t="s">
        <v>73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8"/>
    </row>
    <row r="30" spans="1:15" ht="18.75" customHeight="1" x14ac:dyDescent="0.25">
      <c r="A30" s="91"/>
      <c r="B30" s="75"/>
      <c r="C30" s="76"/>
      <c r="D30" s="73" t="s">
        <v>74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8"/>
    </row>
    <row r="31" spans="1:15" ht="31.5" customHeight="1" x14ac:dyDescent="0.25">
      <c r="A31" s="91"/>
      <c r="B31" s="75"/>
      <c r="C31" s="76"/>
      <c r="D31" s="73" t="s">
        <v>75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8"/>
    </row>
    <row r="32" spans="1:15" ht="18.75" customHeight="1" x14ac:dyDescent="0.25">
      <c r="A32" s="91"/>
      <c r="B32" s="75"/>
      <c r="C32" s="76"/>
      <c r="D32" s="73" t="s">
        <v>76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8"/>
    </row>
    <row r="33" spans="1:15" ht="18.75" customHeight="1" x14ac:dyDescent="0.25">
      <c r="A33" s="91"/>
      <c r="B33" s="75"/>
      <c r="C33" s="76"/>
      <c r="D33" s="73" t="s">
        <v>77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8"/>
    </row>
    <row r="34" spans="1:15" ht="45" customHeight="1" x14ac:dyDescent="0.25">
      <c r="A34" s="68"/>
      <c r="B34" s="71"/>
      <c r="C34" s="72"/>
      <c r="D34" s="73" t="s">
        <v>78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8"/>
    </row>
    <row r="35" spans="1:15" ht="18.75" customHeight="1" x14ac:dyDescent="0.25">
      <c r="A35" s="67">
        <v>2</v>
      </c>
      <c r="B35" s="69" t="s">
        <v>5</v>
      </c>
      <c r="C35" s="70"/>
      <c r="D35" s="73" t="s">
        <v>79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8"/>
    </row>
    <row r="36" spans="1:15" ht="31.5" customHeight="1" x14ac:dyDescent="0.25">
      <c r="A36" s="91"/>
      <c r="B36" s="75"/>
      <c r="C36" s="76"/>
      <c r="D36" s="73" t="s">
        <v>80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8"/>
    </row>
    <row r="37" spans="1:15" ht="48.75" customHeight="1" x14ac:dyDescent="0.25">
      <c r="A37" s="91"/>
      <c r="B37" s="75"/>
      <c r="C37" s="76"/>
      <c r="D37" s="77" t="s">
        <v>89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8"/>
    </row>
    <row r="38" spans="1:15" ht="18.75" customHeight="1" x14ac:dyDescent="0.25">
      <c r="A38" s="91"/>
      <c r="B38" s="75"/>
      <c r="C38" s="76"/>
      <c r="D38" s="73" t="s">
        <v>81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8"/>
    </row>
    <row r="39" spans="1:15" ht="31.5" customHeight="1" x14ac:dyDescent="0.25">
      <c r="A39" s="91"/>
      <c r="B39" s="75"/>
      <c r="C39" s="76"/>
      <c r="D39" s="79" t="s">
        <v>103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"/>
    </row>
    <row r="40" spans="1:15" ht="18.75" customHeight="1" x14ac:dyDescent="0.25">
      <c r="A40" s="45">
        <v>3</v>
      </c>
      <c r="B40" s="69" t="s">
        <v>6</v>
      </c>
      <c r="C40" s="70"/>
      <c r="D40" s="73" t="s">
        <v>82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8"/>
    </row>
    <row r="41" spans="1:15" ht="31.5" customHeight="1" x14ac:dyDescent="0.25">
      <c r="A41" s="67">
        <v>4</v>
      </c>
      <c r="B41" s="69" t="s">
        <v>7</v>
      </c>
      <c r="C41" s="70"/>
      <c r="D41" s="73" t="s">
        <v>83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8"/>
    </row>
    <row r="42" spans="1:15" ht="45" customHeight="1" x14ac:dyDescent="0.25">
      <c r="A42" s="68"/>
      <c r="B42" s="71"/>
      <c r="C42" s="72"/>
      <c r="D42" s="73" t="s">
        <v>84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8"/>
    </row>
    <row r="43" spans="1:15" ht="18.75" customHeight="1" x14ac:dyDescent="0.25">
      <c r="A43" s="67">
        <v>5</v>
      </c>
      <c r="B43" s="69" t="s">
        <v>8</v>
      </c>
      <c r="C43" s="70"/>
      <c r="D43" s="73" t="s">
        <v>85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8"/>
    </row>
    <row r="44" spans="1:15" ht="18.75" customHeight="1" x14ac:dyDescent="0.25">
      <c r="A44" s="68"/>
      <c r="B44" s="71"/>
      <c r="C44" s="72"/>
      <c r="D44" s="73" t="s">
        <v>85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8"/>
    </row>
    <row r="45" spans="1:15" ht="18.75" customHeight="1" x14ac:dyDescent="0.25">
      <c r="A45" s="67">
        <v>6</v>
      </c>
      <c r="B45" s="69" t="s">
        <v>10</v>
      </c>
      <c r="C45" s="70"/>
      <c r="D45" s="73" t="s">
        <v>86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8"/>
    </row>
    <row r="46" spans="1:15" ht="18.75" customHeight="1" x14ac:dyDescent="0.25">
      <c r="A46" s="68"/>
      <c r="B46" s="71"/>
      <c r="C46" s="72"/>
      <c r="D46" s="73" t="s">
        <v>85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8"/>
    </row>
    <row r="47" spans="1:15" ht="44.25" customHeight="1" x14ac:dyDescent="0.3">
      <c r="O47" s="8"/>
    </row>
    <row r="48" spans="1:15" x14ac:dyDescent="0.3">
      <c r="B48" s="46" t="s">
        <v>87</v>
      </c>
      <c r="C48" s="47"/>
      <c r="D48" s="47"/>
      <c r="E48" s="47"/>
      <c r="F48" s="47"/>
      <c r="G48" s="47"/>
      <c r="H48" s="48" t="s">
        <v>88</v>
      </c>
      <c r="I48" s="49"/>
      <c r="J48" s="49"/>
      <c r="K48" s="49"/>
      <c r="L48" s="49"/>
      <c r="M48" s="49"/>
      <c r="N48" s="49"/>
      <c r="O48" s="8"/>
    </row>
    <row r="49" spans="2:15" ht="36.75" customHeight="1" x14ac:dyDescent="0.3"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8"/>
    </row>
    <row r="50" spans="2:15" x14ac:dyDescent="0.3">
      <c r="B50" s="5" t="s">
        <v>105</v>
      </c>
      <c r="H50" s="8" t="s">
        <v>106</v>
      </c>
      <c r="O50" s="8"/>
    </row>
  </sheetData>
  <sheetProtection autoFilter="0"/>
  <autoFilter ref="A9:N24"/>
  <mergeCells count="39">
    <mergeCell ref="B6:K6"/>
    <mergeCell ref="B27:C27"/>
    <mergeCell ref="D27:N27"/>
    <mergeCell ref="B40:C40"/>
    <mergeCell ref="D40:N40"/>
    <mergeCell ref="A24:B24"/>
    <mergeCell ref="A28:A34"/>
    <mergeCell ref="B28:C34"/>
    <mergeCell ref="D28:N28"/>
    <mergeCell ref="D29:N29"/>
    <mergeCell ref="D30:N30"/>
    <mergeCell ref="D31:N31"/>
    <mergeCell ref="D32:N32"/>
    <mergeCell ref="D33:N33"/>
    <mergeCell ref="D34:N34"/>
    <mergeCell ref="A35:A39"/>
    <mergeCell ref="L1:N1"/>
    <mergeCell ref="L2:N2"/>
    <mergeCell ref="M3:N3"/>
    <mergeCell ref="M4:N4"/>
    <mergeCell ref="B5:K5"/>
    <mergeCell ref="B35:C39"/>
    <mergeCell ref="D35:N35"/>
    <mergeCell ref="D36:N36"/>
    <mergeCell ref="D37:N37"/>
    <mergeCell ref="D38:N38"/>
    <mergeCell ref="D39:N39"/>
    <mergeCell ref="A45:A46"/>
    <mergeCell ref="B45:C46"/>
    <mergeCell ref="D45:N45"/>
    <mergeCell ref="D46:N46"/>
    <mergeCell ref="A41:A42"/>
    <mergeCell ref="B41:C42"/>
    <mergeCell ref="D41:N41"/>
    <mergeCell ref="D42:N42"/>
    <mergeCell ref="A43:A44"/>
    <mergeCell ref="B43:C44"/>
    <mergeCell ref="D43:N43"/>
    <mergeCell ref="D44:N44"/>
  </mergeCells>
  <pageMargins left="0.7" right="0.7" top="0.75" bottom="0.75" header="0.3" footer="0.3"/>
  <pageSetup paperSize="9" scale="48" fitToHeight="0" orientation="landscape" r:id="rId1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27"/>
  <sheetViews>
    <sheetView zoomScale="70" zoomScaleNormal="70" workbookViewId="0">
      <selection activeCell="F33" sqref="F33"/>
    </sheetView>
  </sheetViews>
  <sheetFormatPr defaultRowHeight="15" x14ac:dyDescent="0.25"/>
  <cols>
    <col min="1" max="1" width="6.28515625" customWidth="1"/>
    <col min="2" max="2" width="27.42578125" customWidth="1"/>
    <col min="3" max="3" width="16.28515625" customWidth="1"/>
    <col min="4" max="4" width="12" style="3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6" width="52.7109375" customWidth="1"/>
    <col min="17" max="17" width="67.140625" customWidth="1"/>
  </cols>
  <sheetData>
    <row r="1" spans="1:17" x14ac:dyDescent="0.25">
      <c r="B1" s="24" t="s">
        <v>26</v>
      </c>
      <c r="C1" s="24" t="s">
        <v>27</v>
      </c>
    </row>
    <row r="2" spans="1:17" x14ac:dyDescent="0.25">
      <c r="B2" s="25"/>
      <c r="C2" s="25"/>
    </row>
    <row r="8" spans="1:17" x14ac:dyDescent="0.25">
      <c r="A8" s="10" t="s">
        <v>11</v>
      </c>
      <c r="B8" s="11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240" x14ac:dyDescent="0.25">
      <c r="A9" s="13" t="s">
        <v>12</v>
      </c>
      <c r="B9" s="13" t="s">
        <v>13</v>
      </c>
      <c r="C9" s="13" t="s">
        <v>14</v>
      </c>
      <c r="D9" s="14" t="s">
        <v>15</v>
      </c>
      <c r="E9" s="13" t="s">
        <v>63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29</v>
      </c>
      <c r="K9" s="13" t="s">
        <v>20</v>
      </c>
      <c r="L9" s="13" t="s">
        <v>21</v>
      </c>
      <c r="M9" s="15" t="s">
        <v>22</v>
      </c>
      <c r="N9" s="15" t="s">
        <v>23</v>
      </c>
      <c r="O9" s="15" t="s">
        <v>24</v>
      </c>
      <c r="P9" s="15" t="s">
        <v>28</v>
      </c>
      <c r="Q9" s="15" t="s">
        <v>25</v>
      </c>
    </row>
    <row r="10" spans="1:17" x14ac:dyDescent="0.25">
      <c r="A10" s="13">
        <v>1</v>
      </c>
      <c r="B10" s="13">
        <v>2</v>
      </c>
      <c r="C10" s="13">
        <v>3</v>
      </c>
      <c r="D10" s="14" t="s">
        <v>62</v>
      </c>
      <c r="E10" s="13">
        <v>5</v>
      </c>
      <c r="F10" s="13">
        <v>6</v>
      </c>
      <c r="G10" s="13">
        <v>7</v>
      </c>
      <c r="H10" s="13">
        <v>8</v>
      </c>
      <c r="I10" s="13">
        <v>9</v>
      </c>
      <c r="J10" s="13">
        <v>10</v>
      </c>
      <c r="K10" s="13">
        <v>11</v>
      </c>
      <c r="L10" s="13">
        <v>12</v>
      </c>
      <c r="M10" s="15">
        <v>13</v>
      </c>
      <c r="N10" s="15">
        <v>14</v>
      </c>
      <c r="O10" s="15">
        <v>15</v>
      </c>
      <c r="P10" s="15">
        <v>16</v>
      </c>
      <c r="Q10" s="15">
        <v>17</v>
      </c>
    </row>
    <row r="11" spans="1:17" x14ac:dyDescent="0.25">
      <c r="A11" s="14">
        <v>1</v>
      </c>
      <c r="B11" s="14" t="s">
        <v>44</v>
      </c>
      <c r="C11" s="14" t="s">
        <v>47</v>
      </c>
      <c r="D11" s="14" t="s">
        <v>61</v>
      </c>
      <c r="E11" s="14"/>
      <c r="F11" s="14"/>
      <c r="G11" s="14"/>
      <c r="H11" s="14"/>
      <c r="I11" s="14"/>
      <c r="J11" s="14"/>
      <c r="K11" s="14"/>
      <c r="L11" s="14"/>
      <c r="M11" s="16"/>
      <c r="N11" s="16"/>
      <c r="O11" s="16"/>
      <c r="P11" s="16"/>
      <c r="Q11" s="16"/>
    </row>
    <row r="12" spans="1:17" ht="24" x14ac:dyDescent="0.25">
      <c r="A12" s="14">
        <v>2</v>
      </c>
      <c r="B12" s="14" t="s">
        <v>48</v>
      </c>
      <c r="C12" s="14" t="s">
        <v>49</v>
      </c>
      <c r="D12" s="14" t="s">
        <v>61</v>
      </c>
      <c r="E12" s="14"/>
      <c r="F12" s="14"/>
      <c r="G12" s="14"/>
      <c r="H12" s="14"/>
      <c r="I12" s="14"/>
      <c r="J12" s="14"/>
      <c r="K12" s="14"/>
      <c r="L12" s="14"/>
      <c r="M12" s="16"/>
      <c r="N12" s="16"/>
      <c r="O12" s="16"/>
      <c r="P12" s="16"/>
      <c r="Q12" s="16"/>
    </row>
    <row r="13" spans="1:17" x14ac:dyDescent="0.25">
      <c r="A13" s="14">
        <v>3</v>
      </c>
      <c r="B13" s="14" t="s">
        <v>50</v>
      </c>
      <c r="C13" s="14" t="s">
        <v>51</v>
      </c>
      <c r="D13" s="14" t="s">
        <v>61</v>
      </c>
      <c r="E13" s="14"/>
      <c r="F13" s="14"/>
      <c r="G13" s="14"/>
      <c r="H13" s="14"/>
      <c r="I13" s="14"/>
      <c r="J13" s="14"/>
      <c r="K13" s="14"/>
      <c r="L13" s="14"/>
      <c r="M13" s="16"/>
      <c r="N13" s="16"/>
      <c r="O13" s="16"/>
      <c r="P13" s="16"/>
      <c r="Q13" s="16"/>
    </row>
    <row r="14" spans="1:17" x14ac:dyDescent="0.25">
      <c r="A14" s="14">
        <v>4</v>
      </c>
      <c r="B14" s="14" t="s">
        <v>52</v>
      </c>
      <c r="C14" s="14" t="s">
        <v>51</v>
      </c>
      <c r="D14" s="14" t="s">
        <v>61</v>
      </c>
      <c r="E14" s="14"/>
      <c r="F14" s="14"/>
      <c r="G14" s="14"/>
      <c r="H14" s="14"/>
      <c r="I14" s="14"/>
      <c r="J14" s="14"/>
      <c r="K14" s="14"/>
      <c r="L14" s="14"/>
      <c r="M14" s="16"/>
      <c r="N14" s="16"/>
      <c r="O14" s="16"/>
      <c r="P14" s="16"/>
      <c r="Q14" s="16"/>
    </row>
    <row r="15" spans="1:17" x14ac:dyDescent="0.25">
      <c r="A15" s="14">
        <v>5</v>
      </c>
      <c r="B15" s="14" t="s">
        <v>53</v>
      </c>
      <c r="C15" s="14" t="s">
        <v>47</v>
      </c>
      <c r="D15" s="14" t="s">
        <v>61</v>
      </c>
      <c r="E15" s="14"/>
      <c r="F15" s="14"/>
      <c r="G15" s="14"/>
      <c r="H15" s="14"/>
      <c r="I15" s="14"/>
      <c r="J15" s="14"/>
      <c r="K15" s="14"/>
      <c r="L15" s="14"/>
      <c r="M15" s="16"/>
      <c r="N15" s="16"/>
      <c r="O15" s="16"/>
      <c r="P15" s="16"/>
      <c r="Q15" s="16"/>
    </row>
    <row r="16" spans="1:17" ht="24" x14ac:dyDescent="0.25">
      <c r="A16" s="14">
        <v>6</v>
      </c>
      <c r="B16" s="14" t="s">
        <v>54</v>
      </c>
      <c r="C16" s="14" t="s">
        <v>49</v>
      </c>
      <c r="D16" s="14" t="s">
        <v>61</v>
      </c>
      <c r="E16" s="14"/>
      <c r="F16" s="14"/>
      <c r="G16" s="14"/>
      <c r="H16" s="14"/>
      <c r="I16" s="14"/>
      <c r="J16" s="14"/>
      <c r="K16" s="14"/>
      <c r="L16" s="14"/>
      <c r="M16" s="16"/>
      <c r="N16" s="16"/>
      <c r="O16" s="16"/>
      <c r="P16" s="16"/>
      <c r="Q16" s="16"/>
    </row>
    <row r="17" spans="1:17" ht="24" x14ac:dyDescent="0.25">
      <c r="A17" s="14">
        <v>7</v>
      </c>
      <c r="B17" s="14" t="s">
        <v>55</v>
      </c>
      <c r="C17" s="14" t="s">
        <v>49</v>
      </c>
      <c r="D17" s="14" t="s">
        <v>61</v>
      </c>
      <c r="E17" s="14"/>
      <c r="F17" s="14"/>
      <c r="G17" s="14"/>
      <c r="H17" s="14"/>
      <c r="I17" s="14"/>
      <c r="J17" s="14"/>
      <c r="K17" s="14"/>
      <c r="L17" s="14"/>
      <c r="M17" s="16"/>
      <c r="N17" s="16"/>
      <c r="O17" s="16"/>
      <c r="P17" s="16"/>
      <c r="Q17" s="16"/>
    </row>
    <row r="18" spans="1:17" ht="24" x14ac:dyDescent="0.25">
      <c r="A18" s="14">
        <v>8</v>
      </c>
      <c r="B18" s="14" t="s">
        <v>56</v>
      </c>
      <c r="C18" s="14" t="s">
        <v>49</v>
      </c>
      <c r="D18" s="14" t="s">
        <v>61</v>
      </c>
      <c r="E18" s="14"/>
      <c r="F18" s="14"/>
      <c r="G18" s="14"/>
      <c r="H18" s="14"/>
      <c r="I18" s="14"/>
      <c r="J18" s="14"/>
      <c r="K18" s="14"/>
      <c r="L18" s="14"/>
      <c r="M18" s="16"/>
      <c r="N18" s="16"/>
      <c r="O18" s="16"/>
      <c r="P18" s="16"/>
      <c r="Q18" s="16"/>
    </row>
    <row r="19" spans="1:17" x14ac:dyDescent="0.25">
      <c r="A19" s="14">
        <v>9</v>
      </c>
      <c r="B19" s="14" t="s">
        <v>57</v>
      </c>
      <c r="C19" s="14" t="s">
        <v>51</v>
      </c>
      <c r="D19" s="14" t="s">
        <v>61</v>
      </c>
      <c r="E19" s="14"/>
      <c r="F19" s="14"/>
      <c r="G19" s="14"/>
      <c r="H19" s="14"/>
      <c r="I19" s="14"/>
      <c r="J19" s="14"/>
      <c r="K19" s="14"/>
      <c r="L19" s="14"/>
      <c r="M19" s="16"/>
      <c r="N19" s="16"/>
      <c r="O19" s="16"/>
      <c r="P19" s="16"/>
      <c r="Q19" s="16"/>
    </row>
    <row r="20" spans="1:17" x14ac:dyDescent="0.25">
      <c r="A20" s="14">
        <v>10</v>
      </c>
      <c r="B20" s="14" t="s">
        <v>58</v>
      </c>
      <c r="C20" s="14" t="s">
        <v>51</v>
      </c>
      <c r="D20" s="14" t="s">
        <v>61</v>
      </c>
      <c r="E20" s="14"/>
      <c r="F20" s="14"/>
      <c r="G20" s="14"/>
      <c r="H20" s="14"/>
      <c r="I20" s="14"/>
      <c r="J20" s="14"/>
      <c r="K20" s="14"/>
      <c r="L20" s="14"/>
      <c r="M20" s="16"/>
      <c r="N20" s="16"/>
      <c r="O20" s="16"/>
      <c r="P20" s="16"/>
      <c r="Q20" s="16"/>
    </row>
    <row r="21" spans="1:17" x14ac:dyDescent="0.25">
      <c r="A21" s="14">
        <v>11</v>
      </c>
      <c r="B21" s="14" t="s">
        <v>59</v>
      </c>
      <c r="C21" s="14" t="s">
        <v>49</v>
      </c>
      <c r="D21" s="14" t="s">
        <v>61</v>
      </c>
      <c r="E21" s="14"/>
      <c r="F21" s="14"/>
      <c r="G21" s="14"/>
      <c r="H21" s="14"/>
      <c r="I21" s="14"/>
      <c r="J21" s="14"/>
      <c r="K21" s="14"/>
      <c r="L21" s="14"/>
      <c r="M21" s="16"/>
      <c r="N21" s="16"/>
      <c r="O21" s="16"/>
      <c r="P21" s="16"/>
      <c r="Q21" s="16"/>
    </row>
    <row r="23" spans="1:17" x14ac:dyDescent="0.25">
      <c r="A23" s="17"/>
    </row>
    <row r="24" spans="1:17" x14ac:dyDescent="0.25">
      <c r="A24" s="36" t="s">
        <v>64</v>
      </c>
      <c r="B24" s="11"/>
    </row>
    <row r="25" spans="1:17" x14ac:dyDescent="0.25">
      <c r="A25" s="37" t="s">
        <v>65</v>
      </c>
      <c r="B25" s="11"/>
    </row>
    <row r="26" spans="1:17" x14ac:dyDescent="0.25">
      <c r="A26" s="37" t="s">
        <v>66</v>
      </c>
      <c r="B26" s="11"/>
    </row>
    <row r="27" spans="1:17" x14ac:dyDescent="0.25">
      <c r="A27" s="37" t="s">
        <v>67</v>
      </c>
      <c r="B27" s="11"/>
    </row>
  </sheetData>
  <sheetProtection autoFilter="0"/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5850E0F3847B247A12CA582FF738BBB" ma:contentTypeVersion="0" ma:contentTypeDescription="Создание документа." ma:contentTypeScope="" ma:versionID="e4b6841f517b3fef01255369836806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f507d9756851cf71ca281a517bf3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73426D-24F6-49B2-9DA7-C66D0439B98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5432A43-50F9-4BE4-8C13-E65AEB5AA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4DF123-BF19-49A3-8F96-2CF5701B3D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Техническое задание</vt:lpstr>
      <vt:lpstr>Справка</vt:lpstr>
      <vt:lpstr>BAN_DATA</vt:lpstr>
      <vt:lpstr>MAIN_DATA</vt:lpstr>
      <vt:lpstr>Справка!Заголовки_для_печати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Власова Елена Владимировна</dc:creator>
  <cp:lastModifiedBy>Власова Елена Владимировна</cp:lastModifiedBy>
  <dcterms:created xsi:type="dcterms:W3CDTF">2015-06-05T18:19:34Z</dcterms:created>
  <dcterms:modified xsi:type="dcterms:W3CDTF">2026-09-03T12:51:35Z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0x01010045850E0F3847B247A12CA582FF738BBB</vt:lpwstr>
  </property>
</Properties>
</file>