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L13" i="1" l="1"/>
  <c r="N13" i="1" s="1"/>
  <c r="I13" i="1"/>
  <c r="J13" i="1" l="1"/>
  <c r="K13" i="1"/>
  <c r="M13" i="1"/>
  <c r="M14" i="1" l="1"/>
</calcChain>
</file>

<file path=xl/sharedStrings.xml><?xml version="1.0" encoding="utf-8"?>
<sst xmlns="http://schemas.openxmlformats.org/spreadsheetml/2006/main" count="24" uniqueCount="23">
  <si>
    <t>№ п/п</t>
  </si>
  <si>
    <t>Наименование товаров, работ, услуг</t>
  </si>
  <si>
    <t>Ед. измерения</t>
  </si>
  <si>
    <t>Однородность совокупности выявленных цен</t>
  </si>
  <si>
    <t>Цена за единицу измерения с округлением вниз до сотых долей после запятой (руб.)</t>
  </si>
  <si>
    <t xml:space="preserve">Коэффициент вариации (%)   </t>
  </si>
  <si>
    <t>ОКПД2</t>
  </si>
  <si>
    <t>Используемый метод определения начальной (максимальной) цены контракта: метод сопоставимых рыночных цен (анализа рынка)</t>
  </si>
  <si>
    <t>НМЦД, определяемая методом сопоставимых рыночных цен (анализа рынка)</t>
  </si>
  <si>
    <t xml:space="preserve">НМЦД (руб.) </t>
  </si>
  <si>
    <t>Кол-во, объем продукции (работ, услуг)</t>
  </si>
  <si>
    <t xml:space="preserve">НМЦД (руб.)  </t>
  </si>
  <si>
    <t xml:space="preserve">Цена за единицу измерения с округлением вниз до сотых долей после запятой (руб.) без НДС
</t>
  </si>
  <si>
    <t>Обоснование начальной (максимальной) цены договора</t>
  </si>
  <si>
    <t>Расчет начальной (максимальной) цены договора методом сопоставимых рыночных цен (анализа рынка)</t>
  </si>
  <si>
    <t>Поставка трубы трубы котловой стальной бесшовной</t>
  </si>
  <si>
    <t>Труба стальная бесшовная холоднодеформированная 28х3,0 ГОСТ 8734-75, ГОСТ 8733-74</t>
  </si>
  <si>
    <t>м</t>
  </si>
  <si>
    <r>
      <t xml:space="preserve">В результате расчета Начальная (максимальная) цена договора составила (руб.) </t>
    </r>
    <r>
      <rPr>
        <b/>
        <sz val="9"/>
        <color rgb="FFFF0000"/>
        <rFont val="Times New Roman"/>
        <family val="1"/>
        <charset val="204"/>
      </rPr>
      <t>в том числе НДС  22%</t>
    </r>
    <r>
      <rPr>
        <b/>
        <sz val="9"/>
        <color theme="1"/>
        <rFont val="Times New Roman"/>
        <family val="1"/>
        <charset val="204"/>
      </rPr>
      <t xml:space="preserve">                                               </t>
    </r>
  </si>
  <si>
    <t xml:space="preserve">24.20.13.141 </t>
  </si>
  <si>
    <t xml:space="preserve">Цена (руб.) единицы продукции с учетом НДС 22%, указанная в источнике № 1 </t>
  </si>
  <si>
    <t xml:space="preserve">Цена (руб.) единицы продукции с учетом НДС 22%, указанная в источнике № 3 </t>
  </si>
  <si>
    <t xml:space="preserve">Цена (руб.) единицы продукции с учетом НДС 22%, указанная в источнике №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</si>
</sst>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Calibri"/>
      <family val="2"/>
      <scheme val="minor"/>
    </font>
    <font>
      <sz val="9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4" fontId="2" fillId="0" borderId="6" xfId="0" applyNumberFormat="1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/>
    </xf>
    <xf numFmtId="4" fontId="0" fillId="0" borderId="0" xfId="0" applyNumberFormat="1"/>
    <xf numFmtId="4" fontId="8" fillId="0" borderId="5" xfId="0" applyNumberFormat="1" applyFont="1" applyBorder="1" applyAlignment="1">
      <alignment horizontal="center" vertical="center" wrapText="1"/>
    </xf>
    <xf numFmtId="0" fontId="11" fillId="0" borderId="0" xfId="0" applyFont="1"/>
    <xf numFmtId="0" fontId="1" fillId="0" borderId="0" xfId="0" applyFont="1"/>
    <xf numFmtId="0" fontId="10" fillId="0" borderId="0" xfId="0" applyFont="1"/>
    <xf numFmtId="4" fontId="1" fillId="0" borderId="10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0" xfId="0" applyFont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28574</xdr:colOff>
      <xdr:row>10</xdr:row>
      <xdr:rowOff>33337</xdr:rowOff>
    </xdr:from>
    <xdr:ext cx="1076325" cy="23320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7581899" y="1928812"/>
          <a:ext cx="107632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900"/>
        </a:p>
      </xdr:txBody>
    </xdr:sp>
    <xdr:clientData/>
  </xdr:oneCellAnchor>
  <xdr:twoCellAnchor editAs="oneCell">
    <xdr:from>
      <xdr:col>9</xdr:col>
      <xdr:colOff>38099</xdr:colOff>
      <xdr:row>9</xdr:row>
      <xdr:rowOff>71437</xdr:rowOff>
    </xdr:from>
    <xdr:to>
      <xdr:col>9</xdr:col>
      <xdr:colOff>990599</xdr:colOff>
      <xdr:row>11</xdr:row>
      <xdr:rowOff>90487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4" y="1776412"/>
          <a:ext cx="952500" cy="400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10</xdr:col>
      <xdr:colOff>66675</xdr:colOff>
      <xdr:row>9</xdr:row>
      <xdr:rowOff>100012</xdr:rowOff>
    </xdr:from>
    <xdr:ext cx="914400" cy="233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8620125" y="1804987"/>
          <a:ext cx="914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900"/>
        </a:p>
      </xdr:txBody>
    </xdr:sp>
    <xdr:clientData/>
  </xdr:oneCellAnchor>
  <xdr:oneCellAnchor>
    <xdr:from>
      <xdr:col>11</xdr:col>
      <xdr:colOff>28574</xdr:colOff>
      <xdr:row>10</xdr:row>
      <xdr:rowOff>33337</xdr:rowOff>
    </xdr:from>
    <xdr:ext cx="1076325" cy="23320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/>
      </xdr:nvSpPr>
      <xdr:spPr>
        <a:xfrm>
          <a:off x="7581899" y="1928812"/>
          <a:ext cx="107632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900"/>
        </a:p>
      </xdr:txBody>
    </xdr:sp>
    <xdr:clientData/>
  </xdr:oneCellAnchor>
  <xdr:oneCellAnchor>
    <xdr:from>
      <xdr:col>12</xdr:col>
      <xdr:colOff>66675</xdr:colOff>
      <xdr:row>9</xdr:row>
      <xdr:rowOff>100012</xdr:rowOff>
    </xdr:from>
    <xdr:ext cx="914400" cy="23320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 txBox="1"/>
      </xdr:nvSpPr>
      <xdr:spPr>
        <a:xfrm>
          <a:off x="8620125" y="1804987"/>
          <a:ext cx="914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900"/>
        </a:p>
      </xdr:txBody>
    </xdr:sp>
    <xdr:clientData/>
  </xdr:oneCellAnchor>
  <xdr:twoCellAnchor editAs="oneCell">
    <xdr:from>
      <xdr:col>10</xdr:col>
      <xdr:colOff>45743</xdr:colOff>
      <xdr:row>9</xdr:row>
      <xdr:rowOff>85725</xdr:rowOff>
    </xdr:from>
    <xdr:to>
      <xdr:col>10</xdr:col>
      <xdr:colOff>1089606</xdr:colOff>
      <xdr:row>11</xdr:row>
      <xdr:rowOff>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511" t="43665" r="35637" b="49872"/>
        <a:stretch/>
      </xdr:blipFill>
      <xdr:spPr>
        <a:xfrm>
          <a:off x="12771143" y="3924300"/>
          <a:ext cx="1043863" cy="295276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85726</xdr:colOff>
      <xdr:row>9</xdr:row>
      <xdr:rowOff>95249</xdr:rowOff>
    </xdr:from>
    <xdr:to>
      <xdr:col>12</xdr:col>
      <xdr:colOff>1156282</xdr:colOff>
      <xdr:row>11</xdr:row>
      <xdr:rowOff>17076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511" t="43665" r="35637" b="49872"/>
        <a:stretch/>
      </xdr:blipFill>
      <xdr:spPr>
        <a:xfrm>
          <a:off x="14897101" y="3933824"/>
          <a:ext cx="1070556" cy="302827"/>
        </a:xfrm>
        <a:prstGeom prst="rect">
          <a:avLst/>
        </a:prstGeom>
      </xdr:spPr>
    </xdr:pic>
    <xdr:clientData/>
  </xdr:twoCellAnchor>
  <xdr:twoCellAnchor editAs="oneCell">
    <xdr:from>
      <xdr:col>8</xdr:col>
      <xdr:colOff>9526</xdr:colOff>
      <xdr:row>8</xdr:row>
      <xdr:rowOff>1076325</xdr:rowOff>
    </xdr:from>
    <xdr:to>
      <xdr:col>8</xdr:col>
      <xdr:colOff>1276352</xdr:colOff>
      <xdr:row>11</xdr:row>
      <xdr:rowOff>249556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6" y="3819525"/>
          <a:ext cx="1266826" cy="649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"/>
  <sheetViews>
    <sheetView tabSelected="1" zoomScale="85" zoomScaleNormal="85" workbookViewId="0">
      <selection activeCell="A17" sqref="A17:XFD17"/>
    </sheetView>
  </sheetViews>
  <sheetFormatPr defaultRowHeight="15" x14ac:dyDescent="0.25"/>
  <cols>
    <col min="1" max="1" width="9.140625" style="1"/>
    <col min="2" max="2" width="15.7109375" style="1" customWidth="1"/>
    <col min="3" max="3" width="55.28515625" style="1" customWidth="1"/>
    <col min="4" max="4" width="9.140625" style="1"/>
    <col min="5" max="5" width="11.5703125" style="1" customWidth="1"/>
    <col min="6" max="8" width="13.7109375" style="1" customWidth="1"/>
    <col min="9" max="9" width="20.140625" style="1" customWidth="1"/>
    <col min="10" max="10" width="15" style="1" customWidth="1"/>
    <col min="11" max="11" width="17.85546875" style="1" customWidth="1"/>
    <col min="12" max="12" width="13.42578125" style="1" customWidth="1"/>
    <col min="13" max="13" width="18" style="1" customWidth="1"/>
    <col min="14" max="14" width="13.5703125" customWidth="1"/>
  </cols>
  <sheetData>
    <row r="1" spans="1:16" x14ac:dyDescent="0.25">
      <c r="K1" s="16"/>
      <c r="L1" s="16"/>
      <c r="M1" s="16"/>
    </row>
    <row r="2" spans="1:16" ht="15.75" x14ac:dyDescent="0.25">
      <c r="A2" s="27" t="s">
        <v>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6" ht="15.75" x14ac:dyDescent="0.25">
      <c r="A3" s="29" t="s">
        <v>15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6" ht="15.75" x14ac:dyDescent="0.25">
      <c r="A4" s="28" t="s">
        <v>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6" ht="15.7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6" ht="15.75" x14ac:dyDescent="0.25">
      <c r="A6" s="28" t="s">
        <v>14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16" ht="15.75" thickBo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6" ht="48" customHeight="1" thickBot="1" x14ac:dyDescent="0.3">
      <c r="A8" s="24" t="s">
        <v>0</v>
      </c>
      <c r="B8" s="24" t="s">
        <v>6</v>
      </c>
      <c r="C8" s="24" t="s">
        <v>1</v>
      </c>
      <c r="D8" s="24" t="s">
        <v>2</v>
      </c>
      <c r="E8" s="24" t="s">
        <v>10</v>
      </c>
      <c r="F8" s="20"/>
      <c r="G8" s="20"/>
      <c r="H8" s="20"/>
      <c r="I8" s="21" t="s">
        <v>3</v>
      </c>
      <c r="J8" s="22"/>
      <c r="K8" s="23"/>
      <c r="L8" s="21" t="s">
        <v>8</v>
      </c>
      <c r="M8" s="23"/>
    </row>
    <row r="9" spans="1:16" ht="86.25" customHeight="1" x14ac:dyDescent="0.25">
      <c r="A9" s="25"/>
      <c r="B9" s="25"/>
      <c r="C9" s="25"/>
      <c r="D9" s="25"/>
      <c r="E9" s="25"/>
      <c r="F9" s="24" t="s">
        <v>20</v>
      </c>
      <c r="G9" s="24" t="s">
        <v>21</v>
      </c>
      <c r="H9" s="24" t="s">
        <v>22</v>
      </c>
      <c r="I9" s="24" t="s">
        <v>3</v>
      </c>
      <c r="J9" s="24" t="s">
        <v>5</v>
      </c>
      <c r="K9" s="24" t="s">
        <v>11</v>
      </c>
      <c r="L9" s="24" t="s">
        <v>4</v>
      </c>
      <c r="M9" s="24" t="s">
        <v>9</v>
      </c>
      <c r="N9" s="24" t="s">
        <v>12</v>
      </c>
    </row>
    <row r="10" spans="1:16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6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6" ht="30.75" customHeight="1" thickBot="1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16" ht="30.75" customHeight="1" thickBot="1" x14ac:dyDescent="0.3">
      <c r="A13" s="2">
        <v>1</v>
      </c>
      <c r="B13" s="2" t="s">
        <v>19</v>
      </c>
      <c r="C13" s="3" t="s">
        <v>16</v>
      </c>
      <c r="D13" s="15" t="s">
        <v>17</v>
      </c>
      <c r="E13" s="14">
        <v>1500</v>
      </c>
      <c r="F13" s="10">
        <v>653.9</v>
      </c>
      <c r="G13" s="10">
        <v>865.29</v>
      </c>
      <c r="H13" s="7">
        <v>718</v>
      </c>
      <c r="I13" s="8">
        <f>STDEV(F13:H13)</f>
        <v>108.3888725838577</v>
      </c>
      <c r="J13" s="8">
        <f>I13/L13*100</f>
        <v>14.534600000517306</v>
      </c>
      <c r="K13" s="8">
        <f>E13*L13</f>
        <v>1118595</v>
      </c>
      <c r="L13" s="8">
        <f>ROUND(AVERAGE(F13:H13),2)</f>
        <v>745.73</v>
      </c>
      <c r="M13" s="8">
        <f>E13*L13</f>
        <v>1118595</v>
      </c>
      <c r="N13" s="8">
        <f>L13/1.22</f>
        <v>611.2540983606558</v>
      </c>
    </row>
    <row r="14" spans="1:16" ht="15.75" thickBot="1" x14ac:dyDescent="0.3">
      <c r="A14" s="17" t="s">
        <v>18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6">
        <f>SUM(M13:M13)</f>
        <v>1118595</v>
      </c>
    </row>
    <row r="15" spans="1:16" x14ac:dyDescent="0.25">
      <c r="P15" s="9"/>
    </row>
    <row r="17" spans="3:5" x14ac:dyDescent="0.25">
      <c r="C17" s="11"/>
      <c r="D17" s="12"/>
      <c r="E17" s="13"/>
    </row>
  </sheetData>
  <mergeCells count="23">
    <mergeCell ref="H9:H12"/>
    <mergeCell ref="N9:N12"/>
    <mergeCell ref="A2:M2"/>
    <mergeCell ref="A6:M6"/>
    <mergeCell ref="A4:M4"/>
    <mergeCell ref="A3:N3"/>
    <mergeCell ref="G9:G12"/>
    <mergeCell ref="K1:M1"/>
    <mergeCell ref="A14:L14"/>
    <mergeCell ref="F8:H8"/>
    <mergeCell ref="I8:K8"/>
    <mergeCell ref="L8:M8"/>
    <mergeCell ref="I9:I12"/>
    <mergeCell ref="J9:J12"/>
    <mergeCell ref="K9:K12"/>
    <mergeCell ref="L9:L12"/>
    <mergeCell ref="M9:M12"/>
    <mergeCell ref="A8:A12"/>
    <mergeCell ref="C8:C12"/>
    <mergeCell ref="D8:D12"/>
    <mergeCell ref="E8:E12"/>
    <mergeCell ref="B8:B12"/>
    <mergeCell ref="F9:F12"/>
  </mergeCells>
  <pageMargins left="0.7" right="0.7" top="0.75" bottom="0.75" header="0.3" footer="0.3"/>
  <pageSetup paperSize="9" scale="5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2026-09-15T13:32:40Z</dcterms:modified>
</cp:coreProperties>
</file>