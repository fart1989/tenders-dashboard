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ЭтаКнига"/>
  <mc:AlternateContent xmlns:mc="http://schemas.openxmlformats.org/markup-compatibility/2006">
    <mc:Choice Requires="x15">
      <x15ac:absPath xmlns:x15ac="http://schemas.microsoft.com/office/spreadsheetml/2010/11/ac" url="\\energoneft-t.ru\files\Закупочные документы\Закупки 2025\Документация о закупке\ЗГД по ЗиОП\ОМТО\07-3030380-508-2025\ПЗД\! На размещение\Приложение 5. Формы\"/>
    </mc:Choice>
  </mc:AlternateContent>
  <bookViews>
    <workbookView xWindow="105" yWindow="585" windowWidth="20745" windowHeight="11760" tabRatio="878"/>
  </bookViews>
  <sheets>
    <sheet name="Поставка товаров" sheetId="95" r:id="rId1"/>
    <sheet name="2" sheetId="77" state="hidden" r:id="rId2"/>
    <sheet name="3" sheetId="91" state="hidden" r:id="rId3"/>
    <sheet name="4.4" sheetId="73" state="hidden" r:id="rId4"/>
    <sheet name="4.7" sheetId="84" state="hidden" r:id="rId5"/>
    <sheet name="2.6" sheetId="76" state="hidden" r:id="rId6"/>
    <sheet name="5.2" sheetId="74" state="hidden" r:id="rId7"/>
    <sheet name="6" sheetId="61" state="hidden" r:id="rId8"/>
    <sheet name="7" sheetId="48" state="hidden" r:id="rId9"/>
    <sheet name="4.1 (2)" sheetId="92" state="hidden" r:id="rId10"/>
  </sheets>
  <definedNames>
    <definedName name="___xlfn.BAHTTEXT" hidden="1">#NAME?</definedName>
    <definedName name="__xlfn.BAHTTEXT" hidden="1">#NAME?</definedName>
    <definedName name="_xlnm._FilterDatabase" localSheetId="9" hidden="1">'4.1 (2)'!$A$21:$BO$29</definedName>
    <definedName name="iii" hidden="1">{#N/A,#N/A,FALSE,"Шаблон_Спец1"}</definedName>
    <definedName name="wrn.1." hidden="1">{#N/A,#N/A,FALSE,"Шаблон_Спец1"}</definedName>
    <definedName name="wrn.2" hidden="1">{#N/A,#N/A,FALSE,"Шаблон_Спец1"}</definedName>
    <definedName name="wrn.Все." localSheetId="2" hidden="1">{#N/A,#N/A,TRUE,"Смета";#N/A,#N/A,TRUE,"Износ";#N/A,#N/A,TRUE,"Материалы";#N/A,#N/A,TRUE,"Оклад";#N/A,#N/A,TRUE,"Амортизация";#N/A,#N/A,TRUE,"Транспорт";#N/A,#N/A,TRUE,"Задание"}</definedName>
    <definedName name="wrn.Все." hidden="1">{#N/A,#N/A,TRUE,"Смета";#N/A,#N/A,TRUE,"Износ";#N/A,#N/A,TRUE,"Материалы";#N/A,#N/A,TRUE,"Оклад";#N/A,#N/A,TRUE,"Амортизация";#N/A,#N/A,TRUE,"Транспорт";#N/A,#N/A,TRUE,"Задание"}</definedName>
    <definedName name="wrn.о1." localSheetId="2" hidden="1">{#N/A,#N/A,FALSE,"Акт-Смета"}</definedName>
    <definedName name="wrn.о1." hidden="1">{#N/A,#N/A,FALSE,"Акт-Смета"}</definedName>
    <definedName name="wrn.тест." localSheetId="2" hidden="1">{#N/A,#N/A,TRUE,"Транспорт";#N/A,#N/A,TRUE,"Оклад"}</definedName>
    <definedName name="wrn.тест." hidden="1">{#N/A,#N/A,TRUE,"Транспорт";#N/A,#N/A,TRUE,"Оклад"}</definedName>
    <definedName name="вапро" hidden="1">{#N/A,#N/A,FALSE,"Шаблон_Спец1"}</definedName>
    <definedName name="ВАХ" localSheetId="2" hidden="1">{#N/A,#N/A,FALSE,"Акт-Смета"}</definedName>
    <definedName name="ВАХ" hidden="1">{#N/A,#N/A,FALSE,"Акт-Смета"}</definedName>
    <definedName name="Вахты" localSheetId="2" hidden="1">{#N/A,#N/A,FALSE,"Акт-Смета"}</definedName>
    <definedName name="Вахты" hidden="1">{#N/A,#N/A,FALSE,"Акт-Смета"}</definedName>
    <definedName name="ггг" hidden="1">{#N/A,#N/A,FALSE,"Шаблон_Спец1"}</definedName>
    <definedName name="гф" localSheetId="2" hidden="1">{#N/A,#N/A,FALSE,"Акт-Смета"}</definedName>
    <definedName name="гф" hidden="1">{#N/A,#N/A,FALSE,"Акт-Смета"}</definedName>
    <definedName name="ййй" hidden="1">{#N/A,#N/A,FALSE,"Акт-Смета"}</definedName>
    <definedName name="лаб" localSheetId="2" hidden="1">{#N/A,#N/A,FALSE,"Акт-Смета"}</definedName>
    <definedName name="лаб" hidden="1">{#N/A,#N/A,FALSE,"Акт-Смета"}</definedName>
    <definedName name="лаборатория" localSheetId="2" hidden="1">{#N/A,#N/A,FALSE,"Акт-Смета"}</definedName>
    <definedName name="лаборатория" hidden="1">{#N/A,#N/A,FALSE,"Акт-Смета"}</definedName>
    <definedName name="ммм" localSheetId="2" hidden="1">{#N/A,#N/A,FALSE,"Акт-Смета"}</definedName>
    <definedName name="ммм" hidden="1">{#N/A,#N/A,FALSE,"Акт-Смета"}</definedName>
    <definedName name="мммм" localSheetId="2" hidden="1">{#N/A,#N/A,FALSE,"Акт-Смета"}</definedName>
    <definedName name="мммм" hidden="1">{#N/A,#N/A,FALSE,"Акт-Смета"}</definedName>
    <definedName name="_xlnm.Print_Area" localSheetId="1">'2'!$A$1:$H$23</definedName>
    <definedName name="_xlnm.Print_Area" localSheetId="5">'2.6'!$A$1:$F$28</definedName>
    <definedName name="_xlnm.Print_Area" localSheetId="2">'3'!$A$1:$F$23</definedName>
    <definedName name="_xlnm.Print_Area" localSheetId="9">'4.1 (2)'!$A$1:$O$38</definedName>
    <definedName name="_xlnm.Print_Area" localSheetId="3">'4.4'!$A$1:$J$32</definedName>
    <definedName name="_xlnm.Print_Area" localSheetId="4">'4.7'!$A$1:$F$184</definedName>
    <definedName name="_xlnm.Print_Area" localSheetId="6">'5.2'!$A$1:$J$32</definedName>
    <definedName name="_xlnm.Print_Area" localSheetId="7">'6'!$A$1:$H$33</definedName>
    <definedName name="_xlnm.Print_Area" localSheetId="8">'7'!$A$1:$E$35</definedName>
    <definedName name="Переезды" localSheetId="2" hidden="1">{#N/A,#N/A,FALSE,"Акт-Смета"}</definedName>
    <definedName name="Переезды" hidden="1">{#N/A,#N/A,FALSE,"Акт-Смета"}</definedName>
    <definedName name="Сводная" hidden="1">{#N/A,#N/A,FALSE,"Акт-Смета"}</definedName>
    <definedName name="т" hidden="1">{#N/A,#N/A,FALSE,"Акт-Смета"}</definedName>
    <definedName name="ттт" localSheetId="2" hidden="1">{#N/A,#N/A,FALSE,"Акт-Смета"}</definedName>
    <definedName name="ттт" hidden="1">{#N/A,#N/A,FALSE,"Акт-Смета"}</definedName>
    <definedName name="ффф" hidden="1">{#N/A,#N/A,FALSE,"Шаблон_Спец1"}</definedName>
    <definedName name="ффффф" hidden="1">{#N/A,#N/A,FALSE,"Шаблон_Спец1"}</definedName>
    <definedName name="фыф" hidden="1">{#N/A,#N/A,FALSE,"Шаблон_Спец1"}</definedName>
    <definedName name="цуйцуцйув" hidden="1">{#N/A,#N/A,FALSE,"Шаблон_Спец1"}</definedName>
    <definedName name="цццц" hidden="1">{#N/A,#N/A,FALSE,"Шаблон_Спец1"}</definedName>
    <definedName name="ццццц" hidden="1">{#N/A,#N/A,FALSE,"Шаблон_Спец1"}</definedName>
    <definedName name="ччч" hidden="1">{#N/A,#N/A,FALSE,"Шаблон_Спец1"}</definedName>
    <definedName name="ыыы" hidden="1">{#N/A,#N/A,FALSE,"Шаблон_Спец1"}</definedName>
    <definedName name="ыыыы" hidden="1">{#N/A,#N/A,FALSE,"Шаблон_Спец1"}</definedName>
    <definedName name="ыыыыы" hidden="1">{#N/A,#N/A,FALSE,"Шаблон_Спец1"}</definedName>
    <definedName name="ыыыыыы" hidden="1">{#N/A,#N/A,FALSE,"Шаблон_Спец1"}</definedName>
    <definedName name="ыыыыыыыы" hidden="1">{#N/A,#N/A,FALSE,"Шаблон_Спец1"}</definedName>
    <definedName name="Экспер.отчета" localSheetId="2" hidden="1">{#N/A,#N/A,FALSE,"Акт-Смета"}</definedName>
    <definedName name="Экспер.отчета" hidden="1">{#N/A,#N/A,FALSE,"Акт-Смета"}</definedName>
    <definedName name="юрубчен_" localSheetId="2" hidden="1">{#N/A,#N/A,FALSE,"Акт-Смета"}</definedName>
    <definedName name="юрубчен_" hidden="1">{#N/A,#N/A,FALSE,"Акт-Смета"}</definedName>
    <definedName name="ячсвивыкр" hidden="1">{#N/A,#N/A,FALSE,"Шаблон_Спец1"}</definedName>
    <definedName name="яя" localSheetId="2" hidden="1">{#N/A,#N/A,FALSE,"Акт-Смета"}</definedName>
    <definedName name="яя" hidden="1">{#N/A,#N/A,FALSE,"Акт-Смета"}</definedName>
  </definedNames>
  <calcPr calcId="152511" refMode="R1C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4" i="76" l="1"/>
  <c r="BU19" i="92"/>
  <c r="O23" i="92"/>
  <c r="O24" i="92"/>
  <c r="O25" i="92"/>
  <c r="O26" i="92"/>
  <c r="N23" i="92"/>
  <c r="N24" i="92"/>
  <c r="N25" i="92"/>
  <c r="N26" i="92"/>
  <c r="M23" i="92"/>
  <c r="M24" i="92"/>
  <c r="M25" i="92"/>
  <c r="M26" i="92"/>
  <c r="I38" i="92"/>
  <c r="A37" i="92"/>
  <c r="I34" i="92"/>
  <c r="A33" i="92"/>
  <c r="D15" i="92"/>
  <c r="A38" i="92"/>
  <c r="D13" i="92"/>
  <c r="A34" i="92"/>
  <c r="D10" i="92"/>
  <c r="P9" i="92"/>
  <c r="D7" i="92"/>
  <c r="V1" i="92"/>
  <c r="A4" i="92"/>
  <c r="M27" i="92"/>
  <c r="C44" i="92"/>
  <c r="C45" i="92"/>
  <c r="C106" i="92"/>
  <c r="C47" i="92"/>
  <c r="C109" i="92"/>
  <c r="C172" i="92"/>
  <c r="C173" i="92"/>
  <c r="C185" i="92"/>
  <c r="C59" i="92"/>
  <c r="C61" i="92"/>
  <c r="C75" i="92"/>
  <c r="C91" i="92"/>
  <c r="C169" i="92"/>
  <c r="C110" i="92"/>
  <c r="C122" i="92"/>
  <c r="C241" i="92"/>
  <c r="C187" i="92"/>
  <c r="C244" i="92"/>
  <c r="C242" i="92"/>
  <c r="C124" i="92"/>
  <c r="C104" i="92"/>
  <c r="C105" i="92"/>
  <c r="C102" i="92"/>
  <c r="C87" i="92"/>
  <c r="C73" i="92"/>
  <c r="C201" i="92"/>
  <c r="C217" i="92"/>
  <c r="C230" i="92"/>
  <c r="C199" i="92"/>
  <c r="C228" i="92"/>
  <c r="C138" i="92"/>
  <c r="C154" i="92"/>
  <c r="C243" i="92"/>
  <c r="C246" i="92"/>
  <c r="C213" i="92"/>
  <c r="C231" i="92"/>
  <c r="C246" i="91"/>
  <c r="F246" i="91"/>
  <c r="F247" i="91"/>
  <c r="C248" i="77"/>
  <c r="H248" i="77"/>
  <c r="D255" i="73"/>
  <c r="I255" i="73"/>
  <c r="D255" i="74"/>
  <c r="I255" i="74"/>
  <c r="H20" i="61"/>
  <c r="H19" i="61"/>
  <c r="E136" i="84"/>
  <c r="E137" i="84"/>
  <c r="F137" i="84"/>
  <c r="P7" i="92"/>
  <c r="I1" i="91"/>
  <c r="H11" i="91"/>
  <c r="D23" i="91"/>
  <c r="D18" i="91"/>
  <c r="B22" i="91"/>
  <c r="B17" i="91"/>
  <c r="A4" i="91"/>
  <c r="I2" i="91"/>
  <c r="D8" i="91"/>
  <c r="B23" i="91"/>
  <c r="D6" i="91"/>
  <c r="B18" i="91"/>
  <c r="C11" i="48"/>
  <c r="C9" i="48"/>
  <c r="A29" i="48"/>
  <c r="A26" i="76"/>
  <c r="C130" i="84"/>
  <c r="E123" i="84"/>
  <c r="C124" i="84"/>
  <c r="C123" i="84"/>
  <c r="C121" i="84"/>
  <c r="C114" i="84"/>
  <c r="C108" i="84"/>
  <c r="E103" i="84"/>
  <c r="F103" i="84"/>
  <c r="C103" i="84"/>
  <c r="C101" i="84"/>
  <c r="E96" i="84"/>
  <c r="C96" i="84"/>
  <c r="C91" i="84"/>
  <c r="F85" i="84"/>
  <c r="C85" i="84"/>
  <c r="C83" i="84"/>
  <c r="C80" i="84"/>
  <c r="C79" i="84"/>
  <c r="C77" i="84"/>
  <c r="C72" i="84"/>
  <c r="F66" i="84"/>
  <c r="E66" i="84"/>
  <c r="C66" i="84"/>
  <c r="C64" i="84"/>
  <c r="C60" i="84"/>
  <c r="C62" i="84"/>
  <c r="C61" i="84"/>
  <c r="C56" i="84"/>
  <c r="E50" i="84"/>
  <c r="C50" i="84"/>
  <c r="C115" i="84"/>
  <c r="C48" i="84"/>
  <c r="C44" i="84"/>
  <c r="C43" i="84"/>
  <c r="C42" i="84"/>
  <c r="C41" i="84"/>
  <c r="C33" i="84"/>
  <c r="E27" i="84"/>
  <c r="C24" i="84"/>
  <c r="C21" i="84"/>
  <c r="C125" i="84"/>
  <c r="E30" i="48"/>
  <c r="A29" i="74"/>
  <c r="A25" i="74"/>
  <c r="A182" i="84"/>
  <c r="A178" i="84"/>
  <c r="F183" i="84"/>
  <c r="F179" i="84"/>
  <c r="D11" i="84"/>
  <c r="A183" i="84"/>
  <c r="D9" i="84"/>
  <c r="A179" i="84"/>
  <c r="A6" i="84"/>
  <c r="A168" i="84"/>
  <c r="A170" i="84"/>
  <c r="A171" i="84"/>
  <c r="A160" i="84"/>
  <c r="A162" i="84"/>
  <c r="A145" i="84"/>
  <c r="A147" i="84"/>
  <c r="A151" i="84"/>
  <c r="A153" i="84"/>
  <c r="A154" i="84"/>
  <c r="A137" i="84"/>
  <c r="A139" i="84"/>
  <c r="B14" i="84"/>
  <c r="C14" i="84"/>
  <c r="D14" i="84"/>
  <c r="Q1" i="77"/>
  <c r="A3" i="77"/>
  <c r="W1" i="74"/>
  <c r="H21" i="61"/>
  <c r="L3" i="73"/>
  <c r="K3" i="61"/>
  <c r="M1" i="77"/>
  <c r="A30" i="48"/>
  <c r="D11" i="76"/>
  <c r="A27" i="76"/>
  <c r="D9" i="76"/>
  <c r="A23" i="76"/>
  <c r="F21" i="77"/>
  <c r="F17" i="77"/>
  <c r="A16" i="77"/>
  <c r="E8" i="77"/>
  <c r="A17" i="77"/>
  <c r="E9" i="77"/>
  <c r="A21" i="77"/>
  <c r="A20" i="77"/>
  <c r="A5" i="77"/>
  <c r="A6" i="76"/>
  <c r="F27" i="76"/>
  <c r="F23" i="76"/>
  <c r="A22" i="76"/>
  <c r="B14" i="76"/>
  <c r="C14" i="76"/>
  <c r="D14" i="76"/>
  <c r="A16" i="76"/>
  <c r="E15" i="74"/>
  <c r="B31" i="74"/>
  <c r="E13" i="74"/>
  <c r="B26" i="74"/>
  <c r="E15" i="73"/>
  <c r="B31" i="73"/>
  <c r="E13" i="73"/>
  <c r="B26" i="73"/>
  <c r="B6" i="74"/>
  <c r="B25" i="74"/>
  <c r="G26" i="74"/>
  <c r="B30" i="74"/>
  <c r="G31" i="74"/>
  <c r="G26" i="73"/>
  <c r="B25" i="73"/>
  <c r="G31" i="73"/>
  <c r="B30" i="73"/>
  <c r="B6" i="73"/>
  <c r="A6" i="48"/>
  <c r="A33" i="48"/>
  <c r="A34" i="48"/>
  <c r="E34" i="48"/>
  <c r="F8" i="61"/>
  <c r="G11" i="61"/>
  <c r="G13" i="61"/>
  <c r="A27" i="61"/>
  <c r="A28" i="61"/>
  <c r="H28" i="61"/>
  <c r="A31" i="61"/>
  <c r="A32" i="61"/>
  <c r="H32" i="61"/>
  <c r="C38" i="74"/>
  <c r="C40" i="74"/>
  <c r="C52" i="74"/>
  <c r="C102" i="74"/>
  <c r="C103" i="74"/>
  <c r="C38" i="73"/>
  <c r="C99" i="73"/>
  <c r="C99" i="74"/>
  <c r="C29" i="77"/>
  <c r="C93" i="77"/>
  <c r="C153" i="77"/>
  <c r="C90" i="77"/>
  <c r="E15" i="76"/>
  <c r="K2" i="61"/>
  <c r="H2" i="76"/>
  <c r="L2" i="74"/>
  <c r="L2" i="73"/>
  <c r="H3" i="76"/>
  <c r="L3" i="74"/>
  <c r="I3" i="84"/>
  <c r="M3" i="77"/>
  <c r="C39" i="84"/>
  <c r="C46" i="84"/>
  <c r="C59" i="84"/>
  <c r="I2" i="84"/>
  <c r="M2" i="77"/>
  <c r="V1" i="84"/>
  <c r="C28" i="91"/>
  <c r="C31" i="77"/>
  <c r="C45" i="77"/>
  <c r="E139" i="84"/>
  <c r="F139" i="84"/>
  <c r="C40" i="73"/>
  <c r="C52" i="73"/>
  <c r="C22" i="84"/>
  <c r="F17" i="84"/>
  <c r="C102" i="73"/>
  <c r="C165" i="73"/>
  <c r="F27" i="84"/>
  <c r="C162" i="73"/>
  <c r="F34" i="84"/>
  <c r="C156" i="77"/>
  <c r="C157" i="77"/>
  <c r="C169" i="77"/>
  <c r="C86" i="84"/>
  <c r="F123" i="84"/>
  <c r="C103" i="73"/>
  <c r="C115" i="73"/>
  <c r="C28" i="84"/>
  <c r="C113" i="84"/>
  <c r="C119" i="84"/>
  <c r="C67" i="84"/>
  <c r="E150" i="84"/>
  <c r="E153" i="84"/>
  <c r="E159" i="84"/>
  <c r="C234" i="73"/>
  <c r="C235" i="73"/>
  <c r="C236" i="73"/>
  <c r="C239" i="73"/>
  <c r="C166" i="73"/>
  <c r="C178" i="73"/>
  <c r="C92" i="91"/>
  <c r="C155" i="91"/>
  <c r="C30" i="91"/>
  <c r="C44" i="91"/>
  <c r="C58" i="91"/>
  <c r="C74" i="91"/>
  <c r="C162" i="74"/>
  <c r="C89" i="91"/>
  <c r="C104" i="84"/>
  <c r="C97" i="84"/>
  <c r="C51" i="84"/>
  <c r="E144" i="84"/>
  <c r="F144" i="84"/>
  <c r="C165" i="74"/>
  <c r="C166" i="74"/>
  <c r="C178" i="74"/>
  <c r="F77" i="84"/>
  <c r="F92" i="84"/>
  <c r="E85" i="84"/>
  <c r="A1" i="77"/>
  <c r="C234" i="74"/>
  <c r="C235" i="74"/>
  <c r="C237" i="73"/>
  <c r="C115" i="74"/>
  <c r="C117" i="74"/>
  <c r="C59" i="77"/>
  <c r="C75" i="77"/>
  <c r="C131" i="74"/>
  <c r="C147" i="74"/>
  <c r="E38" i="84"/>
  <c r="C171" i="77"/>
  <c r="C185" i="77"/>
  <c r="C43" i="77"/>
  <c r="C54" i="74"/>
  <c r="C68" i="74"/>
  <c r="C54" i="73"/>
  <c r="F136" i="84"/>
  <c r="F140" i="84"/>
  <c r="H18" i="61"/>
  <c r="H17" i="61"/>
  <c r="H23" i="61"/>
  <c r="C37" i="61"/>
  <c r="C38" i="61"/>
  <c r="C99" i="61"/>
  <c r="F50" i="84"/>
  <c r="C232" i="92"/>
  <c r="E16" i="76"/>
  <c r="F16" i="76"/>
  <c r="F15" i="76"/>
  <c r="P1" i="92"/>
  <c r="A1" i="92"/>
  <c r="C150" i="92"/>
  <c r="C167" i="92"/>
  <c r="C168" i="92"/>
  <c r="C247" i="92"/>
  <c r="C248" i="92"/>
  <c r="C136" i="92"/>
  <c r="C165" i="92"/>
  <c r="C102" i="61"/>
  <c r="C103" i="61"/>
  <c r="C115" i="61"/>
  <c r="E151" i="84"/>
  <c r="E145" i="84"/>
  <c r="F145" i="84"/>
  <c r="C94" i="77"/>
  <c r="C225" i="77"/>
  <c r="C118" i="84"/>
  <c r="C117" i="84"/>
  <c r="E113" i="84"/>
  <c r="E58" i="84"/>
  <c r="F58" i="84"/>
  <c r="F38" i="84"/>
  <c r="E147" i="84"/>
  <c r="F147" i="84"/>
  <c r="E77" i="84"/>
  <c r="F96" i="84"/>
  <c r="F109" i="84"/>
  <c r="H249" i="77"/>
  <c r="V1" i="73"/>
  <c r="J255" i="73"/>
  <c r="J255" i="74"/>
  <c r="F153" i="84"/>
  <c r="C117" i="73"/>
  <c r="C56" i="91"/>
  <c r="C87" i="91"/>
  <c r="W1" i="73"/>
  <c r="V1" i="74"/>
  <c r="C5" i="74"/>
  <c r="V1" i="61"/>
  <c r="A4" i="61"/>
  <c r="C215" i="77"/>
  <c r="C214" i="77"/>
  <c r="C216" i="77"/>
  <c r="C88" i="91"/>
  <c r="C85" i="91"/>
  <c r="F17" i="76"/>
  <c r="E17" i="84"/>
  <c r="C70" i="91"/>
  <c r="C89" i="77"/>
  <c r="C42" i="91"/>
  <c r="C71" i="77"/>
  <c r="E160" i="84"/>
  <c r="F160" i="84"/>
  <c r="E167" i="84"/>
  <c r="E168" i="84"/>
  <c r="F168" i="84"/>
  <c r="C180" i="73"/>
  <c r="F150" i="84"/>
  <c r="C84" i="74"/>
  <c r="C97" i="74"/>
  <c r="C66" i="74"/>
  <c r="F73" i="84"/>
  <c r="F113" i="84"/>
  <c r="F131" i="84"/>
  <c r="C93" i="91"/>
  <c r="C152" i="91"/>
  <c r="C180" i="74"/>
  <c r="C224" i="91"/>
  <c r="C156" i="91"/>
  <c r="E162" i="84"/>
  <c r="F162" i="84"/>
  <c r="F159" i="84"/>
  <c r="C201" i="77"/>
  <c r="C117" i="61"/>
  <c r="C131" i="61"/>
  <c r="C147" i="61"/>
  <c r="C86" i="77"/>
  <c r="C40" i="61"/>
  <c r="C52" i="61"/>
  <c r="C80" i="74"/>
  <c r="C98" i="74"/>
  <c r="C95" i="74"/>
  <c r="C88" i="77"/>
  <c r="C129" i="74"/>
  <c r="C160" i="74"/>
  <c r="C161" i="74"/>
  <c r="C158" i="74"/>
  <c r="C143" i="74"/>
  <c r="C240" i="73"/>
  <c r="C241" i="73"/>
  <c r="C237" i="74"/>
  <c r="C68" i="73"/>
  <c r="C84" i="73"/>
  <c r="C165" i="61"/>
  <c r="C166" i="61"/>
  <c r="C178" i="61"/>
  <c r="C212" i="77"/>
  <c r="C183" i="77"/>
  <c r="C197" i="77"/>
  <c r="C57" i="77"/>
  <c r="F151" i="84"/>
  <c r="E154" i="84"/>
  <c r="F154" i="84"/>
  <c r="C32" i="76"/>
  <c r="C33" i="76"/>
  <c r="C97" i="76"/>
  <c r="C106" i="77"/>
  <c r="C108" i="77"/>
  <c r="C226" i="77"/>
  <c r="C227" i="77"/>
  <c r="C230" i="77"/>
  <c r="C228" i="77"/>
  <c r="C194" i="73"/>
  <c r="C210" i="73"/>
  <c r="C234" i="61"/>
  <c r="C236" i="74"/>
  <c r="C239" i="74"/>
  <c r="C131" i="73"/>
  <c r="C147" i="73"/>
  <c r="C5" i="73"/>
  <c r="F163" i="84"/>
  <c r="E170" i="84"/>
  <c r="C54" i="61"/>
  <c r="C68" i="61"/>
  <c r="C84" i="61"/>
  <c r="F167" i="84"/>
  <c r="C158" i="73"/>
  <c r="C97" i="73"/>
  <c r="C98" i="73"/>
  <c r="C66" i="73"/>
  <c r="C95" i="73"/>
  <c r="C80" i="73"/>
  <c r="C143" i="73"/>
  <c r="C194" i="74"/>
  <c r="C221" i="74"/>
  <c r="F132" i="84"/>
  <c r="C185" i="84"/>
  <c r="C186" i="84"/>
  <c r="C250" i="84"/>
  <c r="C251" i="84"/>
  <c r="C263" i="84"/>
  <c r="C168" i="91"/>
  <c r="C170" i="91"/>
  <c r="C105" i="91"/>
  <c r="C107" i="91"/>
  <c r="C227" i="91"/>
  <c r="C225" i="91"/>
  <c r="C226" i="91"/>
  <c r="C229" i="91"/>
  <c r="C223" i="73"/>
  <c r="C221" i="73"/>
  <c r="F155" i="84"/>
  <c r="C247" i="84"/>
  <c r="C161" i="73"/>
  <c r="C129" i="73"/>
  <c r="C224" i="73"/>
  <c r="C192" i="73"/>
  <c r="C206" i="73"/>
  <c r="C231" i="77"/>
  <c r="C232" i="77"/>
  <c r="C122" i="77"/>
  <c r="C152" i="77"/>
  <c r="C237" i="61"/>
  <c r="C235" i="61"/>
  <c r="C236" i="61"/>
  <c r="C239" i="61"/>
  <c r="C180" i="61"/>
  <c r="C158" i="61"/>
  <c r="C161" i="61"/>
  <c r="C129" i="61"/>
  <c r="C160" i="61"/>
  <c r="C143" i="61"/>
  <c r="C240" i="74"/>
  <c r="C241" i="74"/>
  <c r="C160" i="73"/>
  <c r="C160" i="76"/>
  <c r="E171" i="84"/>
  <c r="F171" i="84"/>
  <c r="F170" i="84"/>
  <c r="L1" i="73"/>
  <c r="C98" i="76"/>
  <c r="C110" i="76"/>
  <c r="C94" i="76"/>
  <c r="C35" i="76"/>
  <c r="C188" i="84"/>
  <c r="C313" i="84"/>
  <c r="C314" i="84"/>
  <c r="C326" i="84"/>
  <c r="C265" i="84"/>
  <c r="C279" i="84"/>
  <c r="C295" i="84"/>
  <c r="C223" i="74"/>
  <c r="C230" i="91"/>
  <c r="C231" i="91"/>
  <c r="C184" i="91"/>
  <c r="C200" i="91"/>
  <c r="C210" i="74"/>
  <c r="C224" i="74"/>
  <c r="C192" i="74"/>
  <c r="C206" i="74"/>
  <c r="C121" i="91"/>
  <c r="C137" i="91"/>
  <c r="C162" i="61"/>
  <c r="C225" i="73"/>
  <c r="C112" i="76"/>
  <c r="C126" i="76"/>
  <c r="C142" i="76"/>
  <c r="C97" i="61"/>
  <c r="C98" i="61"/>
  <c r="C66" i="61"/>
  <c r="C80" i="61"/>
  <c r="C95" i="61"/>
  <c r="C149" i="77"/>
  <c r="F172" i="84"/>
  <c r="F173" i="84"/>
  <c r="C151" i="77"/>
  <c r="C138" i="77"/>
  <c r="C200" i="84"/>
  <c r="C202" i="84"/>
  <c r="C216" i="84"/>
  <c r="C232" i="84"/>
  <c r="C277" i="84"/>
  <c r="C291" i="84"/>
  <c r="C134" i="77"/>
  <c r="C120" i="77"/>
  <c r="C194" i="61"/>
  <c r="C210" i="61"/>
  <c r="C240" i="61"/>
  <c r="C241" i="61"/>
  <c r="B1" i="73"/>
  <c r="W1" i="84"/>
  <c r="C47" i="76"/>
  <c r="C49" i="76"/>
  <c r="C161" i="76"/>
  <c r="C173" i="76"/>
  <c r="C229" i="76"/>
  <c r="C308" i="84"/>
  <c r="C306" i="84"/>
  <c r="C309" i="84"/>
  <c r="C310" i="84"/>
  <c r="C328" i="84"/>
  <c r="C342" i="84"/>
  <c r="C358" i="84"/>
  <c r="C382" i="84"/>
  <c r="C214" i="91"/>
  <c r="C150" i="91"/>
  <c r="C213" i="91"/>
  <c r="C215" i="91"/>
  <c r="C133" i="91"/>
  <c r="C151" i="91"/>
  <c r="C119" i="91"/>
  <c r="C156" i="76"/>
  <c r="C148" i="91"/>
  <c r="C211" i="91"/>
  <c r="C196" i="91"/>
  <c r="C153" i="76"/>
  <c r="C182" i="91"/>
  <c r="C225" i="74"/>
  <c r="C155" i="76"/>
  <c r="C138" i="76"/>
  <c r="C124" i="76"/>
  <c r="C221" i="61"/>
  <c r="C192" i="61"/>
  <c r="C157" i="76"/>
  <c r="C223" i="61"/>
  <c r="C206" i="61"/>
  <c r="C224" i="61"/>
  <c r="C246" i="84"/>
  <c r="C243" i="84"/>
  <c r="C214" i="84"/>
  <c r="C245" i="84"/>
  <c r="C228" i="84"/>
  <c r="C232" i="76"/>
  <c r="C230" i="76"/>
  <c r="C231" i="76"/>
  <c r="C234" i="76"/>
  <c r="A3" i="84"/>
  <c r="C175" i="76"/>
  <c r="C189" i="76"/>
  <c r="C205" i="76"/>
  <c r="C63" i="76"/>
  <c r="C79" i="76"/>
  <c r="C371" i="84"/>
  <c r="C354" i="84"/>
  <c r="C372" i="84"/>
  <c r="C369" i="84"/>
  <c r="C340" i="84"/>
  <c r="C383" i="84"/>
  <c r="C384" i="84"/>
  <c r="C387" i="84"/>
  <c r="C385" i="84"/>
  <c r="C225" i="61"/>
  <c r="C388" i="84"/>
  <c r="C389" i="84"/>
  <c r="C373" i="84"/>
  <c r="C235" i="76"/>
  <c r="C236" i="76"/>
  <c r="C201" i="76"/>
  <c r="C218" i="76"/>
  <c r="C219" i="76"/>
  <c r="C187" i="76"/>
  <c r="C216" i="76"/>
  <c r="A3" i="76"/>
  <c r="C61" i="76"/>
  <c r="C75" i="76"/>
  <c r="I1" i="84"/>
  <c r="C90" i="76"/>
  <c r="C93" i="76"/>
  <c r="C92" i="76"/>
  <c r="A1" i="84"/>
  <c r="C220" i="76"/>
  <c r="E16" i="48"/>
  <c r="E17" i="48"/>
  <c r="K16" i="48"/>
  <c r="K17" i="48"/>
  <c r="K18" i="48"/>
  <c r="K19" i="48"/>
  <c r="H1" i="76"/>
  <c r="K20" i="48"/>
  <c r="K21" i="48"/>
  <c r="K22" i="48"/>
  <c r="A1" i="76"/>
  <c r="K23" i="48"/>
  <c r="K25" i="48"/>
  <c r="K26" i="48"/>
  <c r="K27" i="48"/>
  <c r="L1" i="74"/>
  <c r="B1" i="74"/>
  <c r="K28" i="48"/>
  <c r="K29" i="48"/>
  <c r="K1" i="61"/>
  <c r="A1" i="61"/>
  <c r="K30" i="48"/>
  <c r="K31" i="48"/>
  <c r="K32" i="48"/>
  <c r="K33" i="48"/>
  <c r="K34" i="48"/>
  <c r="K35" i="48"/>
  <c r="K36" i="48"/>
  <c r="K37" i="48"/>
  <c r="K38" i="48"/>
  <c r="K39" i="48"/>
  <c r="K251" i="48"/>
  <c r="K252" i="48"/>
  <c r="K253" i="48"/>
  <c r="K254" i="48"/>
  <c r="D18" i="48"/>
  <c r="E18" i="48"/>
  <c r="E19" i="48"/>
  <c r="E20" i="48"/>
  <c r="E21" i="48"/>
  <c r="C43" i="48"/>
  <c r="C44" i="48"/>
  <c r="C46" i="48"/>
  <c r="C108" i="48"/>
  <c r="C58" i="48"/>
  <c r="C60" i="48"/>
  <c r="C74" i="48"/>
  <c r="C90" i="48"/>
  <c r="C109" i="48"/>
  <c r="C121" i="48"/>
  <c r="C171" i="48"/>
  <c r="C123" i="48"/>
  <c r="C137" i="48"/>
  <c r="C153" i="48"/>
  <c r="C172" i="48"/>
  <c r="C184" i="48"/>
  <c r="C101" i="48"/>
  <c r="C72" i="48"/>
  <c r="C86" i="48"/>
  <c r="C103" i="48"/>
  <c r="C105" i="48"/>
  <c r="C104" i="48"/>
  <c r="C240" i="48"/>
  <c r="C164" i="48"/>
  <c r="C135" i="48"/>
  <c r="C166" i="48"/>
  <c r="C167" i="48"/>
  <c r="C149" i="48"/>
  <c r="C186" i="48"/>
  <c r="C200" i="48"/>
  <c r="C216" i="48"/>
  <c r="C241" i="48"/>
  <c r="C243" i="48"/>
  <c r="C168" i="48"/>
  <c r="C229" i="48"/>
  <c r="C198" i="48"/>
  <c r="C227" i="48"/>
  <c r="C212" i="48"/>
  <c r="C230" i="48"/>
  <c r="C242" i="48"/>
  <c r="C245" i="48"/>
  <c r="C231" i="48"/>
  <c r="C246" i="48"/>
  <c r="C247" i="48"/>
  <c r="C100" i="73" l="1"/>
  <c r="C374" i="84"/>
  <c r="C248" i="84"/>
  <c r="C226" i="61"/>
  <c r="C216" i="91"/>
  <c r="C158" i="76"/>
  <c r="C100" i="74"/>
  <c r="C90" i="91"/>
  <c r="C233" i="92"/>
  <c r="C163" i="73"/>
  <c r="C226" i="73"/>
  <c r="C91" i="77"/>
  <c r="C221" i="76"/>
  <c r="C153" i="91"/>
  <c r="C163" i="74"/>
  <c r="C100" i="61"/>
  <c r="C170" i="92"/>
  <c r="C311" i="84"/>
  <c r="C95" i="76"/>
  <c r="C217" i="77"/>
  <c r="C169" i="48"/>
  <c r="C107" i="92"/>
  <c r="C163" i="61"/>
  <c r="C106" i="48"/>
  <c r="C154" i="77"/>
  <c r="C232" i="48"/>
  <c r="C226" i="74"/>
  <c r="C228" i="61" l="1"/>
  <c r="C229" i="61" s="1"/>
  <c r="C228" i="73"/>
  <c r="C229" i="73" s="1"/>
  <c r="C376" i="84"/>
  <c r="C378" i="84" s="1"/>
  <c r="C379" i="84" s="1"/>
  <c r="C223" i="76"/>
  <c r="C224" i="76" s="1"/>
  <c r="C219" i="77"/>
  <c r="C221" i="77" s="1"/>
  <c r="C222" i="77" s="1"/>
  <c r="C235" i="92"/>
  <c r="C237" i="92" s="1"/>
  <c r="C238" i="92" s="1"/>
  <c r="C218" i="91"/>
  <c r="C219" i="91" s="1"/>
  <c r="C234" i="48"/>
  <c r="C228" i="74"/>
  <c r="C220" i="91" l="1"/>
  <c r="C221" i="91" s="1"/>
  <c r="C222" i="91" s="1"/>
  <c r="C233" i="91" s="1"/>
  <c r="A12" i="91" s="1"/>
  <c r="C230" i="61"/>
  <c r="C231" i="61" s="1"/>
  <c r="C232" i="61" s="1"/>
  <c r="C243" i="61" s="1"/>
  <c r="A24" i="61" s="1"/>
  <c r="C236" i="92"/>
  <c r="C239" i="92" s="1"/>
  <c r="C250" i="92" s="1"/>
  <c r="A28" i="92" s="1"/>
  <c r="C377" i="84"/>
  <c r="C380" i="84" s="1"/>
  <c r="C391" i="84" s="1"/>
  <c r="A174" i="84" s="1"/>
  <c r="C230" i="73"/>
  <c r="C231" i="73" s="1"/>
  <c r="C232" i="73" s="1"/>
  <c r="C243" i="73" s="1"/>
  <c r="B21" i="73" s="1"/>
  <c r="C220" i="77"/>
  <c r="C223" i="77" s="1"/>
  <c r="C234" i="77" s="1"/>
  <c r="A13" i="77" s="1"/>
  <c r="C225" i="76"/>
  <c r="C226" i="76" s="1"/>
  <c r="C227" i="76" s="1"/>
  <c r="C238" i="76" s="1"/>
  <c r="A18" i="76" s="1"/>
  <c r="C235" i="48"/>
  <c r="C236" i="48"/>
  <c r="C237" i="48" s="1"/>
  <c r="C229" i="74"/>
  <c r="C230" i="74"/>
  <c r="C231" i="74" s="1"/>
  <c r="C232" i="74" l="1"/>
  <c r="C243" i="74" s="1"/>
  <c r="B21" i="74" s="1"/>
  <c r="C238" i="48"/>
  <c r="C249" i="48" s="1"/>
  <c r="A22" i="48" s="1"/>
</calcChain>
</file>

<file path=xl/comments1.xml><?xml version="1.0" encoding="utf-8"?>
<comments xmlns="http://schemas.openxmlformats.org/spreadsheetml/2006/main">
  <authors>
    <author>Автор</author>
  </authors>
  <commentList>
    <comment ref="I17" authorId="0" shapeId="0">
      <text>
        <r>
          <rPr>
            <b/>
            <sz val="8"/>
            <color indexed="81"/>
            <rFont val="Tahoma"/>
            <family val="2"/>
            <charset val="204"/>
          </rPr>
          <t>Томск - Омск (поезд)</t>
        </r>
      </text>
    </comment>
    <comment ref="I18" authorId="0" shapeId="0">
      <text>
        <r>
          <rPr>
            <b/>
            <sz val="8"/>
            <color indexed="81"/>
            <rFont val="Tahoma"/>
            <family val="2"/>
            <charset val="204"/>
          </rPr>
          <t>Томск - Омск (поезд)</t>
        </r>
      </text>
    </comment>
    <comment ref="I19" authorId="0" shapeId="0">
      <text>
        <r>
          <rPr>
            <b/>
            <sz val="8"/>
            <color indexed="81"/>
            <rFont val="Tahoma"/>
            <family val="2"/>
            <charset val="204"/>
          </rPr>
          <t>чел.</t>
        </r>
      </text>
    </comment>
    <comment ref="I20" authorId="0" shapeId="0">
      <text>
        <r>
          <rPr>
            <b/>
            <sz val="8"/>
            <color indexed="81"/>
            <rFont val="Tahoma"/>
            <family val="2"/>
            <charset val="204"/>
          </rPr>
          <t>стоим. за сут. прожив.</t>
        </r>
        <r>
          <rPr>
            <sz val="8"/>
            <color indexed="81"/>
            <rFont val="Tahoma"/>
            <family val="2"/>
            <charset val="204"/>
          </rPr>
          <t xml:space="preserve">
</t>
        </r>
      </text>
    </comment>
  </commentList>
</comments>
</file>

<file path=xl/comments2.xml><?xml version="1.0" encoding="utf-8"?>
<comments xmlns="http://schemas.openxmlformats.org/spreadsheetml/2006/main">
  <authors>
    <author>Ignatyev</author>
  </authors>
  <commentList>
    <comment ref="AV3" authorId="0" shapeId="0">
      <text>
        <r>
          <rPr>
            <sz val="11"/>
            <color indexed="81"/>
            <rFont val="Tahoma"/>
            <family val="2"/>
            <charset val="204"/>
          </rPr>
          <t xml:space="preserve">ОСНОВНЫЕ ПОЛОЖЕНИЯ:
1.7 Базовыми ценами Справочника, помимо работ, перечисленных в п.7 раздела 1 Общих указаний, не учтены затраты на:
1.7.1 разработку технологических регламентов по эксплуатации объектов;
1.7.2 проектирование водозаборных, водоочистных и канализационных очистных сооружений, сооружений водоподготовки, электростанций, электроподстанций внешнего электроснабжения, распределительных устройств, котельных;
1.7.3 проектирование автоматических установок пенопожаротушения, пожарной и охранной сигнализации;
1.7.4 проектирование переходов трубопроводов через водные преграды;
1.7.5 проектирование электрообогрева трубопроводов, арматуры и технологического оборудования;
1.7.6 разработку землеустроительного проекта;
1.7.7 разработку проектной документации по рекультивации (восстановлению) земельных участков;
1.7.8 проектирование телемеханизации для объектов сбора, транспорта, подготовки нефти и газа;
1.7.9 анализ коррозионных условий и расчет электрических параметров сооружений, входящих в систему совместной электрохимзащиты существующих и проектируемых коммуникаций.
</t>
        </r>
        <r>
          <rPr>
            <b/>
            <sz val="11"/>
            <color indexed="81"/>
            <rFont val="Tahoma"/>
            <family val="2"/>
            <charset val="204"/>
          </rPr>
          <t>1.9 Стоимость разработки на стадии "проект" мероприятий, связанных с охраной окружающей природной среды, определяется дополнительно в размере 39% к цене стадии "проект" объектов нефтедобывающей промышленности</t>
        </r>
        <r>
          <rPr>
            <sz val="11"/>
            <color indexed="81"/>
            <rFont val="Tahoma"/>
            <family val="2"/>
            <charset val="204"/>
          </rPr>
          <t xml:space="preserve">
1.10 В случае, когда заказчик поручает проектной организации сбор исходных данных для проектирования, цену этой работы следует учитывать дополнительно к базовой цене.
1.11 Базовая цена разработки Обоснований инвестиций в строительство определяется по ценам Справочника с применением понижающего коэффициента в соответствии с трудоемкостью работ.
Размер этого коэффициента к ценам Справочника, установленным на весь комплекс проектных работ (проект + рабочая документация), составляет до 0,2.
1.12 При разработке смет с использованием ресурсного метода к стоимости разработки раздела "Сметная документация" допускается применять повышающий коэффициент 1,5 по договоренности с заказчиком.
</t>
        </r>
        <r>
          <rPr>
            <b/>
            <sz val="11"/>
            <color indexed="81"/>
            <rFont val="Tahoma"/>
            <family val="2"/>
            <charset val="204"/>
          </rPr>
          <t>1.13 Базовая цена разработки проектной документации на строительство объектов в сложных геолого-климатических условиях (вечномерзлые, просадочные, набухающие грунты, карстовые и оползневые явления, расположение площадки строительства над горными выработками, в подтапливаемых районах, в районах с залесненной или заболоченной территорией, в безводных пустынях, в районах с сейсмичностью 7-9 баллов) определяется по ценам Справочника с применением следующих коэффициентов:
для проекта -1,1; для рабочего проекта и рабочей документации - 1,3. 
При наличии двух и более усложняющих факторов коэффициенты применяются за каждый фактор в отдельности.
1.14 Базовая цена проектирования объектов для работы с агрессивными средами определяется по ценам с применением коэффициента 1,2. При содержании H2S&gt;6% во флюиде коэффициент может быть увеличен по согласованию с заказчиком.</t>
        </r>
        <r>
          <rPr>
            <sz val="11"/>
            <color indexed="81"/>
            <rFont val="Tahoma"/>
            <family val="2"/>
            <charset val="204"/>
          </rPr>
          <t xml:space="preserve">
</t>
        </r>
        <r>
          <rPr>
            <b/>
            <sz val="11"/>
            <color indexed="81"/>
            <rFont val="Tahoma"/>
            <family val="2"/>
            <charset val="204"/>
          </rPr>
          <t xml:space="preserve">
1.17 Базовая цена проектирования объектов, требующих тепловой изоляции трубопроводов или оборудования, определяется с применением коэффициента 1,1.</t>
        </r>
        <r>
          <rPr>
            <sz val="11"/>
            <color indexed="81"/>
            <rFont val="Tahoma"/>
            <family val="2"/>
            <charset val="204"/>
          </rPr>
          <t xml:space="preserve">
</t>
        </r>
      </text>
    </comment>
    <comment ref="AW3" authorId="0" shapeId="0">
      <text>
        <r>
          <rPr>
            <sz val="11"/>
            <color indexed="81"/>
            <rFont val="Tahoma"/>
            <family val="2"/>
            <charset val="204"/>
          </rPr>
          <t xml:space="preserve">ОСНОВНЫЕ ПОЛОЖЕНИЯ
3.7 Базовыми ценами Справочника не учтены и требуют дополнительной оплаты следующие работы и услуги:
3.7.21 разработка раздела "Оценка воздействия на окружающую среду" (ОВОС)*.
_____________
* Разработка раздела ОВОС осуществляется на предпроектной стадии проектирования, стоимость разработки может быть определена дополнительно и составлять 20% от цены обоснования инвестиций в строительство, или 4% от общей стоимости проектирования ("проект" + "рабочая документация").
</t>
        </r>
      </text>
    </comment>
    <comment ref="AX3" authorId="0" shapeId="0">
      <text>
        <r>
          <rPr>
            <sz val="11"/>
            <color indexed="81"/>
            <rFont val="Tahoma"/>
            <family val="2"/>
            <charset val="204"/>
          </rPr>
          <t xml:space="preserve">1. ОСНОВНЫЕ ПОЛОЖЕНИЯ
1.9 Разработка разделов ОВОС, а также ООС ценами настоящего Справочника не учтены и определяются по ценовым показателям, приве-денным в СБЦ "Объекты газовой промышленности", издание 2-е, с учетом изменений и дополнений 1999 г.
2.  ПОРЯДОК ОПРЕДЕЛЕНИЯ БАЗОВОЙ ЦЕНЫ ПРОЕКТНЫХ  РАБОТ
2.4 Базовая цена разработки проектной документации на строитель-ство объектов в сложных геолого-климатических условиях (вечномерзлые, просадочные, набухающие грунты, карстовые и оползневые явления, рас-положение площадки строительства над горными выработками, в подтап-ливаемых районах, в районах с залесненной или заболоченной территори-ей, в безводных пустынях, в районах с сейсмичностью 7-9 баллов) опреде-ляется по ценам Справочника с применением следующих коэффициентов:
для проекта  - 1,1;
для рабочего проекта и рабочей документации  -  1,3.
При наличии двух и более усложняющих факторов коэффициенты применяются за каждый фактор (пример расчета цены разработки проект-ной документации приведен в приложении п. 5.2.3).
</t>
        </r>
        <r>
          <rPr>
            <sz val="11"/>
            <color indexed="12"/>
            <rFont val="Tahoma"/>
            <family val="2"/>
            <charset val="204"/>
          </rPr>
          <t>2.5 Цена разработ¬ки проектной документации на реконструкцию и техническое перевооруже¬ние действующих предприятий и сооружений определяется по ценам Справочника исходя из значения основного пока-зателя проекти¬руемого объекта, которое должно быть достигнуто в ре-зультате его реконструкции, технического пе¬ревооружения, с применени-ем коэффициента до 1,5, устанавливаемого проектной организацией по со-гласованию с заказчиком в соответствии с трудоем¬костью проектных ра-бот.</t>
        </r>
        <r>
          <rPr>
            <sz val="11"/>
            <color indexed="81"/>
            <rFont val="Tahoma"/>
            <family val="2"/>
            <charset val="204"/>
          </rPr>
          <t xml:space="preserve">
2.6 Затраты проектных организаций, связанные с осуществлением ими функций генпроектировщика и курированием проектных работ, пере-данных на субподряд,  определяются в размере от 3 до 5% от цены  разра-ботки проектной документации, передаваемой субподрядным проектным организациям. Максимальный размер – 5%  применяется при объеме суб-подрядных работ, составляющем более половины общего объема проект-ных работ.
</t>
        </r>
      </text>
    </comment>
    <comment ref="AY3" authorId="0" shapeId="0">
      <text>
        <r>
          <rPr>
            <sz val="11"/>
            <color indexed="81"/>
            <rFont val="Tahoma"/>
            <family val="2"/>
            <charset val="204"/>
          </rPr>
          <t xml:space="preserve">ОСНОВНЫЕ ПОЛОЖЕНИЯ:
1.5 Базовыми ценами Справочника не учтены затраты на:
1.5.2 разработку технической документации на автоматизированные системы управления энергоснабжением (АСУЭ); разработку алгоритма управления процессом (РСУ) и противоаварийной защиты (ПАЗ).
Базовая цена проектирования перечисленных работ определяется по соответствующим ценовым документам, а при их отсутствии - на основании калькуляции затрат;
1.5.5 разработку регламента на производство продукции;
1.5.6 разработку проектов кондиционирования воздуха в производственных и бытовых помещениях, кроме случаев особо оговоренных;
1.5.7 проектирование тепловой изоляции;
1.5.10 проектирование газового и порошкового пожаротушения;
</t>
        </r>
        <r>
          <rPr>
            <b/>
            <sz val="11"/>
            <color indexed="81"/>
            <rFont val="Tahoma"/>
            <family val="2"/>
            <charset val="204"/>
          </rPr>
          <t>1.6 Разработка раздела "Оценка воздействия на окружающую среду" (ОВОС), выполняемого в соответствии с требованиями действующих нормативных документов в составе предпроектных работ, ценами Справочника не учтена и определяется дополнительно.</t>
        </r>
        <r>
          <rPr>
            <sz val="11"/>
            <color indexed="81"/>
            <rFont val="Tahoma"/>
            <family val="2"/>
            <charset val="204"/>
          </rPr>
          <t xml:space="preserve">
</t>
        </r>
        <r>
          <rPr>
            <b/>
            <sz val="11"/>
            <color indexed="81"/>
            <rFont val="Tahoma"/>
            <family val="2"/>
            <charset val="204"/>
          </rPr>
          <t>1.7 Базовая цена проектной документации по объектам, основной показатель которых отличается от приведенных в таблицах, определяется путем применения следующих коэффициентов:
при увеличении показателя в 1,5 раза - 1,1;
свыше 1,5 до 2 раз - 1,2;
свыше 2 до 3 раз - 1,3;
свыше 3 до 4 раз - 1,4;
при уменьшении показателя в 1,5 раза - 0,9;
свыше 1,5 до 2 раз - 0,8;
свыше 2 до 3 раз - 0,75;
свыше 3 до 4 раз  - 0,7.</t>
        </r>
        <r>
          <rPr>
            <sz val="11"/>
            <color indexed="81"/>
            <rFont val="Tahoma"/>
            <family val="2"/>
            <charset val="204"/>
          </rPr>
          <t xml:space="preserve">
</t>
        </r>
        <r>
          <rPr>
            <b/>
            <sz val="11"/>
            <color indexed="12"/>
            <rFont val="Tahoma"/>
            <family val="2"/>
            <charset val="204"/>
          </rPr>
          <t>1.8 Базовая цена проектной документации на реконструкцию и техническое перевооружение определяется по ценам Справочника с применением коэффициента до 2,0, устанавливаемого проектной организацией по согласованию с заказчиком в соответствии с трудоемкостью работ.</t>
        </r>
        <r>
          <rPr>
            <b/>
            <sz val="11"/>
            <color indexed="81"/>
            <rFont val="Tahoma"/>
            <family val="2"/>
            <charset val="204"/>
          </rPr>
          <t xml:space="preserve">
Максимальный коэффициент может быть применен при полной реконструкции или полном техническом перевооружении объекта. При определении цены реконструкции (техническом перевооружении) только части здания, сооружения или выполнении отдельных видов работ применяется по согласованию с заказчиком поправочный коэффициент меньше единицы, учитывающий объем работ по сравнению с новым строительством.</t>
        </r>
        <r>
          <rPr>
            <sz val="11"/>
            <color indexed="81"/>
            <rFont val="Tahoma"/>
            <family val="2"/>
            <charset val="204"/>
          </rPr>
          <t xml:space="preserve">
1.14 При разработке смет с использованием ресурсного метода к стоимости разработки раздела "сметная документация" допускается применять коэффициент до 1,5 по договоренности с заказчиком.</t>
        </r>
      </text>
    </comment>
    <comment ref="BA3" authorId="0" shapeId="0">
      <text>
        <r>
          <rPr>
            <sz val="11"/>
            <color indexed="81"/>
            <rFont val="Tahoma"/>
            <family val="2"/>
            <charset val="204"/>
          </rPr>
          <t xml:space="preserve">2 ПОРЯДОК ОПРЕДЕЛЕНИЯ БАЗОВОЙЦЕНЫ ПРОЕКТНЫХ РАБОТ 
</t>
        </r>
        <r>
          <rPr>
            <sz val="11"/>
            <color indexed="12"/>
            <rFont val="Tahoma"/>
            <family val="2"/>
            <charset val="204"/>
          </rPr>
          <t>2.6 Базовая цена проектной и рабочей документации на реконструкцию определяется по ценам Справочника с применением коэффициента до 2,0, устанавливаемого проектной организацией по согласованию с заказчиком в соответствии с трудоемкостью работ, при этом в случае реконструкции на действующем предприятии без остановки производства применяется коэффициент не ниже 1,7.</t>
        </r>
        <r>
          <rPr>
            <sz val="11"/>
            <color indexed="81"/>
            <rFont val="Tahoma"/>
            <family val="2"/>
            <charset val="204"/>
          </rPr>
          <t xml:space="preserve">
</t>
        </r>
      </text>
    </comment>
    <comment ref="BC3" authorId="0" shapeId="0">
      <text>
        <r>
          <rPr>
            <sz val="11"/>
            <color indexed="81"/>
            <rFont val="Tahoma"/>
            <family val="2"/>
            <charset val="204"/>
          </rPr>
          <t xml:space="preserve">ОСНОВНЫЕ ПОЛОЖЕНИЯ
</t>
        </r>
        <r>
          <rPr>
            <sz val="11"/>
            <color indexed="12"/>
            <rFont val="Tahoma"/>
            <family val="2"/>
            <charset val="204"/>
          </rPr>
          <t>1.6 При реконструкции и расширении аэропорта или отдельных зданий и сооружений без прекращения производственной деятельности, к базовой цене проектирования применяется дополнительно коэффициент 1,4.</t>
        </r>
        <r>
          <rPr>
            <sz val="11"/>
            <color indexed="81"/>
            <rFont val="Tahoma"/>
            <family val="2"/>
            <charset val="204"/>
          </rPr>
          <t xml:space="preserve">
1.10 При разработке смет с использованием ресурсного метода к стоимости разработки раздела "Сметная документация" допускается применять повышающий коэффициент до 1,5 по договоренности с заказчиком. Максимальное значение повышающего коэффициента при составлении сметной документации (с использованием программных средств) применяется в случае отсутствия в регионе централизованного банка данных о стоимости ресурсов для учета дополнительных затрат, связанных с его формированием.</t>
        </r>
      </text>
    </comment>
    <comment ref="BD3" authorId="0" shapeId="0">
      <text>
        <r>
          <rPr>
            <sz val="11"/>
            <color indexed="81"/>
            <rFont val="Tahoma"/>
            <family val="2"/>
            <charset val="204"/>
          </rPr>
          <t xml:space="preserve">ОСНОВНЫЕ ПОЛОЖЕНИЯ
1.2 Базовые цены в Справочнике </t>
        </r>
        <r>
          <rPr>
            <b/>
            <sz val="11"/>
            <color indexed="81"/>
            <rFont val="Tahoma"/>
            <family val="2"/>
            <charset val="204"/>
          </rPr>
          <t>установлены на разработку рабочей документации</t>
        </r>
        <r>
          <rPr>
            <sz val="11"/>
            <color indexed="81"/>
            <rFont val="Tahoma"/>
            <family val="2"/>
            <charset val="204"/>
          </rPr>
          <t xml:space="preserve"> и определяются в зависимости от натуральных показателей проектируемых объектов: мощности, протяженности и др.
1.6 При разработке смет с использованием ресурсного метода к стоимости разработки раздела "Сметная документация" допускается применять повышающий коэффициент до 1,5 по договоренности с заказчиком.
Максимальное значение повышающего коэффициента при составлении сметной документации (с использованием программных средств) применяется в случае отсутствия в регионе централизованного банка данных о стоимости ресурсов для учета дополнительных затрат, связанных с его формированием.
1.7 Затраты проектных организаций, связанных с осуществлением ими функций генпроектировщика, в том числе курированием проектных работ, выполняемых субподрядными проектными организациями, определяются дополнительно по согласованию с заказчиком в размере до 5% от комплексной цены.
1.9 Базовая цена проектирования объектов в стесненных условиях, когда в зоне строительства работ свыше 5-ти коммуникаций или плотность застройки составляет более 30%, определяется по соответствующим таблицам настоящего Справочника с коэффициентом 1,3.
</t>
        </r>
        <r>
          <rPr>
            <b/>
            <sz val="11"/>
            <color indexed="81"/>
            <rFont val="Tahoma"/>
            <family val="2"/>
            <charset val="204"/>
          </rPr>
          <t>1.13 Стоимость разработки разделов: "Охрана окружающей среды" определяется дополнительно в размере 10% от цены разработки рабочей документации, а "Энергоэффективность" в размере 5% от цены разработки рабочей документации.</t>
        </r>
        <r>
          <rPr>
            <sz val="11"/>
            <color indexed="81"/>
            <rFont val="Tahoma"/>
            <family val="2"/>
            <charset val="204"/>
          </rPr>
          <t xml:space="preserve">
</t>
        </r>
      </text>
    </comment>
    <comment ref="BE3" authorId="0" shapeId="0">
      <text>
        <r>
          <rPr>
            <sz val="11"/>
            <color indexed="81"/>
            <rFont val="Tahoma"/>
            <family val="2"/>
            <charset val="204"/>
          </rPr>
          <t>ОБЩИЕ ПОЛОЖЕНИЯ
1.6. В случае выполнения в составе проектной документации по поручению заказчика работ по оценке воздействия объекта капитального строительства на окружающую среду (ОВОС) цена определяется в размере 4% от общей стоимости проектирования.</t>
        </r>
      </text>
    </comment>
    <comment ref="BF3" authorId="0" shapeId="0">
      <text>
        <r>
          <rPr>
            <sz val="11"/>
            <color indexed="81"/>
            <rFont val="Tahoma"/>
            <family val="2"/>
            <charset val="204"/>
          </rPr>
          <t xml:space="preserve">ОСНОВНЫЕ ПОЛОЖЕНИЯ
1.7. Ценами Справочника не учтены:     
разработка технических заданий заводам на изготовление щитов автоматизации, электрического питания и сигнализации систем противопожарной и охранной защиты
</t>
        </r>
      </text>
    </comment>
    <comment ref="BG3" authorId="0" shapeId="0">
      <text>
        <r>
          <rPr>
            <sz val="11"/>
            <color indexed="81"/>
            <rFont val="Tahoma"/>
            <family val="2"/>
            <charset val="204"/>
          </rPr>
          <t xml:space="preserve">Указания по применению СБЦ
16. Стоимость проектирования объекта, показатель которого имеет значение меньше максимального или больше максимального показателя, определяется путем экстраполяции. При этом величина поправки принимается с коэффициентом 0,6 при показателе, большем табличного, и 1,4 - при показателе меньше табличного.
Путем экстраполяции допускается определять стоимость проектных работ в случаях, когда основной показатель проектируемого объекта больше или меньше показателя, приведенного в таблице не более чем в четыре раза.
</t>
        </r>
      </text>
    </comment>
    <comment ref="BH3" authorId="0" shapeId="0">
      <text>
        <r>
          <rPr>
            <sz val="11"/>
            <color indexed="81"/>
            <rFont val="Tahoma"/>
            <family val="2"/>
            <charset val="204"/>
          </rPr>
          <t>ОБЩИЕ ПОЛОЖЕНИЯ
1.11. В случае выполнения работ по оценке воздействия объекта капитального строительства на окружающую среду (ОВОС) в составе проектной документации по поручению заказчика стоимость этих работ определяется в размере 4% от общей стоимости проектирования.</t>
        </r>
      </text>
    </comment>
    <comment ref="BI3" authorId="0" shapeId="0">
      <text>
        <r>
          <rPr>
            <sz val="11"/>
            <color indexed="81"/>
            <rFont val="Tahoma"/>
            <family val="2"/>
            <charset val="204"/>
          </rPr>
          <t xml:space="preserve">ОСНОВНЫЕ ПОЛОЖЕНИЯ
1.6 Разработка раздела "Оценка воздействия на окружающую среду" (ОВОС), выполняемого в соответствии с требованиями действующих нормативных документов в составе предпроектных работ, ценами Справочника не учтена и определяется дополнительно.
</t>
        </r>
        <r>
          <rPr>
            <b/>
            <sz val="11"/>
            <color indexed="81"/>
            <rFont val="Tahoma"/>
            <family val="2"/>
            <charset val="204"/>
          </rPr>
          <t xml:space="preserve">1.8 Базовая цена проектной документации по объектам, основной показатель которых отличается от приведенных в таблице, определятся путем применения следующих коэффициентов:
при увеличении показателя в 1,5 раза  - 1,1
     свыше 1,5 до 2      - 1,2
     свыше 2 до 3   - 1,3
     свыше 3 до 4  - 1,4
при уменьшении показателя в 1,5 раза - 0,9
     свыше 1,5 до 2 - 0,8
     свыше 2 до 3  - 0,75
     свыше 3 до 4  - 0,7 </t>
        </r>
        <r>
          <rPr>
            <sz val="11"/>
            <color indexed="81"/>
            <rFont val="Tahoma"/>
            <family val="2"/>
            <charset val="204"/>
          </rPr>
          <t xml:space="preserve">
</t>
        </r>
        <r>
          <rPr>
            <sz val="11"/>
            <color indexed="12"/>
            <rFont val="Tahoma"/>
            <family val="2"/>
            <charset val="204"/>
          </rPr>
          <t>1.12 Базовая цена проектной документации на реконструкцию и техническое перевооружение определяется по ценам Справочника с применением коэффициента до 2,0, устанавливаемого проектной организацией по согласованию с заказчиком в соответствии с трудоемкостью работ.     
Максимальный коэффициент может быть применен при полной реконструкции или полном техническом перевооружении объекта. При определении цены реконструкции (техническом перевооружении) только части здания, сооружения, или выполнении отдельных видов работ применяется по согласованию с заказчиком поправочный коэффициент меньше единицы, учитывающий объем работ по сравнению с новым строительством.</t>
        </r>
        <r>
          <rPr>
            <sz val="11"/>
            <color indexed="81"/>
            <rFont val="Tahoma"/>
            <family val="2"/>
            <charset val="204"/>
          </rPr>
          <t xml:space="preserve">
1.13 Затраты, связанные с осуществлением функций генпроектировщика и курированием проектных работ, переданных на субподряд, определяются в размере до 5% от цены разработки проектной документации, передаваемой субподрядным проектным организациям, и оплачиваются дополнительно.
1.14 При разработке смет с использованием ресурсного метода к стоимости разработки раздела "Сметная документация" допускается применять повышающий коэффициент до 1,5 по договоренности с заказчиком. Максимальное значение повышающего коэффициента при составлении сметной документации (с использованием программных средств) применяется в случае отсутствия в регионе централизованного банка данных о стоимости ресурсов для учета дополнительных затрат, связанных с его формированием.
2 БАЗОВЫЕ ЦЕНЫ НА РАЗРАБОТКУ ПРОЕКТНОЙ ДОКУМЕНТАЦИИ
2.3 Работы и услуги проектной организации, связанные с:     
- изготовлением демонстрационных материалов (кроме демонстрационных макетов);     
- участием совместно с Заказчиком в согласовании готовой проектной документации с государственными органами и органами местного самоуправления;     
- защитой рабочего проекта (проекта) в экспертирующих и утверждающих инстанциях 
оцениваются дополнительно в размере 10% от общей стоимости разработки проектной документации.
</t>
        </r>
      </text>
    </comment>
    <comment ref="BJ3" authorId="0" shapeId="0">
      <text>
        <r>
          <rPr>
            <sz val="11"/>
            <color indexed="81"/>
            <rFont val="Tahoma"/>
            <family val="2"/>
            <charset val="204"/>
          </rPr>
          <t xml:space="preserve">1 ОСНОВНЫЕ ПОЛОЖЕНИЯ
1.5 Базовыми ценами Справочника учтена разработка проектной документации на:
- охрану окружающей среды;
- системы противопожарной и охранной защиты.
1.10 При разработке смет с использованием ресурсного метода к стоимости разработки раздела "Сметная документация" допускается применять повышающий коэффициент до 1,5 по договоренности с заказчиком.
Максимальное значение повышающего коэффициента при составлении сметной документации (с использованием программных средств) применяется в случае отсутствия в регионе централизованного банка данных о стоимости ресурсов для учета дополнительных затрат, связанных с его формированием.
</t>
        </r>
      </text>
    </comment>
    <comment ref="BM3" authorId="0" shapeId="0">
      <text>
        <r>
          <rPr>
            <sz val="11"/>
            <color indexed="81"/>
            <rFont val="Tahoma"/>
            <family val="2"/>
            <charset val="204"/>
          </rPr>
          <t xml:space="preserve">ОСНОВНЫЕ ПОЛОЖЕНИЯ
1.6 При разработке смет с использованием ресурсного метода к стоимости разработки раздела "Сметная документация" допускается применять повышающий коэффициент до 1,5 по договоренности с заказчиком.
Максимальное значение повышающего коэффициента при составлении сметной документации (с использованием программных средств) применяется в случае отсутствия в регионе централизованного банка данных о стоимости ресурсов для учета дополнительных затрат, связанных с его формированием.
</t>
        </r>
      </text>
    </comment>
    <comment ref="BO3" authorId="0" shapeId="0">
      <text>
        <r>
          <rPr>
            <sz val="11"/>
            <color indexed="81"/>
            <rFont val="Tahoma"/>
            <family val="2"/>
            <charset val="204"/>
          </rPr>
          <t xml:space="preserve">ОСНОВНЫЕ ПОЛОЖЕНИЯ:
1.3.6. Ценами Справочников на разработку проектной и рабочей документации не учтены затраты на:
1.3.6.1. Разработку указанных в задании на проектирование проектных решений в нескольких вариантах, за исключением вариантных проработок для выбора оптимальных проектных решений.
1.3.6.2. Разработку решений по монументально-декоративному оформлению предприятий, зданий и сооружений.
1.3.6.3. Внесение изменений в проектную и рабочую документацию (за исключением исправления ошибок, допущенных проектной организацией).
1.3.6.4. Разработку деталировочных чертежей металлических конструкций (КМД) и технологических трубопроводов заводского изготовления.
1.3.6.5. Выполнение обследований и обмерные работы на объектах, подлежащих реконструкции, расширению и техническому перевооружению.
1.3.6.6. Разработку конструкторской документации по оборудованию индивидуального изготовления, кроме составления исходных требований на конструирование этого оборудования.
1.3.6.7. Служебные командировки. Базовыми ценами Справочников не учтены затраты на служебные командировки, в том числе и затраты административного персонала, если командировки этого персонала связаны непосредственно с проектированием объекта.
1.3.6.8. Разработку проектов производства работ (ППР).
1.3.6.9. Разработку рабочей документации на строительство временных зданий и сооружений для нужд, строительных организаций.
1.3.6.10. Авторский надзор.
1.3.6.11. Научно-исследовательские и опытно-экспериментальные работы.
1.3.6.12. Разработку автоматизированных систем управления предприятием (АСУП) и автоматизированных систем управления технологическими процессами (АСУТП).
1.3.6.13. Разработку раздела "Мероприятия по гражданской обороне и мероприятия по предупреждению чрезвычайных ситуаций природного и техногенного характера". Базовая цена разработки указанного раздела определяется по соответствующему Справочнику.
</t>
        </r>
        <r>
          <rPr>
            <b/>
            <sz val="11"/>
            <color indexed="81"/>
            <rFont val="Tahoma"/>
            <family val="2"/>
            <charset val="204"/>
          </rPr>
          <t xml:space="preserve">1.3.6.14. Выполнение работ по оценке воздействия объекта капитального строительства на окружающую среду (ОВОС).
</t>
        </r>
        <r>
          <rPr>
            <sz val="11"/>
            <color indexed="81"/>
            <rFont val="Tahoma"/>
            <family val="2"/>
            <charset val="204"/>
          </rPr>
          <t xml:space="preserve">3. Порядок определения стоимости проектных работ с учетом дополнительных факторов, влияющих на трудоемкость проектирования </t>
        </r>
        <r>
          <rPr>
            <b/>
            <sz val="11"/>
            <color indexed="81"/>
            <rFont val="Tahoma"/>
            <family val="2"/>
            <charset val="204"/>
          </rPr>
          <t xml:space="preserve">
</t>
        </r>
        <r>
          <rPr>
            <sz val="11"/>
            <color indexed="12"/>
            <rFont val="Tahoma"/>
            <family val="2"/>
            <charset val="204"/>
          </rPr>
          <t>3.4. Цена разработки проектной и рабочей документации на реконструкцию действующих предприятий, цехов, зданий и сооружений определяется по ценам Справочников базовых цен на проектные работы для строительства.
При этом при определении стоимости проектных работ исходя из значения основного натурального показателя проектируемого объекта, которое должно быть достигнуто в результате его реконструкции, технического перевооружения - с применением к ценам Справочников коэффициента до 1,5. При определении стоимости проектных работ от стоимости реконструкции - до 1,3.
По особо опасным, технически сложным и уникальным объектам капитального строительства - до 2,0 и 1,7 соответственно.
Размер коэффициента устанавливается проектной организацией по согласованию с заказчиком.</t>
        </r>
        <r>
          <rPr>
            <b/>
            <sz val="11"/>
            <color indexed="81"/>
            <rFont val="Tahoma"/>
            <family val="2"/>
            <charset val="204"/>
          </rPr>
          <t xml:space="preserve">
</t>
        </r>
        <r>
          <rPr>
            <sz val="11"/>
            <color indexed="81"/>
            <rFont val="Tahoma"/>
            <family val="2"/>
            <charset val="204"/>
          </rPr>
          <t xml:space="preserve">
</t>
        </r>
      </text>
    </comment>
    <comment ref="AZ4" authorId="0" shapeId="0">
      <text>
        <r>
          <rPr>
            <sz val="11"/>
            <color indexed="81"/>
            <rFont val="Tahoma"/>
            <family val="2"/>
            <charset val="204"/>
          </rPr>
          <t xml:space="preserve">1. ОСНОВНЫЕ ПОЛОЖЕНИЯ:
1.7. Базовыми ценами Справочника не учтены:
• разработка указанных в задании на проектирование проектных решений в нескольких вариантах;
• обследования и обмерные работы на объектах, подлежащих реконструкции, расширению и техническому перевооружению;
• затраты на служебные командировки;
• разработка автоматизированных систем управления предприятием (АСУП) и автоматизированных систем управления технологическими процессами (АСУТП);
</t>
        </r>
        <r>
          <rPr>
            <b/>
            <sz val="11"/>
            <color indexed="81"/>
            <rFont val="Tahoma"/>
            <family val="2"/>
            <charset val="204"/>
          </rPr>
          <t xml:space="preserve">• разработка ОВОС (ценами таблиц 1-9)
</t>
        </r>
        <r>
          <rPr>
            <sz val="11"/>
            <color indexed="81"/>
            <rFont val="Tahoma"/>
            <family val="2"/>
            <charset val="204"/>
          </rPr>
          <t xml:space="preserve">1.8. Кроме работ, перечисленных в п. 1.7, базовыми ценами Справочника не учтена стоимость:
• проектирования водозаборных, водоочистных и канализационных очистных сооружений, а также сооружений водоподготовки, включая разработку и согласование материалов по спецводопользованию, установок термического обезвреживания промстоков;
• проектирования магистральных линий связи и ВЛ вдоль газопровода;
• проектирования ВЛ вдоль газопроводов для электроснабжения линейных потребителей;
• проектирования внеплощадочных технологических инженерных сетей и коммуникаций с сооружениями на них;
• проектирования электростанций, электроподстанций внешнего электроснабжения, распределительных устройств, отдельно стоящих отопительных котельных;
• проектирования автоматических установок пожаротушения;
• рекультивации нарушенных земель;
• составления и защиты сводной заказной документации для комплектования строек оборудованием;
</t>
        </r>
        <r>
          <rPr>
            <b/>
            <sz val="11"/>
            <color indexed="81"/>
            <rFont val="Tahoma"/>
            <family val="2"/>
            <charset val="204"/>
          </rPr>
          <t>• разработки технических заданий заводам-изготовителям на щиты и низковольтные комплектные устройства, а также щиты КИП и А;</t>
        </r>
        <r>
          <rPr>
            <sz val="11"/>
            <color indexed="81"/>
            <rFont val="Tahoma"/>
            <family val="2"/>
            <charset val="204"/>
          </rPr>
          <t xml:space="preserve">
2. ПОРЯДОК ОПРЕДЕЛЕНИЯ БАЗОВОЙ ЦЕНЫ НА ПРОЕКТНЫЕ РАБОТЫ
</t>
        </r>
        <r>
          <rPr>
            <sz val="11"/>
            <color indexed="12"/>
            <rFont val="Tahoma"/>
            <family val="2"/>
            <charset val="204"/>
          </rPr>
          <t>2.4. Базовая цена разработки проектной документации на расширение, реконструкцию и техническое перевооружение действующих предприятий, цехов и сооружений определяется по ценам таблиц Справочника, исходя из значения основного показателя проектируемого объекта, которое должно быть достигнуто в результате расширения, реконструкции и технического перевооружения объекта, с применением коэффициентов (по согласованию с заказчиком):
• при расширении в пределах существующей площадки - до 1,2;
• при расширении на смежной территории - до 1,0;
• при реконструкции - до 1,4;
• при техническом перевооружении - до 1,6.</t>
        </r>
        <r>
          <rPr>
            <sz val="11"/>
            <color indexed="81"/>
            <rFont val="Tahoma"/>
            <family val="2"/>
            <charset val="204"/>
          </rPr>
          <t xml:space="preserve">
При реконструкции, расширении и техническом перевооружении только части установки, здания, сооружения или выполнении отдельных видов работ применяется поправочный коэффициент, учитывающий объем работ, исходя из таблиц относительной стоимости.
2.5. Базовая цена проектирования продуктопроводов в стесненных условиях, когда в зоне работ свыше пяти коммуникаций или плотность застройки составляет более 30%, определяется по соответствующим ценам Справочника с применением коэффициента 1,3.
2.6. Базовая цена разработки проектной документации на строительство объектов в сложных геолого-климатических условиях (вечномерзлые, просадочные грунты, карстовые и оползневые явления, расположение площадки строительства над горными выработками, в подтапливаемых районах, в районах с залесненной или заболоченной территорией, в безводных пустынях, в районах с сейсмичностью 7-9 баллов) определяется по ценам Справочника с применением следующих коэффициентов:
для проекта- 1,1;
для рабочего проекта и рабочей документации - 1,3.
При наличии двух и более усложняющих факторов коэффициенты применяются за каждый фактор.
</t>
        </r>
      </text>
    </comment>
    <comment ref="BB7" authorId="0" shapeId="0">
      <text>
        <r>
          <rPr>
            <sz val="11"/>
            <color indexed="81"/>
            <rFont val="Tahoma"/>
            <family val="2"/>
            <charset val="204"/>
          </rPr>
          <t xml:space="preserve">1. ОСНОВНЫЕ ПОЛОЖЕНИЯ:
1.7 Базовыми ценами Справочника </t>
        </r>
        <r>
          <rPr>
            <u/>
            <sz val="11"/>
            <color indexed="81"/>
            <rFont val="Tahoma"/>
            <family val="2"/>
            <charset val="204"/>
          </rPr>
          <t>не учтены</t>
        </r>
        <r>
          <rPr>
            <sz val="11"/>
            <color indexed="81"/>
            <rFont val="Tahoma"/>
            <family val="2"/>
            <charset val="204"/>
          </rPr>
          <t xml:space="preserve">:
</t>
        </r>
        <r>
          <rPr>
            <b/>
            <sz val="11"/>
            <color indexed="81"/>
            <rFont val="Tahoma"/>
            <family val="2"/>
            <charset val="204"/>
          </rPr>
          <t>1.7.16 Разработка материалов по ОВОС.</t>
        </r>
        <r>
          <rPr>
            <sz val="11"/>
            <color indexed="81"/>
            <rFont val="Tahoma"/>
            <family val="2"/>
            <charset val="204"/>
          </rPr>
          <t xml:space="preserve">
2. ПОРЯДОК ОПРЕДЕЛЕНИЯ БАЗОВОЙ ЦЕНЫ ПРОЕКТНЫХ РАБОТ 
</t>
        </r>
        <r>
          <rPr>
            <b/>
            <sz val="11"/>
            <color indexed="12"/>
            <rFont val="Tahoma"/>
            <family val="2"/>
            <charset val="204"/>
          </rPr>
          <t>2.11 Базовая цена проектных работ на реконструкцию и/или техперевооружение определяется в соответствии с пунктом 2.4 с применением коэффициента до 1,5, устанавливаемого проектной организацией в соответствии с трудоемкостью работ по согласованию с Заказчиком.</t>
        </r>
      </text>
    </comment>
  </commentList>
</comments>
</file>

<file path=xl/sharedStrings.xml><?xml version="1.0" encoding="utf-8"?>
<sst xmlns="http://schemas.openxmlformats.org/spreadsheetml/2006/main" count="1670" uniqueCount="353">
  <si>
    <t>Проектная документация</t>
  </si>
  <si>
    <t>1.3.</t>
  </si>
  <si>
    <t>2.2.</t>
  </si>
  <si>
    <t>Командировочные расходы (по фактическим затратам)</t>
  </si>
  <si>
    <t>5.2.</t>
  </si>
  <si>
    <t>№ пп</t>
  </si>
  <si>
    <t>Виды работ</t>
  </si>
  <si>
    <t xml:space="preserve">Номер частей, глав, таблиц, процентов, параграфов и пунктов указаний к разделу СБЦ  </t>
  </si>
  <si>
    <t>Расчёт стоимости работ</t>
  </si>
  <si>
    <t>Ед. изм.</t>
  </si>
  <si>
    <t>Стоим. по Сборн. цен (руб.)</t>
  </si>
  <si>
    <t>Объём работ</t>
  </si>
  <si>
    <t>Попр. Коэф.</t>
  </si>
  <si>
    <t>Общая стоимость работ, 
руб. без НДС</t>
  </si>
  <si>
    <t>на проведение работ по историко-культурным изысканиям по объекту:</t>
  </si>
  <si>
    <t>Характеристика 
предприятия, здания, 
сооружения или вида работ</t>
  </si>
  <si>
    <t>Обоснование 
коэффициентов 
в расчёте</t>
  </si>
  <si>
    <t xml:space="preserve">Наименование предприятия, здания,
сооружения, стадии проектирования
этапа, вида проектных или изыскатель-
ских работ </t>
  </si>
  <si>
    <t>№ 
п.п.</t>
  </si>
  <si>
    <t>№
п.п.</t>
  </si>
  <si>
    <t xml:space="preserve">№ 
п.п. </t>
  </si>
  <si>
    <t>1987 г.</t>
  </si>
  <si>
    <t>Кусты</t>
  </si>
  <si>
    <t>Сети</t>
  </si>
  <si>
    <t>технология</t>
  </si>
  <si>
    <t>Вспомогательные объекты</t>
  </si>
  <si>
    <t>Электрика</t>
  </si>
  <si>
    <t>Очистные</t>
  </si>
  <si>
    <t>Сигнализация, оповещение</t>
  </si>
  <si>
    <t>Карьеры</t>
  </si>
  <si>
    <t>Нефтедобывающей пром.</t>
  </si>
  <si>
    <t>Автодороги</t>
  </si>
  <si>
    <t>Магистрального транспорта</t>
  </si>
  <si>
    <t>Нефтеперерабатывающ. пром.</t>
  </si>
  <si>
    <t>Водоснабжения и канал-ии</t>
  </si>
  <si>
    <t>Гражданской авиации</t>
  </si>
  <si>
    <t>Газооборудование и газосн-е</t>
  </si>
  <si>
    <t>Жилищно-гражданского стр-ва</t>
  </si>
  <si>
    <t>Противопожарной и охр. сигн.</t>
  </si>
  <si>
    <t>Черная маталлургия</t>
  </si>
  <si>
    <t>Объекты связи</t>
  </si>
  <si>
    <t>Пром-ть химических волокон</t>
  </si>
  <si>
    <t>Горнорудная промышленность</t>
  </si>
  <si>
    <t>Торговли и обществ. питания</t>
  </si>
  <si>
    <t>Предпр-я транспорта, хранения</t>
  </si>
  <si>
    <t>Методические указания, 2009г.</t>
  </si>
  <si>
    <t>Разъяснения по применению СБЦ 1999 г.</t>
  </si>
  <si>
    <t>Газовой промышленности</t>
  </si>
  <si>
    <t>Итого стоимость, руб. без НДС</t>
  </si>
  <si>
    <t>Сумма, 
руб. без НДС</t>
  </si>
  <si>
    <t>Предпр-я агропром. компл.</t>
  </si>
  <si>
    <t>1995 г.</t>
  </si>
  <si>
    <t>2003 г.</t>
  </si>
  <si>
    <t>2001 г.</t>
  </si>
  <si>
    <t>Энергетика</t>
  </si>
  <si>
    <t>Объекты речного транспорта</t>
  </si>
  <si>
    <t>(камеральные и полевые изыскания)</t>
  </si>
  <si>
    <t>(выполнен по Сборнику цен на научно-проектные работы по памятникам истории и культуры - СЦНПР-91 , 
справочнику базовых цен на инженерные изыскания для строительства (инженерно-геодезические изыскания) - СБЦИИС (ИГИ)-2004-01-01)</t>
  </si>
  <si>
    <t>Подготовительные работы</t>
  </si>
  <si>
    <t>1.1.1.</t>
  </si>
  <si>
    <t>1.1.2.</t>
  </si>
  <si>
    <t>2.1.1.</t>
  </si>
  <si>
    <t>2.1.2.</t>
  </si>
  <si>
    <t>2.2.1.</t>
  </si>
  <si>
    <t>2.2.2.</t>
  </si>
  <si>
    <t>Договора аренды участков лесного фонда</t>
  </si>
  <si>
    <t>3.1.1.</t>
  </si>
  <si>
    <t>Подготовка и оформление договоров аренды лесных участков</t>
  </si>
  <si>
    <t>3.1.2.</t>
  </si>
  <si>
    <t>Согласование договоров аренды лесных участков</t>
  </si>
  <si>
    <t>Проекты освоения лесов</t>
  </si>
  <si>
    <t>4.1.1.</t>
  </si>
  <si>
    <t>Разработка проектов освоения лесов</t>
  </si>
  <si>
    <t>4.1.2.</t>
  </si>
  <si>
    <t>Сопровождение на государственную экспертизу проектов освоения лесов, с получением положительного заключения</t>
  </si>
  <si>
    <t>на проведение экспертизы по объекту</t>
  </si>
  <si>
    <t>Наименование работ</t>
  </si>
  <si>
    <t>Ед.изм.</t>
  </si>
  <si>
    <t>Кол-во</t>
  </si>
  <si>
    <t xml:space="preserve">Сумма Спд и Сиж (млн. рублей, 
в ценах 2001 года) 
</t>
  </si>
  <si>
    <t xml:space="preserve">Процент от суммы Спд  и Сиж 
(П) </t>
  </si>
  <si>
    <t>Расчет стоимости проведения Главгосэкспертизы</t>
  </si>
  <si>
    <t xml:space="preserve">0 - 0,15 </t>
  </si>
  <si>
    <t>Стоимость ПИР в ценах 2001 г.</t>
  </si>
  <si>
    <t xml:space="preserve">более 0,15 </t>
  </si>
  <si>
    <t>%</t>
  </si>
  <si>
    <t xml:space="preserve">более 0,25 </t>
  </si>
  <si>
    <t>1.4.</t>
  </si>
  <si>
    <t>Стоимость экспертизы в текущих ценах</t>
  </si>
  <si>
    <t xml:space="preserve">более 0,5 </t>
  </si>
  <si>
    <t>ИТОГО по п.1</t>
  </si>
  <si>
    <t xml:space="preserve">более 0,75 </t>
  </si>
  <si>
    <t>ВСЕГО стоимость экспертизы</t>
  </si>
  <si>
    <t xml:space="preserve">более 1 </t>
  </si>
  <si>
    <t xml:space="preserve">более 1,5 </t>
  </si>
  <si>
    <t xml:space="preserve">более 3 </t>
  </si>
  <si>
    <t>Примечание: стоимость проведения экспертиз предъявляется по факту</t>
  </si>
  <si>
    <t xml:space="preserve">более 4 </t>
  </si>
  <si>
    <t xml:space="preserve">более 6 </t>
  </si>
  <si>
    <t xml:space="preserve">более 18 </t>
  </si>
  <si>
    <t xml:space="preserve">более 24 </t>
  </si>
  <si>
    <t xml:space="preserve">более 30 </t>
  </si>
  <si>
    <t xml:space="preserve">более 36 </t>
  </si>
  <si>
    <t xml:space="preserve">более 45 </t>
  </si>
  <si>
    <t xml:space="preserve">более 52,5 </t>
  </si>
  <si>
    <t xml:space="preserve">более 60 </t>
  </si>
  <si>
    <t xml:space="preserve">более 70 </t>
  </si>
  <si>
    <t xml:space="preserve">более 80 </t>
  </si>
  <si>
    <t>1.1.3.</t>
  </si>
  <si>
    <t xml:space="preserve">более 100 </t>
  </si>
  <si>
    <t xml:space="preserve">более 120 </t>
  </si>
  <si>
    <t xml:space="preserve">более 140 </t>
  </si>
  <si>
    <t xml:space="preserve">более 160 </t>
  </si>
  <si>
    <t xml:space="preserve">более 180 </t>
  </si>
  <si>
    <t xml:space="preserve">более 200 </t>
  </si>
  <si>
    <t xml:space="preserve">более 220 </t>
  </si>
  <si>
    <t>число</t>
  </si>
  <si>
    <t>миллионы</t>
  </si>
  <si>
    <t>сотни миллионов</t>
  </si>
  <si>
    <t>Сто</t>
  </si>
  <si>
    <t>Двести</t>
  </si>
  <si>
    <t>Триста</t>
  </si>
  <si>
    <t>Четыреста</t>
  </si>
  <si>
    <t>Пятьсот</t>
  </si>
  <si>
    <t>Шестьсот</t>
  </si>
  <si>
    <t>Семьсот</t>
  </si>
  <si>
    <t>Восемьсот</t>
  </si>
  <si>
    <t>Девятьсот</t>
  </si>
  <si>
    <t>Десятки миллинов</t>
  </si>
  <si>
    <t xml:space="preserve"> Десять</t>
  </si>
  <si>
    <t xml:space="preserve"> Двадцать</t>
  </si>
  <si>
    <t xml:space="preserve"> Тридцать</t>
  </si>
  <si>
    <t xml:space="preserve"> Сорок</t>
  </si>
  <si>
    <t xml:space="preserve"> Пятьдесят</t>
  </si>
  <si>
    <t xml:space="preserve"> Шестьдесят</t>
  </si>
  <si>
    <t xml:space="preserve"> Семьдесят</t>
  </si>
  <si>
    <t xml:space="preserve"> Восемьдесят</t>
  </si>
  <si>
    <t xml:space="preserve"> Девяносто</t>
  </si>
  <si>
    <t>Миллионы</t>
  </si>
  <si>
    <t xml:space="preserve"> Один</t>
  </si>
  <si>
    <t xml:space="preserve"> Два</t>
  </si>
  <si>
    <t xml:space="preserve"> Три</t>
  </si>
  <si>
    <t xml:space="preserve"> Четыре</t>
  </si>
  <si>
    <t xml:space="preserve"> Пять</t>
  </si>
  <si>
    <t xml:space="preserve"> Шесть</t>
  </si>
  <si>
    <t xml:space="preserve"> Семь</t>
  </si>
  <si>
    <t xml:space="preserve"> Восемь</t>
  </si>
  <si>
    <t xml:space="preserve"> Девять</t>
  </si>
  <si>
    <t>Если нужно одиннадцать и прочее</t>
  </si>
  <si>
    <t xml:space="preserve"> Одиннадцать</t>
  </si>
  <si>
    <t xml:space="preserve"> Двенадцать</t>
  </si>
  <si>
    <t xml:space="preserve"> Тринадцать</t>
  </si>
  <si>
    <t xml:space="preserve"> Четырнадцать</t>
  </si>
  <si>
    <t xml:space="preserve"> Пятнадцать</t>
  </si>
  <si>
    <t xml:space="preserve"> Шестнадцать</t>
  </si>
  <si>
    <t xml:space="preserve"> Семнадцать</t>
  </si>
  <si>
    <t xml:space="preserve"> Восемнадцать</t>
  </si>
  <si>
    <t xml:space="preserve"> Девятнадцать</t>
  </si>
  <si>
    <t>тысячи</t>
  </si>
  <si>
    <t>сотни тысяч</t>
  </si>
  <si>
    <t xml:space="preserve"> Сто</t>
  </si>
  <si>
    <t xml:space="preserve"> Двести</t>
  </si>
  <si>
    <t xml:space="preserve"> Триста</t>
  </si>
  <si>
    <t xml:space="preserve"> Четыреста</t>
  </si>
  <si>
    <t xml:space="preserve"> Пятьсот</t>
  </si>
  <si>
    <t xml:space="preserve"> Шестьсот</t>
  </si>
  <si>
    <t xml:space="preserve"> Семьсот</t>
  </si>
  <si>
    <t xml:space="preserve"> Восемьсот</t>
  </si>
  <si>
    <t xml:space="preserve"> Девятьсот</t>
  </si>
  <si>
    <t>Десятки тысяч</t>
  </si>
  <si>
    <t xml:space="preserve"> Одна</t>
  </si>
  <si>
    <t xml:space="preserve"> Две</t>
  </si>
  <si>
    <t>рубли</t>
  </si>
  <si>
    <t>копеек</t>
  </si>
  <si>
    <t>десятков</t>
  </si>
  <si>
    <t>единиц</t>
  </si>
  <si>
    <t>текст</t>
  </si>
  <si>
    <t>на проектные работы</t>
  </si>
  <si>
    <t>ПР</t>
  </si>
  <si>
    <t xml:space="preserve"> Расчет стоимости проектных работ</t>
  </si>
  <si>
    <t>(по справочнику базовых цен на разработку технической документации на АСУ ТП.</t>
  </si>
  <si>
    <t>Утвержден Министерством промышленности Российской Федерации 14 марта 1997г.)</t>
  </si>
  <si>
    <t>1. Коэффициенты к установленным ценам</t>
  </si>
  <si>
    <t>(Сумма прописью)</t>
  </si>
  <si>
    <t>Наименование объекта</t>
  </si>
  <si>
    <t xml:space="preserve">Наименование организации Заказчика:      </t>
  </si>
  <si>
    <t>Наименование</t>
  </si>
  <si>
    <t>Стоимость руб. (без НДС)</t>
  </si>
  <si>
    <t>Затраты на проживание в г. Омск</t>
  </si>
  <si>
    <t>Суточные (100 руб/сут)</t>
  </si>
  <si>
    <t>Непредвиденные расходы (по фактическим затратам)</t>
  </si>
  <si>
    <t>Начальник отдела</t>
  </si>
  <si>
    <t>Должность</t>
  </si>
  <si>
    <t>Числен ность, чел.</t>
  </si>
  <si>
    <t>Продолжитель-ность работ, дней.</t>
  </si>
  <si>
    <t>Стоимость одного человеко-дня, руб.</t>
  </si>
  <si>
    <t>Инженер 1 категории</t>
  </si>
  <si>
    <t xml:space="preserve"> </t>
  </si>
  <si>
    <t>(сумма прописью)</t>
  </si>
  <si>
    <t>Согласовано:</t>
  </si>
  <si>
    <t>Рабочая документация</t>
  </si>
  <si>
    <t>Наименование проектной организации</t>
  </si>
  <si>
    <t>Наименование организации Заказчика</t>
  </si>
  <si>
    <t>руб.</t>
  </si>
  <si>
    <t>-</t>
  </si>
  <si>
    <t>ИТОГО:</t>
  </si>
  <si>
    <t>1.1.</t>
  </si>
  <si>
    <t>1.2.</t>
  </si>
  <si>
    <t>2.1.</t>
  </si>
  <si>
    <t>3.1.</t>
  </si>
  <si>
    <t>4.1.</t>
  </si>
  <si>
    <t>1.</t>
  </si>
  <si>
    <t>№ п.п.</t>
  </si>
  <si>
    <t>5.1.</t>
  </si>
  <si>
    <t>расчет стоимости на оформление разрешительной документации на земле-, лесопользование под строительство и эксплуатацию объектов:</t>
  </si>
  <si>
    <t xml:space="preserve">  1 этап работ</t>
  </si>
  <si>
    <t>Подготовительные работы, сбор и изучение исходных материалов и сведений по земельным участкам</t>
  </si>
  <si>
    <t>Получение выписки из государственного лесного реестра</t>
  </si>
  <si>
    <t>Итого по 1 этапу:</t>
  </si>
  <si>
    <t xml:space="preserve">  2 этап работ</t>
  </si>
  <si>
    <t>Подготовка и согласование проектной документации по формированию лесных участков</t>
  </si>
  <si>
    <t>Подготовка проектной документации по формированию лесных участков</t>
  </si>
  <si>
    <t xml:space="preserve">Согласование и утверждение проектной документации по формированию лесных участков </t>
  </si>
  <si>
    <t xml:space="preserve">Подготовка и согласование обзорной схемы с существующими и проектируемыми объектами с границами горного отвода и лицензионного участка </t>
  </si>
  <si>
    <t xml:space="preserve">Разработка обзорной схемы  с существующими и проектируемыми объектами с границами горного отвода  и лицензионного участка </t>
  </si>
  <si>
    <t>Согласование обзорной схемы   с существующими и проектируемыми объектами с границами горного отвода  и лицензионного участка  в уполномоченных органах государственной власти</t>
  </si>
  <si>
    <t>Итого по 2 этапу:</t>
  </si>
  <si>
    <t xml:space="preserve">  3 этап работ</t>
  </si>
  <si>
    <t>Итого по 3 этапу:</t>
  </si>
  <si>
    <t xml:space="preserve">  4 этап работ</t>
  </si>
  <si>
    <t>Итого по 4 этапу:</t>
  </si>
  <si>
    <t>Итого по смете:</t>
  </si>
  <si>
    <t>более 8</t>
  </si>
  <si>
    <t>более 12</t>
  </si>
  <si>
    <t>1 этап работ</t>
  </si>
  <si>
    <t xml:space="preserve"> Подготовительные работы, сбор и изучение исходных материалов и сведений по земельным участкам</t>
  </si>
  <si>
    <t>Таблица 74</t>
  </si>
  <si>
    <t>Количество районов</t>
  </si>
  <si>
    <t>Количество землепользований (N)</t>
  </si>
  <si>
    <t>Количество участков (N)</t>
  </si>
  <si>
    <t>Общая площадь (P), /1000 га</t>
  </si>
  <si>
    <t>Ка2=1,0-0,40*(2-n)=</t>
  </si>
  <si>
    <t>К учета прир.-экон. особенностей</t>
  </si>
  <si>
    <t>Приложение 1 п. 69</t>
  </si>
  <si>
    <t xml:space="preserve">Коэффициент удорожания </t>
  </si>
  <si>
    <t>N - количество кварталов</t>
  </si>
  <si>
    <t>Приложение 12</t>
  </si>
  <si>
    <t>Р - площадь земельных участков, га</t>
  </si>
  <si>
    <t>кол-во человек</t>
  </si>
  <si>
    <t>ОНЗТ, чел-дней</t>
  </si>
  <si>
    <t>Цена 1 чел-дн, руб.</t>
  </si>
  <si>
    <t xml:space="preserve">Приложение 1 п.69 </t>
  </si>
  <si>
    <t xml:space="preserve">Всего по 1 этапу </t>
  </si>
  <si>
    <t>2 этап работ</t>
  </si>
  <si>
    <t xml:space="preserve"> Подготовка проектной документации по формированию лесных участков</t>
  </si>
  <si>
    <t xml:space="preserve">Таблица 70 </t>
  </si>
  <si>
    <t>Общая площадь, тыс.га</t>
  </si>
  <si>
    <t>Количество объектов</t>
  </si>
  <si>
    <t>Ка1=1,0+0,3*(n-1)=</t>
  </si>
  <si>
    <t>Где n – количество объектов</t>
  </si>
  <si>
    <t>Ка4=1,0+0,2*(n-1)=</t>
  </si>
  <si>
    <t>Где n – количество землепользований</t>
  </si>
  <si>
    <t>Кв7-за масштаб 1:25000</t>
  </si>
  <si>
    <t>Ка2=1,0-0,90*(1-n)=</t>
  </si>
  <si>
    <t>N - количество отводимых земельных участков</t>
  </si>
  <si>
    <t>Коэффициент учета природно-экон. особенностей</t>
  </si>
  <si>
    <t xml:space="preserve">Разработка обзорной схемы с существующими и проектируемыми объектами с границами горного отвода  и лицензионного участка </t>
  </si>
  <si>
    <t xml:space="preserve">Таблица 52 </t>
  </si>
  <si>
    <t>Ка2=1,0-0,06*(10-n)=</t>
  </si>
  <si>
    <t>Согласование обзорной схемы с существующими и проектируемыми объектами с границами горного отвода  и лицензионного участка в уполномоченных органах государственной власти</t>
  </si>
  <si>
    <t xml:space="preserve">Итого по 2 этапу </t>
  </si>
  <si>
    <t>3 этап работ</t>
  </si>
  <si>
    <t>N - количество объектов</t>
  </si>
  <si>
    <t>Таблица 77</t>
  </si>
  <si>
    <t>Протяженность границ,км</t>
  </si>
  <si>
    <t>Ка2=1,0-0,02*(40-n)=</t>
  </si>
  <si>
    <t>Кв5=1,0+0,1*(n-1)=</t>
  </si>
  <si>
    <t>Где n – количество согласований</t>
  </si>
  <si>
    <t>Согласование договоров аренды лесных участков (в том числе расчет стоимости древисины)</t>
  </si>
  <si>
    <t>N - количество участков</t>
  </si>
  <si>
    <t>Итого по 3 этапу</t>
  </si>
  <si>
    <t>4 этап работ</t>
  </si>
  <si>
    <t>Коэффициент-дефлятор</t>
  </si>
  <si>
    <t>Итого по 4 этапу</t>
  </si>
  <si>
    <t>5 этап работ</t>
  </si>
  <si>
    <t>5.</t>
  </si>
  <si>
    <t>Подготовка и согласование актов натурного технического обследования на испрашиваемых частях лесного фонда</t>
  </si>
  <si>
    <t>5.1.1.</t>
  </si>
  <si>
    <t>Разработка актов натурного технического обследования частей лесного фонда</t>
  </si>
  <si>
    <t>Общая площадь (P),тыс. га</t>
  </si>
  <si>
    <t>Таблица 75</t>
  </si>
  <si>
    <t>К6в- при масштабе 1:25000 =</t>
  </si>
  <si>
    <t>Ка1=1,0+0,15*(n-1)=</t>
  </si>
  <si>
    <t>Где n – количество участков</t>
  </si>
  <si>
    <t>Ка2=1,0-0,45*(2-n)=</t>
  </si>
  <si>
    <t>5.1.2.</t>
  </si>
  <si>
    <t>Согласование актов натурного технического обследования частей лесного фонда в уполномоченных органах государственной власти</t>
  </si>
  <si>
    <t>N - количество районов</t>
  </si>
  <si>
    <t xml:space="preserve">Итого по 5 этапу </t>
  </si>
  <si>
    <t>Всего по смете</t>
  </si>
  <si>
    <t>№ п/п</t>
  </si>
  <si>
    <r>
      <t>Стоимость ПИР в текущих ценах (</t>
    </r>
    <r>
      <rPr>
        <sz val="10"/>
        <color indexed="14"/>
        <rFont val="Arial Cyr"/>
        <charset val="204"/>
      </rPr>
      <t>п.п.1.1-1.2, 2.1, 3.1, 4.1-4.4</t>
    </r>
    <r>
      <rPr>
        <sz val="10"/>
        <color indexed="8"/>
        <rFont val="Arial Cyr"/>
        <charset val="204"/>
      </rPr>
      <t xml:space="preserve"> сводной сметы)</t>
    </r>
  </si>
  <si>
    <t>Смета № 7</t>
  </si>
  <si>
    <t>на выполнение  инженерно-экологических изысканий</t>
  </si>
  <si>
    <t xml:space="preserve"> Характеристика  предприятия,  
здания, сооружения 
или вида работ
</t>
  </si>
  <si>
    <t xml:space="preserve">Обоснование 
</t>
  </si>
  <si>
    <t>Расчет стоимости</t>
  </si>
  <si>
    <t xml:space="preserve">Стоимость, руб. без НДС </t>
  </si>
  <si>
    <t>Инфляционный индекс</t>
  </si>
  <si>
    <t>Смета № 3</t>
  </si>
  <si>
    <t xml:space="preserve">Наименование проектной организации                                      </t>
  </si>
  <si>
    <t xml:space="preserve">Наименование проектной организации                                             </t>
  </si>
  <si>
    <t>Стоимость экспертизы в соответствии с приложением к постановлению № 145 от 05.03.2007 г.</t>
  </si>
  <si>
    <t>Договорной коэфф.</t>
  </si>
  <si>
    <t>ВСЕГО:</t>
  </si>
  <si>
    <t xml:space="preserve">Договорная цена </t>
  </si>
  <si>
    <t>Транспортные расходы по направлению Томск-Омск-Томск                   (3 поездки)</t>
  </si>
  <si>
    <t>Расчёт стоимости
(в руб., без НДС)</t>
  </si>
  <si>
    <t>Стоимость, в руб. без НДС</t>
  </si>
  <si>
    <t>ООС (ОВОС)</t>
  </si>
  <si>
    <t>Понижающий коэффициент к расчету стоимости (письмо ОАО "НК"Роснефть" № АС-2611 от 17.05.12 г.) - 0,8</t>
  </si>
  <si>
    <t>Дополнительный понижающий коэффициент к расчету стоимости (письмо ОАО "НК"Роснефть" № АВ-888 от 04.02.14 г.) - 0,85</t>
  </si>
  <si>
    <t xml:space="preserve">Написание отчета об обследовании  </t>
  </si>
  <si>
    <t xml:space="preserve">Проведение обследования объекта
специалистами отделов </t>
  </si>
  <si>
    <t>…</t>
  </si>
  <si>
    <t>….</t>
  </si>
  <si>
    <t>План-график поставки товаров</t>
  </si>
  <si>
    <t>Начало поставки товаров: «___»____________________года.</t>
  </si>
  <si>
    <t>Окончание поставки товаров: «___»____________________года.</t>
  </si>
  <si>
    <t>Наименование видов товара</t>
  </si>
  <si>
    <t>Количество</t>
  </si>
  <si>
    <t>Цена за единицу измерения в т.ч. НДС __%</t>
  </si>
  <si>
    <t>Общая цена партии в т.ч. НДС __%</t>
  </si>
  <si>
    <t>Срок поставки</t>
  </si>
  <si>
    <t>Товар 1</t>
  </si>
  <si>
    <t>Товар 2</t>
  </si>
  <si>
    <t>Итого по лоту</t>
  </si>
  <si>
    <t>2. График должен показать четкую, детальную картину последовательности поставок, чтобы обеспечить выполнение контракта в срок.</t>
  </si>
  <si>
    <t>1. В данном Графике поставки товаров приводятся расчётные сроки поставки всех видов товаров предусмотренных  планом  и  рабочей / проектной  документацией.</t>
  </si>
  <si>
    <t>3. График поставки товаров будет служить основой для подготовки приложения к Договору. Сроки поставки товаров, указанные Участником в графике, в случае признания его Победителем, остаются неизменными и подлежат внесению в договор gодряда.</t>
  </si>
  <si>
    <t>Руководитель организации (Уполномоченное лицо)</t>
  </si>
  <si>
    <t>(подпись)</t>
  </si>
  <si>
    <t>(должность полностью)</t>
  </si>
  <si>
    <t>Инструкция по заполнению:</t>
  </si>
  <si>
    <t>Дата ____ / ___________ / ______</t>
  </si>
  <si>
    <t>Печать организации</t>
  </si>
  <si>
    <t>(Ф.И.О.)</t>
  </si>
  <si>
    <r>
      <t xml:space="preserve">Объект поставки товаров: </t>
    </r>
    <r>
      <rPr>
        <i/>
        <sz val="10"/>
        <color theme="0" tint="-0.499984740745262"/>
        <rFont val="Arial"/>
        <family val="2"/>
        <charset val="204"/>
      </rPr>
      <t>&lt;указать объект&gt;</t>
    </r>
  </si>
  <si>
    <r>
      <rPr>
        <i/>
        <sz val="10"/>
        <color theme="0" tint="-0.499984740745262"/>
        <rFont val="Arial"/>
        <family val="2"/>
        <charset val="204"/>
      </rPr>
      <t>&lt;указать название Участника&gt;</t>
    </r>
    <r>
      <rPr>
        <sz val="10"/>
        <rFont val="Arial"/>
        <family val="2"/>
        <charset val="204"/>
      </rPr>
      <t xml:space="preserve"> гарантирует сроки поставок указанных в таблице товаров,  в соответствии с графиком поставки товаров:</t>
    </r>
  </si>
  <si>
    <r>
      <t xml:space="preserve">Номер лота / наименование лота: </t>
    </r>
    <r>
      <rPr>
        <i/>
        <sz val="10"/>
        <color theme="0" tint="-0.499984740745262"/>
        <rFont val="Arial"/>
        <family val="2"/>
        <charset val="204"/>
      </rPr>
      <t>&lt;указать&gt;</t>
    </r>
  </si>
  <si>
    <r>
      <t xml:space="preserve">Наименование процедуры закупки: </t>
    </r>
    <r>
      <rPr>
        <i/>
        <sz val="10"/>
        <color theme="0" tint="-0.499984740745262"/>
        <rFont val="Arial"/>
        <family val="2"/>
        <charset val="204"/>
      </rPr>
      <t>&lt;указать наименование процеуры закупки&gt;</t>
    </r>
  </si>
  <si>
    <r>
      <t xml:space="preserve">Реестровый номер процедуры на ЭТП ГПБ: </t>
    </r>
    <r>
      <rPr>
        <i/>
        <sz val="10"/>
        <color theme="0" tint="-0.499984740745262"/>
        <rFont val="Arial"/>
        <family val="2"/>
        <charset val="204"/>
      </rPr>
      <t>&lt;указать&gt;</t>
    </r>
  </si>
  <si>
    <t>Форма №14(ФОРМА НЕ ИСПОЛЬЗУЕТСЯ)</t>
  </si>
</sst>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164" formatCode="_-* #,##0&quot;р.&quot;_-;\-* #,##0&quot;р.&quot;_-;_-* &quot;-&quot;&quot;р.&quot;_-;_-@_-"/>
    <numFmt numFmtId="165" formatCode="_-* #,##0_р_._-;\-* #,##0_р_._-;_-* &quot;-&quot;_р_._-;_-@_-"/>
    <numFmt numFmtId="166" formatCode="_-* #,##0.00&quot;р.&quot;_-;\-* #,##0.00&quot;р.&quot;_-;_-* &quot;-&quot;??&quot;р.&quot;_-;_-@_-"/>
    <numFmt numFmtId="167" formatCode="_-* #,##0.00_р_._-;\-* #,##0.00_р_._-;_-* &quot;-&quot;??_р_._-;_-@_-"/>
    <numFmt numFmtId="168" formatCode="0.000"/>
    <numFmt numFmtId="169" formatCode="0.0000"/>
    <numFmt numFmtId="170" formatCode="0.0"/>
    <numFmt numFmtId="171" formatCode="#,##0.000"/>
    <numFmt numFmtId="172" formatCode="_-* #,##0.00[$€-1]_-;\-* #,##0.00[$€-1]_-;_-* &quot;-&quot;??[$€-1]_-"/>
    <numFmt numFmtId="173" formatCode="#,##0.0"/>
    <numFmt numFmtId="174" formatCode="&quot;$&quot;#,##0_);[Red]\(&quot;$&quot;#,##0\)"/>
    <numFmt numFmtId="175" formatCode="0.00000"/>
    <numFmt numFmtId="176" formatCode="#,##0.00000"/>
    <numFmt numFmtId="177" formatCode="_(* #,##0.00_);_(* \(#,##0.00\);_(* &quot;-&quot;??_);_(@_)"/>
    <numFmt numFmtId="178" formatCode="0.00_)"/>
    <numFmt numFmtId="179" formatCode="#0.0##;;&quot;-&quot;_р"/>
    <numFmt numFmtId="180" formatCode="#,##0.0#####;\-\ #,##0.0#####;"/>
    <numFmt numFmtId="181" formatCode="&quot;Затраты, &quot;"/>
    <numFmt numFmtId="182" formatCode="&quot;Кол-во, &quot;@"/>
    <numFmt numFmtId="183" formatCode="&quot;Норма, &quot;@"/>
    <numFmt numFmtId="184" formatCode="##%;##%;&quot;₽&quot;"/>
    <numFmt numFmtId="185" formatCode="&quot;К-т ре-зерва, &quot;@"/>
    <numFmt numFmtId="186" formatCode="0.000000"/>
    <numFmt numFmtId="187" formatCode="000000"/>
    <numFmt numFmtId="188" formatCode="_-* #,##0&quot;?.&quot;_-;\-* #,##0&quot;?.&quot;_-;_-* &quot;-&quot;&quot;?.&quot;_-;_-@_-"/>
    <numFmt numFmtId="189" formatCode="_-* #,##0.00&quot;?.&quot;_-;\-* #,##0.00&quot;?.&quot;_-;_-* &quot;-&quot;??&quot;?.&quot;_-;_-@_-"/>
    <numFmt numFmtId="190" formatCode="_(* #,##0_);_(* \(#,##0\);_(* &quot;-&quot;_);_(@_)"/>
    <numFmt numFmtId="191" formatCode="_(&quot;$&quot;* #,##0.00_);_(&quot;$&quot;* \(#,##0.00\);_(&quot;$&quot;* &quot;-&quot;??_);_(@_)"/>
    <numFmt numFmtId="192" formatCode="General_)"/>
    <numFmt numFmtId="193" formatCode="_-* #,##0_?_._-;\-* #,##0_?_._-;_-* &quot;-&quot;_?_._-;_-@_-"/>
    <numFmt numFmtId="194" formatCode="_-* #,##0.00_?_._-;\-* #,##0.00_?_._-;_-* &quot;-&quot;??_?_._-;_-@_-"/>
    <numFmt numFmtId="195" formatCode="mmmm\ d\,\ yyyy"/>
    <numFmt numFmtId="196" formatCode="_-* #,##0.00\ _р_._-;\-* #,##0.00\ _р_._-;_-* &quot;-&quot;??\ _р_._-;_-@_-"/>
    <numFmt numFmtId="197" formatCode="#,##0&quot;р.&quot;"/>
    <numFmt numFmtId="198" formatCode="_-* #,##0.000_р_._-;\-* #,##0.000_р_._-;_-* &quot;-&quot;??_р_._-;_-@_-"/>
  </numFmts>
  <fonts count="177">
    <font>
      <sz val="10"/>
      <name val="Arial Cyr"/>
      <family val="2"/>
      <charset val="204"/>
    </font>
    <font>
      <sz val="10"/>
      <name val="Arial"/>
      <family val="2"/>
      <charset val="204"/>
    </font>
    <font>
      <sz val="10"/>
      <name val="Arial"/>
      <family val="2"/>
      <charset val="204"/>
    </font>
    <font>
      <sz val="10"/>
      <name val="Times New Roman CYR"/>
      <family val="1"/>
      <charset val="204"/>
    </font>
    <font>
      <sz val="10"/>
      <name val="Times New Roman"/>
      <family val="1"/>
      <charset val="204"/>
    </font>
    <font>
      <sz val="10"/>
      <name val="Arial Cyr"/>
      <family val="2"/>
      <charset val="204"/>
    </font>
    <font>
      <b/>
      <sz val="11"/>
      <name val="Arial"/>
      <family val="2"/>
      <charset val="204"/>
    </font>
    <font>
      <sz val="11"/>
      <name val="Times New Roman"/>
      <family val="1"/>
      <charset val="204"/>
    </font>
    <font>
      <sz val="11"/>
      <name val="Arial"/>
      <family val="2"/>
      <charset val="204"/>
    </font>
    <font>
      <sz val="11"/>
      <name val="Arial Cyr"/>
      <charset val="204"/>
    </font>
    <font>
      <sz val="12"/>
      <name val="Times New Roman"/>
      <family val="1"/>
      <charset val="204"/>
    </font>
    <font>
      <sz val="10"/>
      <name val="Arial Cyr"/>
      <charset val="204"/>
    </font>
    <font>
      <sz val="11"/>
      <color indexed="8"/>
      <name val="Arial"/>
      <family val="2"/>
      <charset val="204"/>
    </font>
    <font>
      <sz val="10"/>
      <name val="Helv"/>
    </font>
    <font>
      <sz val="8"/>
      <name val="Arial Cyr"/>
      <charset val="204"/>
    </font>
    <font>
      <sz val="12"/>
      <name val="Arial"/>
      <family val="2"/>
      <charset val="204"/>
    </font>
    <font>
      <sz val="10"/>
      <name val="Helv"/>
      <charset val="204"/>
    </font>
    <font>
      <sz val="10"/>
      <name val="MS Sans Serif"/>
      <family val="2"/>
      <charset val="204"/>
    </font>
    <font>
      <sz val="8"/>
      <name val="Helv"/>
      <charset val="204"/>
    </font>
    <font>
      <sz val="8"/>
      <name val="Helv"/>
    </font>
    <font>
      <u/>
      <sz val="9"/>
      <color indexed="12"/>
      <name val="Times New Roman"/>
      <family val="1"/>
      <charset val="204"/>
    </font>
    <font>
      <sz val="12"/>
      <name val="Times New Roman"/>
      <family val="1"/>
      <charset val="204"/>
    </font>
    <font>
      <sz val="10"/>
      <name val="NTHarmonica"/>
    </font>
    <font>
      <b/>
      <sz val="10"/>
      <name val="Times New Roman"/>
      <family val="1"/>
      <charset val="204"/>
    </font>
    <font>
      <b/>
      <sz val="11"/>
      <color indexed="8"/>
      <name val="Arial"/>
      <family val="2"/>
      <charset val="204"/>
    </font>
    <font>
      <sz val="11"/>
      <color indexed="8"/>
      <name val="Arial Cyr"/>
      <charset val="204"/>
    </font>
    <font>
      <sz val="11"/>
      <color indexed="8"/>
      <name val="Arial Cyr"/>
      <family val="2"/>
      <charset val="204"/>
    </font>
    <font>
      <sz val="11"/>
      <color indexed="8"/>
      <name val="Calibri"/>
      <family val="2"/>
      <charset val="204"/>
    </font>
    <font>
      <sz val="12"/>
      <color indexed="8"/>
      <name val="Times New Roman"/>
      <family val="1"/>
      <charset val="204"/>
    </font>
    <font>
      <sz val="10"/>
      <color indexed="8"/>
      <name val="Arial Cyr"/>
      <family val="2"/>
      <charset val="204"/>
    </font>
    <font>
      <sz val="12"/>
      <color indexed="8"/>
      <name val="Arial Cyr"/>
      <charset val="204"/>
    </font>
    <font>
      <sz val="14"/>
      <name val="Times New Roman"/>
      <family val="1"/>
      <charset val="204"/>
    </font>
    <font>
      <sz val="14"/>
      <color indexed="8"/>
      <name val="Times New Roman"/>
      <family val="1"/>
      <charset val="204"/>
    </font>
    <font>
      <sz val="12"/>
      <color indexed="8"/>
      <name val="Arial"/>
      <family val="2"/>
      <charset val="204"/>
    </font>
    <font>
      <b/>
      <sz val="12"/>
      <color indexed="8"/>
      <name val="Arial"/>
      <family val="2"/>
      <charset val="204"/>
    </font>
    <font>
      <sz val="10"/>
      <color indexed="8"/>
      <name val="Arial Cyr"/>
      <charset val="204"/>
    </font>
    <font>
      <sz val="11"/>
      <color indexed="8"/>
      <name val="Times New Roman"/>
      <family val="1"/>
      <charset val="204"/>
    </font>
    <font>
      <sz val="10"/>
      <color indexed="8"/>
      <name val="Arial"/>
      <family val="2"/>
      <charset val="204"/>
    </font>
    <font>
      <sz val="10"/>
      <name val="MS Sans Serif"/>
      <family val="2"/>
      <charset val="204"/>
    </font>
    <font>
      <b/>
      <sz val="10"/>
      <color indexed="8"/>
      <name val="Arial"/>
      <family val="2"/>
      <charset val="204"/>
    </font>
    <font>
      <b/>
      <sz val="10"/>
      <color indexed="12"/>
      <name val="Times New Roman"/>
      <family val="1"/>
      <charset val="204"/>
    </font>
    <font>
      <sz val="8"/>
      <name val="Arial"/>
      <family val="2"/>
      <charset val="204"/>
    </font>
    <font>
      <b/>
      <sz val="8"/>
      <color indexed="81"/>
      <name val="Tahoma"/>
      <family val="2"/>
      <charset val="204"/>
    </font>
    <font>
      <sz val="8"/>
      <color indexed="81"/>
      <name val="Tahoma"/>
      <family val="2"/>
      <charset val="204"/>
    </font>
    <font>
      <b/>
      <sz val="10"/>
      <color indexed="8"/>
      <name val="Arial Cyr"/>
      <charset val="204"/>
    </font>
    <font>
      <b/>
      <sz val="10"/>
      <color indexed="8"/>
      <name val="Times New Roman"/>
      <family val="1"/>
      <charset val="204"/>
    </font>
    <font>
      <sz val="12"/>
      <color indexed="8"/>
      <name val="Times New Roman"/>
      <family val="1"/>
      <charset val="204"/>
    </font>
    <font>
      <sz val="9"/>
      <color indexed="8"/>
      <name val="Arial"/>
      <family val="2"/>
      <charset val="204"/>
    </font>
    <font>
      <sz val="9"/>
      <name val="Times New Roman Cyr"/>
      <family val="1"/>
      <charset val="204"/>
    </font>
    <font>
      <b/>
      <sz val="12"/>
      <name val="Times New Roman Cyr"/>
      <family val="1"/>
      <charset val="204"/>
    </font>
    <font>
      <b/>
      <sz val="11"/>
      <name val="Times New Roman Cyr"/>
      <family val="1"/>
      <charset val="204"/>
    </font>
    <font>
      <b/>
      <sz val="10"/>
      <name val="Times New Roman Cyr"/>
      <family val="1"/>
      <charset val="204"/>
    </font>
    <font>
      <b/>
      <sz val="9"/>
      <name val="Times New Roman Cyr"/>
      <family val="1"/>
      <charset val="204"/>
    </font>
    <font>
      <sz val="8"/>
      <name val="Times New Roman Cyr"/>
      <family val="1"/>
      <charset val="204"/>
    </font>
    <font>
      <b/>
      <u/>
      <sz val="10"/>
      <name val="Times New Roman Cyr"/>
      <family val="1"/>
      <charset val="204"/>
    </font>
    <font>
      <sz val="8"/>
      <name val="Times New Roman CYR"/>
      <charset val="204"/>
    </font>
    <font>
      <sz val="9"/>
      <name val="Times New Roman CYR"/>
      <charset val="204"/>
    </font>
    <font>
      <sz val="12"/>
      <color indexed="14"/>
      <name val="Times New Roman"/>
      <family val="1"/>
      <charset val="204"/>
    </font>
    <font>
      <sz val="10"/>
      <color indexed="9"/>
      <name val="Times New Roman Cyr"/>
      <family val="1"/>
      <charset val="204"/>
    </font>
    <font>
      <sz val="8"/>
      <name val="Times New Roman"/>
      <family val="1"/>
      <charset val="204"/>
    </font>
    <font>
      <b/>
      <sz val="11"/>
      <name val="Times New Roman"/>
      <family val="1"/>
      <charset val="204"/>
    </font>
    <font>
      <sz val="12.5"/>
      <name val="Times New Roman"/>
      <family val="1"/>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NTTimes/Cyrillic"/>
    </font>
    <font>
      <sz val="10"/>
      <name val="Times New Roman Cyr"/>
      <charset val="204"/>
    </font>
    <font>
      <sz val="10.5"/>
      <color indexed="8"/>
      <name val="Arial"/>
      <family val="2"/>
      <charset val="204"/>
    </font>
    <font>
      <b/>
      <sz val="10.5"/>
      <color indexed="8"/>
      <name val="Times New Roman"/>
      <family val="1"/>
      <charset val="204"/>
    </font>
    <font>
      <sz val="10.5"/>
      <color indexed="8"/>
      <name val="Arial Cyr"/>
      <charset val="204"/>
    </font>
    <font>
      <b/>
      <sz val="10.5"/>
      <color indexed="8"/>
      <name val="Arial"/>
      <family val="2"/>
      <charset val="204"/>
    </font>
    <font>
      <sz val="10"/>
      <color indexed="14"/>
      <name val="Arial"/>
      <family val="2"/>
      <charset val="204"/>
    </font>
    <font>
      <b/>
      <sz val="10"/>
      <color indexed="8"/>
      <name val="Arial Cyr"/>
      <family val="2"/>
      <charset val="204"/>
    </font>
    <font>
      <sz val="11"/>
      <color indexed="14"/>
      <name val="Times New Roman"/>
      <family val="1"/>
      <charset val="204"/>
    </font>
    <font>
      <b/>
      <sz val="12"/>
      <name val="Times New Roman"/>
      <family val="1"/>
      <charset val="204"/>
    </font>
    <font>
      <b/>
      <sz val="14"/>
      <color indexed="8"/>
      <name val="Arial"/>
      <family val="2"/>
      <charset val="204"/>
    </font>
    <font>
      <sz val="14"/>
      <color indexed="8"/>
      <name val="Arial"/>
      <family val="2"/>
      <charset val="204"/>
    </font>
    <font>
      <sz val="13"/>
      <color indexed="8"/>
      <name val="Arial"/>
      <family val="2"/>
      <charset val="204"/>
    </font>
    <font>
      <sz val="11"/>
      <name val="Times New Roman Cyr"/>
      <family val="1"/>
      <charset val="204"/>
    </font>
    <font>
      <b/>
      <sz val="11"/>
      <name val="Times New Roman Cyr"/>
      <charset val="204"/>
    </font>
    <font>
      <sz val="10"/>
      <color indexed="14"/>
      <name val="Arial Cyr"/>
      <charset val="204"/>
    </font>
    <font>
      <sz val="11"/>
      <color indexed="81"/>
      <name val="Tahoma"/>
      <family val="2"/>
      <charset val="204"/>
    </font>
    <font>
      <b/>
      <sz val="12"/>
      <name val="Arial"/>
      <family val="2"/>
      <charset val="204"/>
    </font>
    <font>
      <b/>
      <sz val="11"/>
      <color indexed="81"/>
      <name val="Tahoma"/>
      <family val="2"/>
      <charset val="204"/>
    </font>
    <font>
      <sz val="11"/>
      <color indexed="12"/>
      <name val="Tahoma"/>
      <family val="2"/>
      <charset val="204"/>
    </font>
    <font>
      <b/>
      <sz val="11"/>
      <color indexed="12"/>
      <name val="Tahoma"/>
      <family val="2"/>
      <charset val="204"/>
    </font>
    <font>
      <u/>
      <sz val="11"/>
      <color indexed="81"/>
      <name val="Tahoma"/>
      <family val="2"/>
      <charset val="204"/>
    </font>
    <font>
      <sz val="13.5"/>
      <name val="Times New Roman"/>
      <family val="1"/>
      <charset val="204"/>
    </font>
    <font>
      <b/>
      <sz val="13.5"/>
      <name val="Times New Roman"/>
      <family val="1"/>
      <charset val="204"/>
    </font>
    <font>
      <b/>
      <sz val="11.5"/>
      <color indexed="8"/>
      <name val="Arial"/>
      <family val="2"/>
      <charset val="204"/>
    </font>
    <font>
      <sz val="9.5"/>
      <color indexed="8"/>
      <name val="Arial"/>
      <family val="2"/>
      <charset val="204"/>
    </font>
    <font>
      <sz val="13"/>
      <name val="Times New Roman"/>
      <family val="1"/>
      <charset val="204"/>
    </font>
    <font>
      <b/>
      <sz val="14"/>
      <name val="Times New Roman"/>
      <family val="1"/>
      <charset val="204"/>
    </font>
    <font>
      <u/>
      <sz val="12"/>
      <color indexed="8"/>
      <name val="Times New Roman"/>
      <family val="1"/>
      <charset val="204"/>
    </font>
    <font>
      <u/>
      <sz val="14"/>
      <color indexed="8"/>
      <name val="Times New Roman"/>
      <family val="1"/>
      <charset val="204"/>
    </font>
    <font>
      <sz val="10"/>
      <color indexed="14"/>
      <name val="Times New Roman Cyr"/>
      <family val="1"/>
      <charset val="204"/>
    </font>
    <font>
      <sz val="10"/>
      <color indexed="14"/>
      <name val="Times New Roman"/>
      <family val="1"/>
      <charset val="204"/>
    </font>
    <font>
      <b/>
      <sz val="10"/>
      <name val="Arial Cyr"/>
      <charset val="204"/>
    </font>
    <font>
      <b/>
      <sz val="10"/>
      <name val="Arial Cyr"/>
    </font>
    <font>
      <b/>
      <i/>
      <sz val="16"/>
      <name val="Helv"/>
    </font>
    <font>
      <b/>
      <sz val="10"/>
      <color indexed="8"/>
      <name val="Arial"/>
      <family val="2"/>
    </font>
    <font>
      <b/>
      <sz val="16"/>
      <color indexed="23"/>
      <name val="Arial"/>
      <family val="2"/>
      <charset val="204"/>
    </font>
    <font>
      <b/>
      <sz val="18"/>
      <color indexed="62"/>
      <name val="Cambria"/>
      <family val="2"/>
      <charset val="204"/>
    </font>
    <font>
      <sz val="10"/>
      <name val="Arial Cyr"/>
    </font>
    <font>
      <sz val="9"/>
      <name val="Arial Cyr"/>
      <family val="2"/>
      <charset val="204"/>
    </font>
    <font>
      <i/>
      <sz val="10"/>
      <name val="Arial Cyr"/>
      <charset val="204"/>
    </font>
    <font>
      <i/>
      <sz val="10"/>
      <name val="Arial"/>
      <family val="2"/>
      <charset val="204"/>
    </font>
    <font>
      <sz val="10"/>
      <name val="Arial"/>
      <family val="2"/>
    </font>
    <font>
      <b/>
      <i/>
      <sz val="10"/>
      <name val="Arial"/>
      <family val="2"/>
      <charset val="204"/>
    </font>
    <font>
      <sz val="10"/>
      <color indexed="10"/>
      <name val="Arial Cyr"/>
      <charset val="204"/>
    </font>
    <font>
      <b/>
      <i/>
      <sz val="10"/>
      <color indexed="14"/>
      <name val="Arial"/>
      <family val="2"/>
      <charset val="204"/>
    </font>
    <font>
      <b/>
      <sz val="10"/>
      <name val="Arial"/>
      <family val="2"/>
      <charset val="204"/>
    </font>
    <font>
      <b/>
      <sz val="10"/>
      <name val="Helv"/>
    </font>
    <font>
      <sz val="10"/>
      <name val="TimesDL"/>
    </font>
    <font>
      <b/>
      <sz val="9"/>
      <name val="TimesDL"/>
    </font>
    <font>
      <sz val="9"/>
      <color indexed="8"/>
      <name val="NTHarmonica"/>
    </font>
    <font>
      <b/>
      <sz val="9"/>
      <color indexed="48"/>
      <name val="TimesDL"/>
    </font>
    <font>
      <sz val="10"/>
      <color indexed="8"/>
      <name val="TimesDL"/>
    </font>
    <font>
      <sz val="10"/>
      <name val="Ѓanoeii"/>
    </font>
    <font>
      <sz val="8"/>
      <name val="Arial"/>
      <family val="2"/>
    </font>
    <font>
      <b/>
      <sz val="12"/>
      <color indexed="10"/>
      <name val="Arial"/>
      <family val="2"/>
      <charset val="204"/>
    </font>
    <font>
      <b/>
      <sz val="12"/>
      <name val="Helv"/>
    </font>
    <font>
      <b/>
      <sz val="11"/>
      <name val="Helv"/>
    </font>
    <font>
      <sz val="7"/>
      <name val="Arial"/>
      <family val="2"/>
    </font>
    <font>
      <sz val="8"/>
      <color indexed="8"/>
      <name val="Arial"/>
      <family val="2"/>
      <charset val="204"/>
    </font>
    <font>
      <i/>
      <sz val="7"/>
      <color indexed="8"/>
      <name val="Arial"/>
      <family val="2"/>
      <charset val="204"/>
    </font>
    <font>
      <sz val="7"/>
      <color indexed="8"/>
      <name val="Arial"/>
      <family val="2"/>
      <charset val="204"/>
    </font>
    <font>
      <u/>
      <sz val="8"/>
      <color indexed="8"/>
      <name val="Arial"/>
      <family val="2"/>
      <charset val="204"/>
    </font>
    <font>
      <b/>
      <sz val="8"/>
      <color indexed="8"/>
      <name val="Arial"/>
      <family val="2"/>
      <charset val="204"/>
    </font>
    <font>
      <i/>
      <sz val="8"/>
      <color indexed="8"/>
      <name val="Arial"/>
      <family val="2"/>
      <charset val="204"/>
    </font>
    <font>
      <i/>
      <sz val="10"/>
      <name val="MS Sans Serif"/>
      <family val="2"/>
      <charset val="204"/>
    </font>
    <font>
      <sz val="12"/>
      <color indexed="8"/>
      <name val="NTHarmonica"/>
    </font>
    <font>
      <b/>
      <sz val="9"/>
      <color indexed="12"/>
      <name val="Arial"/>
      <family val="2"/>
      <charset val="204"/>
    </font>
    <font>
      <b/>
      <sz val="18"/>
      <name val="Arial"/>
      <family val="2"/>
      <charset val="204"/>
    </font>
    <font>
      <sz val="11"/>
      <name val="Times New Roman Cyr"/>
      <charset val="204"/>
    </font>
    <font>
      <b/>
      <u/>
      <sz val="10"/>
      <color indexed="8"/>
      <name val="Arial"/>
      <family val="2"/>
      <charset val="204"/>
    </font>
    <font>
      <sz val="12"/>
      <color theme="1"/>
      <name val="Times New Roman"/>
      <family val="1"/>
      <charset val="204"/>
    </font>
    <font>
      <b/>
      <sz val="10"/>
      <color theme="1"/>
      <name val="Arial"/>
      <family val="2"/>
      <charset val="204"/>
    </font>
    <font>
      <b/>
      <sz val="9"/>
      <color theme="1"/>
      <name val="Arial"/>
      <family val="2"/>
      <charset val="204"/>
    </font>
    <font>
      <b/>
      <sz val="10"/>
      <color theme="1"/>
      <name val="Arial Cyr"/>
      <charset val="204"/>
    </font>
    <font>
      <sz val="9"/>
      <color theme="1"/>
      <name val="Arial"/>
      <family val="2"/>
      <charset val="204"/>
    </font>
    <font>
      <sz val="10"/>
      <color theme="1"/>
      <name val="Arial"/>
      <family val="2"/>
      <charset val="204"/>
    </font>
    <font>
      <sz val="9"/>
      <color theme="1"/>
      <name val="Arial Cyr"/>
      <charset val="204"/>
    </font>
    <font>
      <b/>
      <sz val="8"/>
      <color theme="1"/>
      <name val="Arial Cyr"/>
      <charset val="204"/>
    </font>
    <font>
      <b/>
      <sz val="7"/>
      <color theme="1"/>
      <name val="Arial Cyr"/>
      <charset val="204"/>
    </font>
    <font>
      <sz val="10"/>
      <color theme="1"/>
      <name val="Arial Cyr"/>
      <charset val="204"/>
    </font>
    <font>
      <sz val="8"/>
      <color theme="1"/>
      <name val="Arial Cyr"/>
      <charset val="204"/>
    </font>
    <font>
      <sz val="10"/>
      <color theme="1"/>
      <name val="Times New Roman"/>
      <family val="1"/>
      <charset val="204"/>
    </font>
    <font>
      <b/>
      <sz val="10"/>
      <color rgb="FFFF00FF"/>
      <name val="Arial"/>
      <family val="2"/>
      <charset val="204"/>
    </font>
    <font>
      <sz val="10"/>
      <color rgb="FFFF00FF"/>
      <name val="Arial"/>
      <family val="2"/>
      <charset val="204"/>
    </font>
    <font>
      <sz val="11"/>
      <color theme="1"/>
      <name val="Arial"/>
      <family val="2"/>
      <charset val="204"/>
    </font>
    <font>
      <sz val="10"/>
      <color theme="1"/>
      <name val="Arial Cyr"/>
      <family val="2"/>
      <charset val="204"/>
    </font>
    <font>
      <b/>
      <sz val="11"/>
      <color theme="1"/>
      <name val="Arial"/>
      <family val="2"/>
      <charset val="204"/>
    </font>
    <font>
      <sz val="10"/>
      <color rgb="FFFF00FF"/>
      <name val="Arial Cyr"/>
      <charset val="204"/>
    </font>
    <font>
      <sz val="11"/>
      <color theme="1"/>
      <name val="Times New Roman"/>
      <family val="1"/>
      <charset val="204"/>
    </font>
    <font>
      <b/>
      <sz val="10"/>
      <color indexed="10"/>
      <name val="Times New Roman Cyr"/>
      <family val="1"/>
      <charset val="204"/>
    </font>
    <font>
      <b/>
      <sz val="11"/>
      <color indexed="10"/>
      <name val="Times New Roman"/>
      <family val="1"/>
      <charset val="204"/>
    </font>
    <font>
      <b/>
      <sz val="13"/>
      <name val="Times New Roman"/>
      <family val="1"/>
      <charset val="204"/>
    </font>
    <font>
      <sz val="14"/>
      <color theme="1"/>
      <name val="Arial"/>
      <family val="2"/>
      <charset val="204"/>
    </font>
    <font>
      <i/>
      <sz val="10"/>
      <color theme="0" tint="-0.499984740745262"/>
      <name val="Arial"/>
      <family val="2"/>
      <charset val="204"/>
    </font>
    <font>
      <i/>
      <sz val="8"/>
      <color theme="1" tint="0.499984740745262"/>
      <name val="Arial"/>
      <family val="2"/>
      <charset val="204"/>
    </font>
    <font>
      <i/>
      <sz val="10"/>
      <color theme="1" tint="0.499984740745262"/>
      <name val="Arial"/>
      <family val="2"/>
      <charset val="204"/>
    </font>
    <font>
      <b/>
      <sz val="14"/>
      <color rgb="FF0070C0"/>
      <name val="Arial"/>
      <family val="2"/>
      <charset val="204"/>
    </font>
    <font>
      <b/>
      <i/>
      <sz val="12"/>
      <color theme="1" tint="0.499984740745262"/>
      <name val="Arial"/>
      <family val="2"/>
      <charset val="204"/>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53"/>
      </patternFill>
    </fill>
    <fill>
      <patternFill patternType="solid">
        <fgColor indexed="47"/>
        <bgColor indexed="47"/>
      </patternFill>
    </fill>
    <fill>
      <patternFill patternType="solid">
        <fgColor indexed="52"/>
        <bgColor indexed="52"/>
      </patternFill>
    </fill>
    <fill>
      <patternFill patternType="solid">
        <fgColor indexed="22"/>
      </patternFill>
    </fill>
    <fill>
      <patternFill patternType="solid">
        <fgColor indexed="5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patternFill>
    </fill>
    <fill>
      <patternFill patternType="solid">
        <fgColor indexed="9"/>
        <bgColor indexed="64"/>
      </patternFill>
    </fill>
    <fill>
      <patternFill patternType="solid">
        <fgColor indexed="31"/>
        <bgColor indexed="64"/>
      </patternFill>
    </fill>
    <fill>
      <patternFill patternType="lightUp">
        <fgColor indexed="22"/>
        <bgColor indexed="35"/>
      </patternFill>
    </fill>
    <fill>
      <patternFill patternType="solid">
        <fgColor indexed="35"/>
        <bgColor indexed="64"/>
      </patternFill>
    </fill>
    <fill>
      <patternFill patternType="solid">
        <fgColor indexed="23"/>
        <bgColor indexed="64"/>
      </patternFill>
    </fill>
    <fill>
      <patternFill patternType="solid">
        <fgColor indexed="55"/>
        <bgColor indexed="64"/>
      </patternFill>
    </fill>
    <fill>
      <patternFill patternType="solid">
        <fgColor indexed="43"/>
        <bgColor indexed="64"/>
      </patternFill>
    </fill>
    <fill>
      <patternFill patternType="solid">
        <fgColor indexed="45"/>
        <bgColor indexed="64"/>
      </patternFill>
    </fill>
    <fill>
      <patternFill patternType="solid">
        <fgColor theme="0"/>
        <bgColor indexed="64"/>
      </patternFill>
    </fill>
    <fill>
      <patternFill patternType="solid">
        <fgColor rgb="FFFFCCFF"/>
        <bgColor indexed="64"/>
      </patternFill>
    </fill>
    <fill>
      <patternFill patternType="solid">
        <fgColor theme="0" tint="-0.249977111117893"/>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double">
        <color indexed="23"/>
      </top>
      <bottom style="thin">
        <color indexed="2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medium">
        <color indexed="64"/>
      </left>
      <right style="medium">
        <color indexed="64"/>
      </right>
      <top style="medium">
        <color indexed="64"/>
      </top>
      <bottom style="thin">
        <color indexed="64"/>
      </bottom>
      <diagonal/>
    </border>
    <border>
      <left/>
      <right/>
      <top style="thin">
        <color auto="1"/>
      </top>
      <bottom/>
      <diagonal/>
    </border>
  </borders>
  <cellStyleXfs count="795">
    <xf numFmtId="0" fontId="0" fillId="0" borderId="0"/>
    <xf numFmtId="0" fontId="16" fillId="0" borderId="0"/>
    <xf numFmtId="0" fontId="5" fillId="0" borderId="0"/>
    <xf numFmtId="0" fontId="5" fillId="0" borderId="0"/>
    <xf numFmtId="0" fontId="16" fillId="0" borderId="0"/>
    <xf numFmtId="0" fontId="16" fillId="0" borderId="0"/>
    <xf numFmtId="0" fontId="13" fillId="0" borderId="0"/>
    <xf numFmtId="0" fontId="13" fillId="0" borderId="0"/>
    <xf numFmtId="0" fontId="13" fillId="0" borderId="0"/>
    <xf numFmtId="0" fontId="16"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16" fillId="0" borderId="0"/>
    <xf numFmtId="0" fontId="16" fillId="0" borderId="0"/>
    <xf numFmtId="4" fontId="3" fillId="0" borderId="0">
      <alignment vertical="center"/>
    </xf>
    <xf numFmtId="0" fontId="16" fillId="0" borderId="0"/>
    <xf numFmtId="4" fontId="3" fillId="0" borderId="0">
      <alignment vertical="center"/>
    </xf>
    <xf numFmtId="0" fontId="5" fillId="0" borderId="0"/>
    <xf numFmtId="0" fontId="11" fillId="0" borderId="0"/>
    <xf numFmtId="0" fontId="11" fillId="0" borderId="0"/>
    <xf numFmtId="4" fontId="3" fillId="0" borderId="0">
      <alignment vertical="center"/>
    </xf>
    <xf numFmtId="4" fontId="3" fillId="0" borderId="0">
      <alignment vertical="center"/>
    </xf>
    <xf numFmtId="0" fontId="16" fillId="0" borderId="0"/>
    <xf numFmtId="4" fontId="3" fillId="0" borderId="0">
      <alignment vertical="center"/>
    </xf>
    <xf numFmtId="0" fontId="16" fillId="0" borderId="0"/>
    <xf numFmtId="4" fontId="3" fillId="0" borderId="0">
      <alignment vertical="center"/>
    </xf>
    <xf numFmtId="0" fontId="16" fillId="0" borderId="0"/>
    <xf numFmtId="0" fontId="16" fillId="0" borderId="0"/>
    <xf numFmtId="0" fontId="16" fillId="0" borderId="0"/>
    <xf numFmtId="0" fontId="13" fillId="0" borderId="0"/>
    <xf numFmtId="0" fontId="13" fillId="0" borderId="0"/>
    <xf numFmtId="0" fontId="13" fillId="0" borderId="0"/>
    <xf numFmtId="0" fontId="13" fillId="0" borderId="0"/>
    <xf numFmtId="0" fontId="13" fillId="0" borderId="0"/>
    <xf numFmtId="0" fontId="13" fillId="0" borderId="0"/>
    <xf numFmtId="4" fontId="3" fillId="0" borderId="0">
      <alignment vertical="center"/>
    </xf>
    <xf numFmtId="0" fontId="5" fillId="0" borderId="0"/>
    <xf numFmtId="0" fontId="16" fillId="0" borderId="0"/>
    <xf numFmtId="0" fontId="13" fillId="0" borderId="0"/>
    <xf numFmtId="0" fontId="111" fillId="0" borderId="0" applyNumberFormat="0" applyFill="0" applyBorder="0" applyAlignment="0" applyProtection="0"/>
    <xf numFmtId="0" fontId="16" fillId="0" borderId="0"/>
    <xf numFmtId="0" fontId="16" fillId="0" borderId="0"/>
    <xf numFmtId="0" fontId="16" fillId="0" borderId="0"/>
    <xf numFmtId="0" fontId="5" fillId="0" borderId="0"/>
    <xf numFmtId="0" fontId="16" fillId="0" borderId="0"/>
    <xf numFmtId="0" fontId="16" fillId="0" borderId="0"/>
    <xf numFmtId="0" fontId="16" fillId="0" borderId="0"/>
    <xf numFmtId="4" fontId="3" fillId="0" borderId="0">
      <alignment vertical="center"/>
    </xf>
    <xf numFmtId="0" fontId="16" fillId="0" borderId="0"/>
    <xf numFmtId="0" fontId="16" fillId="0" borderId="0"/>
    <xf numFmtId="4" fontId="3" fillId="0" borderId="0">
      <alignment vertical="center"/>
    </xf>
    <xf numFmtId="0" fontId="16" fillId="0" borderId="0"/>
    <xf numFmtId="0" fontId="16" fillId="0" borderId="0"/>
    <xf numFmtId="0" fontId="16" fillId="0" borderId="0"/>
    <xf numFmtId="0" fontId="16" fillId="0" borderId="0"/>
    <xf numFmtId="4" fontId="3" fillId="0" borderId="0">
      <alignment vertical="center"/>
    </xf>
    <xf numFmtId="4" fontId="3" fillId="0" borderId="0">
      <alignment vertical="center"/>
    </xf>
    <xf numFmtId="0" fontId="13" fillId="0" borderId="0"/>
    <xf numFmtId="0" fontId="16" fillId="0" borderId="0"/>
    <xf numFmtId="0" fontId="16" fillId="0" borderId="0"/>
    <xf numFmtId="0" fontId="16" fillId="0" borderId="0"/>
    <xf numFmtId="0" fontId="16" fillId="0" borderId="0"/>
    <xf numFmtId="0" fontId="16" fillId="0" borderId="0"/>
    <xf numFmtId="0" fontId="13" fillId="0" borderId="0"/>
    <xf numFmtId="4" fontId="3" fillId="0" borderId="0">
      <alignment vertical="center"/>
    </xf>
    <xf numFmtId="0" fontId="16" fillId="0" borderId="0"/>
    <xf numFmtId="0" fontId="16" fillId="0" borderId="0"/>
    <xf numFmtId="0" fontId="13" fillId="0" borderId="0"/>
    <xf numFmtId="4" fontId="3" fillId="0" borderId="0">
      <alignment vertical="center"/>
    </xf>
    <xf numFmtId="4" fontId="3" fillId="0" borderId="0">
      <alignment vertical="center"/>
    </xf>
    <xf numFmtId="4" fontId="3" fillId="0" borderId="0">
      <alignment vertical="center"/>
    </xf>
    <xf numFmtId="0" fontId="16" fillId="0" borderId="0"/>
    <xf numFmtId="4" fontId="3" fillId="0" borderId="0">
      <alignment vertical="center"/>
    </xf>
    <xf numFmtId="4" fontId="3" fillId="0" borderId="0">
      <alignment vertical="center"/>
    </xf>
    <xf numFmtId="0" fontId="16" fillId="0" borderId="0"/>
    <xf numFmtId="4" fontId="3" fillId="0" borderId="0">
      <alignment vertical="center"/>
    </xf>
    <xf numFmtId="4" fontId="3" fillId="0" borderId="0">
      <alignment vertical="center"/>
    </xf>
    <xf numFmtId="4" fontId="3" fillId="0" borderId="0">
      <alignment vertical="center"/>
    </xf>
    <xf numFmtId="0" fontId="5" fillId="0" borderId="0"/>
    <xf numFmtId="0" fontId="13" fillId="0" borderId="0"/>
    <xf numFmtId="0" fontId="5" fillId="0" borderId="0"/>
    <xf numFmtId="4" fontId="3" fillId="0" borderId="0">
      <alignment vertical="center"/>
    </xf>
    <xf numFmtId="0" fontId="16" fillId="0" borderId="0"/>
    <xf numFmtId="0" fontId="16" fillId="0" borderId="0"/>
    <xf numFmtId="0" fontId="16" fillId="0" borderId="0"/>
    <xf numFmtId="0" fontId="13" fillId="0" borderId="0"/>
    <xf numFmtId="0" fontId="5" fillId="0" borderId="0"/>
    <xf numFmtId="4" fontId="3" fillId="0" borderId="0">
      <alignment vertical="center"/>
    </xf>
    <xf numFmtId="0" fontId="13" fillId="0" borderId="0"/>
    <xf numFmtId="0" fontId="13" fillId="0" borderId="0"/>
    <xf numFmtId="0" fontId="5" fillId="0" borderId="0"/>
    <xf numFmtId="0" fontId="5" fillId="0" borderId="0"/>
    <xf numFmtId="0" fontId="16" fillId="0" borderId="0"/>
    <xf numFmtId="0" fontId="13" fillId="0" borderId="0"/>
    <xf numFmtId="0" fontId="13" fillId="0" borderId="0"/>
    <xf numFmtId="0" fontId="13" fillId="0" borderId="0"/>
    <xf numFmtId="0" fontId="16" fillId="0" borderId="0"/>
    <xf numFmtId="0" fontId="5" fillId="0" borderId="0"/>
    <xf numFmtId="0" fontId="13" fillId="0" borderId="0"/>
    <xf numFmtId="0" fontId="5" fillId="0" borderId="0"/>
    <xf numFmtId="4" fontId="3" fillId="0" borderId="0">
      <alignment vertical="center"/>
    </xf>
    <xf numFmtId="4" fontId="3" fillId="0" borderId="0">
      <alignment vertical="center"/>
    </xf>
    <xf numFmtId="0" fontId="11" fillId="0" borderId="0"/>
    <xf numFmtId="0" fontId="16" fillId="0" borderId="0"/>
    <xf numFmtId="0" fontId="13" fillId="0" borderId="0"/>
    <xf numFmtId="0" fontId="16" fillId="0" borderId="0"/>
    <xf numFmtId="0" fontId="5" fillId="0" borderId="0"/>
    <xf numFmtId="0" fontId="5" fillId="0" borderId="0"/>
    <xf numFmtId="0" fontId="5" fillId="0" borderId="0"/>
    <xf numFmtId="0" fontId="13" fillId="0" borderId="0"/>
    <xf numFmtId="4" fontId="3" fillId="0" borderId="0">
      <alignment vertical="center"/>
    </xf>
    <xf numFmtId="4" fontId="3" fillId="0" borderId="0">
      <alignment vertical="center"/>
    </xf>
    <xf numFmtId="0" fontId="5" fillId="0" borderId="0"/>
    <xf numFmtId="0" fontId="5" fillId="0" borderId="0"/>
    <xf numFmtId="0" fontId="5" fillId="0" borderId="0"/>
    <xf numFmtId="0" fontId="5" fillId="0" borderId="0"/>
    <xf numFmtId="0" fontId="16" fillId="0" borderId="0"/>
    <xf numFmtId="4" fontId="3" fillId="0" borderId="0">
      <alignment vertical="center"/>
    </xf>
    <xf numFmtId="0" fontId="16" fillId="0" borderId="0"/>
    <xf numFmtId="0" fontId="16" fillId="0" borderId="0"/>
    <xf numFmtId="4" fontId="3" fillId="0" borderId="0">
      <alignment vertical="center"/>
    </xf>
    <xf numFmtId="0" fontId="5" fillId="0" borderId="0"/>
    <xf numFmtId="0" fontId="13" fillId="0" borderId="0"/>
    <xf numFmtId="0" fontId="16" fillId="0" borderId="0"/>
    <xf numFmtId="0" fontId="16" fillId="0" borderId="0"/>
    <xf numFmtId="0" fontId="13" fillId="0" borderId="0"/>
    <xf numFmtId="0" fontId="16" fillId="0" borderId="0"/>
    <xf numFmtId="0" fontId="5" fillId="0" borderId="0"/>
    <xf numFmtId="0" fontId="13" fillId="0" borderId="0"/>
    <xf numFmtId="0" fontId="16" fillId="0" borderId="0"/>
    <xf numFmtId="0" fontId="16" fillId="0" borderId="0"/>
    <xf numFmtId="0" fontId="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 fillId="0" borderId="0"/>
    <xf numFmtId="0" fontId="13" fillId="0" borderId="0"/>
    <xf numFmtId="0" fontId="13" fillId="0" borderId="0"/>
    <xf numFmtId="0" fontId="13" fillId="0" borderId="0"/>
    <xf numFmtId="0" fontId="13" fillId="0" borderId="0"/>
    <xf numFmtId="0" fontId="16" fillId="0" borderId="0"/>
    <xf numFmtId="0" fontId="13" fillId="0" borderId="0"/>
    <xf numFmtId="0" fontId="5" fillId="0" borderId="0"/>
    <xf numFmtId="0" fontId="16" fillId="0" borderId="0"/>
    <xf numFmtId="4" fontId="3" fillId="0" borderId="0">
      <alignment vertical="center"/>
    </xf>
    <xf numFmtId="0" fontId="16" fillId="0" borderId="0"/>
    <xf numFmtId="0" fontId="16" fillId="0" borderId="0"/>
    <xf numFmtId="4" fontId="3" fillId="0" borderId="0">
      <alignment vertical="center"/>
    </xf>
    <xf numFmtId="4" fontId="3" fillId="0" borderId="0">
      <alignment vertical="center"/>
    </xf>
    <xf numFmtId="4" fontId="3" fillId="0" borderId="0">
      <alignment vertical="center"/>
    </xf>
    <xf numFmtId="4" fontId="3" fillId="0" borderId="0">
      <alignment vertical="center"/>
    </xf>
    <xf numFmtId="0" fontId="16" fillId="0" borderId="0"/>
    <xf numFmtId="4" fontId="3" fillId="0" borderId="0">
      <alignment vertical="center"/>
    </xf>
    <xf numFmtId="4" fontId="3" fillId="0" borderId="0">
      <alignment vertical="center"/>
    </xf>
    <xf numFmtId="0" fontId="16" fillId="0" borderId="0"/>
    <xf numFmtId="4" fontId="3" fillId="0" borderId="0">
      <alignment vertical="center"/>
    </xf>
    <xf numFmtId="4" fontId="3" fillId="0" borderId="0">
      <alignment vertical="center"/>
    </xf>
    <xf numFmtId="4" fontId="79" fillId="0" borderId="0">
      <alignment vertical="center"/>
    </xf>
    <xf numFmtId="4" fontId="3" fillId="0" borderId="0">
      <alignment vertical="center"/>
    </xf>
    <xf numFmtId="0" fontId="16" fillId="0" borderId="0"/>
    <xf numFmtId="0" fontId="16" fillId="0" borderId="0"/>
    <xf numFmtId="0" fontId="16" fillId="0" borderId="0"/>
    <xf numFmtId="0" fontId="16" fillId="0" borderId="0"/>
    <xf numFmtId="0" fontId="13" fillId="0" borderId="0"/>
    <xf numFmtId="0" fontId="16" fillId="0" borderId="0"/>
    <xf numFmtId="0" fontId="16" fillId="0" borderId="0"/>
    <xf numFmtId="0" fontId="5" fillId="0" borderId="0"/>
    <xf numFmtId="0" fontId="13" fillId="0" borderId="0"/>
    <xf numFmtId="4" fontId="3" fillId="0" borderId="0">
      <alignment vertical="center"/>
    </xf>
    <xf numFmtId="0" fontId="13" fillId="0" borderId="0"/>
    <xf numFmtId="0" fontId="11" fillId="0" borderId="0"/>
    <xf numFmtId="0" fontId="16" fillId="0" borderId="0"/>
    <xf numFmtId="0" fontId="11" fillId="0" borderId="0"/>
    <xf numFmtId="0" fontId="11" fillId="0" borderId="0"/>
    <xf numFmtId="0" fontId="11" fillId="0" borderId="0"/>
    <xf numFmtId="0" fontId="13" fillId="0" borderId="0"/>
    <xf numFmtId="0" fontId="16" fillId="0" borderId="0"/>
    <xf numFmtId="4" fontId="3" fillId="0" borderId="0">
      <alignment vertical="center"/>
    </xf>
    <xf numFmtId="0" fontId="13" fillId="0" borderId="0"/>
    <xf numFmtId="0" fontId="13" fillId="0" borderId="0"/>
    <xf numFmtId="0" fontId="13" fillId="0" borderId="0"/>
    <xf numFmtId="0" fontId="13" fillId="0" borderId="0"/>
    <xf numFmtId="0" fontId="5" fillId="0" borderId="0"/>
    <xf numFmtId="0" fontId="13" fillId="0" borderId="0"/>
    <xf numFmtId="0" fontId="27" fillId="2"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2" borderId="0" applyNumberFormat="0" applyBorder="0" applyAlignment="0" applyProtection="0"/>
    <xf numFmtId="0" fontId="27" fillId="2" borderId="0" applyNumberFormat="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4"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7"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5"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8" borderId="0" applyNumberFormat="0" applyBorder="0" applyAlignment="0" applyProtection="0"/>
    <xf numFmtId="0" fontId="27" fillId="11" borderId="0" applyNumberFormat="0" applyBorder="0" applyAlignment="0" applyProtection="0"/>
    <xf numFmtId="0" fontId="27" fillId="11" borderId="0" applyNumberFormat="0" applyBorder="0" applyAlignment="0" applyProtection="0"/>
    <xf numFmtId="0" fontId="27" fillId="11"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9" borderId="0" applyNumberFormat="0" applyBorder="0" applyAlignment="0" applyProtection="0"/>
    <xf numFmtId="0" fontId="62" fillId="9" borderId="0" applyNumberFormat="0" applyBorder="0" applyAlignment="0" applyProtection="0"/>
    <xf numFmtId="0" fontId="62" fillId="9" borderId="0" applyNumberFormat="0" applyBorder="0" applyAlignment="0" applyProtection="0"/>
    <xf numFmtId="0" fontId="62" fillId="10" borderId="0" applyNumberFormat="0" applyBorder="0" applyAlignment="0" applyProtection="0"/>
    <xf numFmtId="0" fontId="62" fillId="10" borderId="0" applyNumberFormat="0" applyBorder="0" applyAlignment="0" applyProtection="0"/>
    <xf numFmtId="0" fontId="62" fillId="10" borderId="0" applyNumberFormat="0" applyBorder="0" applyAlignment="0" applyProtection="0"/>
    <xf numFmtId="0" fontId="62" fillId="13" borderId="0" applyNumberFormat="0" applyBorder="0" applyAlignment="0" applyProtection="0"/>
    <xf numFmtId="0" fontId="62" fillId="13"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4"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5" borderId="0" applyNumberFormat="0" applyBorder="0" applyAlignment="0" applyProtection="0"/>
    <xf numFmtId="0" fontId="62" fillId="15" borderId="0" applyNumberFormat="0" applyBorder="0" applyAlignment="0" applyProtection="0"/>
    <xf numFmtId="188" fontId="11" fillId="0" borderId="0" applyFont="0" applyFill="0" applyBorder="0" applyAlignment="0" applyProtection="0"/>
    <xf numFmtId="189" fontId="11" fillId="0" borderId="0" applyFont="0" applyFill="0" applyBorder="0" applyAlignment="0" applyProtection="0"/>
    <xf numFmtId="0" fontId="62" fillId="16"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62" fillId="18" borderId="0" applyNumberFormat="0" applyBorder="0" applyAlignment="0" applyProtection="0"/>
    <xf numFmtId="0" fontId="62" fillId="19" borderId="0" applyNumberFormat="0" applyBorder="0" applyAlignment="0" applyProtection="0"/>
    <xf numFmtId="0" fontId="62"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62" fillId="23" borderId="0" applyNumberFormat="0" applyBorder="0" applyAlignment="0" applyProtection="0"/>
    <xf numFmtId="0" fontId="62" fillId="24" borderId="0" applyNumberFormat="0" applyBorder="0" applyAlignment="0" applyProtection="0"/>
    <xf numFmtId="0" fontId="62" fillId="25" borderId="0" applyNumberFormat="0" applyBorder="0" applyAlignment="0" applyProtection="0"/>
    <xf numFmtId="0" fontId="27" fillId="21" borderId="0" applyNumberFormat="0" applyBorder="0" applyAlignment="0" applyProtection="0"/>
    <xf numFmtId="0" fontId="27" fillId="26" borderId="0" applyNumberFormat="0" applyBorder="0" applyAlignment="0" applyProtection="0"/>
    <xf numFmtId="0" fontId="62" fillId="22" borderId="0" applyNumberFormat="0" applyBorder="0" applyAlignment="0" applyProtection="0"/>
    <xf numFmtId="0" fontId="62" fillId="23" borderId="0" applyNumberFormat="0" applyBorder="0" applyAlignment="0" applyProtection="0"/>
    <xf numFmtId="0" fontId="62" fillId="13"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62" fillId="22" borderId="0" applyNumberFormat="0" applyBorder="0" applyAlignment="0" applyProtection="0"/>
    <xf numFmtId="0" fontId="62" fillId="19" borderId="0" applyNumberFormat="0" applyBorder="0" applyAlignment="0" applyProtection="0"/>
    <xf numFmtId="0" fontId="62" fillId="14" borderId="0" applyNumberFormat="0" applyBorder="0" applyAlignment="0" applyProtection="0"/>
    <xf numFmtId="0" fontId="27" fillId="27" borderId="0" applyNumberFormat="0" applyBorder="0" applyAlignment="0" applyProtection="0"/>
    <xf numFmtId="0" fontId="27" fillId="17" borderId="0" applyNumberFormat="0" applyBorder="0" applyAlignment="0" applyProtection="0"/>
    <xf numFmtId="0" fontId="62" fillId="18" borderId="0" applyNumberFormat="0" applyBorder="0" applyAlignment="0" applyProtection="0"/>
    <xf numFmtId="0" fontId="62" fillId="28" borderId="0" applyNumberFormat="0" applyBorder="0" applyAlignment="0" applyProtection="0"/>
    <xf numFmtId="0" fontId="62" fillId="29" borderId="0" applyNumberFormat="0" applyBorder="0" applyAlignment="0" applyProtection="0"/>
    <xf numFmtId="0" fontId="27" fillId="21" borderId="0" applyNumberFormat="0" applyBorder="0" applyAlignment="0" applyProtection="0"/>
    <xf numFmtId="0" fontId="27" fillId="30" borderId="0" applyNumberFormat="0" applyBorder="0" applyAlignment="0" applyProtection="0"/>
    <xf numFmtId="0" fontId="62" fillId="30" borderId="0" applyNumberFormat="0" applyBorder="0" applyAlignment="0" applyProtection="0"/>
    <xf numFmtId="0" fontId="62" fillId="31" borderId="0" applyNumberFormat="0" applyBorder="0" applyAlignment="0" applyProtection="0"/>
    <xf numFmtId="0" fontId="73" fillId="3" borderId="0" applyNumberFormat="0" applyBorder="0" applyAlignment="0" applyProtection="0"/>
    <xf numFmtId="0" fontId="65" fillId="32" borderId="1" applyNumberFormat="0" applyAlignment="0" applyProtection="0"/>
    <xf numFmtId="0" fontId="125" fillId="0" borderId="0"/>
    <xf numFmtId="0" fontId="70" fillId="33" borderId="2" applyNumberFormat="0" applyAlignment="0" applyProtection="0"/>
    <xf numFmtId="190" fontId="126" fillId="0" borderId="0" applyFont="0" applyFill="0" applyBorder="0" applyAlignment="0" applyProtection="0"/>
    <xf numFmtId="177" fontId="126" fillId="0" borderId="0" applyFont="0" applyFill="0" applyBorder="0" applyAlignment="0" applyProtection="0"/>
    <xf numFmtId="0" fontId="127" fillId="34" borderId="0" applyNumberFormat="0" applyFill="0">
      <alignment vertical="center"/>
    </xf>
    <xf numFmtId="174" fontId="17" fillId="0" borderId="0" applyFont="0" applyFill="0" applyBorder="0" applyAlignment="0" applyProtection="0"/>
    <xf numFmtId="174" fontId="17" fillId="0" borderId="0" applyFont="0" applyFill="0" applyBorder="0" applyAlignment="0" applyProtection="0"/>
    <xf numFmtId="191" fontId="126" fillId="0" borderId="0" applyFont="0" applyFill="0" applyBorder="0" applyAlignment="0" applyProtection="0"/>
    <xf numFmtId="192" fontId="119" fillId="0" borderId="0">
      <alignment horizontal="center"/>
    </xf>
    <xf numFmtId="0" fontId="69" fillId="35" borderId="0" applyNumberFormat="0" applyBorder="0" applyAlignment="0" applyProtection="0"/>
    <xf numFmtId="0" fontId="69" fillId="36" borderId="0" applyNumberFormat="0" applyBorder="0" applyAlignment="0" applyProtection="0"/>
    <xf numFmtId="0" fontId="69" fillId="37" borderId="0" applyNumberFormat="0" applyBorder="0" applyAlignment="0" applyProtection="0"/>
    <xf numFmtId="0" fontId="128" fillId="0" borderId="0" applyNumberFormat="0" applyAlignment="0"/>
    <xf numFmtId="0" fontId="129" fillId="0" borderId="0" applyNumberFormat="0" applyAlignment="0"/>
    <xf numFmtId="0" fontId="130" fillId="0" borderId="0" applyNumberFormat="0" applyAlignment="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0" fontId="74" fillId="0" borderId="0" applyNumberFormat="0" applyFill="0" applyBorder="0" applyAlignment="0" applyProtection="0"/>
    <xf numFmtId="0" fontId="131" fillId="0" borderId="0" applyNumberFormat="0" applyFill="0" applyBorder="0" applyProtection="0">
      <alignment vertical="top" wrapText="1"/>
    </xf>
    <xf numFmtId="0" fontId="77" fillId="4" borderId="0" applyNumberFormat="0" applyBorder="0" applyAlignment="0" applyProtection="0"/>
    <xf numFmtId="38" fontId="132" fillId="38" borderId="0" applyNumberFormat="0" applyBorder="0" applyAlignment="0" applyProtection="0"/>
    <xf numFmtId="3" fontId="133" fillId="0" borderId="0"/>
    <xf numFmtId="0" fontId="134" fillId="0" borderId="0">
      <alignment horizontal="left"/>
    </xf>
    <xf numFmtId="0" fontId="66" fillId="0" borderId="3"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11" fillId="0" borderId="0"/>
    <xf numFmtId="0" fontId="63" fillId="7" borderId="1" applyNumberFormat="0" applyAlignment="0" applyProtection="0"/>
    <xf numFmtId="10" fontId="132" fillId="39" borderId="6" applyNumberFormat="0" applyBorder="0" applyAlignment="0" applyProtection="0"/>
    <xf numFmtId="0" fontId="63" fillId="30" borderId="1" applyNumberFormat="0" applyAlignment="0" applyProtection="0"/>
    <xf numFmtId="0" fontId="75" fillId="0" borderId="7" applyNumberFormat="0" applyFill="0" applyAlignment="0" applyProtection="0"/>
    <xf numFmtId="0" fontId="135" fillId="0" borderId="8"/>
    <xf numFmtId="0" fontId="38" fillId="0" borderId="0"/>
    <xf numFmtId="0" fontId="72" fillId="40" borderId="0" applyNumberFormat="0" applyBorder="0" applyAlignment="0" applyProtection="0"/>
    <xf numFmtId="178" fontId="112" fillId="0" borderId="0"/>
    <xf numFmtId="0" fontId="126" fillId="0" borderId="0"/>
    <xf numFmtId="0" fontId="18" fillId="0" borderId="0"/>
    <xf numFmtId="0" fontId="136" fillId="0" borderId="0"/>
    <xf numFmtId="0" fontId="13" fillId="0" borderId="0"/>
    <xf numFmtId="0" fontId="27" fillId="4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0" fontId="11" fillId="21" borderId="9" applyNumberFormat="0" applyFont="0" applyAlignment="0" applyProtection="0"/>
    <xf numFmtId="193" fontId="11" fillId="0" borderId="0" applyFont="0" applyFill="0" applyBorder="0" applyAlignment="0" applyProtection="0"/>
    <xf numFmtId="194" fontId="11" fillId="0" borderId="0" applyFont="0" applyFill="0" applyBorder="0" applyAlignment="0" applyProtection="0"/>
    <xf numFmtId="38" fontId="116" fillId="0" borderId="0" applyFont="0" applyFill="0" applyBorder="0" applyAlignment="0" applyProtection="0"/>
    <xf numFmtId="40" fontId="116" fillId="0" borderId="0" applyFont="0" applyFill="0" applyBorder="0" applyAlignment="0" applyProtection="0"/>
    <xf numFmtId="0" fontId="64" fillId="32" borderId="10" applyNumberFormat="0" applyAlignment="0" applyProtection="0"/>
    <xf numFmtId="10" fontId="2" fillId="0" borderId="0" applyFont="0" applyFill="0" applyBorder="0" applyAlignment="0" applyProtection="0"/>
    <xf numFmtId="9" fontId="2" fillId="0" borderId="0" applyFont="0" applyFill="0" applyBorder="0" applyAlignment="0" applyProtection="0"/>
    <xf numFmtId="0" fontId="19" fillId="0" borderId="0" applyNumberFormat="0">
      <alignment horizontal="left"/>
    </xf>
    <xf numFmtId="0" fontId="137" fillId="42" borderId="0">
      <alignment horizontal="left" vertical="center"/>
    </xf>
    <xf numFmtId="0" fontId="138" fillId="43" borderId="0">
      <alignment horizontal="right" vertical="center"/>
    </xf>
    <xf numFmtId="0" fontId="37" fillId="42" borderId="0">
      <alignment horizontal="left" vertical="top"/>
    </xf>
    <xf numFmtId="0" fontId="137" fillId="42" borderId="0">
      <alignment horizontal="right" vertical="center"/>
    </xf>
    <xf numFmtId="0" fontId="139" fillId="43" borderId="0">
      <alignment horizontal="left" vertical="center"/>
    </xf>
    <xf numFmtId="0" fontId="88" fillId="42" borderId="0">
      <alignment horizontal="center" vertical="top"/>
    </xf>
    <xf numFmtId="0" fontId="140" fillId="42" borderId="0">
      <alignment horizontal="left" vertical="center"/>
    </xf>
    <xf numFmtId="0" fontId="137" fillId="43" borderId="0">
      <alignment horizontal="left" vertical="top"/>
    </xf>
    <xf numFmtId="0" fontId="37" fillId="42" borderId="0">
      <alignment horizontal="center" vertical="center"/>
    </xf>
    <xf numFmtId="0" fontId="37" fillId="42" borderId="0">
      <alignment horizontal="right" vertical="center"/>
    </xf>
    <xf numFmtId="0" fontId="141" fillId="42" borderId="0">
      <alignment horizontal="left" vertical="top"/>
    </xf>
    <xf numFmtId="0" fontId="137" fillId="43" borderId="0">
      <alignment horizontal="center" vertical="center"/>
    </xf>
    <xf numFmtId="0" fontId="37" fillId="42" borderId="0">
      <alignment horizontal="center" vertical="center"/>
    </xf>
    <xf numFmtId="0" fontId="142" fillId="42" borderId="0">
      <alignment horizontal="center" vertical="top"/>
    </xf>
    <xf numFmtId="0" fontId="137" fillId="43" borderId="0">
      <alignment horizontal="center" vertical="center"/>
    </xf>
    <xf numFmtId="0" fontId="37" fillId="42" borderId="0">
      <alignment horizontal="right"/>
    </xf>
    <xf numFmtId="0" fontId="141" fillId="42" borderId="0">
      <alignment horizontal="left" vertical="top"/>
    </xf>
    <xf numFmtId="0" fontId="137" fillId="43" borderId="0">
      <alignment horizontal="left" vertical="center"/>
    </xf>
    <xf numFmtId="0" fontId="137" fillId="42" borderId="0">
      <alignment horizontal="center" vertical="top"/>
    </xf>
    <xf numFmtId="0" fontId="142" fillId="42" borderId="0">
      <alignment horizontal="left" vertical="top"/>
    </xf>
    <xf numFmtId="0" fontId="137" fillId="43" borderId="0">
      <alignment horizontal="right" vertical="center"/>
    </xf>
    <xf numFmtId="0" fontId="140" fillId="42" borderId="0">
      <alignment horizontal="left" vertical="center"/>
    </xf>
    <xf numFmtId="0" fontId="37" fillId="43" borderId="0">
      <alignment horizontal="left" vertical="top"/>
    </xf>
    <xf numFmtId="0" fontId="137" fillId="43" borderId="0">
      <alignment horizontal="left" vertical="center"/>
    </xf>
    <xf numFmtId="0" fontId="37" fillId="43" borderId="0">
      <alignment horizontal="left" vertical="top"/>
    </xf>
    <xf numFmtId="0" fontId="137" fillId="42" borderId="0">
      <alignment horizontal="center" vertical="center"/>
    </xf>
    <xf numFmtId="0" fontId="137" fillId="43" borderId="0">
      <alignment horizontal="left" vertical="center"/>
    </xf>
    <xf numFmtId="0" fontId="37" fillId="42" borderId="0">
      <alignment horizontal="left" vertical="top"/>
    </xf>
    <xf numFmtId="0" fontId="141" fillId="42" borderId="0">
      <alignment horizontal="center" vertical="center"/>
    </xf>
    <xf numFmtId="0" fontId="137" fillId="43" borderId="0">
      <alignment horizontal="center" vertical="center"/>
    </xf>
    <xf numFmtId="0" fontId="47" fillId="42" borderId="0">
      <alignment horizontal="center" vertical="center"/>
    </xf>
    <xf numFmtId="0" fontId="39" fillId="42" borderId="0">
      <alignment horizontal="center" vertical="center"/>
    </xf>
    <xf numFmtId="0" fontId="137" fillId="43" borderId="0">
      <alignment horizontal="center" vertical="top"/>
    </xf>
    <xf numFmtId="0" fontId="47" fillId="42" borderId="0">
      <alignment horizontal="center" vertical="center"/>
    </xf>
    <xf numFmtId="0" fontId="141" fillId="42" borderId="0">
      <alignment horizontal="left" vertical="center"/>
    </xf>
    <xf numFmtId="0" fontId="137" fillId="42" borderId="0">
      <alignment horizontal="center" vertical="center"/>
    </xf>
    <xf numFmtId="0" fontId="37" fillId="43" borderId="0">
      <alignment horizontal="center" vertical="center"/>
    </xf>
    <xf numFmtId="0" fontId="37" fillId="42" borderId="0">
      <alignment horizontal="right" vertical="top"/>
    </xf>
    <xf numFmtId="0" fontId="137" fillId="42" borderId="0">
      <alignment horizontal="left" vertical="center"/>
    </xf>
    <xf numFmtId="0" fontId="141" fillId="43" borderId="0">
      <alignment horizontal="left" vertical="top"/>
    </xf>
    <xf numFmtId="0" fontId="37" fillId="42" borderId="0">
      <alignment horizontal="center" vertical="center"/>
    </xf>
    <xf numFmtId="0" fontId="137" fillId="42" borderId="0">
      <alignment horizontal="left" vertical="center"/>
    </xf>
    <xf numFmtId="0" fontId="137" fillId="43" borderId="0">
      <alignment horizontal="left" vertical="top"/>
    </xf>
    <xf numFmtId="0" fontId="37" fillId="42" borderId="0">
      <alignment horizontal="center" vertical="center"/>
    </xf>
    <xf numFmtId="0" fontId="137" fillId="42" borderId="0">
      <alignment horizontal="center" vertical="center"/>
    </xf>
    <xf numFmtId="0" fontId="141" fillId="43" borderId="0">
      <alignment horizontal="left" vertical="top"/>
    </xf>
    <xf numFmtId="0" fontId="37" fillId="42" borderId="0">
      <alignment horizontal="center" vertical="center"/>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4" fontId="113" fillId="45" borderId="10" applyNumberFormat="0" applyProtection="0">
      <alignment horizontal="left" vertical="center" indent="1"/>
    </xf>
    <xf numFmtId="4" fontId="37" fillId="46" borderId="10" applyNumberFormat="0" applyProtection="0">
      <alignment horizontal="left" vertical="center" indent="1"/>
    </xf>
    <xf numFmtId="4" fontId="37" fillId="46" borderId="10" applyNumberFormat="0" applyProtection="0">
      <alignment horizontal="left" vertical="center" indent="1"/>
    </xf>
    <xf numFmtId="4" fontId="37" fillId="46" borderId="10" applyNumberFormat="0" applyProtection="0">
      <alignment horizontal="left" vertical="center" indent="1"/>
    </xf>
    <xf numFmtId="4" fontId="37" fillId="46" borderId="10" applyNumberFormat="0" applyProtection="0">
      <alignment horizontal="left" vertical="center" indent="1"/>
    </xf>
    <xf numFmtId="4" fontId="37" fillId="47" borderId="10" applyNumberFormat="0" applyProtection="0">
      <alignment horizontal="left" vertical="center" indent="1"/>
    </xf>
    <xf numFmtId="4" fontId="37" fillId="47" borderId="10" applyNumberFormat="0" applyProtection="0">
      <alignment horizontal="left" vertical="center" indent="1"/>
    </xf>
    <xf numFmtId="4" fontId="37" fillId="47" borderId="10" applyNumberFormat="0" applyProtection="0">
      <alignment horizontal="left" vertical="center" indent="1"/>
    </xf>
    <xf numFmtId="4" fontId="37" fillId="47" borderId="10" applyNumberFormat="0" applyProtection="0">
      <alignment horizontal="left" vertical="center" indent="1"/>
    </xf>
    <xf numFmtId="0" fontId="2" fillId="47" borderId="10" applyNumberFormat="0" applyProtection="0">
      <alignment horizontal="left" vertical="center" indent="1"/>
    </xf>
    <xf numFmtId="0" fontId="2" fillId="47" borderId="10" applyNumberFormat="0" applyProtection="0">
      <alignment horizontal="left" vertical="center" indent="1"/>
    </xf>
    <xf numFmtId="0" fontId="2" fillId="47" borderId="10" applyNumberFormat="0" applyProtection="0">
      <alignment horizontal="left" vertical="center" indent="1"/>
    </xf>
    <xf numFmtId="0" fontId="2" fillId="47" borderId="10" applyNumberFormat="0" applyProtection="0">
      <alignment horizontal="left" vertical="center" indent="1"/>
    </xf>
    <xf numFmtId="0" fontId="2" fillId="48" borderId="10" applyNumberFormat="0" applyProtection="0">
      <alignment horizontal="left" vertical="center" indent="1"/>
    </xf>
    <xf numFmtId="0" fontId="2" fillId="48" borderId="10" applyNumberFormat="0" applyProtection="0">
      <alignment horizontal="left" vertical="center" indent="1"/>
    </xf>
    <xf numFmtId="0" fontId="2" fillId="48" borderId="10" applyNumberFormat="0" applyProtection="0">
      <alignment horizontal="left" vertical="center" indent="1"/>
    </xf>
    <xf numFmtId="0" fontId="2" fillId="48" borderId="10" applyNumberFormat="0" applyProtection="0">
      <alignment horizontal="left" vertical="center" indent="1"/>
    </xf>
    <xf numFmtId="0" fontId="2" fillId="38" borderId="10" applyNumberFormat="0" applyProtection="0">
      <alignment horizontal="left" vertical="center" indent="1"/>
    </xf>
    <xf numFmtId="0" fontId="2" fillId="38" borderId="10" applyNumberFormat="0" applyProtection="0">
      <alignment horizontal="left" vertical="center" indent="1"/>
    </xf>
    <xf numFmtId="0" fontId="2" fillId="38" borderId="10" applyNumberFormat="0" applyProtection="0">
      <alignment horizontal="left" vertical="center" indent="1"/>
    </xf>
    <xf numFmtId="0" fontId="2" fillId="38"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2" fillId="44" borderId="10" applyNumberFormat="0" applyProtection="0">
      <alignment horizontal="left" vertical="center" indent="1"/>
    </xf>
    <xf numFmtId="0" fontId="114" fillId="0" borderId="0"/>
    <xf numFmtId="0" fontId="114" fillId="0" borderId="0"/>
    <xf numFmtId="0" fontId="114" fillId="0" borderId="0"/>
    <xf numFmtId="0" fontId="115" fillId="0" borderId="0" applyNumberFormat="0" applyFill="0" applyBorder="0" applyAlignment="0" applyProtection="0"/>
    <xf numFmtId="0" fontId="135" fillId="0" borderId="0"/>
    <xf numFmtId="0" fontId="143" fillId="0" borderId="0">
      <alignment horizontal="centerContinuous" vertical="center"/>
    </xf>
    <xf numFmtId="0" fontId="144" fillId="22" borderId="11" applyNumberFormat="0" applyFill="0" applyAlignment="0" applyProtection="0">
      <alignment vertical="top"/>
    </xf>
    <xf numFmtId="0" fontId="71" fillId="0" borderId="0" applyNumberFormat="0" applyFill="0" applyBorder="0" applyAlignment="0" applyProtection="0"/>
    <xf numFmtId="0" fontId="69" fillId="0" borderId="12" applyNumberFormat="0" applyFill="0" applyAlignment="0" applyProtection="0"/>
    <xf numFmtId="3" fontId="145" fillId="0" borderId="0"/>
    <xf numFmtId="0" fontId="19" fillId="0" borderId="0">
      <alignment horizontal="left"/>
    </xf>
    <xf numFmtId="0" fontId="76" fillId="0" borderId="0" applyNumberFormat="0" applyFill="0" applyBorder="0" applyAlignment="0" applyProtection="0"/>
    <xf numFmtId="0" fontId="4" fillId="0" borderId="6">
      <alignment horizontal="center"/>
    </xf>
    <xf numFmtId="0" fontId="11" fillId="0" borderId="0">
      <alignment vertical="top"/>
    </xf>
    <xf numFmtId="0" fontId="62" fillId="16" borderId="0" applyNumberFormat="0" applyBorder="0" applyAlignment="0" applyProtection="0"/>
    <xf numFmtId="0" fontId="62" fillId="16" borderId="0" applyNumberFormat="0" applyBorder="0" applyAlignment="0" applyProtection="0"/>
    <xf numFmtId="0" fontId="62" fillId="16" borderId="0" applyNumberFormat="0" applyBorder="0" applyAlignment="0" applyProtection="0"/>
    <xf numFmtId="0" fontId="62" fillId="20" borderId="0" applyNumberFormat="0" applyBorder="0" applyAlignment="0" applyProtection="0"/>
    <xf numFmtId="0" fontId="62" fillId="20" borderId="0" applyNumberFormat="0" applyBorder="0" applyAlignment="0" applyProtection="0"/>
    <xf numFmtId="0" fontId="62" fillId="20" borderId="0" applyNumberFormat="0" applyBorder="0" applyAlignment="0" applyProtection="0"/>
    <xf numFmtId="0" fontId="62" fillId="25" borderId="0" applyNumberFormat="0" applyBorder="0" applyAlignment="0" applyProtection="0"/>
    <xf numFmtId="0" fontId="62" fillId="25" borderId="0" applyNumberFormat="0" applyBorder="0" applyAlignment="0" applyProtection="0"/>
    <xf numFmtId="0" fontId="62" fillId="25" borderId="0" applyNumberFormat="0" applyBorder="0" applyAlignment="0" applyProtection="0"/>
    <xf numFmtId="0" fontId="62" fillId="13" borderId="0" applyNumberFormat="0" applyBorder="0" applyAlignment="0" applyProtection="0"/>
    <xf numFmtId="0" fontId="62" fillId="13"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4" borderId="0" applyNumberFormat="0" applyBorder="0" applyAlignment="0" applyProtection="0"/>
    <xf numFmtId="0" fontId="62" fillId="14"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0" fontId="62" fillId="29" borderId="0" applyNumberFormat="0" applyBorder="0" applyAlignment="0" applyProtection="0"/>
    <xf numFmtId="179" fontId="116" fillId="0" borderId="0"/>
    <xf numFmtId="180" fontId="116" fillId="0" borderId="6" applyFont="0" applyFill="0" applyBorder="0" applyAlignment="0" applyProtection="0"/>
    <xf numFmtId="0" fontId="63" fillId="7" borderId="1" applyNumberFormat="0" applyAlignment="0" applyProtection="0"/>
    <xf numFmtId="0" fontId="63" fillId="7" borderId="1" applyNumberFormat="0" applyAlignment="0" applyProtection="0"/>
    <xf numFmtId="0" fontId="63" fillId="7" borderId="1" applyNumberFormat="0" applyAlignment="0" applyProtection="0"/>
    <xf numFmtId="0" fontId="4" fillId="0" borderId="6">
      <alignment horizontal="center"/>
    </xf>
    <xf numFmtId="0" fontId="4" fillId="0" borderId="0">
      <alignment vertical="top"/>
    </xf>
    <xf numFmtId="0" fontId="64" fillId="32" borderId="10" applyNumberFormat="0" applyAlignment="0" applyProtection="0"/>
    <xf numFmtId="0" fontId="64" fillId="32" borderId="10" applyNumberFormat="0" applyAlignment="0" applyProtection="0"/>
    <xf numFmtId="0" fontId="64" fillId="32" borderId="10" applyNumberFormat="0" applyAlignment="0" applyProtection="0"/>
    <xf numFmtId="0" fontId="65" fillId="32" borderId="1" applyNumberFormat="0" applyAlignment="0" applyProtection="0"/>
    <xf numFmtId="0" fontId="65" fillId="32" borderId="1" applyNumberFormat="0" applyAlignment="0" applyProtection="0"/>
    <xf numFmtId="0" fontId="65" fillId="32" borderId="1" applyNumberFormat="0" applyAlignment="0" applyProtection="0"/>
    <xf numFmtId="0" fontId="20" fillId="0" borderId="0" applyNumberFormat="0" applyFill="0" applyBorder="0" applyAlignment="0" applyProtection="0">
      <alignment vertical="top"/>
      <protection locked="0"/>
    </xf>
    <xf numFmtId="195" fontId="15" fillId="0" borderId="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0" fillId="0" borderId="0" applyFont="0" applyFill="0" applyBorder="0" applyAlignment="0" applyProtection="0"/>
    <xf numFmtId="0" fontId="66" fillId="0" borderId="3" applyNumberFormat="0" applyFill="0" applyAlignment="0" applyProtection="0"/>
    <xf numFmtId="0" fontId="66" fillId="0" borderId="3" applyNumberFormat="0" applyFill="0" applyAlignment="0" applyProtection="0"/>
    <xf numFmtId="0" fontId="66" fillId="0" borderId="3"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7" fillId="0" borderId="4" applyNumberFormat="0" applyFill="0" applyAlignment="0" applyProtection="0"/>
    <xf numFmtId="0" fontId="68" fillId="0" borderId="5" applyNumberFormat="0" applyFill="0" applyAlignment="0" applyProtection="0"/>
    <xf numFmtId="0" fontId="68" fillId="0" borderId="5" applyNumberFormat="0" applyFill="0" applyAlignment="0" applyProtection="0"/>
    <xf numFmtId="0" fontId="68" fillId="0" borderId="5"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46" fillId="0" borderId="0" applyNumberFormat="0" applyFill="0" applyBorder="0" applyAlignment="0" applyProtection="0"/>
    <xf numFmtId="0" fontId="95" fillId="0" borderId="0" applyNumberFormat="0" applyFill="0" applyBorder="0" applyAlignment="0" applyProtection="0"/>
    <xf numFmtId="181" fontId="116" fillId="0" borderId="13" applyFill="0" applyProtection="0">
      <alignment horizontal="center" vertical="center" wrapText="1"/>
    </xf>
    <xf numFmtId="0" fontId="69" fillId="0" borderId="12" applyNumberFormat="0" applyFill="0" applyAlignment="0" applyProtection="0"/>
    <xf numFmtId="0" fontId="69" fillId="0" borderId="12" applyNumberFormat="0" applyFill="0" applyAlignment="0" applyProtection="0"/>
    <xf numFmtId="0" fontId="69" fillId="0" borderId="12" applyNumberFormat="0" applyFill="0" applyAlignment="0" applyProtection="0"/>
    <xf numFmtId="0" fontId="4" fillId="0" borderId="0">
      <alignment horizontal="right" vertical="top" wrapText="1"/>
    </xf>
    <xf numFmtId="0" fontId="4" fillId="0" borderId="0"/>
    <xf numFmtId="0" fontId="11" fillId="0" borderId="0"/>
    <xf numFmtId="0" fontId="11" fillId="0" borderId="0"/>
    <xf numFmtId="0" fontId="4" fillId="0" borderId="0"/>
    <xf numFmtId="0" fontId="11" fillId="0" borderId="0"/>
    <xf numFmtId="0" fontId="15" fillId="0" borderId="14" applyNumberFormat="0" applyFill="0" applyAlignment="0" applyProtection="0"/>
    <xf numFmtId="0" fontId="11" fillId="0" borderId="0"/>
    <xf numFmtId="182" fontId="117" fillId="0" borderId="15">
      <alignment horizontal="center" vertical="center" wrapText="1"/>
    </xf>
    <xf numFmtId="0" fontId="70" fillId="33" borderId="2" applyNumberFormat="0" applyAlignment="0" applyProtection="0"/>
    <xf numFmtId="0" fontId="70" fillId="33" borderId="2" applyNumberFormat="0" applyAlignment="0" applyProtection="0"/>
    <xf numFmtId="0" fontId="70" fillId="33" borderId="2" applyNumberFormat="0" applyAlignment="0" applyProtection="0"/>
    <xf numFmtId="0" fontId="4" fillId="0" borderId="6">
      <alignment horizontal="center" wrapText="1"/>
    </xf>
    <xf numFmtId="0" fontId="11" fillId="0" borderId="0">
      <alignment vertical="top"/>
    </xf>
    <xf numFmtId="0" fontId="11" fillId="0" borderId="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2" fillId="40" borderId="0" applyNumberFormat="0" applyBorder="0" applyAlignment="0" applyProtection="0"/>
    <xf numFmtId="0" fontId="72" fillId="40" borderId="0" applyNumberFormat="0" applyBorder="0" applyAlignment="0" applyProtection="0"/>
    <xf numFmtId="0" fontId="72" fillId="40" borderId="0" applyNumberFormat="0" applyBorder="0" applyAlignment="0" applyProtection="0"/>
    <xf numFmtId="183" fontId="116" fillId="0" borderId="15">
      <alignment horizontal="center" vertical="center" wrapText="1"/>
    </xf>
    <xf numFmtId="0" fontId="11" fillId="0" borderId="0"/>
    <xf numFmtId="0" fontId="5" fillId="0" borderId="0"/>
    <xf numFmtId="4" fontId="78" fillId="0" borderId="0">
      <alignment vertical="center"/>
    </xf>
    <xf numFmtId="0" fontId="2" fillId="0" borderId="0"/>
    <xf numFmtId="0" fontId="11" fillId="0" borderId="0"/>
    <xf numFmtId="4" fontId="4" fillId="0" borderId="0">
      <alignment vertical="center"/>
    </xf>
    <xf numFmtId="0" fontId="11" fillId="0" borderId="0"/>
    <xf numFmtId="0" fontId="11" fillId="0" borderId="0"/>
    <xf numFmtId="0" fontId="11" fillId="0" borderId="0"/>
    <xf numFmtId="0" fontId="10" fillId="0" borderId="0"/>
    <xf numFmtId="0" fontId="11" fillId="0" borderId="0"/>
    <xf numFmtId="0" fontId="11" fillId="0" borderId="0"/>
    <xf numFmtId="0" fontId="27" fillId="0" borderId="0"/>
    <xf numFmtId="0" fontId="10" fillId="0" borderId="0"/>
    <xf numFmtId="0" fontId="10" fillId="0" borderId="0"/>
    <xf numFmtId="0" fontId="10" fillId="0" borderId="0"/>
    <xf numFmtId="0" fontId="2" fillId="0" borderId="0"/>
    <xf numFmtId="0" fontId="10" fillId="0" borderId="0"/>
    <xf numFmtId="4" fontId="78" fillId="0" borderId="0">
      <alignment vertical="center"/>
    </xf>
    <xf numFmtId="4" fontId="78" fillId="0" borderId="0">
      <alignment vertical="center"/>
    </xf>
    <xf numFmtId="0" fontId="2" fillId="0" borderId="0"/>
    <xf numFmtId="0" fontId="10" fillId="0" borderId="0"/>
    <xf numFmtId="0" fontId="11" fillId="0" borderId="0"/>
    <xf numFmtId="0" fontId="147"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11" fillId="0" borderId="0"/>
    <xf numFmtId="0" fontId="27" fillId="0" borderId="0"/>
    <xf numFmtId="0" fontId="11" fillId="0" borderId="0"/>
    <xf numFmtId="4" fontId="4" fillId="0" borderId="0">
      <alignment vertical="center"/>
    </xf>
    <xf numFmtId="0" fontId="27" fillId="0" borderId="0"/>
    <xf numFmtId="0" fontId="11" fillId="0" borderId="0"/>
    <xf numFmtId="0" fontId="11" fillId="0" borderId="0"/>
    <xf numFmtId="0" fontId="11" fillId="0" borderId="0"/>
    <xf numFmtId="0" fontId="11" fillId="0" borderId="0"/>
    <xf numFmtId="4" fontId="11" fillId="0" borderId="0">
      <alignment vertical="center"/>
    </xf>
    <xf numFmtId="4" fontId="3" fillId="0" borderId="0">
      <alignment vertical="center"/>
    </xf>
    <xf numFmtId="4" fontId="11" fillId="0" borderId="0">
      <alignment vertical="center"/>
    </xf>
    <xf numFmtId="0" fontId="10" fillId="0" borderId="0"/>
    <xf numFmtId="0" fontId="10" fillId="0" borderId="0"/>
    <xf numFmtId="0" fontId="11" fillId="0" borderId="0"/>
    <xf numFmtId="0" fontId="11" fillId="0" borderId="0"/>
    <xf numFmtId="0" fontId="11" fillId="0" borderId="0"/>
    <xf numFmtId="4" fontId="3" fillId="0" borderId="0">
      <alignment vertical="center"/>
    </xf>
    <xf numFmtId="0" fontId="2" fillId="0" borderId="0"/>
    <xf numFmtId="4" fontId="3" fillId="0" borderId="0">
      <alignment vertical="center"/>
    </xf>
    <xf numFmtId="0" fontId="21" fillId="0" borderId="0"/>
    <xf numFmtId="0" fontId="11" fillId="0" borderId="0"/>
    <xf numFmtId="0" fontId="10" fillId="0" borderId="0"/>
    <xf numFmtId="0" fontId="11" fillId="0" borderId="0"/>
    <xf numFmtId="0" fontId="11" fillId="0" borderId="0"/>
    <xf numFmtId="0" fontId="10" fillId="0" borderId="0"/>
    <xf numFmtId="0" fontId="2" fillId="0" borderId="0"/>
    <xf numFmtId="0" fontId="4" fillId="0" borderId="0"/>
    <xf numFmtId="0" fontId="4" fillId="0" borderId="6">
      <alignment horizontal="center" wrapText="1"/>
    </xf>
    <xf numFmtId="0" fontId="73" fillId="3" borderId="0" applyNumberFormat="0" applyBorder="0" applyAlignment="0" applyProtection="0"/>
    <xf numFmtId="0" fontId="73" fillId="3" borderId="0" applyNumberFormat="0" applyBorder="0" applyAlignment="0" applyProtection="0"/>
    <xf numFmtId="0" fontId="73" fillId="3"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0" fontId="11" fillId="41" borderId="9" applyNumberFormat="0" applyFont="0" applyAlignment="0" applyProtection="0"/>
    <xf numFmtId="184" fontId="29" fillId="0" borderId="16">
      <protection locked="0"/>
    </xf>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85" fontId="116" fillId="0" borderId="17">
      <alignment horizontal="center" vertical="center" wrapText="1"/>
    </xf>
    <xf numFmtId="0" fontId="4" fillId="0" borderId="6">
      <alignment horizontal="center"/>
    </xf>
    <xf numFmtId="0" fontId="4" fillId="0" borderId="6">
      <alignment horizontal="center" wrapText="1"/>
    </xf>
    <xf numFmtId="0" fontId="11" fillId="0" borderId="0"/>
    <xf numFmtId="0" fontId="75" fillId="0" borderId="7" applyNumberFormat="0" applyFill="0" applyAlignment="0" applyProtection="0"/>
    <xf numFmtId="0" fontId="75" fillId="0" borderId="7" applyNumberFormat="0" applyFill="0" applyAlignment="0" applyProtection="0"/>
    <xf numFmtId="0" fontId="75" fillId="0" borderId="7" applyNumberFormat="0" applyFill="0" applyAlignment="0" applyProtection="0"/>
    <xf numFmtId="0" fontId="1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alignment vertical="justify"/>
    </xf>
    <xf numFmtId="0" fontId="15"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4" fillId="0" borderId="0">
      <alignment horizontal="center"/>
    </xf>
    <xf numFmtId="38" fontId="11" fillId="0" borderId="0" applyFont="0" applyFill="0" applyBorder="0" applyAlignment="0" applyProtection="0"/>
    <xf numFmtId="167" fontId="22" fillId="0" borderId="0" applyFont="0" applyFill="0" applyBorder="0" applyAlignment="0" applyProtection="0"/>
    <xf numFmtId="2" fontId="15" fillId="0" borderId="0" applyFill="0" applyBorder="0" applyAlignment="0" applyProtection="0"/>
    <xf numFmtId="167" fontId="1"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96" fontId="11" fillId="0" borderId="0" applyFont="0" applyFill="0" applyBorder="0" applyAlignment="0" applyProtection="0"/>
    <xf numFmtId="167" fontId="10"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0" fillId="0" borderId="0" applyFont="0" applyFill="0" applyBorder="0" applyAlignment="0" applyProtection="0"/>
    <xf numFmtId="177" fontId="2"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77" fontId="2"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11" fillId="0" borderId="0" applyFont="0" applyFill="0" applyBorder="0" applyAlignment="0" applyProtection="0"/>
    <xf numFmtId="167" fontId="2" fillId="0" borderId="0" applyFill="0" applyBorder="0" applyAlignment="0" applyProtection="0"/>
    <xf numFmtId="177" fontId="4" fillId="0" borderId="0" applyFont="0" applyFill="0" applyBorder="0" applyAlignment="0" applyProtection="0"/>
    <xf numFmtId="167" fontId="11" fillId="0" borderId="0" applyFont="0" applyFill="0" applyBorder="0" applyAlignment="0" applyProtection="0"/>
    <xf numFmtId="197" fontId="2" fillId="0" borderId="0" applyFont="0" applyFill="0" applyBorder="0" applyAlignment="0" applyProtection="0"/>
    <xf numFmtId="171" fontId="11" fillId="0" borderId="0" applyFont="0" applyFill="0" applyBorder="0" applyAlignment="0" applyProtection="0"/>
    <xf numFmtId="171" fontId="11" fillId="0" borderId="0" applyFont="0" applyFill="0" applyBorder="0" applyAlignment="0" applyProtection="0"/>
    <xf numFmtId="171" fontId="11" fillId="0" borderId="0" applyFont="0" applyFill="0" applyBorder="0" applyAlignment="0" applyProtection="0"/>
    <xf numFmtId="167" fontId="21" fillId="0" borderId="0" applyFont="0" applyFill="0" applyBorder="0" applyAlignment="0" applyProtection="0"/>
    <xf numFmtId="167" fontId="10" fillId="0" borderId="0" applyFont="0" applyFill="0" applyBorder="0" applyAlignment="0" applyProtection="0"/>
    <xf numFmtId="0" fontId="4" fillId="0" borderId="0">
      <alignment horizontal="left" vertical="top"/>
    </xf>
    <xf numFmtId="0" fontId="77" fillId="4" borderId="0" applyNumberFormat="0" applyBorder="0" applyAlignment="0" applyProtection="0"/>
    <xf numFmtId="0" fontId="77" fillId="4" borderId="0" applyNumberFormat="0" applyBorder="0" applyAlignment="0" applyProtection="0"/>
    <xf numFmtId="0" fontId="77" fillId="4" borderId="0" applyNumberFormat="0" applyBorder="0" applyAlignment="0" applyProtection="0"/>
    <xf numFmtId="0" fontId="11" fillId="0" borderId="0" applyFont="0" applyFill="0" applyBorder="0" applyAlignment="0"/>
    <xf numFmtId="0" fontId="11" fillId="0" borderId="0" applyFont="0" applyFill="0" applyBorder="0" applyAlignment="0"/>
    <xf numFmtId="3" fontId="145" fillId="0" borderId="0"/>
    <xf numFmtId="0" fontId="4" fillId="0" borderId="0"/>
    <xf numFmtId="0" fontId="1" fillId="0" borderId="0"/>
    <xf numFmtId="0" fontId="4" fillId="0" borderId="0"/>
  </cellStyleXfs>
  <cellXfs count="790">
    <xf numFmtId="0" fontId="0" fillId="0" borderId="0" xfId="0"/>
    <xf numFmtId="0" fontId="10" fillId="0" borderId="0" xfId="578"/>
    <xf numFmtId="4" fontId="10" fillId="0" borderId="0" xfId="605" applyFont="1">
      <alignment vertical="center"/>
    </xf>
    <xf numFmtId="4" fontId="10" fillId="0" borderId="0" xfId="612" applyFont="1">
      <alignment vertical="center"/>
    </xf>
    <xf numFmtId="0" fontId="8" fillId="43" borderId="0" xfId="609" applyFont="1" applyFill="1" applyBorder="1"/>
    <xf numFmtId="0" fontId="10" fillId="0" borderId="0" xfId="620"/>
    <xf numFmtId="0" fontId="28" fillId="0" borderId="0" xfId="620" applyFont="1"/>
    <xf numFmtId="0" fontId="28" fillId="43" borderId="0" xfId="620" applyFont="1" applyFill="1"/>
    <xf numFmtId="0" fontId="28" fillId="0" borderId="0" xfId="620" applyFont="1" applyBorder="1" applyAlignment="1">
      <alignment horizontal="center"/>
    </xf>
    <xf numFmtId="0" fontId="10" fillId="0" borderId="0" xfId="620" applyFont="1"/>
    <xf numFmtId="0" fontId="31" fillId="0" borderId="0" xfId="620" applyFont="1"/>
    <xf numFmtId="0" fontId="32" fillId="0" borderId="0" xfId="620" applyFont="1"/>
    <xf numFmtId="0" fontId="28" fillId="43" borderId="0" xfId="620" applyFont="1" applyFill="1" applyAlignment="1">
      <alignment horizontal="center"/>
    </xf>
    <xf numFmtId="0" fontId="15" fillId="0" borderId="0" xfId="620" applyFont="1"/>
    <xf numFmtId="0" fontId="33" fillId="43" borderId="0" xfId="620" applyFont="1" applyFill="1"/>
    <xf numFmtId="0" fontId="33" fillId="0" borderId="0" xfId="620" applyFont="1"/>
    <xf numFmtId="0" fontId="11" fillId="0" borderId="0" xfId="618"/>
    <xf numFmtId="0" fontId="35" fillId="0" borderId="0" xfId="618" applyFont="1"/>
    <xf numFmtId="0" fontId="11" fillId="0" borderId="0" xfId="618" applyBorder="1"/>
    <xf numFmtId="0" fontId="35" fillId="0" borderId="0" xfId="618" applyFont="1" applyBorder="1"/>
    <xf numFmtId="0" fontId="28" fillId="0" borderId="0" xfId="620" applyFont="1" applyBorder="1"/>
    <xf numFmtId="0" fontId="28" fillId="0" borderId="0" xfId="620" applyFont="1" applyAlignment="1">
      <alignment horizontal="center"/>
    </xf>
    <xf numFmtId="0" fontId="5" fillId="43" borderId="0" xfId="610" applyFont="1" applyFill="1" applyBorder="1" applyAlignment="1">
      <alignment horizontal="center"/>
    </xf>
    <xf numFmtId="0" fontId="0" fillId="43" borderId="0" xfId="0" applyFill="1"/>
    <xf numFmtId="4" fontId="23" fillId="43" borderId="0" xfId="612" applyFont="1" applyFill="1" applyBorder="1" applyAlignment="1">
      <alignment horizontal="left" wrapText="1"/>
    </xf>
    <xf numFmtId="4" fontId="10" fillId="0" borderId="0" xfId="605" applyFont="1" applyAlignment="1">
      <alignment vertical="center"/>
    </xf>
    <xf numFmtId="0" fontId="33" fillId="0" borderId="0" xfId="620" applyFont="1" applyAlignment="1">
      <alignment horizontal="center"/>
    </xf>
    <xf numFmtId="0" fontId="11" fillId="0" borderId="0" xfId="611" applyAlignment="1">
      <alignment vertical="center"/>
    </xf>
    <xf numFmtId="0" fontId="11" fillId="0" borderId="0" xfId="611" applyBorder="1" applyAlignment="1">
      <alignment horizontal="center" vertical="center"/>
    </xf>
    <xf numFmtId="0" fontId="11" fillId="0" borderId="0" xfId="611" applyFont="1" applyBorder="1" applyAlignment="1">
      <alignment horizontal="center" vertical="center"/>
    </xf>
    <xf numFmtId="0" fontId="11" fillId="0" borderId="0" xfId="611" applyFont="1" applyBorder="1" applyAlignment="1">
      <alignment vertical="center"/>
    </xf>
    <xf numFmtId="0" fontId="11" fillId="43" borderId="0" xfId="611" applyFill="1"/>
    <xf numFmtId="0" fontId="11" fillId="0" borderId="0" xfId="611"/>
    <xf numFmtId="0" fontId="11" fillId="0" borderId="0" xfId="611" applyBorder="1" applyAlignment="1">
      <alignment horizontal="center"/>
    </xf>
    <xf numFmtId="0" fontId="11" fillId="0" borderId="0" xfId="611" applyFont="1" applyBorder="1" applyAlignment="1">
      <alignment horizontal="center"/>
    </xf>
    <xf numFmtId="0" fontId="11" fillId="0" borderId="0" xfId="611" applyFont="1" applyBorder="1"/>
    <xf numFmtId="0" fontId="11" fillId="0" borderId="0" xfId="611" applyFont="1" applyBorder="1" applyAlignment="1">
      <alignment horizontal="right"/>
    </xf>
    <xf numFmtId="0" fontId="11" fillId="0" borderId="0" xfId="611" applyFont="1"/>
    <xf numFmtId="0" fontId="11" fillId="0" borderId="0" xfId="611" applyAlignment="1">
      <alignment horizontal="center" vertical="center"/>
    </xf>
    <xf numFmtId="0" fontId="11" fillId="0" borderId="0" xfId="611" applyAlignment="1">
      <alignment horizontal="center"/>
    </xf>
    <xf numFmtId="0" fontId="11" fillId="0" borderId="0" xfId="611" applyFont="1" applyAlignment="1">
      <alignment horizontal="center" vertical="center"/>
    </xf>
    <xf numFmtId="4" fontId="10" fillId="0" borderId="0" xfId="605" applyFont="1" applyAlignment="1">
      <alignment horizontal="center" vertical="center"/>
    </xf>
    <xf numFmtId="4" fontId="4" fillId="0" borderId="0" xfId="605" applyFont="1">
      <alignment vertical="center"/>
    </xf>
    <xf numFmtId="0" fontId="11" fillId="0" borderId="0" xfId="611" applyBorder="1" applyAlignment="1">
      <alignment horizontal="center" vertical="center" wrapText="1"/>
    </xf>
    <xf numFmtId="0" fontId="2" fillId="0" borderId="22" xfId="0" applyFont="1" applyBorder="1" applyAlignment="1">
      <alignment horizontal="center" vertical="center" wrapText="1"/>
    </xf>
    <xf numFmtId="0" fontId="11" fillId="0" borderId="0" xfId="611" applyBorder="1"/>
    <xf numFmtId="0" fontId="2" fillId="0" borderId="23" xfId="0" applyFont="1" applyBorder="1" applyAlignment="1">
      <alignment horizontal="center" vertical="center" wrapText="1"/>
    </xf>
    <xf numFmtId="0" fontId="11" fillId="0" borderId="0" xfId="611" applyAlignment="1">
      <alignment horizontal="center" vertical="center" wrapText="1"/>
    </xf>
    <xf numFmtId="0" fontId="11" fillId="0" borderId="0" xfId="611" applyFont="1" applyAlignment="1">
      <alignment horizontal="center" vertical="center" wrapText="1"/>
    </xf>
    <xf numFmtId="4" fontId="10" fillId="0" borderId="0" xfId="605" applyFont="1" applyAlignment="1">
      <alignment horizontal="center" vertical="center" wrapText="1"/>
    </xf>
    <xf numFmtId="4" fontId="10" fillId="0" borderId="0" xfId="612" applyFont="1" applyAlignment="1">
      <alignment horizontal="center" vertical="center" wrapText="1"/>
    </xf>
    <xf numFmtId="4" fontId="10" fillId="0" borderId="0" xfId="612" applyFont="1" applyAlignment="1">
      <alignment horizontal="center" vertical="center"/>
    </xf>
    <xf numFmtId="0" fontId="9" fillId="43" borderId="0" xfId="609" applyFont="1" applyFill="1" applyBorder="1"/>
    <xf numFmtId="0" fontId="10" fillId="43" borderId="0" xfId="578" applyFill="1" applyBorder="1"/>
    <xf numFmtId="0" fontId="10" fillId="0" borderId="0" xfId="578" applyAlignment="1">
      <alignment horizontal="center" vertical="center" wrapText="1"/>
    </xf>
    <xf numFmtId="3" fontId="25" fillId="43" borderId="0" xfId="0" applyNumberFormat="1" applyFont="1" applyFill="1" applyBorder="1" applyAlignment="1">
      <alignment horizontal="center" vertical="center" wrapText="1"/>
    </xf>
    <xf numFmtId="3" fontId="10" fillId="0" borderId="0" xfId="620" applyNumberFormat="1" applyAlignment="1">
      <alignment horizontal="center"/>
    </xf>
    <xf numFmtId="3" fontId="28" fillId="0" borderId="0" xfId="620" applyNumberFormat="1" applyFont="1" applyAlignment="1">
      <alignment horizontal="center"/>
    </xf>
    <xf numFmtId="0" fontId="29" fillId="0" borderId="0" xfId="0" applyFont="1"/>
    <xf numFmtId="0" fontId="28" fillId="0" borderId="0" xfId="620" applyFont="1" applyAlignment="1">
      <alignment vertical="center"/>
    </xf>
    <xf numFmtId="4" fontId="40" fillId="43" borderId="0" xfId="612" applyFont="1" applyFill="1" applyBorder="1" applyAlignment="1">
      <alignment horizontal="left" vertical="center" wrapText="1"/>
    </xf>
    <xf numFmtId="4" fontId="40" fillId="43" borderId="0" xfId="612" applyFont="1" applyFill="1" applyBorder="1" applyAlignment="1">
      <alignment vertical="center" wrapText="1"/>
    </xf>
    <xf numFmtId="0" fontId="11" fillId="0" borderId="0" xfId="609" applyAlignment="1">
      <alignment horizontal="center"/>
    </xf>
    <xf numFmtId="0" fontId="11" fillId="0" borderId="0" xfId="609"/>
    <xf numFmtId="0" fontId="11" fillId="0" borderId="0" xfId="609" applyAlignment="1">
      <alignment horizontal="center" vertical="center"/>
    </xf>
    <xf numFmtId="0" fontId="0" fillId="0" borderId="0" xfId="0" applyAlignment="1">
      <alignment vertical="center"/>
    </xf>
    <xf numFmtId="0" fontId="2" fillId="0" borderId="0" xfId="0" applyFont="1" applyBorder="1" applyAlignment="1">
      <alignment horizontal="center" vertical="center" wrapText="1"/>
    </xf>
    <xf numFmtId="0" fontId="28" fillId="0" borderId="6" xfId="620" applyFont="1" applyBorder="1" applyAlignment="1">
      <alignment horizontal="center"/>
    </xf>
    <xf numFmtId="3" fontId="26" fillId="0" borderId="0" xfId="0" applyNumberFormat="1" applyFont="1" applyFill="1" applyBorder="1" applyAlignment="1">
      <alignment horizontal="center"/>
    </xf>
    <xf numFmtId="0" fontId="35" fillId="43" borderId="0" xfId="611" applyFont="1" applyFill="1"/>
    <xf numFmtId="0" fontId="35" fillId="43" borderId="0" xfId="611" applyFont="1" applyFill="1" applyAlignment="1"/>
    <xf numFmtId="0" fontId="35" fillId="43" borderId="0" xfId="611" applyFont="1" applyFill="1" applyAlignment="1">
      <alignment horizontal="right"/>
    </xf>
    <xf numFmtId="0" fontId="44" fillId="43" borderId="0" xfId="611" applyFont="1" applyFill="1" applyAlignment="1">
      <alignment horizontal="center"/>
    </xf>
    <xf numFmtId="4" fontId="45" fillId="43" borderId="0" xfId="612" applyFont="1" applyFill="1" applyBorder="1" applyAlignment="1">
      <alignment horizontal="left" wrapText="1"/>
    </xf>
    <xf numFmtId="1" fontId="35" fillId="0" borderId="6" xfId="611" applyNumberFormat="1" applyFont="1" applyBorder="1" applyAlignment="1">
      <alignment horizontal="center" vertical="center"/>
    </xf>
    <xf numFmtId="0" fontId="35" fillId="43" borderId="6" xfId="611" applyFont="1" applyFill="1" applyBorder="1" applyAlignment="1">
      <alignment horizontal="center" vertical="top"/>
    </xf>
    <xf numFmtId="3" fontId="35" fillId="43" borderId="6" xfId="611" applyNumberFormat="1" applyFont="1" applyFill="1" applyBorder="1" applyAlignment="1">
      <alignment horizontal="center" vertical="top"/>
    </xf>
    <xf numFmtId="0" fontId="35" fillId="43" borderId="6" xfId="611" applyFont="1" applyFill="1" applyBorder="1" applyAlignment="1">
      <alignment vertical="center"/>
    </xf>
    <xf numFmtId="0" fontId="35" fillId="0" borderId="6" xfId="611" applyFont="1" applyBorder="1" applyAlignment="1">
      <alignment vertical="center" wrapText="1"/>
    </xf>
    <xf numFmtId="0" fontId="35" fillId="0" borderId="6" xfId="611" applyFont="1" applyBorder="1" applyAlignment="1">
      <alignment horizontal="center" vertical="top"/>
    </xf>
    <xf numFmtId="2" fontId="35" fillId="43" borderId="6" xfId="611" applyNumberFormat="1" applyFont="1" applyFill="1" applyBorder="1" applyAlignment="1">
      <alignment horizontal="center" vertical="top"/>
    </xf>
    <xf numFmtId="0" fontId="44" fillId="43" borderId="21" xfId="611" applyFont="1" applyFill="1" applyBorder="1" applyAlignment="1">
      <alignment vertical="center"/>
    </xf>
    <xf numFmtId="0" fontId="44" fillId="43" borderId="21" xfId="611" applyFont="1" applyFill="1" applyBorder="1" applyAlignment="1">
      <alignment horizontal="center" vertical="center"/>
    </xf>
    <xf numFmtId="0" fontId="44" fillId="43" borderId="16" xfId="611" applyFont="1" applyFill="1" applyBorder="1" applyAlignment="1">
      <alignment horizontal="center" vertical="center"/>
    </xf>
    <xf numFmtId="0" fontId="35" fillId="43" borderId="0" xfId="611" applyFont="1" applyFill="1" applyBorder="1" applyAlignment="1">
      <alignment horizontal="center"/>
    </xf>
    <xf numFmtId="0" fontId="44" fillId="43" borderId="0" xfId="611" applyFont="1" applyFill="1"/>
    <xf numFmtId="0" fontId="12" fillId="43" borderId="0" xfId="578" applyFont="1" applyFill="1" applyBorder="1"/>
    <xf numFmtId="0" fontId="29" fillId="43" borderId="0" xfId="0" applyFont="1" applyFill="1"/>
    <xf numFmtId="0" fontId="44" fillId="43" borderId="0" xfId="0" applyFont="1" applyFill="1"/>
    <xf numFmtId="0" fontId="35" fillId="0" borderId="0" xfId="611" applyFont="1"/>
    <xf numFmtId="0" fontId="33" fillId="43" borderId="0" xfId="619" applyFont="1" applyFill="1" applyBorder="1" applyAlignment="1">
      <alignment horizontal="left"/>
    </xf>
    <xf numFmtId="0" fontId="33" fillId="43" borderId="0" xfId="617" applyFont="1" applyFill="1" applyBorder="1" applyAlignment="1">
      <alignment horizontal="left"/>
    </xf>
    <xf numFmtId="0" fontId="33" fillId="43" borderId="0" xfId="617" applyFont="1" applyFill="1"/>
    <xf numFmtId="0" fontId="33" fillId="43" borderId="0" xfId="617" applyFont="1" applyFill="1" applyAlignment="1">
      <alignment horizontal="center"/>
    </xf>
    <xf numFmtId="0" fontId="33" fillId="43" borderId="0" xfId="617" applyFont="1" applyFill="1" applyAlignment="1">
      <alignment vertical="top"/>
    </xf>
    <xf numFmtId="9" fontId="33" fillId="43" borderId="0" xfId="617" applyNumberFormat="1" applyFont="1" applyFill="1" applyAlignment="1">
      <alignment horizontal="left" vertical="top" wrapText="1"/>
    </xf>
    <xf numFmtId="0" fontId="33" fillId="43" borderId="0" xfId="617" applyFont="1" applyFill="1" applyAlignment="1">
      <alignment horizontal="left" vertical="top" wrapText="1"/>
    </xf>
    <xf numFmtId="0" fontId="33" fillId="43" borderId="0" xfId="617" applyFont="1" applyFill="1" applyBorder="1"/>
    <xf numFmtId="4" fontId="33" fillId="43" borderId="0" xfId="617" applyNumberFormat="1" applyFont="1" applyFill="1" applyAlignment="1">
      <alignment horizontal="left"/>
    </xf>
    <xf numFmtId="9" fontId="33" fillId="43" borderId="0" xfId="617" applyNumberFormat="1" applyFont="1" applyFill="1"/>
    <xf numFmtId="0" fontId="34" fillId="43" borderId="0" xfId="617" applyFont="1" applyFill="1" applyBorder="1" applyAlignment="1">
      <alignment horizontal="left"/>
    </xf>
    <xf numFmtId="0" fontId="34" fillId="43" borderId="0" xfId="617" applyFont="1" applyFill="1"/>
    <xf numFmtId="4" fontId="33" fillId="43" borderId="24" xfId="609" applyNumberFormat="1" applyFont="1" applyFill="1" applyBorder="1"/>
    <xf numFmtId="0" fontId="33" fillId="43" borderId="24" xfId="617" applyFont="1" applyFill="1" applyBorder="1"/>
    <xf numFmtId="0" fontId="30" fillId="43" borderId="24" xfId="609" applyFont="1" applyFill="1" applyBorder="1"/>
    <xf numFmtId="0" fontId="34" fillId="43" borderId="0" xfId="609" applyFont="1" applyFill="1" applyBorder="1"/>
    <xf numFmtId="0" fontId="33" fillId="43" borderId="0" xfId="609" applyFont="1" applyFill="1" applyBorder="1"/>
    <xf numFmtId="0" fontId="35" fillId="43" borderId="0" xfId="609" applyFont="1" applyFill="1"/>
    <xf numFmtId="0" fontId="35" fillId="43" borderId="24" xfId="609" applyFont="1" applyFill="1" applyBorder="1"/>
    <xf numFmtId="0" fontId="33" fillId="43" borderId="24" xfId="609" applyFont="1" applyFill="1" applyBorder="1"/>
    <xf numFmtId="0" fontId="44" fillId="0" borderId="0" xfId="0" applyFont="1"/>
    <xf numFmtId="0" fontId="29" fillId="49" borderId="0" xfId="0" applyFont="1" applyFill="1"/>
    <xf numFmtId="0" fontId="29" fillId="50" borderId="0" xfId="0" applyFont="1" applyFill="1"/>
    <xf numFmtId="0" fontId="35" fillId="0" borderId="0" xfId="609" applyFont="1"/>
    <xf numFmtId="0" fontId="37" fillId="43" borderId="0" xfId="578" applyFont="1" applyFill="1" applyBorder="1"/>
    <xf numFmtId="0" fontId="37" fillId="43" borderId="24" xfId="609" applyFont="1" applyFill="1" applyBorder="1"/>
    <xf numFmtId="0" fontId="37" fillId="43" borderId="24" xfId="617" applyFont="1" applyFill="1" applyBorder="1"/>
    <xf numFmtId="0" fontId="39" fillId="43" borderId="0" xfId="609" applyFont="1" applyFill="1" applyBorder="1"/>
    <xf numFmtId="0" fontId="37" fillId="43" borderId="0" xfId="617" applyFont="1" applyFill="1" applyBorder="1"/>
    <xf numFmtId="0" fontId="37" fillId="43" borderId="0" xfId="609" applyFont="1" applyFill="1" applyBorder="1"/>
    <xf numFmtId="4" fontId="37" fillId="43" borderId="24" xfId="609" applyNumberFormat="1" applyFont="1" applyFill="1" applyBorder="1"/>
    <xf numFmtId="0" fontId="3" fillId="0" borderId="0" xfId="595" applyFont="1"/>
    <xf numFmtId="49" fontId="3" fillId="0" borderId="0" xfId="595" applyNumberFormat="1" applyFont="1" applyAlignment="1">
      <alignment horizontal="center"/>
    </xf>
    <xf numFmtId="0" fontId="48" fillId="0" borderId="0" xfId="595" applyFont="1" applyAlignment="1">
      <alignment horizontal="left"/>
    </xf>
    <xf numFmtId="0" fontId="48" fillId="0" borderId="0" xfId="595" applyFont="1" applyBorder="1" applyAlignment="1">
      <alignment vertical="center"/>
    </xf>
    <xf numFmtId="0" fontId="51" fillId="0" borderId="0" xfId="595" applyFont="1" applyBorder="1" applyAlignment="1">
      <alignment horizontal="center" vertical="center"/>
    </xf>
    <xf numFmtId="49" fontId="52" fillId="0" borderId="0" xfId="595" applyNumberFormat="1" applyFont="1" applyBorder="1" applyAlignment="1">
      <alignment horizontal="center" vertical="center" wrapText="1"/>
    </xf>
    <xf numFmtId="0" fontId="52" fillId="0" borderId="0" xfId="595" applyFont="1" applyBorder="1" applyAlignment="1">
      <alignment horizontal="center" vertical="center" wrapText="1"/>
    </xf>
    <xf numFmtId="0" fontId="52" fillId="0" borderId="0" xfId="595" applyFont="1" applyBorder="1" applyAlignment="1">
      <alignment horizontal="left" vertical="center" wrapText="1"/>
    </xf>
    <xf numFmtId="0" fontId="48" fillId="0" borderId="0" xfId="595" applyFont="1" applyBorder="1" applyAlignment="1">
      <alignment horizontal="center" vertical="center"/>
    </xf>
    <xf numFmtId="49" fontId="51" fillId="0" borderId="0" xfId="595" applyNumberFormat="1" applyFont="1" applyBorder="1" applyAlignment="1"/>
    <xf numFmtId="0" fontId="3" fillId="0" borderId="0" xfId="595" applyFont="1" applyBorder="1" applyAlignment="1">
      <alignment horizontal="center" wrapText="1"/>
    </xf>
    <xf numFmtId="0" fontId="3" fillId="0" borderId="0" xfId="595" applyFont="1" applyBorder="1"/>
    <xf numFmtId="0" fontId="3" fillId="0" borderId="0" xfId="595" applyFont="1" applyBorder="1" applyAlignment="1">
      <alignment horizontal="center"/>
    </xf>
    <xf numFmtId="0" fontId="53" fillId="0" borderId="0" xfId="595" applyFont="1" applyBorder="1"/>
    <xf numFmtId="4" fontId="3" fillId="0" borderId="0" xfId="595" applyNumberFormat="1" applyFont="1" applyBorder="1"/>
    <xf numFmtId="4" fontId="3" fillId="0" borderId="0" xfId="595" applyNumberFormat="1" applyFont="1" applyAlignment="1">
      <alignment horizontal="right"/>
    </xf>
    <xf numFmtId="0" fontId="55" fillId="0" borderId="0" xfId="595" applyFont="1" applyBorder="1"/>
    <xf numFmtId="49" fontId="3" fillId="0" borderId="0" xfId="595" applyNumberFormat="1" applyFont="1" applyBorder="1" applyAlignment="1">
      <alignment horizontal="center"/>
    </xf>
    <xf numFmtId="0" fontId="57" fillId="0" borderId="0" xfId="620" applyFont="1"/>
    <xf numFmtId="0" fontId="3" fillId="0" borderId="0" xfId="585" applyFont="1" applyBorder="1"/>
    <xf numFmtId="168" fontId="28" fillId="0" borderId="6" xfId="620" applyNumberFormat="1" applyFont="1" applyBorder="1" applyAlignment="1">
      <alignment horizontal="center"/>
    </xf>
    <xf numFmtId="0" fontId="35" fillId="43" borderId="27" xfId="611" applyFont="1" applyFill="1" applyBorder="1" applyAlignment="1">
      <alignment horizontal="left" vertical="center" wrapText="1"/>
    </xf>
    <xf numFmtId="0" fontId="3" fillId="0" borderId="0" xfId="585" applyFont="1"/>
    <xf numFmtId="49" fontId="3" fillId="0" borderId="0" xfId="585" applyNumberFormat="1" applyFont="1" applyBorder="1" applyAlignment="1">
      <alignment horizontal="center"/>
    </xf>
    <xf numFmtId="0" fontId="3" fillId="0" borderId="0" xfId="585" applyFont="1" applyBorder="1" applyAlignment="1">
      <alignment horizontal="center" wrapText="1"/>
    </xf>
    <xf numFmtId="0" fontId="3" fillId="0" borderId="0" xfId="585" applyFont="1" applyBorder="1" applyAlignment="1">
      <alignment wrapText="1"/>
    </xf>
    <xf numFmtId="4" fontId="3" fillId="0" borderId="0" xfId="585" applyNumberFormat="1" applyFont="1" applyBorder="1"/>
    <xf numFmtId="0" fontId="58" fillId="0" borderId="0" xfId="585" applyFont="1" applyBorder="1"/>
    <xf numFmtId="0" fontId="7" fillId="0" borderId="0" xfId="614" applyNumberFormat="1" applyFont="1" applyAlignment="1">
      <alignment vertical="center" wrapText="1"/>
    </xf>
    <xf numFmtId="0" fontId="7" fillId="43" borderId="0" xfId="614" applyNumberFormat="1" applyFont="1" applyFill="1" applyAlignment="1">
      <alignment horizontal="right" vertical="top" wrapText="1"/>
    </xf>
    <xf numFmtId="0" fontId="7" fillId="0" borderId="0" xfId="616" applyFont="1" applyAlignment="1">
      <alignment vertical="center" wrapText="1"/>
    </xf>
    <xf numFmtId="0" fontId="7" fillId="43" borderId="0" xfId="616" applyFont="1" applyFill="1" applyAlignment="1">
      <alignment horizontal="center" vertical="center" wrapText="1"/>
    </xf>
    <xf numFmtId="0" fontId="10" fillId="43" borderId="0" xfId="616" applyFont="1" applyFill="1" applyAlignment="1">
      <alignment horizontal="left" vertical="center" wrapText="1"/>
    </xf>
    <xf numFmtId="0" fontId="7" fillId="43" borderId="0" xfId="616" applyFont="1" applyFill="1" applyBorder="1" applyAlignment="1">
      <alignment vertical="center" wrapText="1"/>
    </xf>
    <xf numFmtId="0" fontId="7" fillId="43" borderId="0" xfId="616" applyFont="1" applyFill="1" applyAlignment="1">
      <alignment vertical="center" wrapText="1"/>
    </xf>
    <xf numFmtId="0" fontId="7" fillId="43" borderId="0" xfId="616" applyFont="1" applyFill="1" applyBorder="1" applyAlignment="1">
      <alignment horizontal="center" vertical="top" wrapText="1"/>
    </xf>
    <xf numFmtId="0" fontId="61" fillId="43" borderId="0" xfId="616" applyFont="1" applyFill="1" applyBorder="1" applyAlignment="1">
      <alignment horizontal="center" vertical="top" wrapText="1"/>
    </xf>
    <xf numFmtId="0" fontId="7" fillId="43" borderId="0" xfId="614" applyNumberFormat="1" applyFont="1" applyFill="1" applyAlignment="1">
      <alignment vertical="center" wrapText="1"/>
    </xf>
    <xf numFmtId="0" fontId="4" fillId="43" borderId="0" xfId="596" applyFont="1" applyFill="1" applyAlignment="1">
      <alignment wrapText="1"/>
    </xf>
    <xf numFmtId="0" fontId="23" fillId="43" borderId="0" xfId="596" applyFont="1" applyFill="1" applyAlignment="1">
      <alignment wrapText="1"/>
    </xf>
    <xf numFmtId="0" fontId="60" fillId="0" borderId="0" xfId="614" applyNumberFormat="1" applyFont="1" applyAlignment="1">
      <alignment horizontal="left" vertical="center" wrapText="1"/>
    </xf>
    <xf numFmtId="0" fontId="7" fillId="0" borderId="0" xfId="614" applyNumberFormat="1" applyFont="1" applyAlignment="1">
      <alignment horizontal="left" vertical="center" wrapText="1"/>
    </xf>
    <xf numFmtId="0" fontId="60" fillId="43" borderId="0" xfId="616" applyFont="1" applyFill="1" applyAlignment="1">
      <alignment horizontal="left" vertical="center" wrapText="1"/>
    </xf>
    <xf numFmtId="0" fontId="79" fillId="0" borderId="0" xfId="595" applyFont="1" applyBorder="1" applyAlignment="1">
      <alignment horizontal="left" vertical="center"/>
    </xf>
    <xf numFmtId="0" fontId="79" fillId="0" borderId="0" xfId="595" applyFont="1" applyBorder="1" applyAlignment="1">
      <alignment horizontal="center" vertical="center"/>
    </xf>
    <xf numFmtId="4" fontId="79" fillId="0" borderId="0" xfId="595" applyNumberFormat="1" applyFont="1" applyBorder="1" applyAlignment="1">
      <alignment horizontal="left" vertical="center"/>
    </xf>
    <xf numFmtId="0" fontId="56" fillId="0" borderId="0" xfId="595" applyFont="1" applyBorder="1" applyAlignment="1">
      <alignment vertical="center"/>
    </xf>
    <xf numFmtId="0" fontId="56" fillId="0" borderId="0" xfId="595" applyFont="1" applyBorder="1" applyAlignment="1">
      <alignment horizontal="center" vertical="center" wrapText="1"/>
    </xf>
    <xf numFmtId="0" fontId="56" fillId="0" borderId="0" xfId="595" applyFont="1" applyBorder="1" applyAlignment="1">
      <alignment horizontal="center" vertical="center"/>
    </xf>
    <xf numFmtId="0" fontId="80" fillId="43" borderId="0" xfId="578" applyFont="1" applyFill="1" applyBorder="1"/>
    <xf numFmtId="4" fontId="81" fillId="43" borderId="0" xfId="612" applyFont="1" applyFill="1" applyBorder="1">
      <alignment vertical="center"/>
    </xf>
    <xf numFmtId="4" fontId="80" fillId="43" borderId="24" xfId="609" applyNumberFormat="1" applyFont="1" applyFill="1" applyBorder="1"/>
    <xf numFmtId="0" fontId="80" fillId="43" borderId="24" xfId="617" applyFont="1" applyFill="1" applyBorder="1"/>
    <xf numFmtId="0" fontId="82" fillId="43" borderId="24" xfId="609" applyFont="1" applyFill="1" applyBorder="1"/>
    <xf numFmtId="0" fontId="83" fillId="43" borderId="0" xfId="609" applyFont="1" applyFill="1" applyBorder="1"/>
    <xf numFmtId="0" fontId="80" fillId="43" borderId="0" xfId="617" applyFont="1" applyFill="1" applyBorder="1"/>
    <xf numFmtId="0" fontId="80" fillId="43" borderId="0" xfId="609" applyFont="1" applyFill="1" applyBorder="1"/>
    <xf numFmtId="0" fontId="82" fillId="43" borderId="0" xfId="609" applyFont="1" applyFill="1"/>
    <xf numFmtId="0" fontId="80" fillId="43" borderId="24" xfId="609" applyFont="1" applyFill="1" applyBorder="1"/>
    <xf numFmtId="1" fontId="35" fillId="43" borderId="28" xfId="611" applyNumberFormat="1" applyFont="1" applyFill="1" applyBorder="1" applyAlignment="1">
      <alignment horizontal="center" vertical="center"/>
    </xf>
    <xf numFmtId="0" fontId="44" fillId="43" borderId="24" xfId="611" applyFont="1" applyFill="1" applyBorder="1" applyAlignment="1">
      <alignment vertical="center"/>
    </xf>
    <xf numFmtId="0" fontId="44" fillId="43" borderId="24" xfId="611" applyFont="1" applyFill="1" applyBorder="1" applyAlignment="1">
      <alignment horizontal="center" vertical="center"/>
    </xf>
    <xf numFmtId="0" fontId="44" fillId="43" borderId="29" xfId="611" applyFont="1" applyFill="1" applyBorder="1" applyAlignment="1">
      <alignment horizontal="center" vertical="center"/>
    </xf>
    <xf numFmtId="1" fontId="35" fillId="0" borderId="20" xfId="611" applyNumberFormat="1" applyFont="1" applyBorder="1" applyAlignment="1">
      <alignment horizontal="center" vertical="center"/>
    </xf>
    <xf numFmtId="4" fontId="37" fillId="43" borderId="0" xfId="609" applyNumberFormat="1" applyFont="1" applyFill="1" applyBorder="1" applyAlignment="1"/>
    <xf numFmtId="4" fontId="10" fillId="0" borderId="0" xfId="605" applyFont="1" applyAlignment="1"/>
    <xf numFmtId="4" fontId="37" fillId="43" borderId="24" xfId="609" applyNumberFormat="1" applyFont="1" applyFill="1" applyBorder="1" applyAlignment="1"/>
    <xf numFmtId="0" fontId="37" fillId="43" borderId="24" xfId="617" applyFont="1" applyFill="1" applyBorder="1" applyAlignment="1"/>
    <xf numFmtId="0" fontId="37" fillId="43" borderId="0" xfId="609" applyFont="1" applyFill="1" applyBorder="1" applyAlignment="1"/>
    <xf numFmtId="0" fontId="10" fillId="0" borderId="0" xfId="578" applyAlignment="1"/>
    <xf numFmtId="0" fontId="37" fillId="43" borderId="24" xfId="609" applyFont="1" applyFill="1" applyBorder="1" applyAlignment="1"/>
    <xf numFmtId="0" fontId="60" fillId="43" borderId="0" xfId="614" applyNumberFormat="1" applyFont="1" applyFill="1" applyAlignment="1">
      <alignment horizontal="left" vertical="center" wrapText="1"/>
    </xf>
    <xf numFmtId="0" fontId="7" fillId="43" borderId="0" xfId="614" applyNumberFormat="1" applyFont="1" applyFill="1" applyAlignment="1">
      <alignment horizontal="left" vertical="center" wrapText="1"/>
    </xf>
    <xf numFmtId="0" fontId="85" fillId="0" borderId="0" xfId="0" applyFont="1"/>
    <xf numFmtId="4" fontId="37" fillId="43" borderId="0" xfId="605" applyFont="1" applyFill="1">
      <alignment vertical="center"/>
    </xf>
    <xf numFmtId="4" fontId="39" fillId="43" borderId="0" xfId="605" applyFont="1" applyFill="1" applyAlignment="1">
      <alignment horizontal="center"/>
    </xf>
    <xf numFmtId="4" fontId="39" fillId="43" borderId="0" xfId="605" applyFont="1" applyFill="1" applyBorder="1" applyAlignment="1">
      <alignment horizontal="center" wrapText="1"/>
    </xf>
    <xf numFmtId="4" fontId="37" fillId="43" borderId="6" xfId="605" applyFont="1" applyFill="1" applyBorder="1" applyAlignment="1">
      <alignment horizontal="center" vertical="center" wrapText="1"/>
    </xf>
    <xf numFmtId="3" fontId="37" fillId="43" borderId="6" xfId="605" applyNumberFormat="1" applyFont="1" applyFill="1" applyBorder="1" applyAlignment="1">
      <alignment horizontal="center" vertical="center" wrapText="1"/>
    </xf>
    <xf numFmtId="3" fontId="37" fillId="43" borderId="6" xfId="605" applyNumberFormat="1" applyFont="1" applyFill="1" applyBorder="1" applyAlignment="1">
      <alignment horizontal="center" vertical="center"/>
    </xf>
    <xf numFmtId="3" fontId="37" fillId="43" borderId="6" xfId="783" applyNumberFormat="1" applyFont="1" applyFill="1" applyBorder="1" applyAlignment="1">
      <alignment horizontal="center" vertical="center"/>
    </xf>
    <xf numFmtId="4" fontId="37" fillId="43" borderId="20" xfId="605" applyFont="1" applyFill="1" applyBorder="1" applyAlignment="1">
      <alignment vertical="center"/>
    </xf>
    <xf numFmtId="3" fontId="39" fillId="43" borderId="21" xfId="605" applyNumberFormat="1" applyFont="1" applyFill="1" applyBorder="1" applyAlignment="1">
      <alignment horizontal="center" vertical="center"/>
    </xf>
    <xf numFmtId="1" fontId="39" fillId="43" borderId="21" xfId="605" applyNumberFormat="1" applyFont="1" applyFill="1" applyBorder="1" applyAlignment="1">
      <alignment horizontal="center" vertical="center"/>
    </xf>
    <xf numFmtId="4" fontId="39" fillId="43" borderId="16" xfId="605" applyNumberFormat="1" applyFont="1" applyFill="1" applyBorder="1" applyAlignment="1">
      <alignment horizontal="center" vertical="center"/>
    </xf>
    <xf numFmtId="4" fontId="39" fillId="43" borderId="0" xfId="612" applyFont="1" applyFill="1" applyBorder="1">
      <alignment vertical="center"/>
    </xf>
    <xf numFmtId="0" fontId="37" fillId="43" borderId="0" xfId="610" applyFont="1" applyFill="1" applyBorder="1" applyAlignment="1">
      <alignment horizontal="center"/>
    </xf>
    <xf numFmtId="4" fontId="33" fillId="43" borderId="0" xfId="605" applyFont="1" applyFill="1">
      <alignment vertical="center"/>
    </xf>
    <xf numFmtId="0" fontId="37" fillId="43" borderId="0" xfId="578" applyFont="1" applyFill="1"/>
    <xf numFmtId="0" fontId="37" fillId="43" borderId="0" xfId="609" applyFont="1" applyFill="1"/>
    <xf numFmtId="0" fontId="37" fillId="43" borderId="0" xfId="0" applyFont="1" applyFill="1"/>
    <xf numFmtId="0" fontId="39" fillId="43" borderId="0" xfId="0" applyFont="1" applyFill="1"/>
    <xf numFmtId="4" fontId="33" fillId="0" borderId="0" xfId="605" applyFont="1">
      <alignment vertical="center"/>
    </xf>
    <xf numFmtId="0" fontId="37" fillId="0" borderId="0" xfId="0" applyFont="1"/>
    <xf numFmtId="0" fontId="39" fillId="0" borderId="0" xfId="0" applyFont="1"/>
    <xf numFmtId="0" fontId="37" fillId="49" borderId="0" xfId="0" applyFont="1" applyFill="1"/>
    <xf numFmtId="0" fontId="37" fillId="50" borderId="0" xfId="0" applyFont="1" applyFill="1"/>
    <xf numFmtId="4" fontId="37" fillId="43" borderId="0" xfId="605" applyFont="1" applyFill="1" applyAlignment="1"/>
    <xf numFmtId="0" fontId="37" fillId="43" borderId="0" xfId="609" applyFont="1" applyFill="1" applyAlignment="1"/>
    <xf numFmtId="0" fontId="37" fillId="43" borderId="0" xfId="578" applyFont="1" applyFill="1" applyAlignment="1"/>
    <xf numFmtId="0" fontId="37" fillId="43" borderId="0" xfId="620" applyFont="1" applyFill="1" applyBorder="1" applyAlignment="1">
      <alignment horizontal="center"/>
    </xf>
    <xf numFmtId="0" fontId="33" fillId="43" borderId="0" xfId="620" applyFont="1" applyFill="1" applyBorder="1"/>
    <xf numFmtId="0" fontId="33" fillId="43" borderId="26" xfId="620" applyFont="1" applyFill="1" applyBorder="1" applyAlignment="1">
      <alignment horizontal="center"/>
    </xf>
    <xf numFmtId="0" fontId="89" fillId="43" borderId="20" xfId="620" applyFont="1" applyFill="1" applyBorder="1" applyAlignment="1">
      <alignment horizontal="center"/>
    </xf>
    <xf numFmtId="0" fontId="34" fillId="43" borderId="21" xfId="620" applyFont="1" applyFill="1" applyBorder="1"/>
    <xf numFmtId="0" fontId="89" fillId="43" borderId="21" xfId="620" applyFont="1" applyFill="1" applyBorder="1"/>
    <xf numFmtId="0" fontId="89" fillId="43" borderId="21" xfId="620" applyFont="1" applyFill="1" applyBorder="1" applyAlignment="1">
      <alignment horizontal="center"/>
    </xf>
    <xf numFmtId="0" fontId="89" fillId="43" borderId="16" xfId="620" applyFont="1" applyFill="1" applyBorder="1" applyAlignment="1">
      <alignment horizontal="center"/>
    </xf>
    <xf numFmtId="3" fontId="34" fillId="43" borderId="16" xfId="620" applyNumberFormat="1" applyFont="1" applyFill="1" applyBorder="1" applyAlignment="1">
      <alignment horizontal="center"/>
    </xf>
    <xf numFmtId="0" fontId="33" fillId="0" borderId="0" xfId="620" applyFont="1" applyBorder="1"/>
    <xf numFmtId="0" fontId="33" fillId="0" borderId="0" xfId="620" applyFont="1" applyBorder="1" applyAlignment="1">
      <alignment horizontal="center"/>
    </xf>
    <xf numFmtId="0" fontId="37" fillId="0" borderId="0" xfId="620" applyFont="1" applyFill="1" applyBorder="1" applyAlignment="1">
      <alignment horizontal="center"/>
    </xf>
    <xf numFmtId="0" fontId="37" fillId="0" borderId="0" xfId="620" applyFont="1" applyFill="1" applyBorder="1"/>
    <xf numFmtId="0" fontId="37" fillId="43" borderId="0" xfId="620" applyFont="1" applyFill="1" applyBorder="1" applyAlignment="1">
      <alignment horizontal="left"/>
    </xf>
    <xf numFmtId="0" fontId="12" fillId="43" borderId="0" xfId="620" applyFont="1" applyFill="1" applyBorder="1" applyAlignment="1">
      <alignment horizontal="left"/>
    </xf>
    <xf numFmtId="0" fontId="12" fillId="43" borderId="0" xfId="620" applyFont="1" applyFill="1" applyBorder="1" applyAlignment="1">
      <alignment horizontal="center"/>
    </xf>
    <xf numFmtId="0" fontId="24" fillId="0" borderId="0" xfId="620" applyFont="1" applyFill="1" applyBorder="1" applyAlignment="1">
      <alignment horizontal="center"/>
    </xf>
    <xf numFmtId="0" fontId="12" fillId="0" borderId="0" xfId="620" applyFont="1" applyFill="1" applyBorder="1" applyAlignment="1">
      <alignment horizontal="center"/>
    </xf>
    <xf numFmtId="0" fontId="12" fillId="0" borderId="0" xfId="620" applyFont="1" applyFill="1" applyBorder="1" applyAlignment="1">
      <alignment horizontal="left"/>
    </xf>
    <xf numFmtId="3" fontId="12" fillId="0" borderId="0" xfId="620" applyNumberFormat="1" applyFont="1" applyBorder="1" applyAlignment="1">
      <alignment horizontal="center"/>
    </xf>
    <xf numFmtId="4" fontId="12" fillId="0" borderId="0" xfId="620" applyNumberFormat="1" applyFont="1" applyFill="1" applyBorder="1" applyAlignment="1">
      <alignment horizontal="center"/>
    </xf>
    <xf numFmtId="0" fontId="12" fillId="0" borderId="0" xfId="620" applyFont="1" applyFill="1" applyBorder="1"/>
    <xf numFmtId="0" fontId="91" fillId="0" borderId="0" xfId="595" applyFont="1" applyBorder="1" applyAlignment="1">
      <alignment horizontal="left"/>
    </xf>
    <xf numFmtId="0" fontId="91" fillId="0" borderId="0" xfId="595" applyFont="1" applyBorder="1"/>
    <xf numFmtId="4" fontId="91" fillId="0" borderId="0" xfId="595" applyNumberFormat="1" applyFont="1" applyBorder="1"/>
    <xf numFmtId="0" fontId="91" fillId="0" borderId="0" xfId="595" applyFont="1"/>
    <xf numFmtId="4" fontId="91" fillId="0" borderId="24" xfId="595" applyNumberFormat="1" applyFont="1" applyBorder="1" applyAlignment="1">
      <alignment horizontal="left"/>
    </xf>
    <xf numFmtId="0" fontId="91" fillId="0" borderId="24" xfId="595" applyFont="1" applyBorder="1"/>
    <xf numFmtId="4" fontId="91" fillId="0" borderId="24" xfId="595" applyNumberFormat="1" applyFont="1" applyBorder="1"/>
    <xf numFmtId="0" fontId="91" fillId="0" borderId="25" xfId="595" applyFont="1" applyBorder="1" applyAlignment="1"/>
    <xf numFmtId="49" fontId="91" fillId="0" borderId="0" xfId="595" applyNumberFormat="1" applyFont="1" applyBorder="1" applyAlignment="1">
      <alignment horizontal="center"/>
    </xf>
    <xf numFmtId="0" fontId="91" fillId="0" borderId="0" xfId="595" applyFont="1" applyBorder="1" applyAlignment="1"/>
    <xf numFmtId="4" fontId="91" fillId="0" borderId="24" xfId="595" applyNumberFormat="1" applyFont="1" applyBorder="1" applyAlignment="1"/>
    <xf numFmtId="49" fontId="92" fillId="0" borderId="0" xfId="595" applyNumberFormat="1" applyFont="1" applyBorder="1" applyAlignment="1">
      <alignment horizontal="left"/>
    </xf>
    <xf numFmtId="49" fontId="50" fillId="0" borderId="0" xfId="595" applyNumberFormat="1" applyFont="1" applyBorder="1" applyAlignment="1">
      <alignment horizontal="left"/>
    </xf>
    <xf numFmtId="4" fontId="39" fillId="43" borderId="21" xfId="605" applyFont="1" applyFill="1" applyBorder="1" applyAlignment="1">
      <alignment horizontal="left" vertical="center"/>
    </xf>
    <xf numFmtId="0" fontId="33" fillId="0" borderId="6" xfId="617" applyFont="1" applyFill="1" applyBorder="1" applyAlignment="1">
      <alignment horizontal="center" vertical="center"/>
    </xf>
    <xf numFmtId="0" fontId="33" fillId="43" borderId="20" xfId="617" applyFont="1" applyFill="1" applyBorder="1" applyAlignment="1">
      <alignment vertical="center" wrapText="1"/>
    </xf>
    <xf numFmtId="0" fontId="35" fillId="43" borderId="6" xfId="611" applyFont="1" applyFill="1" applyBorder="1" applyAlignment="1">
      <alignment horizontal="center" vertical="center" wrapText="1"/>
    </xf>
    <xf numFmtId="0" fontId="35" fillId="43" borderId="6" xfId="611" applyFont="1" applyFill="1" applyBorder="1" applyAlignment="1">
      <alignment horizontal="center" vertical="center"/>
    </xf>
    <xf numFmtId="0" fontId="35" fillId="43" borderId="6" xfId="611" applyFont="1" applyFill="1" applyBorder="1" applyAlignment="1">
      <alignment horizontal="center"/>
    </xf>
    <xf numFmtId="0" fontId="28" fillId="0" borderId="6" xfId="620" applyFont="1" applyBorder="1" applyAlignment="1">
      <alignment horizontal="left"/>
    </xf>
    <xf numFmtId="0" fontId="28" fillId="0" borderId="0" xfId="620" applyFont="1" applyAlignment="1">
      <alignment horizontal="left"/>
    </xf>
    <xf numFmtId="0" fontId="84" fillId="0" borderId="0" xfId="0" applyFont="1" applyAlignment="1">
      <alignment horizontal="left" vertical="center"/>
    </xf>
    <xf numFmtId="0" fontId="2" fillId="0" borderId="0" xfId="0" applyFont="1" applyAlignment="1">
      <alignment vertical="center"/>
    </xf>
    <xf numFmtId="0" fontId="37" fillId="0" borderId="0" xfId="0" applyFont="1" applyAlignment="1">
      <alignment vertical="center"/>
    </xf>
    <xf numFmtId="0" fontId="100" fillId="43" borderId="0" xfId="616" applyFont="1" applyFill="1" applyBorder="1" applyAlignment="1">
      <alignment horizontal="center" wrapText="1"/>
    </xf>
    <xf numFmtId="0" fontId="100" fillId="43" borderId="0" xfId="616" applyFont="1" applyFill="1" applyAlignment="1">
      <alignment vertical="center" wrapText="1"/>
    </xf>
    <xf numFmtId="0" fontId="100" fillId="43" borderId="24" xfId="616" applyFont="1" applyFill="1" applyBorder="1" applyAlignment="1">
      <alignment horizontal="center" wrapText="1"/>
    </xf>
    <xf numFmtId="0" fontId="33" fillId="0" borderId="6" xfId="617" applyFont="1" applyFill="1" applyBorder="1" applyAlignment="1">
      <alignment horizontal="center" vertical="center" wrapText="1"/>
    </xf>
    <xf numFmtId="0" fontId="34" fillId="0" borderId="19" xfId="617" applyFont="1" applyFill="1" applyBorder="1" applyAlignment="1">
      <alignment horizontal="center" vertical="center" wrapText="1"/>
    </xf>
    <xf numFmtId="49" fontId="33" fillId="0" borderId="19" xfId="617" applyNumberFormat="1" applyFont="1" applyFill="1" applyBorder="1" applyAlignment="1">
      <alignment horizontal="center" vertical="center" wrapText="1"/>
    </xf>
    <xf numFmtId="0" fontId="34" fillId="0" borderId="6" xfId="617" applyFont="1" applyFill="1" applyBorder="1" applyAlignment="1">
      <alignment horizontal="center" vertical="center" wrapText="1"/>
    </xf>
    <xf numFmtId="0" fontId="37" fillId="0" borderId="0" xfId="0" applyFont="1" applyAlignment="1">
      <alignment horizontal="center" vertical="center"/>
    </xf>
    <xf numFmtId="0" fontId="106" fillId="0" borderId="0" xfId="509" applyFont="1" applyAlignment="1" applyProtection="1">
      <alignment horizontal="center"/>
    </xf>
    <xf numFmtId="16" fontId="106" fillId="0" borderId="0" xfId="509" applyNumberFormat="1" applyFont="1" applyAlignment="1" applyProtection="1">
      <alignment horizontal="center"/>
    </xf>
    <xf numFmtId="0" fontId="107" fillId="0" borderId="26" xfId="509" applyFont="1" applyBorder="1" applyAlignment="1" applyProtection="1">
      <alignment horizontal="center"/>
    </xf>
    <xf numFmtId="0" fontId="106" fillId="0" borderId="26" xfId="509" applyFont="1" applyBorder="1" applyAlignment="1" applyProtection="1">
      <alignment horizontal="center"/>
    </xf>
    <xf numFmtId="0" fontId="86" fillId="0" borderId="0" xfId="614" applyNumberFormat="1" applyFont="1" applyAlignment="1">
      <alignment horizontal="center" vertical="center" wrapText="1"/>
    </xf>
    <xf numFmtId="0" fontId="57" fillId="0" borderId="0" xfId="620" applyFont="1" applyAlignment="1">
      <alignment horizontal="center"/>
    </xf>
    <xf numFmtId="0" fontId="108" fillId="0" borderId="0" xfId="595" applyFont="1" applyAlignment="1">
      <alignment horizontal="center"/>
    </xf>
    <xf numFmtId="3" fontId="109" fillId="0" borderId="0" xfId="605" applyNumberFormat="1" applyFont="1" applyAlignment="1">
      <alignment horizontal="center" vertical="center"/>
    </xf>
    <xf numFmtId="0" fontId="93" fillId="0" borderId="0" xfId="609" applyFont="1" applyAlignment="1">
      <alignment horizontal="center"/>
    </xf>
    <xf numFmtId="167" fontId="60" fillId="43" borderId="6" xfId="749" applyFont="1" applyFill="1" applyBorder="1" applyAlignment="1">
      <alignment horizontal="center" vertical="center" wrapText="1"/>
    </xf>
    <xf numFmtId="4" fontId="110" fillId="0" borderId="0" xfId="0" applyNumberFormat="1" applyFont="1" applyFill="1" applyBorder="1" applyAlignment="1">
      <alignment horizontal="center" vertical="center"/>
    </xf>
    <xf numFmtId="0" fontId="11" fillId="0" borderId="0" xfId="0" applyFont="1" applyFill="1"/>
    <xf numFmtId="167" fontId="60" fillId="43" borderId="6" xfId="749" applyFont="1" applyFill="1" applyBorder="1" applyAlignment="1">
      <alignment horizontal="center" vertical="center"/>
    </xf>
    <xf numFmtId="167" fontId="110" fillId="0" borderId="0" xfId="749" applyFont="1" applyBorder="1" applyAlignment="1">
      <alignment horizontal="center" vertical="center"/>
    </xf>
    <xf numFmtId="167" fontId="11" fillId="0" borderId="0" xfId="749" applyFont="1"/>
    <xf numFmtId="0" fontId="60" fillId="43" borderId="19" xfId="749" applyNumberFormat="1" applyFont="1" applyFill="1" applyBorder="1" applyAlignment="1">
      <alignment horizontal="center" vertical="center" wrapText="1"/>
    </xf>
    <xf numFmtId="0" fontId="60" fillId="43" borderId="28" xfId="749" applyNumberFormat="1" applyFont="1" applyFill="1" applyBorder="1" applyAlignment="1">
      <alignment horizontal="center" vertical="center" wrapText="1"/>
    </xf>
    <xf numFmtId="0" fontId="60" fillId="43" borderId="19" xfId="749" applyNumberFormat="1" applyFont="1" applyFill="1" applyBorder="1" applyAlignment="1">
      <alignment horizontal="center" vertical="center"/>
    </xf>
    <xf numFmtId="0" fontId="60" fillId="43" borderId="6" xfId="749" applyNumberFormat="1" applyFont="1" applyFill="1" applyBorder="1" applyAlignment="1">
      <alignment horizontal="center" vertical="center" wrapText="1"/>
    </xf>
    <xf numFmtId="0" fontId="110" fillId="0" borderId="0" xfId="749" applyNumberFormat="1" applyFont="1" applyBorder="1" applyAlignment="1">
      <alignment horizontal="center" vertical="center"/>
    </xf>
    <xf numFmtId="0" fontId="11" fillId="0" borderId="0" xfId="749" applyNumberFormat="1" applyFont="1"/>
    <xf numFmtId="0" fontId="104" fillId="0" borderId="24" xfId="614" applyNumberFormat="1" applyFont="1" applyBorder="1" applyAlignment="1">
      <alignment vertical="center" wrapText="1"/>
    </xf>
    <xf numFmtId="3" fontId="10" fillId="0" borderId="0" xfId="605" applyNumberFormat="1" applyFont="1" applyAlignment="1">
      <alignment horizontal="center" vertical="center"/>
    </xf>
    <xf numFmtId="4" fontId="57" fillId="0" borderId="0" xfId="605" applyFont="1" applyAlignment="1">
      <alignment wrapText="1"/>
    </xf>
    <xf numFmtId="0" fontId="150" fillId="51" borderId="6" xfId="0" applyFont="1" applyFill="1" applyBorder="1" applyAlignment="1">
      <alignment horizontal="left" vertical="top"/>
    </xf>
    <xf numFmtId="2" fontId="150" fillId="51" borderId="6" xfId="0" applyNumberFormat="1" applyFont="1" applyFill="1" applyBorder="1" applyAlignment="1">
      <alignment vertical="center"/>
    </xf>
    <xf numFmtId="0" fontId="151" fillId="51" borderId="6" xfId="0" applyFont="1" applyFill="1" applyBorder="1" applyAlignment="1">
      <alignment horizontal="center"/>
    </xf>
    <xf numFmtId="0" fontId="150" fillId="51" borderId="6" xfId="0" applyFont="1" applyFill="1" applyBorder="1" applyAlignment="1">
      <alignment horizontal="center" vertical="top" wrapText="1"/>
    </xf>
    <xf numFmtId="4" fontId="150" fillId="51" borderId="6" xfId="0" applyNumberFormat="1" applyFont="1" applyFill="1" applyBorder="1" applyAlignment="1">
      <alignment horizontal="right" vertical="top" wrapText="1"/>
    </xf>
    <xf numFmtId="1" fontId="2" fillId="0" borderId="0" xfId="0" applyNumberFormat="1" applyFont="1" applyFill="1" applyAlignment="1">
      <alignment horizontal="center" vertical="top"/>
    </xf>
    <xf numFmtId="0" fontId="2" fillId="0" borderId="0" xfId="0" applyFont="1" applyFill="1"/>
    <xf numFmtId="170" fontId="150" fillId="51" borderId="6" xfId="0" applyNumberFormat="1" applyFont="1" applyFill="1" applyBorder="1" applyAlignment="1">
      <alignment horizontal="center" vertical="top" wrapText="1"/>
    </xf>
    <xf numFmtId="0" fontId="152" fillId="51" borderId="6" xfId="0" applyFont="1" applyFill="1" applyBorder="1" applyAlignment="1">
      <alignment horizontal="left" vertical="top" wrapText="1"/>
    </xf>
    <xf numFmtId="3" fontId="150" fillId="51" borderId="6" xfId="0" applyNumberFormat="1" applyFont="1" applyFill="1" applyBorder="1" applyAlignment="1">
      <alignment horizontal="right" vertical="top" wrapText="1"/>
    </xf>
    <xf numFmtId="1" fontId="11" fillId="0" borderId="0" xfId="0" applyNumberFormat="1" applyFont="1" applyFill="1" applyBorder="1" applyAlignment="1">
      <alignment horizontal="center" vertical="top"/>
    </xf>
    <xf numFmtId="0" fontId="118" fillId="0" borderId="0" xfId="0" applyFont="1" applyFill="1" applyAlignment="1"/>
    <xf numFmtId="0" fontId="119" fillId="0" borderId="0" xfId="0" applyFont="1" applyFill="1"/>
    <xf numFmtId="0" fontId="153" fillId="51" borderId="6" xfId="0" applyFont="1" applyFill="1" applyBorder="1" applyAlignment="1">
      <alignment horizontal="left" vertical="center" wrapText="1"/>
    </xf>
    <xf numFmtId="0" fontId="154" fillId="51" borderId="6" xfId="0" applyFont="1" applyFill="1" applyBorder="1" applyAlignment="1">
      <alignment horizontal="left" vertical="top" wrapText="1"/>
    </xf>
    <xf numFmtId="1" fontId="11" fillId="0" borderId="0" xfId="0" applyNumberFormat="1" applyFont="1" applyFill="1" applyAlignment="1">
      <alignment horizontal="center" vertical="top"/>
    </xf>
    <xf numFmtId="0" fontId="118" fillId="0" borderId="0" xfId="0" applyFont="1" applyFill="1" applyBorder="1"/>
    <xf numFmtId="0" fontId="118" fillId="0" borderId="0" xfId="0" applyFont="1" applyFill="1"/>
    <xf numFmtId="170" fontId="150" fillId="51" borderId="6" xfId="0" applyNumberFormat="1" applyFont="1" applyFill="1" applyBorder="1" applyAlignment="1">
      <alignment horizontal="left" vertical="top" wrapText="1"/>
    </xf>
    <xf numFmtId="0" fontId="154" fillId="51" borderId="6" xfId="0" applyFont="1" applyFill="1" applyBorder="1" applyAlignment="1">
      <alignment horizontal="left" vertical="center" wrapText="1"/>
    </xf>
    <xf numFmtId="1" fontId="154" fillId="51" borderId="6" xfId="0" applyNumberFormat="1" applyFont="1" applyFill="1" applyBorder="1" applyAlignment="1">
      <alignment horizontal="left" vertical="top" wrapText="1"/>
    </xf>
    <xf numFmtId="0" fontId="155" fillId="51" borderId="6" xfId="0" applyFont="1" applyFill="1" applyBorder="1" applyAlignment="1">
      <alignment horizontal="left" vertical="center" wrapText="1"/>
    </xf>
    <xf numFmtId="0" fontId="150" fillId="51" borderId="6" xfId="0" applyFont="1" applyFill="1" applyBorder="1" applyAlignment="1">
      <alignment horizontal="left" vertical="top" wrapText="1"/>
    </xf>
    <xf numFmtId="175" fontId="155" fillId="51" borderId="6" xfId="0" applyNumberFormat="1" applyFont="1" applyFill="1" applyBorder="1" applyAlignment="1">
      <alignment horizontal="left" vertical="center" wrapText="1"/>
    </xf>
    <xf numFmtId="170" fontId="155" fillId="51" borderId="6" xfId="0" applyNumberFormat="1" applyFont="1" applyFill="1" applyBorder="1" applyAlignment="1">
      <alignment horizontal="left" vertical="center" wrapText="1"/>
    </xf>
    <xf numFmtId="169" fontId="155" fillId="51" borderId="6" xfId="0" applyNumberFormat="1" applyFont="1" applyFill="1" applyBorder="1" applyAlignment="1">
      <alignment horizontal="left" vertical="center" wrapText="1"/>
    </xf>
    <xf numFmtId="2" fontId="155" fillId="51" borderId="6" xfId="0" applyNumberFormat="1" applyFont="1" applyFill="1" applyBorder="1" applyAlignment="1">
      <alignment horizontal="left" vertical="center"/>
    </xf>
    <xf numFmtId="0" fontId="154" fillId="51" borderId="6" xfId="0" applyFont="1" applyFill="1" applyBorder="1" applyAlignment="1">
      <alignment horizontal="left" vertical="center"/>
    </xf>
    <xf numFmtId="0" fontId="154" fillId="51" borderId="6" xfId="0" applyFont="1" applyFill="1" applyBorder="1" applyAlignment="1">
      <alignment horizontal="left" vertical="top"/>
    </xf>
    <xf numFmtId="168" fontId="155" fillId="51" borderId="6" xfId="0" applyNumberFormat="1" applyFont="1" applyFill="1" applyBorder="1" applyAlignment="1">
      <alignment horizontal="left" vertical="center" wrapText="1"/>
    </xf>
    <xf numFmtId="0" fontId="151" fillId="51" borderId="6" xfId="0" applyFont="1" applyFill="1" applyBorder="1" applyAlignment="1">
      <alignment horizontal="left"/>
    </xf>
    <xf numFmtId="0" fontId="154" fillId="51" borderId="6" xfId="0" applyFont="1" applyFill="1" applyBorder="1" applyAlignment="1">
      <alignment horizontal="left"/>
    </xf>
    <xf numFmtId="2" fontId="154" fillId="51" borderId="6" xfId="0" applyNumberFormat="1" applyFont="1" applyFill="1" applyBorder="1" applyAlignment="1">
      <alignment horizontal="left" vertical="center"/>
    </xf>
    <xf numFmtId="2" fontId="156" fillId="51" borderId="6" xfId="0" applyNumberFormat="1" applyFont="1" applyFill="1" applyBorder="1" applyAlignment="1">
      <alignment horizontal="left" vertical="center"/>
    </xf>
    <xf numFmtId="3" fontId="150" fillId="51" borderId="6" xfId="0" applyNumberFormat="1" applyFont="1" applyFill="1" applyBorder="1" applyAlignment="1">
      <alignment horizontal="left" vertical="top" wrapText="1"/>
    </xf>
    <xf numFmtId="0" fontId="150" fillId="51" borderId="6" xfId="0" applyFont="1" applyFill="1" applyBorder="1" applyAlignment="1">
      <alignment horizontal="left" vertical="center" wrapText="1"/>
    </xf>
    <xf numFmtId="0" fontId="150" fillId="51" borderId="6" xfId="0" applyFont="1" applyFill="1" applyBorder="1" applyAlignment="1">
      <alignment horizontal="left" vertical="center"/>
    </xf>
    <xf numFmtId="1" fontId="150" fillId="51" borderId="6" xfId="0" applyNumberFormat="1" applyFont="1" applyFill="1" applyBorder="1" applyAlignment="1">
      <alignment horizontal="left" vertical="top" wrapText="1"/>
    </xf>
    <xf numFmtId="16" fontId="150" fillId="51" borderId="6" xfId="0" applyNumberFormat="1" applyFont="1" applyFill="1" applyBorder="1" applyAlignment="1">
      <alignment horizontal="left" vertical="top" wrapText="1"/>
    </xf>
    <xf numFmtId="0" fontId="119" fillId="0" borderId="0" xfId="0" applyFont="1" applyFill="1" applyBorder="1"/>
    <xf numFmtId="0" fontId="150" fillId="51" borderId="20" xfId="0" applyFont="1" applyFill="1" applyBorder="1" applyAlignment="1">
      <alignment horizontal="left" vertical="top" wrapText="1"/>
    </xf>
    <xf numFmtId="1" fontId="120" fillId="0" borderId="0" xfId="776" applyNumberFormat="1" applyFont="1" applyFill="1" applyBorder="1" applyAlignment="1">
      <alignment horizontal="center" vertical="top"/>
    </xf>
    <xf numFmtId="186" fontId="155" fillId="51" borderId="6" xfId="0" applyNumberFormat="1" applyFont="1" applyFill="1" applyBorder="1" applyAlignment="1">
      <alignment horizontal="left" vertical="center" wrapText="1"/>
    </xf>
    <xf numFmtId="3" fontId="152" fillId="51" borderId="6" xfId="0" applyNumberFormat="1" applyFont="1" applyFill="1" applyBorder="1" applyAlignment="1">
      <alignment horizontal="left" vertical="center" wrapText="1"/>
    </xf>
    <xf numFmtId="1" fontId="5" fillId="0" borderId="0" xfId="0" applyNumberFormat="1" applyFont="1" applyFill="1" applyBorder="1" applyAlignment="1">
      <alignment horizontal="center" vertical="top"/>
    </xf>
    <xf numFmtId="3" fontId="157" fillId="51" borderId="6" xfId="0" applyNumberFormat="1" applyFont="1" applyFill="1" applyBorder="1" applyAlignment="1">
      <alignment horizontal="left" vertical="center" wrapText="1"/>
    </xf>
    <xf numFmtId="170" fontId="154" fillId="51" borderId="6" xfId="0" applyNumberFormat="1" applyFont="1" applyFill="1" applyBorder="1" applyAlignment="1">
      <alignment horizontal="left" vertical="center" wrapText="1"/>
    </xf>
    <xf numFmtId="1" fontId="154" fillId="51" borderId="6" xfId="0" applyNumberFormat="1" applyFont="1" applyFill="1" applyBorder="1" applyAlignment="1">
      <alignment horizontal="left" vertical="center" wrapText="1"/>
    </xf>
    <xf numFmtId="0" fontId="2" fillId="0" borderId="0" xfId="0" applyFont="1" applyFill="1" applyBorder="1" applyAlignment="1">
      <alignment horizontal="center"/>
    </xf>
    <xf numFmtId="2" fontId="154" fillId="51" borderId="6" xfId="0" applyNumberFormat="1" applyFont="1" applyFill="1" applyBorder="1" applyAlignment="1">
      <alignment horizontal="left" vertical="center" wrapText="1"/>
    </xf>
    <xf numFmtId="168" fontId="158" fillId="51" borderId="6" xfId="0" applyNumberFormat="1" applyFont="1" applyFill="1" applyBorder="1" applyAlignment="1">
      <alignment horizontal="left" vertical="center" wrapText="1"/>
    </xf>
    <xf numFmtId="0" fontId="154" fillId="51" borderId="26" xfId="0" applyFont="1" applyFill="1" applyBorder="1" applyAlignment="1">
      <alignment vertical="top" wrapText="1"/>
    </xf>
    <xf numFmtId="0" fontId="154" fillId="51" borderId="6" xfId="0" applyFont="1" applyFill="1" applyBorder="1" applyAlignment="1">
      <alignment vertical="top" wrapText="1"/>
    </xf>
    <xf numFmtId="0" fontId="121" fillId="0" borderId="0" xfId="0" applyFont="1" applyFill="1"/>
    <xf numFmtId="0" fontId="153" fillId="51" borderId="6" xfId="0" applyFont="1" applyFill="1" applyBorder="1" applyAlignment="1">
      <alignment horizontal="left"/>
    </xf>
    <xf numFmtId="1" fontId="154" fillId="51" borderId="6" xfId="0" applyNumberFormat="1" applyFont="1" applyFill="1" applyBorder="1" applyAlignment="1">
      <alignment horizontal="left"/>
    </xf>
    <xf numFmtId="2" fontId="159" fillId="51" borderId="6" xfId="0" applyNumberFormat="1" applyFont="1" applyFill="1" applyBorder="1" applyAlignment="1">
      <alignment horizontal="left" vertical="center" wrapText="1"/>
    </xf>
    <xf numFmtId="1" fontId="4" fillId="0" borderId="0" xfId="0" applyNumberFormat="1" applyFont="1" applyFill="1" applyAlignment="1">
      <alignment horizontal="center" vertical="top"/>
    </xf>
    <xf numFmtId="0" fontId="4" fillId="0" borderId="0" xfId="0" applyFont="1" applyFill="1"/>
    <xf numFmtId="0" fontId="4" fillId="52" borderId="0" xfId="0" applyFont="1" applyFill="1"/>
    <xf numFmtId="1" fontId="5" fillId="0" borderId="0" xfId="0" applyNumberFormat="1" applyFont="1" applyFill="1" applyAlignment="1">
      <alignment horizontal="center" vertical="top"/>
    </xf>
    <xf numFmtId="0" fontId="0" fillId="0" borderId="0" xfId="0" applyFont="1" applyFill="1"/>
    <xf numFmtId="0" fontId="150" fillId="51" borderId="6" xfId="0" applyFont="1" applyFill="1" applyBorder="1" applyAlignment="1">
      <alignment vertical="top" wrapText="1"/>
    </xf>
    <xf numFmtId="3" fontId="158" fillId="51" borderId="6" xfId="0" applyNumberFormat="1" applyFont="1" applyFill="1" applyBorder="1" applyAlignment="1">
      <alignment horizontal="left" vertical="center" wrapText="1"/>
    </xf>
    <xf numFmtId="169" fontId="158" fillId="51" borderId="6" xfId="0" applyNumberFormat="1" applyFont="1" applyFill="1" applyBorder="1" applyAlignment="1">
      <alignment horizontal="left" vertical="center" wrapText="1"/>
    </xf>
    <xf numFmtId="0" fontId="151" fillId="51" borderId="6" xfId="0" applyFont="1" applyFill="1" applyBorder="1" applyAlignment="1"/>
    <xf numFmtId="0" fontId="0" fillId="0" borderId="0" xfId="0" applyFill="1"/>
    <xf numFmtId="0" fontId="154" fillId="51" borderId="6" xfId="0" applyFont="1" applyFill="1" applyBorder="1" applyAlignment="1">
      <alignment vertical="center" wrapText="1"/>
    </xf>
    <xf numFmtId="0" fontId="160" fillId="51" borderId="6" xfId="0" applyFont="1" applyFill="1" applyBorder="1" applyAlignment="1">
      <alignment horizontal="center" vertical="top"/>
    </xf>
    <xf numFmtId="1" fontId="122" fillId="0" borderId="0" xfId="0" applyNumberFormat="1" applyFont="1" applyFill="1" applyAlignment="1">
      <alignment horizontal="center" vertical="top"/>
    </xf>
    <xf numFmtId="187" fontId="122" fillId="0" borderId="0" xfId="0" applyNumberFormat="1" applyFont="1" applyFill="1" applyAlignment="1">
      <alignment horizontal="left"/>
    </xf>
    <xf numFmtId="2" fontId="150" fillId="51" borderId="6" xfId="0" applyNumberFormat="1" applyFont="1" applyFill="1" applyBorder="1" applyAlignment="1">
      <alignment horizontal="left" vertical="center"/>
    </xf>
    <xf numFmtId="0" fontId="123" fillId="0" borderId="0" xfId="0" applyFont="1" applyFill="1" applyAlignment="1">
      <alignment horizontal="right" vertical="center"/>
    </xf>
    <xf numFmtId="0" fontId="123" fillId="0" borderId="0" xfId="0" applyFont="1" applyFill="1" applyAlignment="1">
      <alignment vertical="center"/>
    </xf>
    <xf numFmtId="175" fontId="158" fillId="51" borderId="6" xfId="0" applyNumberFormat="1" applyFont="1" applyFill="1" applyBorder="1" applyAlignment="1">
      <alignment horizontal="left" vertical="center" wrapText="1"/>
    </xf>
    <xf numFmtId="1" fontId="154" fillId="51" borderId="6" xfId="0" applyNumberFormat="1" applyFont="1" applyFill="1" applyBorder="1" applyAlignment="1">
      <alignment horizontal="left" wrapText="1"/>
    </xf>
    <xf numFmtId="2" fontId="154" fillId="51" borderId="6" xfId="0" applyNumberFormat="1" applyFont="1" applyFill="1" applyBorder="1" applyAlignment="1">
      <alignment horizontal="left"/>
    </xf>
    <xf numFmtId="3" fontId="161" fillId="51" borderId="20" xfId="605" applyNumberFormat="1" applyFont="1" applyFill="1" applyBorder="1" applyAlignment="1">
      <alignment horizontal="center" vertical="center" wrapText="1"/>
    </xf>
    <xf numFmtId="3" fontId="162" fillId="51" borderId="6" xfId="605" applyNumberFormat="1" applyFont="1" applyFill="1" applyBorder="1" applyAlignment="1">
      <alignment horizontal="center" vertical="center"/>
    </xf>
    <xf numFmtId="4" fontId="162" fillId="51" borderId="6" xfId="605" applyFont="1" applyFill="1" applyBorder="1" applyAlignment="1">
      <alignment vertical="center" wrapText="1"/>
    </xf>
    <xf numFmtId="173" fontId="162" fillId="51" borderId="6" xfId="605" applyNumberFormat="1" applyFont="1" applyFill="1" applyBorder="1" applyAlignment="1">
      <alignment horizontal="center" vertical="center"/>
    </xf>
    <xf numFmtId="3" fontId="162" fillId="51" borderId="6" xfId="784" applyNumberFormat="1" applyFont="1" applyFill="1" applyBorder="1" applyAlignment="1">
      <alignment horizontal="center" vertical="center"/>
    </xf>
    <xf numFmtId="4" fontId="162" fillId="51" borderId="26" xfId="605" applyFont="1" applyFill="1" applyBorder="1" applyAlignment="1">
      <alignment vertical="center"/>
    </xf>
    <xf numFmtId="3" fontId="162" fillId="51" borderId="26" xfId="605" applyNumberFormat="1" applyFont="1" applyFill="1" applyBorder="1" applyAlignment="1">
      <alignment horizontal="center" vertical="center"/>
    </xf>
    <xf numFmtId="3" fontId="162" fillId="51" borderId="26" xfId="784" applyNumberFormat="1" applyFont="1" applyFill="1" applyBorder="1" applyAlignment="1">
      <alignment horizontal="center" vertical="center"/>
    </xf>
    <xf numFmtId="4" fontId="162" fillId="51" borderId="6" xfId="605" applyNumberFormat="1" applyFont="1" applyFill="1" applyBorder="1" applyAlignment="1">
      <alignment horizontal="center" vertical="center"/>
    </xf>
    <xf numFmtId="3" fontId="161" fillId="51" borderId="20" xfId="605" applyNumberFormat="1" applyFont="1" applyFill="1" applyBorder="1" applyAlignment="1">
      <alignment horizontal="center" vertical="center"/>
    </xf>
    <xf numFmtId="4" fontId="161" fillId="51" borderId="21" xfId="605" applyFont="1" applyFill="1" applyBorder="1" applyAlignment="1">
      <alignment vertical="center"/>
    </xf>
    <xf numFmtId="3" fontId="161" fillId="51" borderId="21" xfId="605" applyNumberFormat="1" applyFont="1" applyFill="1" applyBorder="1" applyAlignment="1">
      <alignment horizontal="center" vertical="center"/>
    </xf>
    <xf numFmtId="3" fontId="161" fillId="51" borderId="16" xfId="784" applyNumberFormat="1" applyFont="1" applyFill="1" applyBorder="1" applyAlignment="1">
      <alignment horizontal="center" vertical="center"/>
    </xf>
    <xf numFmtId="173" fontId="162" fillId="51" borderId="26" xfId="605" applyNumberFormat="1" applyFont="1" applyFill="1" applyBorder="1" applyAlignment="1">
      <alignment horizontal="center" vertical="center"/>
    </xf>
    <xf numFmtId="0" fontId="15" fillId="0" borderId="0" xfId="620" applyFont="1" applyBorder="1"/>
    <xf numFmtId="4" fontId="37" fillId="43" borderId="0" xfId="612" applyFont="1" applyFill="1" applyBorder="1" applyAlignment="1">
      <alignment horizontal="left" vertical="center" wrapText="1"/>
    </xf>
    <xf numFmtId="4" fontId="44" fillId="43" borderId="24" xfId="0" applyNumberFormat="1" applyFont="1" applyFill="1" applyBorder="1"/>
    <xf numFmtId="4" fontId="93" fillId="43" borderId="6" xfId="611" applyNumberFormat="1" applyFont="1" applyFill="1" applyBorder="1" applyAlignment="1">
      <alignment horizontal="center" vertical="top"/>
    </xf>
    <xf numFmtId="4" fontId="35" fillId="0" borderId="6" xfId="611" applyNumberFormat="1" applyFont="1" applyBorder="1" applyAlignment="1">
      <alignment horizontal="center" vertical="top"/>
    </xf>
    <xf numFmtId="4" fontId="35" fillId="0" borderId="6" xfId="611" applyNumberFormat="1" applyFont="1" applyBorder="1" applyAlignment="1">
      <alignment horizontal="center" vertical="center"/>
    </xf>
    <xf numFmtId="4" fontId="44" fillId="0" borderId="16" xfId="611" applyNumberFormat="1" applyFont="1" applyBorder="1" applyAlignment="1">
      <alignment horizontal="center" vertical="center"/>
    </xf>
    <xf numFmtId="4" fontId="44" fillId="43" borderId="16" xfId="611" applyNumberFormat="1" applyFont="1" applyFill="1" applyBorder="1" applyAlignment="1">
      <alignment horizontal="center" vertical="center"/>
    </xf>
    <xf numFmtId="4" fontId="34" fillId="0" borderId="19" xfId="617" applyNumberFormat="1" applyFont="1" applyFill="1" applyBorder="1" applyAlignment="1">
      <alignment horizontal="center" vertical="center" wrapText="1"/>
    </xf>
    <xf numFmtId="4" fontId="33" fillId="0" borderId="19" xfId="617" applyNumberFormat="1" applyFont="1" applyFill="1" applyBorder="1" applyAlignment="1">
      <alignment horizontal="center" vertical="center" wrapText="1"/>
    </xf>
    <xf numFmtId="4" fontId="34" fillId="0" borderId="6" xfId="617" applyNumberFormat="1" applyFont="1" applyFill="1" applyBorder="1" applyAlignment="1">
      <alignment horizontal="center" vertical="center" wrapText="1"/>
    </xf>
    <xf numFmtId="4" fontId="34" fillId="0" borderId="29" xfId="617" applyNumberFormat="1" applyFont="1" applyFill="1" applyBorder="1" applyAlignment="1">
      <alignment horizontal="center" vertical="center" wrapText="1"/>
    </xf>
    <xf numFmtId="4" fontId="37" fillId="43" borderId="6" xfId="605" applyNumberFormat="1" applyFont="1" applyFill="1" applyBorder="1" applyAlignment="1">
      <alignment horizontal="center" vertical="center"/>
    </xf>
    <xf numFmtId="4" fontId="150" fillId="51" borderId="6" xfId="0" applyNumberFormat="1" applyFont="1" applyFill="1" applyBorder="1" applyAlignment="1">
      <alignment horizontal="left" vertical="top" wrapText="1"/>
    </xf>
    <xf numFmtId="4" fontId="161" fillId="51" borderId="6" xfId="605" applyNumberFormat="1" applyFont="1" applyFill="1" applyBorder="1" applyAlignment="1">
      <alignment horizontal="center" vertical="center"/>
    </xf>
    <xf numFmtId="4" fontId="154" fillId="51" borderId="6" xfId="0" applyNumberFormat="1" applyFont="1" applyFill="1" applyBorder="1" applyAlignment="1">
      <alignment horizontal="left" vertical="top" wrapText="1"/>
    </xf>
    <xf numFmtId="4" fontId="158" fillId="51" borderId="6" xfId="0" applyNumberFormat="1" applyFont="1" applyFill="1" applyBorder="1" applyAlignment="1">
      <alignment horizontal="left" vertical="top" wrapText="1"/>
    </xf>
    <xf numFmtId="0" fontId="2" fillId="0" borderId="0" xfId="613" applyFill="1"/>
    <xf numFmtId="0" fontId="87" fillId="0" borderId="0" xfId="621" applyFont="1" applyFill="1" applyAlignment="1"/>
    <xf numFmtId="0" fontId="2" fillId="0" borderId="0" xfId="613" applyFill="1" applyAlignment="1">
      <alignment wrapText="1"/>
    </xf>
    <xf numFmtId="0" fontId="23" fillId="0" borderId="6" xfId="613" applyFont="1" applyFill="1" applyBorder="1" applyAlignment="1">
      <alignment horizontal="center" vertical="center"/>
    </xf>
    <xf numFmtId="0" fontId="23" fillId="0" borderId="6" xfId="613" applyFont="1" applyFill="1" applyBorder="1" applyAlignment="1">
      <alignment horizontal="center" vertical="center" wrapText="1"/>
    </xf>
    <xf numFmtId="3" fontId="23" fillId="0" borderId="6" xfId="613" applyNumberFormat="1" applyFont="1" applyFill="1" applyBorder="1" applyAlignment="1">
      <alignment horizontal="center" vertical="center" wrapText="1"/>
    </xf>
    <xf numFmtId="0" fontId="23" fillId="0" borderId="0" xfId="613" applyFont="1" applyFill="1" applyAlignment="1">
      <alignment wrapText="1"/>
    </xf>
    <xf numFmtId="0" fontId="23" fillId="0" borderId="0" xfId="613" applyFont="1" applyFill="1"/>
    <xf numFmtId="0" fontId="2" fillId="0" borderId="6" xfId="613" applyFont="1" applyFill="1" applyBorder="1" applyAlignment="1">
      <alignment horizontal="center" vertical="center"/>
    </xf>
    <xf numFmtId="0" fontId="2" fillId="0" borderId="6" xfId="613" applyFont="1" applyFill="1" applyBorder="1" applyAlignment="1">
      <alignment horizontal="center" vertical="center" wrapText="1"/>
    </xf>
    <xf numFmtId="0" fontId="124" fillId="0" borderId="0" xfId="568" applyFont="1" applyFill="1" applyBorder="1" applyAlignment="1">
      <alignment horizontal="center" vertical="center" wrapText="1"/>
    </xf>
    <xf numFmtId="0" fontId="2" fillId="0" borderId="0" xfId="568" applyFont="1" applyFill="1" applyBorder="1" applyAlignment="1">
      <alignment wrapText="1"/>
    </xf>
    <xf numFmtId="0" fontId="2" fillId="0" borderId="0" xfId="568" applyFont="1" applyFill="1"/>
    <xf numFmtId="0" fontId="2" fillId="0" borderId="0" xfId="568" applyFont="1" applyFill="1" applyAlignment="1">
      <alignment horizontal="center" vertical="center" wrapText="1"/>
    </xf>
    <xf numFmtId="3" fontId="2" fillId="0" borderId="0" xfId="568" applyNumberFormat="1" applyFont="1" applyFill="1" applyAlignment="1">
      <alignment wrapText="1"/>
    </xf>
    <xf numFmtId="0" fontId="2" fillId="0" borderId="0" xfId="568" applyFont="1" applyFill="1" applyAlignment="1">
      <alignment wrapText="1"/>
    </xf>
    <xf numFmtId="0" fontId="2" fillId="0" borderId="0" xfId="613" applyFont="1" applyFill="1" applyAlignment="1">
      <alignment horizontal="center" vertical="center"/>
    </xf>
    <xf numFmtId="0" fontId="2" fillId="0" borderId="0" xfId="613" applyFont="1" applyFill="1" applyAlignment="1">
      <alignment horizontal="left" vertical="center"/>
    </xf>
    <xf numFmtId="0" fontId="2" fillId="0" borderId="0" xfId="613" applyFont="1" applyFill="1" applyAlignment="1">
      <alignment horizontal="center" vertical="center" wrapText="1"/>
    </xf>
    <xf numFmtId="3" fontId="2" fillId="0" borderId="0" xfId="613" applyNumberFormat="1" applyFont="1" applyFill="1" applyAlignment="1">
      <alignment wrapText="1"/>
    </xf>
    <xf numFmtId="0" fontId="29" fillId="0" borderId="0" xfId="574" applyFont="1"/>
    <xf numFmtId="0" fontId="44" fillId="0" borderId="0" xfId="574" applyFont="1"/>
    <xf numFmtId="0" fontId="29" fillId="43" borderId="0" xfId="574" applyFont="1" applyFill="1"/>
    <xf numFmtId="0" fontId="11" fillId="0" borderId="0" xfId="574"/>
    <xf numFmtId="0" fontId="29" fillId="49" borderId="0" xfId="574" applyFont="1" applyFill="1"/>
    <xf numFmtId="0" fontId="29" fillId="50" borderId="0" xfId="574" applyFont="1" applyFill="1"/>
    <xf numFmtId="0" fontId="2" fillId="0" borderId="0" xfId="613" applyFill="1" applyAlignment="1">
      <alignment horizontal="center" vertical="center"/>
    </xf>
    <xf numFmtId="0" fontId="2" fillId="0" borderId="0" xfId="613" applyFill="1" applyAlignment="1">
      <alignment horizontal="center" vertical="center" wrapText="1"/>
    </xf>
    <xf numFmtId="3" fontId="2" fillId="0" borderId="0" xfId="613" applyNumberFormat="1" applyFill="1" applyAlignment="1">
      <alignment wrapText="1"/>
    </xf>
    <xf numFmtId="0" fontId="87" fillId="0" borderId="0" xfId="621" applyFont="1" applyFill="1" applyAlignment="1">
      <alignment vertical="center" wrapText="1"/>
    </xf>
    <xf numFmtId="0" fontId="2" fillId="51" borderId="0" xfId="621" applyFont="1" applyFill="1" applyAlignment="1">
      <alignment horizontal="left" vertical="center"/>
    </xf>
    <xf numFmtId="0" fontId="2" fillId="51" borderId="0" xfId="621" applyFill="1" applyAlignment="1">
      <alignment horizontal="center" vertical="center"/>
    </xf>
    <xf numFmtId="0" fontId="2" fillId="51" borderId="0" xfId="621" applyFill="1" applyAlignment="1">
      <alignment horizontal="center" vertical="center" wrapText="1"/>
    </xf>
    <xf numFmtId="4" fontId="12" fillId="51" borderId="0" xfId="606" applyFont="1" applyFill="1" applyBorder="1" applyAlignment="1">
      <alignment horizontal="left" vertical="center"/>
    </xf>
    <xf numFmtId="0" fontId="12" fillId="51" borderId="0" xfId="606" applyNumberFormat="1" applyFont="1" applyFill="1" applyAlignment="1"/>
    <xf numFmtId="4" fontId="12" fillId="51" borderId="0" xfId="606" applyFont="1" applyFill="1" applyAlignment="1">
      <alignment vertical="center"/>
    </xf>
    <xf numFmtId="0" fontId="8" fillId="51" borderId="0" xfId="574" applyFont="1" applyFill="1" applyAlignment="1"/>
    <xf numFmtId="0" fontId="105" fillId="51" borderId="0" xfId="613" applyFont="1" applyFill="1" applyAlignment="1">
      <alignment vertical="center" wrapText="1"/>
    </xf>
    <xf numFmtId="0" fontId="2" fillId="51" borderId="0" xfId="568" applyFont="1" applyFill="1" applyAlignment="1">
      <alignment horizontal="center" vertical="center"/>
    </xf>
    <xf numFmtId="0" fontId="2" fillId="51" borderId="0" xfId="568" applyFont="1" applyFill="1" applyAlignment="1">
      <alignment horizontal="left" vertical="center"/>
    </xf>
    <xf numFmtId="0" fontId="2" fillId="51" borderId="0" xfId="568" applyFont="1" applyFill="1" applyAlignment="1">
      <alignment horizontal="center" vertical="center" wrapText="1"/>
    </xf>
    <xf numFmtId="4" fontId="44" fillId="50" borderId="24" xfId="574" applyNumberFormat="1" applyFont="1" applyFill="1" applyBorder="1"/>
    <xf numFmtId="0" fontId="154" fillId="0" borderId="0" xfId="621" applyFont="1" applyFill="1" applyAlignment="1">
      <alignment horizontal="center" vertical="center" wrapText="1"/>
    </xf>
    <xf numFmtId="0" fontId="154" fillId="0" borderId="0" xfId="613" applyFont="1" applyFill="1" applyAlignment="1">
      <alignment wrapText="1"/>
    </xf>
    <xf numFmtId="0" fontId="163" fillId="0" borderId="0" xfId="574" applyFont="1" applyAlignment="1"/>
    <xf numFmtId="4" fontId="163" fillId="0" borderId="0" xfId="606" applyFont="1" applyAlignment="1">
      <alignment vertical="center"/>
    </xf>
    <xf numFmtId="0" fontId="154" fillId="0" borderId="0" xfId="568" applyFont="1" applyFill="1" applyAlignment="1">
      <alignment horizontal="center" vertical="center" wrapText="1"/>
    </xf>
    <xf numFmtId="0" fontId="164" fillId="0" borderId="0" xfId="574" applyFont="1"/>
    <xf numFmtId="0" fontId="149" fillId="0" borderId="0" xfId="621" applyFont="1" applyFill="1" applyAlignment="1"/>
    <xf numFmtId="0" fontId="149" fillId="49" borderId="6" xfId="568" applyFont="1" applyFill="1" applyBorder="1" applyAlignment="1">
      <alignment horizontal="center" vertical="center" wrapText="1"/>
    </xf>
    <xf numFmtId="0" fontId="154" fillId="0" borderId="0" xfId="568" applyFont="1" applyFill="1" applyBorder="1" applyAlignment="1">
      <alignment horizontal="center" vertical="center" wrapText="1"/>
    </xf>
    <xf numFmtId="0" fontId="10" fillId="0" borderId="0" xfId="621" applyFont="1" applyFill="1" applyAlignment="1">
      <alignment horizontal="center" vertical="center" wrapText="1"/>
    </xf>
    <xf numFmtId="0" fontId="10" fillId="0" borderId="0" xfId="621" applyFont="1" applyFill="1" applyAlignment="1">
      <alignment horizontal="center"/>
    </xf>
    <xf numFmtId="4" fontId="37" fillId="51" borderId="6" xfId="605" applyFont="1" applyFill="1" applyBorder="1" applyAlignment="1">
      <alignment vertical="center" wrapText="1"/>
    </xf>
    <xf numFmtId="0" fontId="2" fillId="51" borderId="0" xfId="613" applyFont="1" applyFill="1" applyAlignment="1">
      <alignment horizontal="center" vertical="center"/>
    </xf>
    <xf numFmtId="0" fontId="2" fillId="51" borderId="0" xfId="613" applyFont="1" applyFill="1" applyAlignment="1">
      <alignment horizontal="left" vertical="center"/>
    </xf>
    <xf numFmtId="0" fontId="2" fillId="51" borderId="0" xfId="613" applyFont="1" applyFill="1" applyAlignment="1">
      <alignment horizontal="center" vertical="center" wrapText="1"/>
    </xf>
    <xf numFmtId="3" fontId="2" fillId="51" borderId="0" xfId="613" applyNumberFormat="1" applyFont="1" applyFill="1" applyAlignment="1">
      <alignment wrapText="1"/>
    </xf>
    <xf numFmtId="49" fontId="2" fillId="51" borderId="0" xfId="613" applyNumberFormat="1" applyFont="1" applyFill="1" applyAlignment="1">
      <alignment horizontal="left" vertical="center"/>
    </xf>
    <xf numFmtId="0" fontId="8" fillId="51" borderId="0" xfId="567" applyFont="1" applyFill="1" applyAlignment="1">
      <alignment horizontal="left" vertical="center"/>
    </xf>
    <xf numFmtId="49" fontId="2" fillId="51" borderId="0" xfId="613" applyNumberFormat="1" applyFont="1" applyFill="1" applyAlignment="1">
      <alignment horizontal="center" vertical="center"/>
    </xf>
    <xf numFmtId="0" fontId="8" fillId="51" borderId="24" xfId="567" applyFont="1" applyFill="1" applyBorder="1" applyAlignment="1">
      <alignment horizontal="left" vertical="center"/>
    </xf>
    <xf numFmtId="0" fontId="2" fillId="51" borderId="24" xfId="613" applyFont="1" applyFill="1" applyBorder="1" applyAlignment="1">
      <alignment horizontal="center" vertical="center" wrapText="1"/>
    </xf>
    <xf numFmtId="3" fontId="2" fillId="51" borderId="24" xfId="613" applyNumberFormat="1" applyFont="1" applyFill="1" applyBorder="1" applyAlignment="1">
      <alignment wrapText="1"/>
    </xf>
    <xf numFmtId="0" fontId="8" fillId="51" borderId="0" xfId="613" applyFont="1" applyFill="1" applyAlignment="1">
      <alignment horizontal="center" vertical="center" wrapText="1"/>
    </xf>
    <xf numFmtId="0" fontId="6" fillId="51" borderId="0" xfId="567" applyFont="1" applyFill="1" applyAlignment="1">
      <alignment horizontal="left" vertical="center"/>
    </xf>
    <xf numFmtId="4" fontId="39" fillId="43" borderId="24" xfId="0" applyNumberFormat="1" applyFont="1" applyFill="1" applyBorder="1" applyAlignment="1">
      <alignment horizontal="left"/>
    </xf>
    <xf numFmtId="4" fontId="44" fillId="50" borderId="24" xfId="0" applyNumberFormat="1" applyFont="1" applyFill="1" applyBorder="1" applyAlignment="1">
      <alignment horizontal="left"/>
    </xf>
    <xf numFmtId="4" fontId="148" fillId="50" borderId="0" xfId="0" applyNumberFormat="1" applyFont="1" applyFill="1"/>
    <xf numFmtId="4" fontId="85" fillId="50" borderId="24" xfId="0" applyNumberFormat="1" applyFont="1" applyFill="1" applyBorder="1" applyAlignment="1">
      <alignment horizontal="left"/>
    </xf>
    <xf numFmtId="4" fontId="44" fillId="43" borderId="24" xfId="0" applyNumberFormat="1" applyFont="1" applyFill="1" applyBorder="1" applyAlignment="1">
      <alignment horizontal="left"/>
    </xf>
    <xf numFmtId="0" fontId="35" fillId="0" borderId="6" xfId="611" applyFont="1" applyBorder="1" applyAlignment="1">
      <alignment horizontal="center" vertical="center"/>
    </xf>
    <xf numFmtId="0" fontId="166" fillId="0" borderId="6" xfId="611" applyFont="1" applyBorder="1" applyAlignment="1">
      <alignment horizontal="center" vertical="center"/>
    </xf>
    <xf numFmtId="0" fontId="37" fillId="51" borderId="0" xfId="620" applyFont="1" applyFill="1" applyBorder="1"/>
    <xf numFmtId="0" fontId="37" fillId="51" borderId="0" xfId="620" applyFont="1" applyFill="1" applyBorder="1" applyAlignment="1">
      <alignment horizontal="center"/>
    </xf>
    <xf numFmtId="0" fontId="33" fillId="51" borderId="0" xfId="620" applyFont="1" applyFill="1" applyBorder="1"/>
    <xf numFmtId="0" fontId="33" fillId="51" borderId="0" xfId="620" applyFont="1" applyFill="1" applyBorder="1" applyAlignment="1">
      <alignment horizontal="center"/>
    </xf>
    <xf numFmtId="0" fontId="33" fillId="51" borderId="0" xfId="618" applyFont="1" applyFill="1" applyBorder="1"/>
    <xf numFmtId="0" fontId="37" fillId="51" borderId="0" xfId="618" applyFont="1" applyFill="1" applyBorder="1"/>
    <xf numFmtId="3" fontId="33" fillId="51" borderId="0" xfId="618" applyNumberFormat="1" applyFont="1" applyFill="1" applyBorder="1"/>
    <xf numFmtId="0" fontId="37" fillId="51" borderId="0" xfId="618" applyFont="1" applyFill="1" applyBorder="1" applyAlignment="1">
      <alignment horizontal="center"/>
    </xf>
    <xf numFmtId="0" fontId="33" fillId="51" borderId="0" xfId="620" applyFont="1" applyFill="1"/>
    <xf numFmtId="0" fontId="33" fillId="51" borderId="0" xfId="620" applyFont="1" applyFill="1" applyAlignment="1">
      <alignment horizontal="center"/>
    </xf>
    <xf numFmtId="9" fontId="33" fillId="51" borderId="24" xfId="620" applyNumberFormat="1" applyFont="1" applyFill="1" applyBorder="1"/>
    <xf numFmtId="0" fontId="33" fillId="51" borderId="24" xfId="620" applyFont="1" applyFill="1" applyBorder="1"/>
    <xf numFmtId="0" fontId="33" fillId="51" borderId="24" xfId="620" applyFont="1" applyFill="1" applyBorder="1" applyAlignment="1">
      <alignment horizontal="center"/>
    </xf>
    <xf numFmtId="0" fontId="34" fillId="51" borderId="0" xfId="618" applyFont="1" applyFill="1"/>
    <xf numFmtId="0" fontId="33" fillId="51" borderId="0" xfId="618" applyFont="1" applyFill="1"/>
    <xf numFmtId="0" fontId="37" fillId="51" borderId="0" xfId="618" applyFont="1" applyFill="1"/>
    <xf numFmtId="3" fontId="37" fillId="51" borderId="0" xfId="618" applyNumberFormat="1" applyFont="1" applyFill="1"/>
    <xf numFmtId="0" fontId="37" fillId="51" borderId="0" xfId="618" applyFont="1" applyFill="1" applyAlignment="1">
      <alignment horizontal="center"/>
    </xf>
    <xf numFmtId="9" fontId="90" fillId="51" borderId="24" xfId="618" applyNumberFormat="1" applyFont="1" applyFill="1" applyBorder="1"/>
    <xf numFmtId="0" fontId="90" fillId="51" borderId="24" xfId="618" applyFont="1" applyFill="1" applyBorder="1"/>
    <xf numFmtId="0" fontId="33" fillId="51" borderId="24" xfId="618" applyFont="1" applyFill="1" applyBorder="1"/>
    <xf numFmtId="0" fontId="37" fillId="51" borderId="24" xfId="618" applyFont="1" applyFill="1" applyBorder="1"/>
    <xf numFmtId="0" fontId="37" fillId="51" borderId="24" xfId="618" applyFont="1" applyFill="1" applyBorder="1" applyAlignment="1">
      <alignment horizontal="center"/>
    </xf>
    <xf numFmtId="0" fontId="8" fillId="51" borderId="21" xfId="620" applyFont="1" applyFill="1" applyBorder="1"/>
    <xf numFmtId="0" fontId="89" fillId="43" borderId="20" xfId="620" applyFont="1" applyFill="1" applyBorder="1"/>
    <xf numFmtId="168" fontId="12" fillId="43" borderId="21" xfId="620" applyNumberFormat="1" applyFont="1" applyFill="1" applyBorder="1" applyAlignment="1">
      <alignment horizontal="center"/>
    </xf>
    <xf numFmtId="0" fontId="32" fillId="0" borderId="0" xfId="620" applyFont="1" applyBorder="1"/>
    <xf numFmtId="0" fontId="95" fillId="51" borderId="21" xfId="620" applyFont="1" applyFill="1" applyBorder="1"/>
    <xf numFmtId="0" fontId="3" fillId="0" borderId="0" xfId="574" applyFont="1" applyBorder="1"/>
    <xf numFmtId="0" fontId="3" fillId="0" borderId="32" xfId="574" applyNumberFormat="1" applyFont="1" applyBorder="1" applyAlignment="1">
      <alignment horizontal="center" vertical="center"/>
    </xf>
    <xf numFmtId="0" fontId="3" fillId="0" borderId="32" xfId="574" applyFont="1" applyBorder="1"/>
    <xf numFmtId="171" fontId="168" fillId="38" borderId="0" xfId="574" applyNumberFormat="1" applyFont="1" applyFill="1" applyBorder="1" applyAlignment="1">
      <alignment horizontal="center" vertical="center"/>
    </xf>
    <xf numFmtId="1" fontId="3" fillId="0" borderId="32" xfId="574" applyNumberFormat="1" applyFont="1" applyBorder="1" applyAlignment="1">
      <alignment horizontal="left" vertical="center" wrapText="1"/>
    </xf>
    <xf numFmtId="167" fontId="60" fillId="0" borderId="6" xfId="776" applyFont="1" applyBorder="1" applyAlignment="1">
      <alignment horizontal="center"/>
    </xf>
    <xf numFmtId="167" fontId="60" fillId="0" borderId="6" xfId="776" applyFont="1" applyBorder="1" applyAlignment="1"/>
    <xf numFmtId="167" fontId="11" fillId="0" borderId="0" xfId="776" applyFont="1" applyBorder="1" applyAlignment="1"/>
    <xf numFmtId="167" fontId="11" fillId="0" borderId="0" xfId="776" applyFont="1" applyBorder="1"/>
    <xf numFmtId="167" fontId="11" fillId="0" borderId="0" xfId="776" applyFont="1"/>
    <xf numFmtId="167" fontId="7" fillId="0" borderId="6" xfId="776" applyFont="1" applyBorder="1"/>
    <xf numFmtId="167" fontId="169" fillId="0" borderId="6" xfId="776" applyFont="1" applyBorder="1" applyAlignment="1">
      <alignment horizontal="left"/>
    </xf>
    <xf numFmtId="167" fontId="169" fillId="0" borderId="6" xfId="776" applyFont="1" applyBorder="1" applyAlignment="1"/>
    <xf numFmtId="49" fontId="4" fillId="51" borderId="0" xfId="613" applyNumberFormat="1" applyFont="1" applyFill="1" applyBorder="1" applyAlignment="1">
      <alignment horizontal="center" vertical="center"/>
    </xf>
    <xf numFmtId="0" fontId="170" fillId="51" borderId="19" xfId="613" applyFont="1" applyFill="1" applyBorder="1" applyAlignment="1">
      <alignment horizontal="left" vertical="center" wrapText="1"/>
    </xf>
    <xf numFmtId="4" fontId="170" fillId="51" borderId="6" xfId="613" applyNumberFormat="1" applyFont="1" applyFill="1" applyBorder="1" applyAlignment="1">
      <alignment horizontal="center" vertical="center" wrapText="1"/>
    </xf>
    <xf numFmtId="0" fontId="1" fillId="51" borderId="0" xfId="613" applyFont="1" applyFill="1" applyAlignment="1">
      <alignment wrapText="1"/>
    </xf>
    <xf numFmtId="0" fontId="1" fillId="51" borderId="0" xfId="613" applyFont="1" applyFill="1"/>
    <xf numFmtId="0" fontId="170" fillId="51" borderId="20" xfId="613" applyFont="1" applyFill="1" applyBorder="1" applyAlignment="1">
      <alignment horizontal="left" vertical="center" wrapText="1"/>
    </xf>
    <xf numFmtId="0" fontId="170" fillId="51" borderId="21" xfId="613" applyFont="1" applyFill="1" applyBorder="1" applyAlignment="1">
      <alignment vertical="center" wrapText="1"/>
    </xf>
    <xf numFmtId="0" fontId="170" fillId="51" borderId="16" xfId="613" applyFont="1" applyFill="1" applyBorder="1" applyAlignment="1">
      <alignment horizontal="left" vertical="center" wrapText="1"/>
    </xf>
    <xf numFmtId="0" fontId="170" fillId="51" borderId="6" xfId="613" applyFont="1" applyFill="1" applyBorder="1" applyAlignment="1">
      <alignment horizontal="left" vertical="center" wrapText="1"/>
    </xf>
    <xf numFmtId="0" fontId="35" fillId="51" borderId="0" xfId="609" applyFont="1" applyFill="1"/>
    <xf numFmtId="0" fontId="11" fillId="51" borderId="0" xfId="609" applyFill="1" applyAlignment="1">
      <alignment horizontal="center"/>
    </xf>
    <xf numFmtId="0" fontId="11" fillId="51" borderId="0" xfId="609" applyFill="1"/>
    <xf numFmtId="0" fontId="33" fillId="51" borderId="24" xfId="620" applyFont="1" applyFill="1" applyBorder="1" applyAlignment="1">
      <alignment horizontal="left"/>
    </xf>
    <xf numFmtId="0" fontId="34" fillId="51" borderId="0" xfId="620" applyFont="1" applyFill="1" applyBorder="1" applyAlignment="1">
      <alignment horizontal="left"/>
    </xf>
    <xf numFmtId="0" fontId="33" fillId="43" borderId="27" xfId="620" applyFont="1" applyFill="1" applyBorder="1" applyAlignment="1">
      <alignment horizontal="center"/>
    </xf>
    <xf numFmtId="0" fontId="12" fillId="43" borderId="21" xfId="620" applyFont="1" applyFill="1" applyBorder="1" applyAlignment="1">
      <alignment horizontal="center"/>
    </xf>
    <xf numFmtId="0" fontId="171" fillId="43" borderId="20" xfId="620" applyFont="1" applyFill="1" applyBorder="1" applyAlignment="1">
      <alignment horizontal="center"/>
    </xf>
    <xf numFmtId="0" fontId="163" fillId="51" borderId="21" xfId="620" applyFont="1" applyFill="1" applyBorder="1" applyAlignment="1">
      <alignment vertical="center" wrapText="1"/>
    </xf>
    <xf numFmtId="0" fontId="171" fillId="43" borderId="20" xfId="620" applyFont="1" applyFill="1" applyBorder="1"/>
    <xf numFmtId="0" fontId="171" fillId="43" borderId="21" xfId="620" applyFont="1" applyFill="1" applyBorder="1"/>
    <xf numFmtId="170" fontId="163" fillId="43" borderId="16" xfId="620" applyNumberFormat="1" applyFont="1" applyFill="1" applyBorder="1" applyAlignment="1">
      <alignment horizontal="center" vertical="center"/>
    </xf>
    <xf numFmtId="0" fontId="163" fillId="43" borderId="21" xfId="620" applyFont="1" applyFill="1" applyBorder="1" applyAlignment="1">
      <alignment horizontal="center"/>
    </xf>
    <xf numFmtId="168" fontId="163" fillId="43" borderId="21" xfId="620" applyNumberFormat="1" applyFont="1" applyFill="1" applyBorder="1" applyAlignment="1">
      <alignment horizontal="center"/>
    </xf>
    <xf numFmtId="0" fontId="171" fillId="43" borderId="21" xfId="620" applyFont="1" applyFill="1" applyBorder="1" applyAlignment="1">
      <alignment horizontal="center"/>
    </xf>
    <xf numFmtId="0" fontId="171" fillId="43" borderId="16" xfId="620" applyFont="1" applyFill="1" applyBorder="1" applyAlignment="1">
      <alignment horizontal="center"/>
    </xf>
    <xf numFmtId="4" fontId="163" fillId="43" borderId="16" xfId="620" applyNumberFormat="1" applyFont="1" applyFill="1" applyBorder="1" applyAlignment="1">
      <alignment horizontal="center" vertical="center"/>
    </xf>
    <xf numFmtId="4" fontId="163" fillId="51" borderId="16" xfId="620" applyNumberFormat="1" applyFont="1" applyFill="1" applyBorder="1" applyAlignment="1">
      <alignment horizontal="center" vertical="center"/>
    </xf>
    <xf numFmtId="4" fontId="163" fillId="51" borderId="0" xfId="602" applyNumberFormat="1" applyFont="1" applyFill="1" applyBorder="1" applyAlignment="1">
      <alignment horizontal="center" vertical="center" wrapText="1"/>
    </xf>
    <xf numFmtId="2" fontId="163" fillId="43" borderId="16" xfId="620" applyNumberFormat="1" applyFont="1" applyFill="1" applyBorder="1" applyAlignment="1">
      <alignment horizontal="center" vertical="center"/>
    </xf>
    <xf numFmtId="168" fontId="12" fillId="43" borderId="16" xfId="620" applyNumberFormat="1" applyFont="1" applyFill="1" applyBorder="1" applyAlignment="1">
      <alignment horizontal="center"/>
    </xf>
    <xf numFmtId="4" fontId="165" fillId="43" borderId="16" xfId="620" applyNumberFormat="1" applyFont="1" applyFill="1" applyBorder="1" applyAlignment="1">
      <alignment horizontal="center"/>
    </xf>
    <xf numFmtId="4" fontId="165" fillId="51" borderId="16" xfId="620" applyNumberFormat="1" applyFont="1" applyFill="1" applyBorder="1" applyAlignment="1">
      <alignment horizontal="center"/>
    </xf>
    <xf numFmtId="0" fontId="89" fillId="43" borderId="36" xfId="620" applyFont="1" applyFill="1" applyBorder="1" applyAlignment="1">
      <alignment horizontal="center"/>
    </xf>
    <xf numFmtId="0" fontId="95" fillId="51" borderId="36" xfId="620" applyFont="1" applyFill="1" applyBorder="1"/>
    <xf numFmtId="0" fontId="89" fillId="43" borderId="36" xfId="620" applyFont="1" applyFill="1" applyBorder="1"/>
    <xf numFmtId="0" fontId="28" fillId="51" borderId="0" xfId="620" applyFont="1" applyFill="1"/>
    <xf numFmtId="0" fontId="28" fillId="51" borderId="0" xfId="620" applyFont="1" applyFill="1" applyAlignment="1">
      <alignment horizontal="center"/>
    </xf>
    <xf numFmtId="0" fontId="33" fillId="51" borderId="0" xfId="620" applyFont="1" applyFill="1" applyAlignment="1">
      <alignment horizontal="left"/>
    </xf>
    <xf numFmtId="0" fontId="33" fillId="51" borderId="0" xfId="620" applyFont="1" applyFill="1" applyBorder="1" applyAlignment="1">
      <alignment horizontal="left"/>
    </xf>
    <xf numFmtId="0" fontId="33" fillId="51" borderId="0" xfId="620" applyFont="1" applyFill="1" applyBorder="1" applyAlignment="1">
      <alignment horizontal="left" vertical="top" wrapText="1"/>
    </xf>
    <xf numFmtId="0" fontId="34" fillId="51" borderId="0" xfId="620" applyFont="1" applyFill="1" applyBorder="1" applyAlignment="1">
      <alignment horizontal="left" vertical="top" wrapText="1"/>
    </xf>
    <xf numFmtId="4" fontId="33" fillId="51" borderId="0" xfId="620" applyNumberFormat="1" applyFont="1" applyFill="1" applyBorder="1" applyAlignment="1">
      <alignment horizontal="left"/>
    </xf>
    <xf numFmtId="0" fontId="34" fillId="51" borderId="0" xfId="620" applyFont="1" applyFill="1" applyBorder="1" applyAlignment="1">
      <alignment horizontal="center"/>
    </xf>
    <xf numFmtId="0" fontId="35" fillId="51" borderId="0" xfId="618" applyFont="1" applyFill="1" applyBorder="1"/>
    <xf numFmtId="0" fontId="35" fillId="51" borderId="0" xfId="618" applyFont="1" applyFill="1" applyBorder="1" applyAlignment="1">
      <alignment horizontal="center"/>
    </xf>
    <xf numFmtId="0" fontId="35" fillId="51" borderId="0" xfId="618" applyFont="1" applyFill="1"/>
    <xf numFmtId="0" fontId="35" fillId="51" borderId="0" xfId="618" applyFont="1" applyFill="1" applyAlignment="1">
      <alignment horizontal="center"/>
    </xf>
    <xf numFmtId="0" fontId="35" fillId="51" borderId="24" xfId="618" applyFont="1" applyFill="1" applyBorder="1"/>
    <xf numFmtId="0" fontId="35" fillId="51" borderId="24" xfId="618" applyFont="1" applyFill="1" applyBorder="1" applyAlignment="1">
      <alignment horizontal="center"/>
    </xf>
    <xf numFmtId="0" fontId="36" fillId="0" borderId="0" xfId="620" applyFont="1"/>
    <xf numFmtId="4" fontId="165" fillId="43" borderId="6" xfId="620" applyNumberFormat="1" applyFont="1" applyFill="1" applyBorder="1" applyAlignment="1">
      <alignment horizontal="center"/>
    </xf>
    <xf numFmtId="3" fontId="37" fillId="51" borderId="6" xfId="605" applyNumberFormat="1" applyFont="1" applyFill="1" applyBorder="1" applyAlignment="1">
      <alignment horizontal="center" vertical="center"/>
    </xf>
    <xf numFmtId="1" fontId="37" fillId="51" borderId="6" xfId="605" applyNumberFormat="1" applyFont="1" applyFill="1" applyBorder="1" applyAlignment="1">
      <alignment horizontal="center" vertical="center"/>
    </xf>
    <xf numFmtId="0" fontId="1" fillId="0" borderId="0" xfId="0" applyFont="1" applyAlignment="1">
      <alignment horizontal="right" vertical="center"/>
    </xf>
    <xf numFmtId="0" fontId="124" fillId="0" borderId="0" xfId="0" applyFont="1" applyAlignment="1">
      <alignment horizontal="center" vertical="center"/>
    </xf>
    <xf numFmtId="0" fontId="1" fillId="0" borderId="0" xfId="0" applyFont="1"/>
    <xf numFmtId="0" fontId="1" fillId="0" borderId="0" xfId="577" applyFont="1"/>
    <xf numFmtId="0" fontId="173" fillId="0" borderId="39" xfId="0" applyFont="1" applyFill="1" applyBorder="1" applyAlignment="1">
      <alignment horizontal="center" vertical="center"/>
    </xf>
    <xf numFmtId="0" fontId="124" fillId="0" borderId="0" xfId="794" applyFont="1" applyFill="1" applyBorder="1" applyAlignment="1">
      <alignment horizontal="left" vertical="center"/>
    </xf>
    <xf numFmtId="0" fontId="124" fillId="0" borderId="0" xfId="0" applyFont="1" applyAlignment="1">
      <alignment horizontal="center" vertical="center" wrapText="1"/>
    </xf>
    <xf numFmtId="49" fontId="124" fillId="0" borderId="0" xfId="0" applyNumberFormat="1" applyFont="1" applyFill="1" applyBorder="1" applyAlignment="1">
      <alignment horizontal="left" vertical="center"/>
    </xf>
    <xf numFmtId="11" fontId="124" fillId="0" borderId="0" xfId="0" applyNumberFormat="1" applyFont="1" applyFill="1" applyBorder="1" applyAlignment="1">
      <alignment horizontal="left" vertical="center"/>
    </xf>
    <xf numFmtId="0" fontId="1" fillId="0" borderId="0" xfId="0" applyFont="1" applyAlignment="1">
      <alignment vertical="center"/>
    </xf>
    <xf numFmtId="11" fontId="124" fillId="0" borderId="0" xfId="0" applyNumberFormat="1" applyFont="1" applyFill="1" applyBorder="1" applyAlignment="1">
      <alignment horizontal="center" vertical="center"/>
    </xf>
    <xf numFmtId="11" fontId="124" fillId="0" borderId="0" xfId="0" applyNumberFormat="1" applyFont="1" applyFill="1" applyBorder="1" applyAlignment="1">
      <alignment vertical="center"/>
    </xf>
    <xf numFmtId="0" fontId="124" fillId="0" borderId="0" xfId="0" applyFont="1" applyAlignment="1">
      <alignment vertical="center"/>
    </xf>
    <xf numFmtId="0" fontId="1" fillId="53" borderId="40" xfId="0" applyFont="1" applyFill="1" applyBorder="1" applyAlignment="1">
      <alignment horizontal="center" vertical="center" wrapText="1"/>
    </xf>
    <xf numFmtId="0" fontId="124" fillId="53" borderId="38" xfId="0" applyFont="1" applyFill="1" applyBorder="1" applyAlignment="1">
      <alignment horizontal="center" vertical="top" wrapText="1"/>
    </xf>
    <xf numFmtId="0" fontId="124" fillId="53" borderId="38" xfId="0" applyFont="1" applyFill="1" applyBorder="1" applyAlignment="1">
      <alignment horizontal="center" vertical="center" wrapText="1"/>
    </xf>
    <xf numFmtId="0" fontId="124" fillId="53" borderId="8" xfId="0" applyFont="1" applyFill="1" applyBorder="1" applyAlignment="1">
      <alignment horizontal="center" vertical="center" wrapText="1"/>
    </xf>
    <xf numFmtId="0" fontId="1" fillId="0" borderId="19" xfId="0" applyFont="1" applyBorder="1" applyAlignment="1">
      <alignment horizontal="center" vertical="top" wrapText="1"/>
    </xf>
    <xf numFmtId="0" fontId="1" fillId="0" borderId="19" xfId="0" applyFont="1" applyBorder="1" applyAlignment="1">
      <alignment vertical="top" wrapText="1"/>
    </xf>
    <xf numFmtId="0" fontId="1" fillId="0" borderId="6" xfId="0" applyFont="1" applyBorder="1" applyAlignment="1">
      <alignment horizontal="center" vertical="top" wrapText="1"/>
    </xf>
    <xf numFmtId="0" fontId="1" fillId="0" borderId="6" xfId="0" applyFont="1" applyBorder="1" applyAlignment="1">
      <alignment vertical="top" wrapText="1"/>
    </xf>
    <xf numFmtId="0" fontId="1" fillId="0" borderId="0" xfId="0" applyFont="1" applyAlignment="1">
      <alignment wrapText="1"/>
    </xf>
    <xf numFmtId="0" fontId="154" fillId="0" borderId="24" xfId="0" applyFont="1" applyBorder="1" applyAlignment="1">
      <alignment wrapText="1"/>
    </xf>
    <xf numFmtId="0" fontId="173" fillId="0" borderId="41" xfId="0" applyFont="1" applyFill="1" applyBorder="1" applyAlignment="1">
      <alignment horizontal="center" vertical="center"/>
    </xf>
    <xf numFmtId="0" fontId="119" fillId="0" borderId="0" xfId="0" applyFont="1"/>
    <xf numFmtId="0" fontId="1" fillId="0" borderId="0" xfId="0" applyFont="1" applyAlignment="1"/>
    <xf numFmtId="0" fontId="15" fillId="0" borderId="0" xfId="0" applyFont="1"/>
    <xf numFmtId="0" fontId="15" fillId="0" borderId="0" xfId="0" applyFont="1" applyFill="1" applyAlignment="1">
      <alignment vertical="center"/>
    </xf>
    <xf numFmtId="0" fontId="15" fillId="0" borderId="0" xfId="0" applyFont="1" applyAlignment="1">
      <alignment vertical="center"/>
    </xf>
    <xf numFmtId="0" fontId="176" fillId="0" borderId="0" xfId="577" applyFont="1" applyAlignment="1">
      <alignment horizontal="right"/>
    </xf>
    <xf numFmtId="0" fontId="173" fillId="0" borderId="39" xfId="0" applyFont="1" applyFill="1" applyBorder="1" applyAlignment="1">
      <alignment horizontal="center" vertical="center"/>
    </xf>
    <xf numFmtId="0" fontId="174" fillId="0" borderId="0" xfId="577" applyFont="1" applyAlignment="1">
      <alignment horizontal="left"/>
    </xf>
    <xf numFmtId="0" fontId="175" fillId="0" borderId="0" xfId="0" applyFont="1" applyAlignment="1">
      <alignment horizontal="center" vertical="center" wrapText="1"/>
    </xf>
    <xf numFmtId="49" fontId="124" fillId="0" borderId="0" xfId="0" applyNumberFormat="1" applyFont="1" applyFill="1" applyBorder="1" applyAlignment="1">
      <alignment horizontal="left" vertical="center"/>
    </xf>
    <xf numFmtId="0" fontId="124" fillId="0" borderId="6" xfId="0" applyFont="1" applyBorder="1" applyAlignment="1">
      <alignment horizontal="center" vertical="top" wrapText="1"/>
    </xf>
    <xf numFmtId="0" fontId="1" fillId="0" borderId="0" xfId="0" applyFont="1" applyFill="1" applyAlignment="1">
      <alignment horizontal="left" vertical="top" wrapText="1"/>
    </xf>
    <xf numFmtId="0" fontId="1" fillId="0" borderId="0" xfId="0" applyFont="1" applyAlignment="1">
      <alignment horizontal="left" vertical="top" wrapText="1"/>
    </xf>
    <xf numFmtId="0" fontId="1" fillId="0" borderId="0" xfId="794" applyFont="1" applyFill="1" applyBorder="1" applyAlignment="1">
      <alignment horizontal="left" vertical="top" wrapText="1"/>
    </xf>
    <xf numFmtId="0" fontId="1" fillId="0" borderId="0" xfId="0" applyFont="1" applyAlignment="1">
      <alignment horizontal="left" vertical="center" wrapText="1"/>
    </xf>
    <xf numFmtId="0" fontId="154" fillId="0" borderId="24" xfId="0" applyFont="1" applyBorder="1" applyAlignment="1">
      <alignment horizontal="center" wrapText="1"/>
    </xf>
    <xf numFmtId="0" fontId="1" fillId="0" borderId="0" xfId="0" applyFont="1" applyAlignment="1">
      <alignment horizontal="left" vertical="center"/>
    </xf>
    <xf numFmtId="198" fontId="60" fillId="0" borderId="20" xfId="776" applyNumberFormat="1" applyFont="1" applyBorder="1" applyAlignment="1">
      <alignment horizontal="center" vertical="center" wrapText="1"/>
    </xf>
    <xf numFmtId="198" fontId="60" fillId="0" borderId="21" xfId="776" applyNumberFormat="1" applyFont="1" applyBorder="1" applyAlignment="1">
      <alignment horizontal="center" vertical="center" wrapText="1"/>
    </xf>
    <xf numFmtId="198" fontId="60" fillId="0" borderId="16" xfId="776" applyNumberFormat="1" applyFont="1" applyBorder="1" applyAlignment="1">
      <alignment horizontal="center" vertical="center" wrapText="1"/>
    </xf>
    <xf numFmtId="0" fontId="104" fillId="0" borderId="24" xfId="614" applyNumberFormat="1" applyFont="1" applyBorder="1" applyAlignment="1">
      <alignment horizontal="right" vertical="center" wrapText="1"/>
    </xf>
    <xf numFmtId="0" fontId="100" fillId="43" borderId="0" xfId="616" applyFont="1" applyFill="1" applyBorder="1" applyAlignment="1">
      <alignment horizontal="left" wrapText="1"/>
    </xf>
    <xf numFmtId="0" fontId="10" fillId="43" borderId="0" xfId="616" applyFont="1" applyFill="1" applyAlignment="1">
      <alignment horizontal="left" vertical="center" wrapText="1"/>
    </xf>
    <xf numFmtId="4" fontId="10" fillId="43" borderId="0" xfId="616" applyNumberFormat="1" applyFont="1" applyFill="1" applyAlignment="1">
      <alignment horizontal="left" vertical="center" wrapText="1"/>
    </xf>
    <xf numFmtId="0" fontId="7" fillId="0" borderId="25" xfId="616" applyFont="1" applyBorder="1" applyAlignment="1">
      <alignment horizontal="center" vertical="top" wrapText="1"/>
    </xf>
    <xf numFmtId="0" fontId="87" fillId="0" borderId="24" xfId="616" applyFont="1" applyBorder="1" applyAlignment="1">
      <alignment horizontal="center" vertical="center" wrapText="1"/>
    </xf>
    <xf numFmtId="0" fontId="10" fillId="43" borderId="0" xfId="616" applyFont="1" applyFill="1" applyAlignment="1">
      <alignment horizontal="center" vertical="center" wrapText="1"/>
    </xf>
    <xf numFmtId="0" fontId="105" fillId="43" borderId="0" xfId="616" applyFont="1" applyFill="1" applyAlignment="1">
      <alignment horizontal="center" vertical="center" wrapText="1"/>
    </xf>
    <xf numFmtId="0" fontId="87" fillId="43" borderId="0" xfId="616" applyFont="1" applyFill="1" applyAlignment="1">
      <alignment horizontal="center" vertical="center" wrapText="1"/>
    </xf>
    <xf numFmtId="167" fontId="60" fillId="43" borderId="6" xfId="749" applyFont="1" applyFill="1" applyBorder="1" applyAlignment="1">
      <alignment horizontal="center" vertical="center" wrapText="1"/>
    </xf>
    <xf numFmtId="0" fontId="60" fillId="43" borderId="6" xfId="0" applyFont="1" applyFill="1" applyBorder="1" applyAlignment="1">
      <alignment horizontal="center" vertical="distributed"/>
    </xf>
    <xf numFmtId="0" fontId="7" fillId="43" borderId="6" xfId="0" applyFont="1" applyFill="1" applyBorder="1" applyAlignment="1">
      <alignment horizontal="center" vertical="distributed"/>
    </xf>
    <xf numFmtId="0" fontId="60" fillId="43" borderId="0" xfId="616" applyFont="1" applyFill="1" applyAlignment="1">
      <alignment horizontal="left" vertical="center" wrapText="1"/>
    </xf>
    <xf numFmtId="4" fontId="100" fillId="43" borderId="0" xfId="616" applyNumberFormat="1" applyFont="1" applyFill="1" applyBorder="1" applyAlignment="1">
      <alignment horizontal="left" wrapText="1"/>
    </xf>
    <xf numFmtId="0" fontId="101" fillId="43" borderId="0" xfId="616" applyFont="1" applyFill="1" applyBorder="1" applyAlignment="1">
      <alignment horizontal="left" wrapText="1"/>
    </xf>
    <xf numFmtId="0" fontId="87" fillId="51" borderId="0" xfId="621" applyFont="1" applyFill="1" applyAlignment="1">
      <alignment horizontal="center"/>
    </xf>
    <xf numFmtId="0" fontId="87" fillId="51" borderId="0" xfId="613" applyFont="1" applyFill="1" applyAlignment="1">
      <alignment horizontal="center" vertical="center" wrapText="1"/>
    </xf>
    <xf numFmtId="0" fontId="23" fillId="0" borderId="6" xfId="613" applyFont="1" applyFill="1" applyBorder="1" applyAlignment="1">
      <alignment horizontal="center" vertical="center" wrapText="1"/>
    </xf>
    <xf numFmtId="168" fontId="170" fillId="51" borderId="6" xfId="613" applyNumberFormat="1" applyFont="1" applyFill="1" applyBorder="1" applyAlignment="1">
      <alignment horizontal="center" vertical="center" wrapText="1"/>
    </xf>
    <xf numFmtId="0" fontId="167" fillId="0" borderId="6" xfId="568" applyFont="1" applyFill="1" applyBorder="1" applyAlignment="1">
      <alignment horizontal="center" vertical="center" wrapText="1"/>
    </xf>
    <xf numFmtId="0" fontId="124" fillId="51" borderId="24" xfId="568" applyFont="1" applyFill="1" applyBorder="1" applyAlignment="1">
      <alignment horizontal="center" vertical="center" wrapText="1"/>
    </xf>
    <xf numFmtId="0" fontId="8" fillId="51" borderId="24" xfId="613" applyFont="1" applyFill="1" applyBorder="1" applyAlignment="1">
      <alignment horizontal="left" vertical="center" wrapText="1"/>
    </xf>
    <xf numFmtId="0" fontId="2" fillId="51" borderId="25" xfId="568" applyFont="1" applyFill="1" applyBorder="1" applyAlignment="1">
      <alignment horizontal="center" vertical="center" wrapText="1"/>
    </xf>
    <xf numFmtId="0" fontId="2" fillId="0" borderId="20" xfId="613" applyFont="1" applyFill="1" applyBorder="1" applyAlignment="1">
      <alignment horizontal="center" vertical="center" wrapText="1"/>
    </xf>
    <xf numFmtId="0" fontId="2" fillId="0" borderId="16" xfId="613" applyFont="1" applyFill="1" applyBorder="1" applyAlignment="1">
      <alignment horizontal="center" vertical="center" wrapText="1"/>
    </xf>
    <xf numFmtId="168" fontId="48" fillId="0" borderId="33" xfId="574" applyNumberFormat="1" applyFont="1" applyBorder="1" applyAlignment="1">
      <alignment horizontal="center" vertical="center" wrapText="1"/>
    </xf>
    <xf numFmtId="168" fontId="48" fillId="0" borderId="34" xfId="574" applyNumberFormat="1" applyFont="1" applyBorder="1" applyAlignment="1">
      <alignment horizontal="center" vertical="center" wrapText="1"/>
    </xf>
    <xf numFmtId="176" fontId="3" fillId="0" borderId="33" xfId="574" applyNumberFormat="1" applyFont="1" applyBorder="1" applyAlignment="1">
      <alignment horizontal="right"/>
    </xf>
    <xf numFmtId="176" fontId="3" fillId="0" borderId="34" xfId="574" applyNumberFormat="1" applyFont="1" applyBorder="1" applyAlignment="1">
      <alignment horizontal="right"/>
    </xf>
    <xf numFmtId="0" fontId="3" fillId="0" borderId="24" xfId="595" applyFont="1" applyBorder="1" applyAlignment="1">
      <alignment horizontal="right" vertical="center"/>
    </xf>
    <xf numFmtId="0" fontId="3" fillId="0" borderId="0" xfId="595" applyFont="1" applyAlignment="1">
      <alignment horizontal="left"/>
    </xf>
    <xf numFmtId="0" fontId="49" fillId="0" borderId="0" xfId="595" applyFont="1" applyAlignment="1">
      <alignment horizontal="center"/>
    </xf>
    <xf numFmtId="0" fontId="87" fillId="0" borderId="0" xfId="595" applyFont="1" applyAlignment="1">
      <alignment horizontal="center" vertical="center" wrapText="1"/>
    </xf>
    <xf numFmtId="0" fontId="54" fillId="0" borderId="0" xfId="585" applyFont="1" applyBorder="1" applyAlignment="1">
      <alignment horizontal="center"/>
    </xf>
    <xf numFmtId="0" fontId="53" fillId="0" borderId="0" xfId="585" applyFont="1" applyBorder="1" applyAlignment="1">
      <alignment horizontal="center"/>
    </xf>
    <xf numFmtId="0" fontId="4" fillId="0" borderId="0" xfId="595" applyFont="1" applyAlignment="1">
      <alignment horizontal="center" vertical="center"/>
    </xf>
    <xf numFmtId="0" fontId="50" fillId="0" borderId="0" xfId="595" applyFont="1" applyBorder="1" applyAlignment="1">
      <alignment horizontal="center" vertical="center"/>
    </xf>
    <xf numFmtId="0" fontId="51" fillId="0" borderId="0" xfId="595" applyFont="1" applyBorder="1" applyAlignment="1">
      <alignment horizontal="center" vertical="center"/>
    </xf>
    <xf numFmtId="4" fontId="103" fillId="43" borderId="24" xfId="605" applyFont="1" applyFill="1" applyBorder="1" applyAlignment="1">
      <alignment horizontal="right" vertical="center"/>
    </xf>
    <xf numFmtId="4" fontId="37" fillId="43" borderId="0" xfId="605" applyFont="1" applyFill="1" applyAlignment="1">
      <alignment horizontal="left" vertical="center"/>
    </xf>
    <xf numFmtId="4" fontId="102" fillId="43" borderId="0" xfId="605" applyFont="1" applyFill="1" applyAlignment="1">
      <alignment horizontal="center"/>
    </xf>
    <xf numFmtId="4" fontId="154" fillId="43" borderId="0" xfId="605" applyFont="1" applyFill="1" applyAlignment="1">
      <alignment horizontal="center" vertical="center" wrapText="1"/>
    </xf>
    <xf numFmtId="4" fontId="24" fillId="43" borderId="0" xfId="605" applyFont="1" applyFill="1" applyBorder="1" applyAlignment="1">
      <alignment horizontal="center" vertical="center" wrapText="1"/>
    </xf>
    <xf numFmtId="4" fontId="39" fillId="43" borderId="0" xfId="605" applyFont="1" applyFill="1" applyBorder="1" applyAlignment="1">
      <alignment horizontal="center" wrapText="1"/>
    </xf>
    <xf numFmtId="3" fontId="161" fillId="51" borderId="21" xfId="605" applyNumberFormat="1" applyFont="1" applyFill="1" applyBorder="1" applyAlignment="1">
      <alignment horizontal="left" vertical="center" wrapText="1"/>
    </xf>
    <xf numFmtId="3" fontId="161" fillId="51" borderId="16" xfId="605" applyNumberFormat="1" applyFont="1" applyFill="1" applyBorder="1" applyAlignment="1">
      <alignment horizontal="left" vertical="center" wrapText="1"/>
    </xf>
    <xf numFmtId="4" fontId="37" fillId="43" borderId="0" xfId="612" applyFont="1" applyFill="1" applyBorder="1" applyAlignment="1">
      <alignment horizontal="left" vertical="center" wrapText="1"/>
    </xf>
    <xf numFmtId="4" fontId="39" fillId="43" borderId="24" xfId="605" applyFont="1" applyFill="1" applyBorder="1" applyAlignment="1">
      <alignment horizontal="center" vertical="center"/>
    </xf>
    <xf numFmtId="3" fontId="161" fillId="51" borderId="20" xfId="605" applyNumberFormat="1" applyFont="1" applyFill="1" applyBorder="1" applyAlignment="1">
      <alignment horizontal="left" vertical="center" wrapText="1"/>
    </xf>
    <xf numFmtId="0" fontId="152" fillId="51" borderId="20" xfId="0" applyFont="1" applyFill="1" applyBorder="1" applyAlignment="1">
      <alignment horizontal="left" vertical="top" wrapText="1"/>
    </xf>
    <xf numFmtId="0" fontId="152" fillId="51" borderId="16" xfId="0" applyFont="1" applyFill="1" applyBorder="1" applyAlignment="1">
      <alignment horizontal="left" vertical="top" wrapText="1"/>
    </xf>
    <xf numFmtId="0" fontId="152" fillId="51" borderId="21" xfId="0" applyFont="1" applyFill="1" applyBorder="1" applyAlignment="1">
      <alignment horizontal="left" vertical="top" wrapText="1"/>
    </xf>
    <xf numFmtId="0" fontId="150" fillId="51" borderId="20" xfId="0" applyFont="1" applyFill="1" applyBorder="1" applyAlignment="1">
      <alignment horizontal="left" vertical="top" wrapText="1"/>
    </xf>
    <xf numFmtId="0" fontId="150" fillId="51" borderId="21" xfId="0" applyFont="1" applyFill="1" applyBorder="1" applyAlignment="1">
      <alignment horizontal="left" vertical="top" wrapText="1"/>
    </xf>
    <xf numFmtId="0" fontId="150" fillId="51" borderId="16" xfId="0" applyFont="1" applyFill="1" applyBorder="1" applyAlignment="1">
      <alignment horizontal="left" vertical="top" wrapText="1"/>
    </xf>
    <xf numFmtId="0" fontId="154" fillId="51" borderId="26" xfId="0" applyFont="1" applyFill="1" applyBorder="1" applyAlignment="1">
      <alignment horizontal="left" vertical="top" wrapText="1"/>
    </xf>
    <xf numFmtId="0" fontId="154" fillId="51" borderId="19" xfId="0" applyFont="1" applyFill="1" applyBorder="1" applyAlignment="1">
      <alignment horizontal="left" vertical="top" wrapText="1"/>
    </xf>
    <xf numFmtId="0" fontId="150" fillId="51" borderId="6" xfId="0" applyFont="1" applyFill="1" applyBorder="1" applyAlignment="1">
      <alignment horizontal="left" vertical="center" wrapText="1"/>
    </xf>
    <xf numFmtId="0" fontId="150" fillId="51" borderId="6" xfId="0" applyFont="1" applyFill="1" applyBorder="1" applyAlignment="1">
      <alignment horizontal="left" vertical="center"/>
    </xf>
    <xf numFmtId="4" fontId="39" fillId="43" borderId="0" xfId="605" applyFont="1" applyFill="1" applyAlignment="1">
      <alignment horizontal="center" vertical="center"/>
    </xf>
    <xf numFmtId="0" fontId="33" fillId="43" borderId="0" xfId="607" applyFont="1" applyFill="1" applyAlignment="1">
      <alignment horizontal="center" vertical="center"/>
    </xf>
    <xf numFmtId="4" fontId="37" fillId="43" borderId="25" xfId="605" applyFont="1" applyFill="1" applyBorder="1" applyAlignment="1">
      <alignment horizontal="center" vertical="center"/>
    </xf>
    <xf numFmtId="0" fontId="33" fillId="43" borderId="25" xfId="607" applyFont="1" applyFill="1" applyBorder="1" applyAlignment="1">
      <alignment horizontal="center" vertical="center"/>
    </xf>
    <xf numFmtId="0" fontId="39" fillId="43" borderId="0" xfId="617" applyFont="1" applyFill="1" applyAlignment="1">
      <alignment horizontal="left"/>
    </xf>
    <xf numFmtId="3" fontId="161" fillId="51" borderId="28" xfId="605" applyNumberFormat="1" applyFont="1" applyFill="1" applyBorder="1" applyAlignment="1">
      <alignment horizontal="left" vertical="center" wrapText="1"/>
    </xf>
    <xf numFmtId="3" fontId="161" fillId="51" borderId="24" xfId="605" applyNumberFormat="1" applyFont="1" applyFill="1" applyBorder="1" applyAlignment="1">
      <alignment horizontal="left" vertical="center" wrapText="1"/>
    </xf>
    <xf numFmtId="4" fontId="149" fillId="0" borderId="0" xfId="605" applyFont="1" applyAlignment="1">
      <alignment horizontal="left" wrapText="1"/>
    </xf>
    <xf numFmtId="0" fontId="154" fillId="51" borderId="26" xfId="0" applyFont="1" applyFill="1" applyBorder="1" applyAlignment="1">
      <alignment horizontal="left" vertical="center" wrapText="1"/>
    </xf>
    <xf numFmtId="0" fontId="154" fillId="51" borderId="19" xfId="0" applyFont="1" applyFill="1" applyBorder="1" applyAlignment="1">
      <alignment horizontal="left" vertical="center" wrapText="1"/>
    </xf>
    <xf numFmtId="0" fontId="150" fillId="51" borderId="20" xfId="0" applyFont="1" applyFill="1" applyBorder="1" applyAlignment="1">
      <alignment horizontal="left" vertical="top"/>
    </xf>
    <xf numFmtId="0" fontId="150" fillId="51" borderId="16" xfId="0" applyFont="1" applyFill="1" applyBorder="1" applyAlignment="1">
      <alignment horizontal="left" vertical="top"/>
    </xf>
    <xf numFmtId="0" fontId="154" fillId="51" borderId="17" xfId="0" applyFont="1" applyFill="1" applyBorder="1" applyAlignment="1">
      <alignment horizontal="left" vertical="top" wrapText="1"/>
    </xf>
    <xf numFmtId="0" fontId="164" fillId="51" borderId="21" xfId="0" applyFont="1" applyFill="1" applyBorder="1" applyAlignment="1"/>
    <xf numFmtId="0" fontId="164" fillId="51" borderId="16" xfId="0" applyFont="1" applyFill="1" applyBorder="1" applyAlignment="1"/>
    <xf numFmtId="0" fontId="164" fillId="51" borderId="21" xfId="0" applyFont="1" applyFill="1" applyBorder="1" applyAlignment="1">
      <alignment horizontal="left" vertical="top" wrapText="1"/>
    </xf>
    <xf numFmtId="0" fontId="164" fillId="51" borderId="16" xfId="0" applyFont="1" applyFill="1" applyBorder="1" applyAlignment="1">
      <alignment horizontal="left" vertical="top" wrapText="1"/>
    </xf>
    <xf numFmtId="0" fontId="33" fillId="43" borderId="25" xfId="608" applyFont="1" applyFill="1" applyBorder="1" applyAlignment="1">
      <alignment horizontal="center" vertical="center"/>
    </xf>
    <xf numFmtId="0" fontId="33" fillId="43" borderId="0" xfId="608" applyFont="1" applyFill="1" applyAlignment="1">
      <alignment horizontal="center" vertical="center"/>
    </xf>
    <xf numFmtId="4" fontId="47" fillId="43" borderId="24" xfId="605" applyFont="1" applyFill="1" applyBorder="1" applyAlignment="1">
      <alignment horizontal="right" vertical="center"/>
    </xf>
    <xf numFmtId="4" fontId="37" fillId="43" borderId="0" xfId="605" applyFont="1" applyFill="1" applyAlignment="1">
      <alignment horizontal="center"/>
    </xf>
    <xf numFmtId="4" fontId="24" fillId="43" borderId="0" xfId="605" applyFont="1" applyFill="1" applyAlignment="1">
      <alignment horizontal="center"/>
    </xf>
    <xf numFmtId="0" fontId="54" fillId="0" borderId="0" xfId="595" applyFont="1" applyBorder="1" applyAlignment="1">
      <alignment horizontal="center"/>
    </xf>
    <xf numFmtId="0" fontId="53" fillId="0" borderId="0" xfId="595" applyFont="1" applyBorder="1" applyAlignment="1">
      <alignment horizontal="center"/>
    </xf>
    <xf numFmtId="0" fontId="34" fillId="0" borderId="28" xfId="617" applyFont="1" applyFill="1" applyBorder="1" applyAlignment="1">
      <alignment horizontal="left" vertical="center" wrapText="1"/>
    </xf>
    <xf numFmtId="0" fontId="34" fillId="0" borderId="24" xfId="617" applyFont="1" applyFill="1" applyBorder="1" applyAlignment="1">
      <alignment horizontal="left" vertical="center" wrapText="1"/>
    </xf>
    <xf numFmtId="0" fontId="34" fillId="0" borderId="29" xfId="617" applyFont="1" applyFill="1" applyBorder="1" applyAlignment="1">
      <alignment horizontal="left" vertical="center" wrapText="1"/>
    </xf>
    <xf numFmtId="0" fontId="33" fillId="0" borderId="20" xfId="617" applyFont="1" applyFill="1" applyBorder="1" applyAlignment="1">
      <alignment horizontal="left" vertical="center" wrapText="1"/>
    </xf>
    <xf numFmtId="0" fontId="33" fillId="0" borderId="21" xfId="617" applyFont="1" applyFill="1" applyBorder="1" applyAlignment="1">
      <alignment horizontal="left" vertical="center" wrapText="1"/>
    </xf>
    <xf numFmtId="0" fontId="33" fillId="0" borderId="16" xfId="617" applyFont="1" applyFill="1" applyBorder="1" applyAlignment="1">
      <alignment horizontal="left" vertical="center" wrapText="1"/>
    </xf>
    <xf numFmtId="0" fontId="34" fillId="43" borderId="0" xfId="617" applyFont="1" applyFill="1" applyAlignment="1">
      <alignment horizontal="left"/>
    </xf>
    <xf numFmtId="4" fontId="12" fillId="43" borderId="24" xfId="605" applyFont="1" applyFill="1" applyBorder="1" applyAlignment="1">
      <alignment horizontal="right" vertical="center"/>
    </xf>
    <xf numFmtId="0" fontId="33" fillId="43" borderId="25" xfId="619" applyFont="1" applyFill="1" applyBorder="1" applyAlignment="1">
      <alignment horizontal="left"/>
    </xf>
    <xf numFmtId="0" fontId="33" fillId="0" borderId="25" xfId="617" applyFont="1" applyBorder="1" applyAlignment="1">
      <alignment horizontal="left"/>
    </xf>
    <xf numFmtId="0" fontId="34" fillId="43" borderId="0" xfId="617" applyFont="1" applyFill="1" applyAlignment="1">
      <alignment horizontal="center"/>
    </xf>
    <xf numFmtId="9" fontId="34" fillId="43" borderId="0" xfId="617" applyNumberFormat="1" applyFont="1" applyFill="1" applyAlignment="1">
      <alignment horizontal="left" vertical="top" wrapText="1"/>
    </xf>
    <xf numFmtId="0" fontId="34" fillId="43" borderId="0" xfId="617" applyFont="1" applyFill="1" applyAlignment="1">
      <alignment horizontal="left" vertical="top" wrapText="1"/>
    </xf>
    <xf numFmtId="0" fontId="33" fillId="0" borderId="20" xfId="617" applyFont="1" applyFill="1" applyBorder="1" applyAlignment="1">
      <alignment horizontal="center" vertical="center" wrapText="1"/>
    </xf>
    <xf numFmtId="0" fontId="46" fillId="0" borderId="21" xfId="615" applyFont="1" applyBorder="1" applyAlignment="1">
      <alignment horizontal="center" vertical="center" wrapText="1"/>
    </xf>
    <xf numFmtId="0" fontId="46" fillId="0" borderId="16" xfId="615" applyFont="1" applyBorder="1" applyAlignment="1">
      <alignment horizontal="center" vertical="center" wrapText="1"/>
    </xf>
    <xf numFmtId="0" fontId="34" fillId="43" borderId="24" xfId="617" applyFont="1" applyFill="1" applyBorder="1" applyAlignment="1">
      <alignment horizontal="center" vertical="center"/>
    </xf>
    <xf numFmtId="0" fontId="34" fillId="43" borderId="21" xfId="617" applyFont="1" applyFill="1" applyBorder="1" applyAlignment="1">
      <alignment horizontal="center" vertical="center"/>
    </xf>
    <xf numFmtId="0" fontId="37" fillId="43" borderId="0" xfId="617" applyFont="1" applyFill="1" applyBorder="1" applyAlignment="1">
      <alignment horizontal="center"/>
    </xf>
    <xf numFmtId="0" fontId="34" fillId="43" borderId="21" xfId="617" applyFont="1" applyFill="1" applyBorder="1" applyAlignment="1">
      <alignment horizontal="left" vertical="center" wrapText="1"/>
    </xf>
    <xf numFmtId="0" fontId="34" fillId="43" borderId="16" xfId="617" applyFont="1" applyFill="1" applyBorder="1" applyAlignment="1">
      <alignment horizontal="left" vertical="center" wrapText="1"/>
    </xf>
    <xf numFmtId="0" fontId="34" fillId="0" borderId="20" xfId="617" applyFont="1" applyFill="1" applyBorder="1" applyAlignment="1">
      <alignment horizontal="left" vertical="center" wrapText="1"/>
    </xf>
    <xf numFmtId="0" fontId="34" fillId="0" borderId="21" xfId="617" applyFont="1" applyFill="1" applyBorder="1" applyAlignment="1">
      <alignment horizontal="left" vertical="center" wrapText="1"/>
    </xf>
    <xf numFmtId="0" fontId="34" fillId="0" borderId="16" xfId="617" applyFont="1" applyFill="1" applyBorder="1" applyAlignment="1">
      <alignment horizontal="left" vertical="center" wrapText="1"/>
    </xf>
    <xf numFmtId="0" fontId="11" fillId="0" borderId="6" xfId="611" applyFont="1" applyBorder="1" applyAlignment="1">
      <alignment horizontal="center" wrapText="1"/>
    </xf>
    <xf numFmtId="0" fontId="11" fillId="0" borderId="6" xfId="611" applyFont="1" applyBorder="1" applyAlignment="1">
      <alignment horizontal="center"/>
    </xf>
    <xf numFmtId="0" fontId="44" fillId="43" borderId="0" xfId="611" applyFont="1" applyFill="1" applyAlignment="1">
      <alignment horizontal="center" wrapText="1"/>
    </xf>
    <xf numFmtId="0" fontId="35" fillId="0" borderId="20" xfId="611" applyFont="1" applyBorder="1" applyAlignment="1">
      <alignment horizontal="left" vertical="center" wrapText="1"/>
    </xf>
    <xf numFmtId="0" fontId="35" fillId="0" borderId="21" xfId="611" applyFont="1" applyBorder="1" applyAlignment="1">
      <alignment horizontal="left" vertical="center" wrapText="1"/>
    </xf>
    <xf numFmtId="0" fontId="35" fillId="0" borderId="16" xfId="611" applyFont="1" applyBorder="1" applyAlignment="1">
      <alignment horizontal="left" vertical="center" wrapText="1"/>
    </xf>
    <xf numFmtId="0" fontId="35" fillId="43" borderId="24" xfId="611" applyFont="1" applyFill="1" applyBorder="1" applyAlignment="1">
      <alignment horizontal="right" vertical="center"/>
    </xf>
    <xf numFmtId="0" fontId="11" fillId="0" borderId="0" xfId="611" applyAlignment="1">
      <alignment horizontal="center" wrapText="1"/>
    </xf>
    <xf numFmtId="0" fontId="35" fillId="43" borderId="0" xfId="611" applyFont="1" applyFill="1" applyAlignment="1">
      <alignment horizontal="center" wrapText="1"/>
    </xf>
    <xf numFmtId="0" fontId="83" fillId="43" borderId="0" xfId="617" applyFont="1" applyFill="1" applyAlignment="1">
      <alignment horizontal="left"/>
    </xf>
    <xf numFmtId="0" fontId="44" fillId="43" borderId="24" xfId="611" applyFont="1" applyFill="1" applyBorder="1" applyAlignment="1">
      <alignment horizontal="center"/>
    </xf>
    <xf numFmtId="0" fontId="35" fillId="43" borderId="24" xfId="611" applyFont="1" applyFill="1" applyBorder="1" applyAlignment="1">
      <alignment horizontal="center"/>
    </xf>
    <xf numFmtId="0" fontId="35" fillId="43" borderId="21" xfId="611" applyFont="1" applyFill="1" applyBorder="1" applyAlignment="1">
      <alignment horizontal="center"/>
    </xf>
    <xf numFmtId="0" fontId="35" fillId="43" borderId="25" xfId="611" applyFont="1" applyFill="1" applyBorder="1" applyAlignment="1">
      <alignment horizontal="center"/>
    </xf>
    <xf numFmtId="0" fontId="33" fillId="0" borderId="6" xfId="620" applyFont="1" applyBorder="1" applyAlignment="1">
      <alignment horizontal="center" textRotation="90"/>
    </xf>
    <xf numFmtId="0" fontId="33" fillId="43" borderId="24" xfId="620" applyFont="1" applyFill="1" applyBorder="1" applyAlignment="1">
      <alignment horizontal="right" vertical="center"/>
    </xf>
    <xf numFmtId="0" fontId="33" fillId="51" borderId="0" xfId="620" applyFont="1" applyFill="1" applyBorder="1" applyAlignment="1">
      <alignment horizontal="left"/>
    </xf>
    <xf numFmtId="0" fontId="106" fillId="0" borderId="26" xfId="509" applyFont="1" applyBorder="1" applyAlignment="1" applyProtection="1">
      <alignment horizontal="center" textRotation="90"/>
    </xf>
    <xf numFmtId="0" fontId="106" fillId="0" borderId="17" xfId="509" applyFont="1" applyBorder="1" applyAlignment="1" applyProtection="1">
      <alignment horizontal="center" textRotation="90"/>
    </xf>
    <xf numFmtId="0" fontId="106" fillId="0" borderId="19" xfId="509" applyFont="1" applyBorder="1" applyAlignment="1" applyProtection="1">
      <alignment horizontal="center" textRotation="90"/>
    </xf>
    <xf numFmtId="0" fontId="88" fillId="51" borderId="0" xfId="620" applyFont="1" applyFill="1" applyBorder="1" applyAlignment="1">
      <alignment horizontal="center"/>
    </xf>
    <xf numFmtId="0" fontId="33" fillId="0" borderId="20" xfId="620" applyFont="1" applyBorder="1" applyAlignment="1">
      <alignment horizontal="center" textRotation="90"/>
    </xf>
    <xf numFmtId="0" fontId="33" fillId="0" borderId="16" xfId="620" applyFont="1" applyBorder="1" applyAlignment="1">
      <alignment horizontal="center" textRotation="90"/>
    </xf>
    <xf numFmtId="0" fontId="34" fillId="51" borderId="0" xfId="620" applyFont="1" applyFill="1" applyBorder="1" applyAlignment="1">
      <alignment horizontal="left"/>
    </xf>
    <xf numFmtId="0" fontId="33" fillId="51" borderId="24" xfId="620" applyFont="1" applyFill="1" applyBorder="1" applyAlignment="1">
      <alignment horizontal="left"/>
    </xf>
    <xf numFmtId="0" fontId="33" fillId="51" borderId="24" xfId="618" applyFont="1" applyFill="1" applyBorder="1" applyAlignment="1">
      <alignment horizontal="left"/>
    </xf>
    <xf numFmtId="0" fontId="34" fillId="51" borderId="0" xfId="620" applyFont="1" applyFill="1" applyBorder="1" applyAlignment="1">
      <alignment horizontal="left" vertical="top" wrapText="1"/>
    </xf>
    <xf numFmtId="0" fontId="163" fillId="43" borderId="35" xfId="620" applyFont="1" applyFill="1" applyBorder="1" applyAlignment="1">
      <alignment horizontal="center" vertical="center" wrapText="1"/>
    </xf>
    <xf numFmtId="0" fontId="163" fillId="43" borderId="36" xfId="620" applyFont="1" applyFill="1" applyBorder="1" applyAlignment="1">
      <alignment horizontal="center" vertical="center" wrapText="1"/>
    </xf>
    <xf numFmtId="0" fontId="163" fillId="43" borderId="37" xfId="620" applyFont="1" applyFill="1" applyBorder="1" applyAlignment="1">
      <alignment horizontal="center" vertical="center" wrapText="1"/>
    </xf>
    <xf numFmtId="0" fontId="163" fillId="43" borderId="28" xfId="620" applyFont="1" applyFill="1" applyBorder="1" applyAlignment="1">
      <alignment horizontal="center" vertical="center" wrapText="1"/>
    </xf>
    <xf numFmtId="0" fontId="163" fillId="43" borderId="24" xfId="620" applyFont="1" applyFill="1" applyBorder="1" applyAlignment="1">
      <alignment horizontal="center" vertical="center" wrapText="1"/>
    </xf>
    <xf numFmtId="0" fontId="163" fillId="43" borderId="29" xfId="620" applyFont="1" applyFill="1" applyBorder="1" applyAlignment="1">
      <alignment horizontal="center" vertical="center" wrapText="1"/>
    </xf>
    <xf numFmtId="0" fontId="8" fillId="51" borderId="26" xfId="620" applyFont="1" applyFill="1" applyBorder="1" applyAlignment="1">
      <alignment horizontal="center" vertical="center" wrapText="1"/>
    </xf>
    <xf numFmtId="0" fontId="8" fillId="51" borderId="19" xfId="620" applyFont="1" applyFill="1" applyBorder="1" applyAlignment="1">
      <alignment horizontal="center" vertical="center" wrapText="1"/>
    </xf>
    <xf numFmtId="4" fontId="163" fillId="43" borderId="20" xfId="620" applyNumberFormat="1" applyFont="1" applyFill="1" applyBorder="1" applyAlignment="1">
      <alignment horizontal="center"/>
    </xf>
    <xf numFmtId="0" fontId="163" fillId="43" borderId="21" xfId="620" applyFont="1" applyFill="1" applyBorder="1" applyAlignment="1">
      <alignment horizontal="center"/>
    </xf>
    <xf numFmtId="0" fontId="33" fillId="43" borderId="27" xfId="620" applyFont="1" applyFill="1" applyBorder="1" applyAlignment="1">
      <alignment horizontal="center"/>
    </xf>
    <xf numFmtId="0" fontId="33" fillId="43" borderId="25" xfId="620" applyFont="1" applyFill="1" applyBorder="1" applyAlignment="1">
      <alignment horizontal="center"/>
    </xf>
    <xf numFmtId="0" fontId="33" fillId="43" borderId="31" xfId="620" applyFont="1" applyFill="1" applyBorder="1" applyAlignment="1">
      <alignment horizontal="center"/>
    </xf>
    <xf numFmtId="4" fontId="12" fillId="43" borderId="20" xfId="620" applyNumberFormat="1" applyFont="1" applyFill="1" applyBorder="1" applyAlignment="1">
      <alignment horizontal="center"/>
    </xf>
    <xf numFmtId="0" fontId="12" fillId="43" borderId="21" xfId="620" applyFont="1" applyFill="1" applyBorder="1" applyAlignment="1">
      <alignment horizontal="center"/>
    </xf>
    <xf numFmtId="0" fontId="37" fillId="51" borderId="36" xfId="620" applyFont="1" applyFill="1" applyBorder="1" applyAlignment="1">
      <alignment horizontal="center" vertical="top"/>
    </xf>
    <xf numFmtId="0" fontId="34" fillId="43" borderId="24" xfId="620" applyFont="1" applyFill="1" applyBorder="1" applyAlignment="1">
      <alignment horizontal="center"/>
    </xf>
    <xf numFmtId="0" fontId="33" fillId="43" borderId="26" xfId="620" applyFont="1" applyFill="1" applyBorder="1" applyAlignment="1">
      <alignment horizontal="center" vertical="center" wrapText="1"/>
    </xf>
    <xf numFmtId="0" fontId="33" fillId="43" borderId="17" xfId="620" applyFont="1" applyFill="1" applyBorder="1" applyAlignment="1">
      <alignment horizontal="center" vertical="center" wrapText="1"/>
    </xf>
    <xf numFmtId="0" fontId="33" fillId="43" borderId="19" xfId="620" applyFont="1" applyFill="1" applyBorder="1" applyAlignment="1">
      <alignment horizontal="center" vertical="center" wrapText="1"/>
    </xf>
    <xf numFmtId="4" fontId="165" fillId="43" borderId="20" xfId="620" applyNumberFormat="1" applyFont="1" applyFill="1" applyBorder="1" applyAlignment="1">
      <alignment horizontal="center"/>
    </xf>
    <xf numFmtId="4" fontId="165" fillId="43" borderId="21" xfId="620" applyNumberFormat="1" applyFont="1" applyFill="1" applyBorder="1" applyAlignment="1">
      <alignment horizontal="center"/>
    </xf>
    <xf numFmtId="4" fontId="165" fillId="43" borderId="16" xfId="620" applyNumberFormat="1" applyFont="1" applyFill="1" applyBorder="1" applyAlignment="1">
      <alignment horizontal="center"/>
    </xf>
    <xf numFmtId="0" fontId="33" fillId="51" borderId="0" xfId="620" applyFont="1" applyFill="1" applyBorder="1" applyAlignment="1">
      <alignment horizontal="center"/>
    </xf>
    <xf numFmtId="0" fontId="28" fillId="0" borderId="6" xfId="620" applyFont="1" applyBorder="1" applyAlignment="1">
      <alignment horizontal="center"/>
    </xf>
    <xf numFmtId="0" fontId="163" fillId="51" borderId="26" xfId="620" applyFont="1" applyFill="1" applyBorder="1" applyAlignment="1">
      <alignment horizontal="center" vertical="center" wrapText="1"/>
    </xf>
    <xf numFmtId="0" fontId="163" fillId="51" borderId="17" xfId="620" applyFont="1" applyFill="1" applyBorder="1" applyAlignment="1">
      <alignment horizontal="center" vertical="center" wrapText="1"/>
    </xf>
    <xf numFmtId="0" fontId="163" fillId="51" borderId="19" xfId="620" applyFont="1" applyFill="1" applyBorder="1" applyAlignment="1">
      <alignment horizontal="center" vertical="center" wrapText="1"/>
    </xf>
    <xf numFmtId="0" fontId="163" fillId="43" borderId="18" xfId="620" applyFont="1" applyFill="1" applyBorder="1" applyAlignment="1">
      <alignment horizontal="center" vertical="center" wrapText="1"/>
    </xf>
    <xf numFmtId="0" fontId="163" fillId="43" borderId="0" xfId="620" applyFont="1" applyFill="1" applyBorder="1" applyAlignment="1">
      <alignment horizontal="center" vertical="center" wrapText="1"/>
    </xf>
    <xf numFmtId="0" fontId="163" fillId="43" borderId="30" xfId="620" applyFont="1" applyFill="1" applyBorder="1" applyAlignment="1">
      <alignment horizontal="center" vertical="center" wrapText="1"/>
    </xf>
    <xf numFmtId="0" fontId="34" fillId="0" borderId="6" xfId="620" applyFont="1" applyBorder="1" applyAlignment="1">
      <alignment horizontal="center" textRotation="90"/>
    </xf>
    <xf numFmtId="0" fontId="34" fillId="0" borderId="26" xfId="620" applyFont="1" applyBorder="1" applyAlignment="1">
      <alignment horizontal="center" textRotation="90" wrapText="1"/>
    </xf>
    <xf numFmtId="0" fontId="34" fillId="0" borderId="17" xfId="620" applyFont="1" applyBorder="1" applyAlignment="1">
      <alignment horizontal="center" textRotation="90" wrapText="1"/>
    </xf>
    <xf numFmtId="0" fontId="34" fillId="0" borderId="19" xfId="620" applyFont="1" applyBorder="1" applyAlignment="1">
      <alignment horizontal="center" textRotation="90" wrapText="1"/>
    </xf>
    <xf numFmtId="0" fontId="33" fillId="0" borderId="17" xfId="620" applyFont="1" applyBorder="1" applyAlignment="1">
      <alignment horizontal="center" textRotation="90"/>
    </xf>
    <xf numFmtId="0" fontId="33" fillId="0" borderId="19" xfId="620" applyFont="1" applyBorder="1" applyAlignment="1">
      <alignment horizontal="center" textRotation="90"/>
    </xf>
    <xf numFmtId="0" fontId="33" fillId="51" borderId="0" xfId="620" applyFont="1" applyFill="1" applyBorder="1" applyAlignment="1">
      <alignment horizontal="left" vertical="top" wrapText="1"/>
    </xf>
  </cellXfs>
  <cellStyles count="795">
    <cellStyle name="__ 30" xfId="1"/>
    <cellStyle name="_++ПИРС_04.06.09 УПН Ярактинского НГКМ до НПС-8" xfId="2"/>
    <cellStyle name="_+Копия Смета  ПИР_ВНИИСТ" xfId="3"/>
    <cellStyle name="_+ПД+РД Русско-Реченское_ВНИИСТ 07.04.09_без зимников" xfId="4"/>
    <cellStyle name="_+ПИРС+СТН н-пр УПН Ярактинского НГКМ до НПС-8" xfId="5"/>
    <cellStyle name="_0074 лок 4" xfId="6"/>
    <cellStyle name="_0093_ РД _Сметы (локальные)" xfId="7"/>
    <cellStyle name="_070816 Проект плана ПИР 2008кор" xfId="8"/>
    <cellStyle name="_1 Экспертиза ПБ" xfId="9"/>
    <cellStyle name="_10.1 Эффект деят-ти" xfId="10"/>
    <cellStyle name="_1171-20.2007 ПО Смета № 10" xfId="11"/>
    <cellStyle name="_1171-20.2007 ПО Смета № 10_KR, svod, smety - otkor_(1)" xfId="12"/>
    <cellStyle name="_1171-20.2007 ПО Смета № 10_КП, сводная, сметы" xfId="13"/>
    <cellStyle name="_1171-20.2007 ПО Смета № 10_КП, сводная, сметы_График, сметы к лаб. комп. 2484 от 11.08.2011" xfId="14"/>
    <cellStyle name="_1171-20.2007 ПО Смета № 10_КП, сводная, сметы_График, сметы к лаб. комп. 2484 от 11.08.2011_2,4 2484 Лаб  комп  ответы ПИРСа 13 09 2011" xfId="15"/>
    <cellStyle name="_1171-20.2007 ПО Смета № 10_КП, сводная, сметы_График, сметы к лаб. комп. 2484 от 11.08.2011_2,4 2484 Лаб  комп  ответы ПИРСа 13 09 2011_ИЭИ_смета_Мария" xfId="16"/>
    <cellStyle name="_1171-20.2007 ПО Смета № 10_КП, сводная, сметы_График, сметы к лаб. комп. 2484 от 11.08.2011_2,4 2484 Лаб  комп  ответы ПИРСа 13 09 2011_Прил  2  сметы к 2485 Метрол  центр от 10 10 2011" xfId="17"/>
    <cellStyle name="_1171-20.2007 ПО Смета № 10_КП, сводная, сметы_График, сметы к лаб. комп. 2484 от 11.08.2011_ИЭИ_смета_Мария" xfId="18"/>
    <cellStyle name="_1171-20.2007 ПО Смета № 10_КП, сводная, сметы_График, сметы к лаб. комп. 2484 от 11.08.2011_Прил  2  сметы к 2485 Метрол  центр от 10 10 2011" xfId="19"/>
    <cellStyle name="_14-07-09  ЮТМ" xfId="20"/>
    <cellStyle name="_16-02-10_ЮТМ_зак _ОТР_ ПД_ЭСН_ген_по зам_193_раб_ТомскНипиНефть_" xfId="21"/>
    <cellStyle name="_17500708-0121Д1 смета №6 ИИР РД" xfId="22"/>
    <cellStyle name="_1982-5 13.05.09 Общая смета Генподряд" xfId="23"/>
    <cellStyle name="_2 Экспертиза ПБ" xfId="24"/>
    <cellStyle name="_2,3 График, Сметы 1982-17 к согл.1 18.07.11" xfId="25"/>
    <cellStyle name="_21-08-09 АДЭС 9,6Мвт(НПС4) + 5,8Мвт (ПСП) ВНГП" xfId="26"/>
    <cellStyle name="_2277_9_Baza_PTO_na_st_Yarki___Grafik_17.11.10" xfId="27"/>
    <cellStyle name="_2277_9_Baza_PTO_na_st_Yarki___Grafik_17.11.10_с понижением субподряда" xfId="28"/>
    <cellStyle name="_2421 от 05.10.2011" xfId="29"/>
    <cellStyle name="_2496 площ. для оборудования от 05.10.2011" xfId="30"/>
    <cellStyle name="_25-08-09_ЮТМ ПД+РД+AДЭС_генеральная" xfId="31"/>
    <cellStyle name="_2521 от 05.10.2011" xfId="32"/>
    <cellStyle name="_2528 Мост Иркинеева от 06.10.2011" xfId="33"/>
    <cellStyle name="_3  CWOD-тендер исп_" xfId="34"/>
    <cellStyle name="_384" xfId="35"/>
    <cellStyle name="_385" xfId="36"/>
    <cellStyle name="_41 участок" xfId="37"/>
    <cellStyle name="_ATM over SDH" xfId="38"/>
    <cellStyle name="_Cp_E250 &amp; E450 _01" xfId="39"/>
    <cellStyle name="_IT-SCS" xfId="40"/>
    <cellStyle name="_LAN 23-10" xfId="41"/>
    <cellStyle name="_LVS" xfId="42"/>
    <cellStyle name="_Pr_Dyg60" xfId="43"/>
    <cellStyle name="_Prilozhenie_PSD2148-12_ASU_TP_19 10 09_ПД+РД_" xfId="44"/>
    <cellStyle name="_Prilozheniya_k_DS_2148-19____11_07_10" xfId="45"/>
    <cellStyle name="_S3105_050603_new" xfId="46"/>
    <cellStyle name="_SCS_ECS_LVS" xfId="47"/>
    <cellStyle name="_Smeta Proekt Poiski (2)" xfId="48"/>
    <cellStyle name="_SmResSchort1" xfId="49"/>
    <cellStyle name="_Spec" xfId="50"/>
    <cellStyle name="_АСУ ТП доп работы СОД 16, АРт скважина ЛЭС_" xfId="51"/>
    <cellStyle name="_БКП 1303.1.21" xfId="52"/>
    <cellStyle name="_Братск_S3182_общ_" xfId="53"/>
    <cellStyle name="_ВЛ110_ геофизика  №9  Проект" xfId="54"/>
    <cellStyle name="_ВЛ110_на_НПС-1 смета №8 ИИР Проект" xfId="55"/>
    <cellStyle name="_Волна давления" xfId="56"/>
    <cellStyle name="_Все системы 2" xfId="57"/>
    <cellStyle name="_График обустр.2002г" xfId="58"/>
    <cellStyle name="_График сметы  ПСД2148_экология_14 07 09_ИЭИ_ОВОС" xfId="59"/>
    <cellStyle name="_ГРС ломово смета" xfId="60"/>
    <cellStyle name="_ГРС Сибай" xfId="61"/>
    <cellStyle name="_ГТП проектные Замена трубы_1917-1923 от экспер" xfId="62"/>
    <cellStyle name="_ГТП_ ПИР БИК СМН-Приводино_12.05.09" xfId="63"/>
    <cellStyle name="_ГТП_ р.Сызранка 1444 (ИИ+ПР)" xfId="64"/>
    <cellStyle name="_ГТП_Замена подв.переход р. Панинский Еган" xfId="65"/>
    <cellStyle name="_ГТП_НПС Синдор Газ" xfId="66"/>
    <cellStyle name="_ГТП_Нюксеница Сметы СМН-11" xfId="67"/>
    <cellStyle name="_ГТП_ПИР БИК СМН-Чикшино_11.05.09" xfId="68"/>
    <cellStyle name="_ГТП_р Сыня Сметы СМН-11" xfId="69"/>
    <cellStyle name="_ГТП_р Холуйница Сметы СМН-11" xfId="70"/>
    <cellStyle name="_ГТП_р Шаболга Сметы СМН-11" xfId="71"/>
    <cellStyle name="_ГТП_Смета ПиР Субханкулово8 к ДС" xfId="72"/>
    <cellStyle name="_ГТП-11017_ Киенгоп.АЗС" xfId="73"/>
    <cellStyle name="_Домодедово " xfId="74"/>
    <cellStyle name="_ЗАМЕНА ТР." xfId="75"/>
    <cellStyle name="_ЗИП" xfId="76"/>
    <cellStyle name="_ЗРУ Микунь Д изм 1" xfId="77"/>
    <cellStyle name="_ЗРУ таёжная" xfId="78"/>
    <cellStyle name="_Изм. 15_НПС-16,18 Смета на корректировку" xfId="79"/>
    <cellStyle name="_Изменение макета БП_050706" xfId="80"/>
    <cellStyle name="_Исправленый 28 07 05 Уяр Смета на всё1" xfId="81"/>
    <cellStyle name="_Исправленый 28.07.05 Уяр" xfId="82"/>
    <cellStyle name="_Кал.план ВЛ-35кв Угутская" xfId="83"/>
    <cellStyle name="_Каштан и ВЛ" xfId="84"/>
    <cellStyle name="_Книга1" xfId="85"/>
    <cellStyle name="_Книга1 (4)" xfId="86"/>
    <cellStyle name="_Книга1_1" xfId="87"/>
    <cellStyle name="_Командировочные" xfId="88"/>
    <cellStyle name="_Коммерческое 1303.18 ПИР Нефтепровод Русское" xfId="89"/>
    <cellStyle name="_Копия 2,4_Grafik_smeta_DS_1_PSD2437_02_06_11" xfId="90"/>
    <cellStyle name="_Копия Grafik_sv_smeta_N2148-4_26.03.10" xfId="91"/>
    <cellStyle name="_Копия БП_доп макет" xfId="92"/>
    <cellStyle name="_Копия Копия Форма 3П новая " xfId="93"/>
    <cellStyle name="_Копия Смета ПИР для зак (Газ геодезия)V3" xfId="94"/>
    <cellStyle name="_Котельная-1" xfId="95"/>
    <cellStyle name="_КП и Смета  воскресенка-никольское_Куйб-Брянск_правлено" xfId="96"/>
    <cellStyle name="_КСВТ" xfId="97"/>
    <cellStyle name="_Леско1" xfId="98"/>
    <cellStyle name="_Локосовское месторождения" xfId="99"/>
    <cellStyle name="_ЛОТ 2" xfId="100"/>
    <cellStyle name="_Лот №2. Реконструкция трансформаторной подстанции" xfId="101"/>
    <cellStyle name="_Мероприятия по трубе на 6.07.00" xfId="102"/>
    <cellStyle name="_Микроэкономика  1 Проектные работы" xfId="103"/>
    <cellStyle name="_Микроэкономика  2 Проектные работы" xfId="104"/>
    <cellStyle name="_МОНГИ" xfId="105"/>
    <cellStyle name="_Нефтесборные сети, высоконапорные водоводы Покачевского месторождения" xfId="106"/>
    <cellStyle name="_НОВЫЙ лот 4 (АСУ МАУ)" xfId="107"/>
    <cellStyle name="_НОВЫЙ Лот 9 Котельная-13.02.2008" xfId="108"/>
    <cellStyle name="_НПЗ" xfId="109"/>
    <cellStyle name="_НПЗ (2)" xfId="110"/>
    <cellStyle name="_Оборудование (1)" xfId="111"/>
    <cellStyle name="_Обустройство Майское нмр Реконструкция" xfId="112"/>
    <cellStyle name="_ОПУ" xfId="113"/>
    <cellStyle name="_Орловка АН смета+КП" xfId="114"/>
    <cellStyle name="_ОрН ЗГПП 1303.2.2" xfId="115"/>
    <cellStyle name="_Переход траншея р. Юргамыш 15.09.08" xfId="116"/>
    <cellStyle name="_Переход_400метров" xfId="117"/>
    <cellStyle name="_Периферия" xfId="118"/>
    <cellStyle name="_Прил 1 2  График Смета 2277 э дс на ум. ст-ти 18 08 2011" xfId="119"/>
    <cellStyle name="_Прил 2,4. График, сметы ПСД2337 27 04 11" xfId="120"/>
    <cellStyle name="_Приложение 2 ПД+РД АДЭС НПС134 11_2мВт ПСП 5_5 мВт_генеральная_на 56 млн_ПД К 0,15" xfId="121"/>
    <cellStyle name="_Приложение 2 ПД+РД АДЭС НПС134 11_2мВт ПСП 5_5 мВт_генеральная_на 56 млн_ПД К 0,15 (version 1)" xfId="122"/>
    <cellStyle name="_Приложение 2_Часть2_2148_4_ОТР_ПД_АДЭС_17 02 10_ _ _" xfId="123"/>
    <cellStyle name="_Приложение 5" xfId="124"/>
    <cellStyle name="_Приложения 1_2148_4_ОТР_ПД_АДЭС_17 02 10_" xfId="125"/>
    <cellStyle name="_Приложения 1982-5_12 05 09_" xfId="126"/>
    <cellStyle name="_Приложения 2_2148_4_ОТР_ПД_АДЭС_26 02 10_ _ _ _" xfId="127"/>
    <cellStyle name="_Приложения 2_Часть1_2148_4_ОТР_ПД_АДЭС_17 02 10_ _ _" xfId="128"/>
    <cellStyle name="_Приложения к Д_С_2148_ПД+РД_19 06 09" xfId="129"/>
    <cellStyle name="_Приложения РД АДЭС_НПС134 11_2мВт ПСП 5_5 мВт_на 25,8 млн" xfId="130"/>
    <cellStyle name="_Проектные работы" xfId="131"/>
    <cellStyle name="_р Сыня Сметы СМН-11" xfId="132"/>
    <cellStyle name="_р Холуйница Сметы СМН-11" xfId="133"/>
    <cellStyle name="_Рабочие станции" xfId="134"/>
    <cellStyle name="_Раздел 20 макет new" xfId="135"/>
    <cellStyle name="_Рассолопровод-ДОН_ВНГП_ВНИИСТ_посл_вариант" xfId="136"/>
    <cellStyle name="_Расчёт стоимост 1 чел-часа по ПИР (КНТЦ1 ) (2)" xfId="137"/>
    <cellStyle name="_Расчет стоимости ТомскНИПИ-41082" xfId="138"/>
    <cellStyle name="_РД ГНПС_170510" xfId="139"/>
    <cellStyle name="_Рек. Шуйской  нефтебазы согл ВНИИСТ" xfId="140"/>
    <cellStyle name="_РЕКОНСТРУКЦИЯ (2)" xfId="141"/>
    <cellStyle name="_РЕКОНСТРУКЦИЯ (лиц)" xfId="142"/>
    <cellStyle name="_Ростовский (3)" xfId="143"/>
    <cellStyle name="_СВ СМ" xfId="144"/>
    <cellStyle name="_Свод ТЭО + РД" xfId="145"/>
    <cellStyle name="_Свод,ПР Новое строительство" xfId="146"/>
    <cellStyle name="_Сводная" xfId="147"/>
    <cellStyle name="_сводная смета" xfId="148"/>
    <cellStyle name="_Сводная смета + КП 4" xfId="149"/>
    <cellStyle name="_Сводные сметы" xfId="150"/>
    <cellStyle name="_СВЯЗЬ" xfId="151"/>
    <cellStyle name="_Сервера" xfId="152"/>
    <cellStyle name="_Система управления" xfId="153"/>
    <cellStyle name="_Смета" xfId="154"/>
    <cellStyle name="_смета 1 (2)" xfId="155"/>
    <cellStyle name="_Смета 1.3 Связь,сигнализация" xfId="156"/>
    <cellStyle name="_смета 2" xfId="157"/>
    <cellStyle name="_Смета и КП  СУЗУН  УПН" xfId="158"/>
    <cellStyle name="_Смета Казахстан(Западный ТП)" xfId="159"/>
    <cellStyle name="_Смета НПС (2)" xfId="160"/>
    <cellStyle name="_Смета пожарка на Никольское" xfId="161"/>
    <cellStyle name="_смета соседка" xfId="162"/>
    <cellStyle name="_Смета СОУ" xfId="163"/>
    <cellStyle name="_Смета ТМ 5 ПС" xfId="164"/>
    <cellStyle name="_Смета ТМ А-М" xfId="165"/>
    <cellStyle name="_Смета Элеси_Майское месторождение_тендер" xfId="166"/>
    <cellStyle name="_Смета_ Образец СВОДНАЯ" xfId="167"/>
    <cellStyle name="_Смета_геофизика" xfId="168"/>
    <cellStyle name="_Смета_ИЭИ_база_ПТО_и_КО_Ярки" xfId="169"/>
    <cellStyle name="_СметаПИР пункт налива гор.воды,Мишкино04.04.08т" xfId="170"/>
    <cellStyle name="_Сметы ВНИИСТ" xfId="171"/>
    <cellStyle name="_Сметы ВНИИСТ_01.04.08 Смета на ИИР_ПИРС" xfId="172"/>
    <cellStyle name="_Сметы ВНИИСТ_27.08.08 ИИ КППСОД 0-68-ТСМН" xfId="173"/>
    <cellStyle name="_Сметы инж_изыскания" xfId="174"/>
    <cellStyle name="_Сметы на АСУТП_ АСПТ_АСТУЭ МН ЮТМ от ИСА (2)" xfId="175"/>
    <cellStyle name="_СМН_ПИР БИК СМН-Чикшино_16 06 09 (3)" xfId="176"/>
    <cellStyle name="_Спецификация" xfId="177"/>
    <cellStyle name="_Строительство КППСОД МНТОН - 2_ВНИИСТ+" xfId="178"/>
    <cellStyle name="_ТЕНД ВЛ 169-202км от Бартенева" xfId="179"/>
    <cellStyle name="_ТМ Быково Кириши" xfId="180"/>
    <cellStyle name="_топография_Юго_Запад (2)" xfId="181"/>
    <cellStyle name="_Трубопровод нефтесодержащего конденсата. СС" xfId="182"/>
    <cellStyle name="_УПАТС ГУГОЧС 2003 (копия)" xfId="183"/>
    <cellStyle name="_Уяр ТЗ 2_" xfId="184"/>
    <cellStyle name="_ф 7" xfId="185"/>
    <cellStyle name="_финансы" xfId="186"/>
    <cellStyle name="_Формы 8 и 8.1. макета БП" xfId="187"/>
    <cellStyle name="_ш_2042_смета1" xfId="188"/>
    <cellStyle name="_ш_2185_смета1" xfId="189"/>
    <cellStyle name="_ш_2239_смета_ИЭИ" xfId="190"/>
    <cellStyle name="_Шаблон формы П 3" xfId="191"/>
    <cellStyle name="_ЩСУ 394" xfId="192"/>
    <cellStyle name="_ЩСУ Тайшет" xfId="193"/>
    <cellStyle name="_Экспертиза" xfId="194"/>
    <cellStyle name="_Экспертиза ГЭС" xfId="195"/>
    <cellStyle name="_Экспертиза РВС20т.м3 №1А ЛПДС Юргамыш" xfId="196"/>
    <cellStyle name="_Юганскнефтегаз_Дт Кт (01 06 06)" xfId="197"/>
    <cellStyle name="_Южно-Покачевское месторождения" xfId="198"/>
    <cellStyle name="_Японское море_РД - ВНИИСТ" xfId="199"/>
    <cellStyle name="20% - Accent1" xfId="200"/>
    <cellStyle name="20% - Accent2" xfId="201"/>
    <cellStyle name="20% - Accent3" xfId="202"/>
    <cellStyle name="20% - Accent4" xfId="203"/>
    <cellStyle name="20% - Accent5" xfId="204"/>
    <cellStyle name="20% - Accent6" xfId="205"/>
    <cellStyle name="20% - Акцент1 2" xfId="206"/>
    <cellStyle name="20% - Акцент1 2 2" xfId="207"/>
    <cellStyle name="20% - Акцент1 3" xfId="208"/>
    <cellStyle name="20% - Акцент2 2" xfId="209"/>
    <cellStyle name="20% - Акцент2 2 2" xfId="210"/>
    <cellStyle name="20% - Акцент2 3" xfId="211"/>
    <cellStyle name="20% - Акцент3 2" xfId="212"/>
    <cellStyle name="20% - Акцент3 2 2" xfId="213"/>
    <cellStyle name="20% - Акцент3 3" xfId="214"/>
    <cellStyle name="20% - Акцент4 2" xfId="215"/>
    <cellStyle name="20% - Акцент4 2 2" xfId="216"/>
    <cellStyle name="20% - Акцент4 3" xfId="217"/>
    <cellStyle name="20% - Акцент5 2" xfId="218"/>
    <cellStyle name="20% - Акцент5 2 2" xfId="219"/>
    <cellStyle name="20% - Акцент5 3" xfId="220"/>
    <cellStyle name="20% - Акцент6 2" xfId="221"/>
    <cellStyle name="20% - Акцент6 2 2" xfId="222"/>
    <cellStyle name="20% - Акцент6 3" xfId="223"/>
    <cellStyle name="40% - Accent1" xfId="224"/>
    <cellStyle name="40% - Accent2" xfId="225"/>
    <cellStyle name="40% - Accent3" xfId="226"/>
    <cellStyle name="40% - Accent4" xfId="227"/>
    <cellStyle name="40% - Accent5" xfId="228"/>
    <cellStyle name="40% - Accent6" xfId="229"/>
    <cellStyle name="40% - Акцент1 2" xfId="230"/>
    <cellStyle name="40% - Акцент1 2 2" xfId="231"/>
    <cellStyle name="40% - Акцент1 3" xfId="232"/>
    <cellStyle name="40% - Акцент2 2" xfId="233"/>
    <cellStyle name="40% - Акцент2 2 2" xfId="234"/>
    <cellStyle name="40% - Акцент2 3" xfId="235"/>
    <cellStyle name="40% - Акцент3 2" xfId="236"/>
    <cellStyle name="40% - Акцент3 2 2" xfId="237"/>
    <cellStyle name="40% - Акцент3 3" xfId="238"/>
    <cellStyle name="40% - Акцент4 2" xfId="239"/>
    <cellStyle name="40% - Акцент4 2 2" xfId="240"/>
    <cellStyle name="40% - Акцент4 3" xfId="241"/>
    <cellStyle name="40% - Акцент5 2" xfId="242"/>
    <cellStyle name="40% - Акцент5 2 2" xfId="243"/>
    <cellStyle name="40% - Акцент5 3" xfId="244"/>
    <cellStyle name="40% - Акцент6 2" xfId="245"/>
    <cellStyle name="40% - Акцент6 2 2" xfId="246"/>
    <cellStyle name="40% - Акцент6 3" xfId="247"/>
    <cellStyle name="60% - Accent1" xfId="248"/>
    <cellStyle name="60% - Accent2" xfId="249"/>
    <cellStyle name="60% - Accent3" xfId="250"/>
    <cellStyle name="60% - Accent4" xfId="251"/>
    <cellStyle name="60% - Accent5" xfId="252"/>
    <cellStyle name="60% - Accent6" xfId="253"/>
    <cellStyle name="60% - Акцент1 2" xfId="254"/>
    <cellStyle name="60% - Акцент1 2 2" xfId="255"/>
    <cellStyle name="60% - Акцент1 3" xfId="256"/>
    <cellStyle name="60% - Акцент2 2" xfId="257"/>
    <cellStyle name="60% - Акцент2 2 2" xfId="258"/>
    <cellStyle name="60% - Акцент2 3" xfId="259"/>
    <cellStyle name="60% - Акцент3 2" xfId="260"/>
    <cellStyle name="60% - Акцент3 2 2" xfId="261"/>
    <cellStyle name="60% - Акцент3 3" xfId="262"/>
    <cellStyle name="60% - Акцент4 2" xfId="263"/>
    <cellStyle name="60% - Акцент4 2 2" xfId="264"/>
    <cellStyle name="60% - Акцент4 3" xfId="265"/>
    <cellStyle name="60% - Акцент5 2" xfId="266"/>
    <cellStyle name="60% - Акцент5 2 2" xfId="267"/>
    <cellStyle name="60% - Акцент5 3" xfId="268"/>
    <cellStyle name="60% - Акцент6 2" xfId="269"/>
    <cellStyle name="60% - Акцент6 2 2" xfId="270"/>
    <cellStyle name="60% - Акцент6 3" xfId="271"/>
    <cellStyle name="Aaia?iue [0]_1 yoa?" xfId="272"/>
    <cellStyle name="Aaia?iue_1 yoa?" xfId="273"/>
    <cellStyle name="Accent1" xfId="274"/>
    <cellStyle name="Accent1 - 20%" xfId="275"/>
    <cellStyle name="Accent1 - 40%" xfId="276"/>
    <cellStyle name="Accent1 - 60%" xfId="277"/>
    <cellStyle name="Accent1_+Smeta na RP-4" xfId="278"/>
    <cellStyle name="Accent2" xfId="279"/>
    <cellStyle name="Accent2 - 20%" xfId="280"/>
    <cellStyle name="Accent2 - 40%" xfId="281"/>
    <cellStyle name="Accent2 - 60%" xfId="282"/>
    <cellStyle name="Accent2_+Smeta na RP-4" xfId="283"/>
    <cellStyle name="Accent3" xfId="284"/>
    <cellStyle name="Accent3 - 20%" xfId="285"/>
    <cellStyle name="Accent3 - 40%" xfId="286"/>
    <cellStyle name="Accent3 - 60%" xfId="287"/>
    <cellStyle name="Accent3_+Smeta na RP-4" xfId="288"/>
    <cellStyle name="Accent4" xfId="289"/>
    <cellStyle name="Accent4 - 20%" xfId="290"/>
    <cellStyle name="Accent4 - 40%" xfId="291"/>
    <cellStyle name="Accent4 - 60%" xfId="292"/>
    <cellStyle name="Accent4_+Smeta na RP-4" xfId="293"/>
    <cellStyle name="Accent5" xfId="294"/>
    <cellStyle name="Accent5 - 20%" xfId="295"/>
    <cellStyle name="Accent5 - 40%" xfId="296"/>
    <cellStyle name="Accent5 - 60%" xfId="297"/>
    <cellStyle name="Accent5_+Smeta na RP-4" xfId="298"/>
    <cellStyle name="Accent6" xfId="299"/>
    <cellStyle name="Accent6 - 20%" xfId="300"/>
    <cellStyle name="Accent6 - 40%" xfId="301"/>
    <cellStyle name="Accent6 - 60%" xfId="302"/>
    <cellStyle name="Accent6_+Smeta na RP-4" xfId="303"/>
    <cellStyle name="Bad" xfId="304"/>
    <cellStyle name="Calculation" xfId="305"/>
    <cellStyle name="category" xfId="306"/>
    <cellStyle name="Check Cell" xfId="307"/>
    <cellStyle name="Comma [0]_03" xfId="308"/>
    <cellStyle name="Comma_03" xfId="309"/>
    <cellStyle name="Cost" xfId="310"/>
    <cellStyle name="Currency [0]" xfId="311"/>
    <cellStyle name="Currency [0] 2" xfId="312"/>
    <cellStyle name="Currency_03" xfId="313"/>
    <cellStyle name="done" xfId="314"/>
    <cellStyle name="Emphasis 1" xfId="315"/>
    <cellStyle name="Emphasis 2" xfId="316"/>
    <cellStyle name="Emphasis 3" xfId="317"/>
    <cellStyle name="Equpment" xfId="318"/>
    <cellStyle name="Equpment Header" xfId="319"/>
    <cellStyle name="Equpment_Internet" xfId="320"/>
    <cellStyle name="Euro" xfId="321"/>
    <cellStyle name="Euro 10" xfId="322"/>
    <cellStyle name="Euro 11" xfId="323"/>
    <cellStyle name="Euro 12" xfId="324"/>
    <cellStyle name="Euro 13" xfId="325"/>
    <cellStyle name="Euro 14" xfId="326"/>
    <cellStyle name="Euro 15" xfId="327"/>
    <cellStyle name="Euro 16" xfId="328"/>
    <cellStyle name="Euro 17" xfId="329"/>
    <cellStyle name="Euro 18" xfId="330"/>
    <cellStyle name="Euro 19" xfId="331"/>
    <cellStyle name="Euro 2" xfId="332"/>
    <cellStyle name="Euro 20" xfId="333"/>
    <cellStyle name="Euro 21" xfId="334"/>
    <cellStyle name="Euro 3" xfId="335"/>
    <cellStyle name="Euro 4" xfId="336"/>
    <cellStyle name="Euro 5" xfId="337"/>
    <cellStyle name="Euro 6" xfId="338"/>
    <cellStyle name="Euro 7" xfId="339"/>
    <cellStyle name="Euro 8" xfId="340"/>
    <cellStyle name="Euro 9" xfId="341"/>
    <cellStyle name="Explanatory Text" xfId="342"/>
    <cellStyle name="eZ????z_WS_ACER.XLS" xfId="343"/>
    <cellStyle name="Good" xfId="344"/>
    <cellStyle name="Grey" xfId="345"/>
    <cellStyle name="GROS" xfId="346"/>
    <cellStyle name="HEADER" xfId="347"/>
    <cellStyle name="Heading 1" xfId="348"/>
    <cellStyle name="Heading 2" xfId="349"/>
    <cellStyle name="Heading 3" xfId="350"/>
    <cellStyle name="Heading 4" xfId="351"/>
    <cellStyle name="Iau?iue_1 yoa?" xfId="352"/>
    <cellStyle name="Input" xfId="353"/>
    <cellStyle name="Input [yellow]" xfId="354"/>
    <cellStyle name="Input_+Smeta na RP-4" xfId="355"/>
    <cellStyle name="Linked Cell" xfId="356"/>
    <cellStyle name="Model" xfId="357"/>
    <cellStyle name="Navadno_TAB" xfId="358"/>
    <cellStyle name="Neutral" xfId="359"/>
    <cellStyle name="Normal - Style1" xfId="360"/>
    <cellStyle name="Normal_01" xfId="361"/>
    <cellStyle name="Normal1" xfId="362"/>
    <cellStyle name="NormalText" xfId="363"/>
    <cellStyle name="normбlnм_laroux" xfId="364"/>
    <cellStyle name="Note" xfId="365"/>
    <cellStyle name="Note 10" xfId="366"/>
    <cellStyle name="Note 2" xfId="367"/>
    <cellStyle name="Note 3" xfId="368"/>
    <cellStyle name="Note 4" xfId="369"/>
    <cellStyle name="Note 5" xfId="370"/>
    <cellStyle name="Note 6" xfId="371"/>
    <cellStyle name="Note 7" xfId="372"/>
    <cellStyle name="Note 8" xfId="373"/>
    <cellStyle name="Note 9" xfId="374"/>
    <cellStyle name="Note_+Smeta na RP-4" xfId="375"/>
    <cellStyle name="Oeiainiaue [0]_1 yoa?" xfId="376"/>
    <cellStyle name="Oeiainiaue_1 yoa?" xfId="377"/>
    <cellStyle name="Ouny?e [0]_SPEC_WAN" xfId="378"/>
    <cellStyle name="Ouny?e_SPEC_WAN" xfId="379"/>
    <cellStyle name="Output" xfId="380"/>
    <cellStyle name="Percent [2]" xfId="381"/>
    <cellStyle name="Percent_OPERATING" xfId="382"/>
    <cellStyle name="Price_Body" xfId="383"/>
    <cellStyle name="S0" xfId="384"/>
    <cellStyle name="S0 2" xfId="385"/>
    <cellStyle name="S0_2,4 2484 Лаб  комп  ответы ПИРСа 13 09 2011" xfId="386"/>
    <cellStyle name="S1" xfId="387"/>
    <cellStyle name="S1 2" xfId="388"/>
    <cellStyle name="S1_2,4 2484 Лаб  комп  ответы ПИРСа 13 09 2011" xfId="389"/>
    <cellStyle name="S10" xfId="390"/>
    <cellStyle name="S10 2" xfId="391"/>
    <cellStyle name="S10_2,4 2484 Лаб  комп  ответы ПИРСа 13 09 2011" xfId="392"/>
    <cellStyle name="S11" xfId="393"/>
    <cellStyle name="S12" xfId="394"/>
    <cellStyle name="S12 2" xfId="395"/>
    <cellStyle name="S12_2,4 2484 Лаб  комп  ответы ПИРСа 13 09 2011" xfId="396"/>
    <cellStyle name="S13" xfId="397"/>
    <cellStyle name="S13 2" xfId="398"/>
    <cellStyle name="S13_2,4 2484 Лаб  комп  ответы ПИРСа 13 09 2011" xfId="399"/>
    <cellStyle name="S14" xfId="400"/>
    <cellStyle name="S14 2" xfId="401"/>
    <cellStyle name="S14_2,4 2484 Лаб  комп  ответы ПИРСа 13 09 2011" xfId="402"/>
    <cellStyle name="S15" xfId="403"/>
    <cellStyle name="S15 2" xfId="404"/>
    <cellStyle name="S15_2,4 2484 Лаб  комп  ответы ПИРСа 13 09 2011" xfId="405"/>
    <cellStyle name="S16" xfId="406"/>
    <cellStyle name="S17" xfId="407"/>
    <cellStyle name="S18" xfId="408"/>
    <cellStyle name="S2" xfId="409"/>
    <cellStyle name="S2 2" xfId="410"/>
    <cellStyle name="S2_2,4 2484 Лаб  комп  ответы ПИРСа 13 09 2011" xfId="411"/>
    <cellStyle name="S3" xfId="412"/>
    <cellStyle name="S3 2" xfId="413"/>
    <cellStyle name="S3_2,4 2484 Лаб  комп  ответы ПИРСа 13 09 2011" xfId="414"/>
    <cellStyle name="S4" xfId="415"/>
    <cellStyle name="S4 2" xfId="416"/>
    <cellStyle name="S4_2,4 2484 Лаб  комп  ответы ПИРСа 13 09 2011" xfId="417"/>
    <cellStyle name="S5" xfId="418"/>
    <cellStyle name="S6" xfId="419"/>
    <cellStyle name="S6 2" xfId="420"/>
    <cellStyle name="S6_2,4 2484 Лаб  комп  ответы ПИРСа 13 09 2011" xfId="421"/>
    <cellStyle name="S7" xfId="422"/>
    <cellStyle name="S7 2" xfId="423"/>
    <cellStyle name="S7_2,4 2484 Лаб  комп  ответы ПИРСа 13 09 2011" xfId="424"/>
    <cellStyle name="S8" xfId="425"/>
    <cellStyle name="S8 2" xfId="426"/>
    <cellStyle name="S8_2,4 2484 Лаб  комп  ответы ПИРСа 13 09 2011" xfId="427"/>
    <cellStyle name="S9" xfId="428"/>
    <cellStyle name="S9 2" xfId="429"/>
    <cellStyle name="S9_2,4 2484 Лаб  комп  ответы ПИРСа 13 09 2011" xfId="430"/>
    <cellStyle name="SAPBEXchaText" xfId="431"/>
    <cellStyle name="SAPBEXchaText 2" xfId="432"/>
    <cellStyle name="SAPBEXchaText 3" xfId="433"/>
    <cellStyle name="SAPBEXchaText_2,3 График, Смета ПСД2532_v0" xfId="434"/>
    <cellStyle name="SAPBEXfilterDrill" xfId="435"/>
    <cellStyle name="SAPBEXheaderItem" xfId="436"/>
    <cellStyle name="SAPBEXheaderItem 2" xfId="437"/>
    <cellStyle name="SAPBEXheaderItem 3" xfId="438"/>
    <cellStyle name="SAPBEXheaderItem_2,3 График, Смета ПСД2532_v0" xfId="439"/>
    <cellStyle name="SAPBEXheaderText" xfId="440"/>
    <cellStyle name="SAPBEXheaderText 2" xfId="441"/>
    <cellStyle name="SAPBEXheaderText 3" xfId="442"/>
    <cellStyle name="SAPBEXheaderText_2,3 График, Смета ПСД2532_v0" xfId="443"/>
    <cellStyle name="SAPBEXHLevel0" xfId="444"/>
    <cellStyle name="SAPBEXHLevel0 2" xfId="445"/>
    <cellStyle name="SAPBEXHLevel0 3" xfId="446"/>
    <cellStyle name="SAPBEXHLevel0_2,3 График, Смета ПСД2532_v0" xfId="447"/>
    <cellStyle name="SAPBEXHLevel1" xfId="448"/>
    <cellStyle name="SAPBEXHLevel1 2" xfId="449"/>
    <cellStyle name="SAPBEXHLevel1 3" xfId="450"/>
    <cellStyle name="SAPBEXHLevel1_2,3 График, Смета ПСД2532_v0" xfId="451"/>
    <cellStyle name="SAPBEXHLevel2" xfId="452"/>
    <cellStyle name="SAPBEXHLevel2 2" xfId="453"/>
    <cellStyle name="SAPBEXHLevel2 3" xfId="454"/>
    <cellStyle name="SAPBEXHLevel2_2,3 График, Смета ПСД2532_v0" xfId="455"/>
    <cellStyle name="SAPBEXHLevel3" xfId="456"/>
    <cellStyle name="SAPBEXHLevel3 2" xfId="457"/>
    <cellStyle name="SAPBEXHLevel3 3" xfId="458"/>
    <cellStyle name="SAPBEXHLevel3_2,3 График, Смета ПСД2532_v0" xfId="459"/>
    <cellStyle name="SAPBEXstdItemX" xfId="460"/>
    <cellStyle name="SAPBEXstdItemX 2" xfId="461"/>
    <cellStyle name="SAPBEXstdItemX 3" xfId="462"/>
    <cellStyle name="SAPBEXstdItemX_2,3 График, Смета ПСД2532_v0" xfId="463"/>
    <cellStyle name="SAPBEXtitle" xfId="464"/>
    <cellStyle name="SAPBEXtitle 2" xfId="465"/>
    <cellStyle name="SAPBEXtitle_Приложения к ПСД2548_замеч 11 11 11" xfId="466"/>
    <cellStyle name="Sheet Title" xfId="467"/>
    <cellStyle name="subhead" xfId="468"/>
    <cellStyle name="Subtatle" xfId="469"/>
    <cellStyle name="SubTitle" xfId="470"/>
    <cellStyle name="Title" xfId="471"/>
    <cellStyle name="Total" xfId="472"/>
    <cellStyle name="uber" xfId="473"/>
    <cellStyle name="Unit" xfId="474"/>
    <cellStyle name="Warning Text" xfId="475"/>
    <cellStyle name="Акт" xfId="476"/>
    <cellStyle name="АктМТСН" xfId="477"/>
    <cellStyle name="Акцент1 2" xfId="478"/>
    <cellStyle name="Акцент1 2 2" xfId="479"/>
    <cellStyle name="Акцент1 3" xfId="480"/>
    <cellStyle name="Акцент2 2" xfId="481"/>
    <cellStyle name="Акцент2 2 2" xfId="482"/>
    <cellStyle name="Акцент2 3" xfId="483"/>
    <cellStyle name="Акцент3 2" xfId="484"/>
    <cellStyle name="Акцент3 2 2" xfId="485"/>
    <cellStyle name="Акцент3 3" xfId="486"/>
    <cellStyle name="Акцент4 2" xfId="487"/>
    <cellStyle name="Акцент4 2 2" xfId="488"/>
    <cellStyle name="Акцент4 3" xfId="489"/>
    <cellStyle name="Акцент5 2" xfId="490"/>
    <cellStyle name="Акцент5 2 2" xfId="491"/>
    <cellStyle name="Акцент5 3" xfId="492"/>
    <cellStyle name="Акцент6 2" xfId="493"/>
    <cellStyle name="Акцент6 2 2" xfId="494"/>
    <cellStyle name="Акцент6 3" xfId="495"/>
    <cellStyle name="без_0" xfId="496"/>
    <cellStyle name="без0" xfId="497"/>
    <cellStyle name="Ввод  2" xfId="498"/>
    <cellStyle name="Ввод  2 2" xfId="499"/>
    <cellStyle name="Ввод  3" xfId="500"/>
    <cellStyle name="ВедРесурсов" xfId="501"/>
    <cellStyle name="ВедРесурсовАкт" xfId="502"/>
    <cellStyle name="Вывод 2" xfId="503"/>
    <cellStyle name="Вывод 2 2" xfId="504"/>
    <cellStyle name="Вывод 3" xfId="505"/>
    <cellStyle name="Вычисление 2" xfId="506"/>
    <cellStyle name="Вычисление 2 2" xfId="507"/>
    <cellStyle name="Вычисление 3" xfId="508"/>
    <cellStyle name="Гиперссылка" xfId="509" builtinId="8"/>
    <cellStyle name="ДАТА" xfId="510"/>
    <cellStyle name="Денежный [0] 2" xfId="511"/>
    <cellStyle name="Денежный [0] 2 2" xfId="512"/>
    <cellStyle name="Денежный 10" xfId="513"/>
    <cellStyle name="Денежный 11" xfId="514"/>
    <cellStyle name="Денежный 2" xfId="515"/>
    <cellStyle name="Денежный 2 2" xfId="516"/>
    <cellStyle name="Денежный 3" xfId="517"/>
    <cellStyle name="Денежный 4" xfId="518"/>
    <cellStyle name="Денежный 5" xfId="519"/>
    <cellStyle name="Денежный 6" xfId="520"/>
    <cellStyle name="Денежный 7" xfId="521"/>
    <cellStyle name="Денежный 8" xfId="522"/>
    <cellStyle name="Денежный 9" xfId="523"/>
    <cellStyle name="Заголовок 1 2" xfId="524"/>
    <cellStyle name="Заголовок 1 2 2" xfId="525"/>
    <cellStyle name="Заголовок 1 3" xfId="526"/>
    <cellStyle name="Заголовок 2 2" xfId="527"/>
    <cellStyle name="Заголовок 2 2 2" xfId="528"/>
    <cellStyle name="Заголовок 2 3" xfId="529"/>
    <cellStyle name="Заголовок 3 2" xfId="530"/>
    <cellStyle name="Заголовок 3 2 2" xfId="531"/>
    <cellStyle name="Заголовок 3 3" xfId="532"/>
    <cellStyle name="Заголовок 4 2" xfId="533"/>
    <cellStyle name="Заголовок 4 2 2" xfId="534"/>
    <cellStyle name="Заголовок 4 3" xfId="535"/>
    <cellStyle name="ЗАГОЛОВОК1" xfId="536"/>
    <cellStyle name="ЗАГОЛОВОК2" xfId="537"/>
    <cellStyle name="зат1" xfId="538"/>
    <cellStyle name="Итог 2" xfId="539"/>
    <cellStyle name="Итог 2 2" xfId="540"/>
    <cellStyle name="Итог 3" xfId="541"/>
    <cellStyle name="Итоги" xfId="542"/>
    <cellStyle name="ИтогоАктБазЦ" xfId="543"/>
    <cellStyle name="ИтогоАктБИМ" xfId="544"/>
    <cellStyle name="ИтогоАктРесМет" xfId="545"/>
    <cellStyle name="ИтогоБазЦ" xfId="546"/>
    <cellStyle name="ИтогоБИМ" xfId="547"/>
    <cellStyle name="ИТОГОВЫЙ" xfId="548"/>
    <cellStyle name="ИтогоРесМет" xfId="549"/>
    <cellStyle name="кол_во" xfId="550"/>
    <cellStyle name="Контрольная ячейка 2" xfId="551"/>
    <cellStyle name="Контрольная ячейка 2 2" xfId="552"/>
    <cellStyle name="Контрольная ячейка 3" xfId="553"/>
    <cellStyle name="ЛокСмета" xfId="554"/>
    <cellStyle name="ЛокСмМТСН" xfId="555"/>
    <cellStyle name="М29" xfId="556"/>
    <cellStyle name="Название 2" xfId="557"/>
    <cellStyle name="Название 2 2" xfId="558"/>
    <cellStyle name="Название 3" xfId="559"/>
    <cellStyle name="Нейтральный 2" xfId="560"/>
    <cellStyle name="Нейтральный 2 2" xfId="561"/>
    <cellStyle name="Нейтральный 3" xfId="562"/>
    <cellStyle name="норм1" xfId="563"/>
    <cellStyle name="ОбСмета" xfId="564"/>
    <cellStyle name="Обычный" xfId="0" builtinId="0"/>
    <cellStyle name="Обычный 10" xfId="565"/>
    <cellStyle name="Обычный 11" xfId="566"/>
    <cellStyle name="Обычный 11 2" xfId="567"/>
    <cellStyle name="Обычный 11 3" xfId="568"/>
    <cellStyle name="Обычный 12" xfId="569"/>
    <cellStyle name="Обычный 13" xfId="570"/>
    <cellStyle name="Обычный 14" xfId="571"/>
    <cellStyle name="Обычный 15" xfId="572"/>
    <cellStyle name="Обычный 2" xfId="573"/>
    <cellStyle name="Обычный 2 2" xfId="574"/>
    <cellStyle name="Обычный 2 2 2" xfId="575"/>
    <cellStyle name="Обычный 2 2_2,3 График, Сметы 1982-17 к согл.1 18.07.11" xfId="576"/>
    <cellStyle name="Обычный 2 3" xfId="577"/>
    <cellStyle name="Обычный 2 3 2" xfId="578"/>
    <cellStyle name="Обычный 2 3_111025 - Приложения к ПСД2540  на доработку  " xfId="579"/>
    <cellStyle name="Обычный 2 4" xfId="580"/>
    <cellStyle name="Обычный 2 4 2" xfId="581"/>
    <cellStyle name="Обычный 2 5" xfId="582"/>
    <cellStyle name="Обычный 2 6" xfId="583"/>
    <cellStyle name="Обычный 2_0032 откор.15.07.08" xfId="584"/>
    <cellStyle name="Обычный 3" xfId="585"/>
    <cellStyle name="Обычный 3 2" xfId="586"/>
    <cellStyle name="Обычный 3 2 2" xfId="587"/>
    <cellStyle name="Обычный 3 2 2 2" xfId="588"/>
    <cellStyle name="Обычный 3 2 3" xfId="589"/>
    <cellStyle name="Обычный 3 2 3 2" xfId="590"/>
    <cellStyle name="Обычный 3 2 3_2 Экспертиза ПБ" xfId="591"/>
    <cellStyle name="Обычный 3 2_++Смета ВЛ 723-752км" xfId="592"/>
    <cellStyle name="Обычный 3 3" xfId="593"/>
    <cellStyle name="Обычный 3 4" xfId="793"/>
    <cellStyle name="Обычный 3_++Смета ВЛ 723-752км" xfId="594"/>
    <cellStyle name="Обычный 3_15 09 2010_Смета_ ДНС с УПСВ З-Л мр (3)" xfId="595"/>
    <cellStyle name="Обычный 4" xfId="596"/>
    <cellStyle name="Обычный 4 2" xfId="597"/>
    <cellStyle name="Обычный 4 3" xfId="598"/>
    <cellStyle name="Обычный 4_2,3 График, Смета ПСД2532_v0" xfId="599"/>
    <cellStyle name="Обычный 5" xfId="600"/>
    <cellStyle name="Обычный 6" xfId="601"/>
    <cellStyle name="Обычный 7" xfId="602"/>
    <cellStyle name="Обычный 8" xfId="603"/>
    <cellStyle name="Обычный 9" xfId="604"/>
    <cellStyle name="Обычный_1868" xfId="605"/>
    <cellStyle name="Обычный_1982 смета ИИ МН ЮТМ-Кучеткан (4)" xfId="606"/>
    <cellStyle name="Обычный_2073_Smety_k_PUR_11.03.09 (с обоснованием командировочных расходов) 2" xfId="607"/>
    <cellStyle name="Обычный_2073_Smety_k_PUR_11.03.09 (с обоснованием командировочных расходов)_График, сметы 11.12.10г." xfId="608"/>
    <cellStyle name="Обычный_2137_Крапива_3_очередь_21.01.09" xfId="609"/>
    <cellStyle name="Обычный_АВ_ЗУ_56тр" xfId="610"/>
    <cellStyle name="Обычный_Бланк смета новое постановление (стоимость Гос экспертизы)" xfId="611"/>
    <cellStyle name="Обычный_Вариантная проработка коридоров коммуникаций (2)" xfId="612"/>
    <cellStyle name="Обычный_ВСНК_ИЭИ_ш_2485_ver3" xfId="613"/>
    <cellStyle name="Обычный_График Сметы ПИР  Кучеткан - Тайшет_03 02 09_пд рд_ (2)" xfId="614"/>
    <cellStyle name="Обычный_Книга2 (3)" xfId="615"/>
    <cellStyle name="Обычный_Книга3 (version 2)" xfId="616"/>
    <cellStyle name="Обычный_Приложения к 1754 (2)" xfId="617"/>
    <cellStyle name="Обычный_СмВНУхта1" xfId="794"/>
    <cellStyle name="Обычный_Смета на куст  7 Западно-Моисеевского - 15921" xfId="618"/>
    <cellStyle name="Обычный_Смета на куст  7 Западно-Моисеевского - 15921_Книга2 (3)" xfId="619"/>
    <cellStyle name="Обычный_Трубопровод_ВЧНГКМ_-_ВСТО" xfId="620"/>
    <cellStyle name="Обычный_ЮТМ_ ш_2485_смета_ИЭИ_ТН_ver_0" xfId="621"/>
    <cellStyle name="Параметр" xfId="622"/>
    <cellStyle name="ПеременныеСметы" xfId="623"/>
    <cellStyle name="Плохой 2" xfId="624"/>
    <cellStyle name="Плохой 2 2" xfId="625"/>
    <cellStyle name="Плохой 3" xfId="626"/>
    <cellStyle name="Пояснение 2" xfId="627"/>
    <cellStyle name="Пояснение 2 2" xfId="628"/>
    <cellStyle name="Пояснение 3" xfId="629"/>
    <cellStyle name="Примечание 2" xfId="630"/>
    <cellStyle name="Примечание 2 2" xfId="631"/>
    <cellStyle name="Примечание 2 3" xfId="632"/>
    <cellStyle name="Примечание 2 4" xfId="633"/>
    <cellStyle name="Примечание 2 5" xfId="634"/>
    <cellStyle name="Примечание 2_2 Экспертиза ПБ" xfId="635"/>
    <cellStyle name="Примечание 3" xfId="636"/>
    <cellStyle name="Примечание 3 2" xfId="637"/>
    <cellStyle name="Примечание 3 3" xfId="638"/>
    <cellStyle name="Примечание 3 4" xfId="639"/>
    <cellStyle name="Примечание 3_2 Экспертиза ПБ" xfId="640"/>
    <cellStyle name="Примечание 4" xfId="641"/>
    <cellStyle name="Примечание 5" xfId="642"/>
    <cellStyle name="Примечание 6" xfId="643"/>
    <cellStyle name="Примечание 7" xfId="644"/>
    <cellStyle name="Примечание 8" xfId="645"/>
    <cellStyle name="Примечание 9" xfId="646"/>
    <cellStyle name="проц_без0" xfId="647"/>
    <cellStyle name="Процентный 2" xfId="648"/>
    <cellStyle name="Процентный 2 10" xfId="649"/>
    <cellStyle name="Процентный 2 11" xfId="650"/>
    <cellStyle name="Процентный 2 12" xfId="651"/>
    <cellStyle name="Процентный 2 13" xfId="652"/>
    <cellStyle name="Процентный 2 2" xfId="653"/>
    <cellStyle name="Процентный 2 2 2" xfId="654"/>
    <cellStyle name="Процентный 2 2 3" xfId="655"/>
    <cellStyle name="Процентный 2 2 4" xfId="656"/>
    <cellStyle name="Процентный 2 2 5" xfId="657"/>
    <cellStyle name="Процентный 2 2 6" xfId="658"/>
    <cellStyle name="Процентный 2 2 7" xfId="659"/>
    <cellStyle name="Процентный 2 2 8" xfId="660"/>
    <cellStyle name="Процентный 2 2 9" xfId="661"/>
    <cellStyle name="Процентный 2 3" xfId="662"/>
    <cellStyle name="Процентный 2 3 2" xfId="663"/>
    <cellStyle name="Процентный 2 3 3" xfId="664"/>
    <cellStyle name="Процентный 2 3 4" xfId="665"/>
    <cellStyle name="Процентный 2 3 5" xfId="666"/>
    <cellStyle name="Процентный 2 3 6" xfId="667"/>
    <cellStyle name="Процентный 2 3 7" xfId="668"/>
    <cellStyle name="Процентный 2 3 8" xfId="669"/>
    <cellStyle name="Процентный 2 3 9" xfId="670"/>
    <cellStyle name="Процентный 2 4" xfId="671"/>
    <cellStyle name="Процентный 2 4 10" xfId="672"/>
    <cellStyle name="Процентный 2 4 2" xfId="673"/>
    <cellStyle name="Процентный 2 4 3" xfId="674"/>
    <cellStyle name="Процентный 2 4 4" xfId="675"/>
    <cellStyle name="Процентный 2 4 5" xfId="676"/>
    <cellStyle name="Процентный 2 4 6" xfId="677"/>
    <cellStyle name="Процентный 2 4 7" xfId="678"/>
    <cellStyle name="Процентный 2 4 8" xfId="679"/>
    <cellStyle name="Процентный 2 4 9" xfId="680"/>
    <cellStyle name="Процентный 2 5" xfId="681"/>
    <cellStyle name="Процентный 2 6" xfId="682"/>
    <cellStyle name="Процентный 2 7" xfId="683"/>
    <cellStyle name="Процентный 2 8" xfId="684"/>
    <cellStyle name="Процентный 2 9" xfId="685"/>
    <cellStyle name="Процентный 3" xfId="686"/>
    <cellStyle name="Процентный 3 2" xfId="687"/>
    <cellStyle name="Процентный 3 3" xfId="688"/>
    <cellStyle name="Процентный 3 4" xfId="689"/>
    <cellStyle name="Процентный 3 5" xfId="690"/>
    <cellStyle name="Процентный 3 6" xfId="691"/>
    <cellStyle name="Процентный 3 7" xfId="692"/>
    <cellStyle name="Процентный 3 8" xfId="693"/>
    <cellStyle name="Процентный 3 9" xfId="694"/>
    <cellStyle name="Процентный 4" xfId="695"/>
    <cellStyle name="Процентный 4 2" xfId="696"/>
    <cellStyle name="Процентный 4 3" xfId="697"/>
    <cellStyle name="Процентный 4 4" xfId="698"/>
    <cellStyle name="Процентный 4 5" xfId="699"/>
    <cellStyle name="Процентный 4 6" xfId="700"/>
    <cellStyle name="Процентный 4 7" xfId="701"/>
    <cellStyle name="Процентный 4 8" xfId="702"/>
    <cellStyle name="Процентный 4 9" xfId="703"/>
    <cellStyle name="Процентный 5" xfId="704"/>
    <cellStyle name="Процентный 5 2" xfId="705"/>
    <cellStyle name="Процентный 5 3" xfId="706"/>
    <cellStyle name="Процентный 5 4" xfId="707"/>
    <cellStyle name="Процентный 5 5" xfId="708"/>
    <cellStyle name="Процентный 5 6" xfId="709"/>
    <cellStyle name="Процентный 5 7" xfId="710"/>
    <cellStyle name="Процентный 5 8" xfId="711"/>
    <cellStyle name="Процентный 5 9" xfId="712"/>
    <cellStyle name="Процентный 6" xfId="713"/>
    <cellStyle name="Процентный 6 2" xfId="714"/>
    <cellStyle name="резерв1" xfId="715"/>
    <cellStyle name="РесСмета" xfId="716"/>
    <cellStyle name="СводкаСтоимРаб" xfId="717"/>
    <cellStyle name="СводРасч" xfId="718"/>
    <cellStyle name="Связанная ячейка 2" xfId="719"/>
    <cellStyle name="Связанная ячейка 2 2" xfId="720"/>
    <cellStyle name="Связанная ячейка 3" xfId="721"/>
    <cellStyle name="Стиль 1" xfId="722"/>
    <cellStyle name="Стиль 1 10" xfId="723"/>
    <cellStyle name="Стиль 1 11" xfId="724"/>
    <cellStyle name="Стиль 1 12" xfId="725"/>
    <cellStyle name="Стиль 1 13" xfId="726"/>
    <cellStyle name="Стиль 1 14" xfId="727"/>
    <cellStyle name="Стиль 1 15" xfId="728"/>
    <cellStyle name="Стиль 1 16" xfId="729"/>
    <cellStyle name="Стиль 1 17" xfId="730"/>
    <cellStyle name="Стиль 1 2" xfId="731"/>
    <cellStyle name="Стиль 1 3" xfId="732"/>
    <cellStyle name="Стиль 1 4" xfId="733"/>
    <cellStyle name="Стиль 1 5" xfId="734"/>
    <cellStyle name="Стиль 1 6" xfId="735"/>
    <cellStyle name="Стиль 1 7" xfId="736"/>
    <cellStyle name="Стиль 1 8" xfId="737"/>
    <cellStyle name="Стиль 1 9" xfId="738"/>
    <cellStyle name="Стиль 1_+Smeta na RP-4" xfId="739"/>
    <cellStyle name="Стиль_названий" xfId="740"/>
    <cellStyle name="ТЕКСТ" xfId="741"/>
    <cellStyle name="Текст предупреждения 2" xfId="742"/>
    <cellStyle name="Текст предупреждения 2 2" xfId="743"/>
    <cellStyle name="Текст предупреждения 3" xfId="744"/>
    <cellStyle name="Титул" xfId="745"/>
    <cellStyle name="Тысячи [0]" xfId="746"/>
    <cellStyle name="Тысячи_3Com" xfId="747"/>
    <cellStyle name="ФИКСИРОВАННЫЙ" xfId="748"/>
    <cellStyle name="Финансовый" xfId="749" builtinId="3"/>
    <cellStyle name="Финансовый [0] 2" xfId="750"/>
    <cellStyle name="Финансовый [0] 2 2" xfId="751"/>
    <cellStyle name="Финансовый 10" xfId="752"/>
    <cellStyle name="Финансовый 2" xfId="753"/>
    <cellStyle name="Финансовый 2 10" xfId="754"/>
    <cellStyle name="Финансовый 2 11" xfId="755"/>
    <cellStyle name="Финансовый 2 2" xfId="756"/>
    <cellStyle name="Финансовый 2 2 10" xfId="757"/>
    <cellStyle name="Финансовый 2 2 2" xfId="758"/>
    <cellStyle name="Финансовый 2 2 3" xfId="759"/>
    <cellStyle name="Финансовый 2 2 4" xfId="760"/>
    <cellStyle name="Финансовый 2 2 5" xfId="761"/>
    <cellStyle name="Финансовый 2 2 6" xfId="762"/>
    <cellStyle name="Финансовый 2 2 7" xfId="763"/>
    <cellStyle name="Финансовый 2 2 8" xfId="764"/>
    <cellStyle name="Финансовый 2 2 9" xfId="765"/>
    <cellStyle name="Финансовый 2 2_2 Экспертиза ПБ" xfId="766"/>
    <cellStyle name="Финансовый 2 3" xfId="767"/>
    <cellStyle name="Финансовый 2 4" xfId="768"/>
    <cellStyle name="Финансовый 2 5" xfId="769"/>
    <cellStyle name="Финансовый 2 6" xfId="770"/>
    <cellStyle name="Финансовый 2 7" xfId="771"/>
    <cellStyle name="Финансовый 2 8" xfId="772"/>
    <cellStyle name="Финансовый 2 9" xfId="773"/>
    <cellStyle name="Финансовый 2_1407 ИИ+ПР" xfId="774"/>
    <cellStyle name="Финансовый 3" xfId="775"/>
    <cellStyle name="Финансовый 3 2" xfId="776"/>
    <cellStyle name="Финансовый 4" xfId="777"/>
    <cellStyle name="Финансовый 5" xfId="778"/>
    <cellStyle name="Финансовый 6" xfId="779"/>
    <cellStyle name="Финансовый 7" xfId="780"/>
    <cellStyle name="Финансовый 8" xfId="781"/>
    <cellStyle name="Финансовый 9" xfId="782"/>
    <cellStyle name="Финансовый_2073_Smety_k_PUR_11.03.09 (с обоснованием командировочных расходов)" xfId="783"/>
    <cellStyle name="Финансовый_2073_Smety_k_PUR_11.03.09 (с обоснованием командировочных расходов) 2" xfId="784"/>
    <cellStyle name="Хвост" xfId="785"/>
    <cellStyle name="Хороший 2" xfId="786"/>
    <cellStyle name="Хороший 2 2" xfId="787"/>
    <cellStyle name="Хороший 3" xfId="788"/>
    <cellStyle name="Шаблон-КП-РРЛ8-15" xfId="789"/>
    <cellStyle name="Шаблон-КП-РРЛ8-15 2" xfId="790"/>
    <cellStyle name="ьber" xfId="791"/>
    <cellStyle name="Экспертиза" xfId="792"/>
  </cellStyles>
  <dxfs count="0"/>
  <tableStyles count="0" defaultTableStyle="TableStyleMedium9" defaultPivotStyle="PivotStyleLight16"/>
  <colors>
    <mruColors>
      <color rgb="FFBFBFBF"/>
      <color rgb="FFFF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AppData/Local/Microsoft/Windows/Temporary%20Internet%20Files/Content.Outlook/&#1057;&#1041;&#1062;/&#1057;&#1041;&#1062;/2003&#1075;.%20&#1054;&#1073;&#1098;&#1077;&#1082;&#1090;&#1099;%20&#1101;&#1085;&#1077;&#1088;&#1075;&#1077;&#1090;&#1080;&#1082;&#1080;.doc" TargetMode="External"/><Relationship Id="rId13" Type="http://schemas.openxmlformats.org/officeDocument/2006/relationships/hyperlink" Target="../../../../../../../../../../AppData/Local/Microsoft/Windows/Temporary%20Internet%20Files/Content.Outlook/&#1057;&#1041;&#1062;/&#1057;&#1041;&#1062;/1987&#1075;.%20&#1057;&#1041;&#1062;%20&#8470;6%20&#1063;&#1077;&#1088;&#1085;&#1072;&#1103;%20&#1084;&#1077;&#1090;&#1072;&#1083;&#1083;&#1091;&#1088;&#1075;&#1080;&#1103;.doc" TargetMode="External"/><Relationship Id="rId18" Type="http://schemas.openxmlformats.org/officeDocument/2006/relationships/hyperlink" Target="../../../../../../../../../../AppData/Local/Microsoft/Windows/Temporary%20Internet%20Files/Content.Outlook/&#1057;&#1041;&#1062;/&#1057;&#1041;&#1062;/1987&#1075;.%20&#1057;&#1041;&#1062;%20&#8470;31%20&#1055;&#1088;&#1077;&#1076;&#1087;&#1088;&#1080;&#1103;&#1090;&#1080;&#1103;%20&#1072;&#1075;&#1088;&#1086;&#1087;&#1088;&#1086;&#1084;&#1099;&#1096;&#1083;&#1077;&#1085;&#1085;&#1086;&#1075;&#1086;%20&#1082;&#1086;&#1084;&#1087;&#1083;&#1077;&#1082;&#1089;&#1072;%20(&#1095;&#1072;&#1089;&#1090;&#1100;%201).doc" TargetMode="External"/><Relationship Id="rId26" Type="http://schemas.openxmlformats.org/officeDocument/2006/relationships/vmlDrawing" Target="../drawings/vmlDrawing2.vml"/><Relationship Id="rId3" Type="http://schemas.openxmlformats.org/officeDocument/2006/relationships/hyperlink" Target="../../../../../../../../../../AppData/Local/Microsoft/Windows/Temporary%20Internet%20Files/Content.Outlook/&#1057;&#1041;&#1062;/&#1057;&#1041;&#1062;/2007&#1075;.%20&#1054;&#1073;&#1098;&#1077;&#1082;&#1090;&#1099;%20&#1084;&#1072;&#1075;&#1080;&#1089;&#1090;&#1088;&#1072;&#1083;&#1100;&#1085;&#1086;&#1075;&#1086;%20&#1090;&#1088;&#1072;&#1085;&#1089;&#1087;&#1086;&#1088;&#1090;&#1072;%20&#1085;&#1077;&#1092;&#1090;&#1080;.doc" TargetMode="External"/><Relationship Id="rId21" Type="http://schemas.openxmlformats.org/officeDocument/2006/relationships/hyperlink" Target="../../../../../../../../../../AppData/Local/Microsoft/Windows/Temporary%20Internet%20Files/Content.Outlook/&#1057;&#1041;&#1062;/&#1057;&#1041;&#1062;/2006&#1075;.%20&#1055;&#1088;&#1077;&#1076;&#1087;&#1088;&#1080;&#1103;&#1090;&#1080;&#1103;%20&#1090;&#1088;&#1072;&#1085;&#1089;&#1087;&#1086;&#1088;&#1090;&#1072;,%20&#1093;&#1088;&#1072;&#1085;&#1077;&#1085;&#1080;&#1103;%20&#1085;&#1077;&#1092;&#1090;&#1077;&#1087;&#1088;&#1086;&#1076;&#1091;&#1082;&#1090;&#1086;&#1074;%20&#1080;%20&#1040;&#1047;&#1057;.doc" TargetMode="External"/><Relationship Id="rId7" Type="http://schemas.openxmlformats.org/officeDocument/2006/relationships/hyperlink" Target="../../../../../../../../../../AppData/Local/Microsoft/Windows/Temporary%20Internet%20Files/Content.Outlook/&#1057;&#1041;&#1062;/&#1057;&#1041;&#1062;/2008&#1075;.%20&#1054;&#1073;&#1098;&#1077;&#1082;&#1090;&#1099;%20&#1074;&#1086;&#1076;&#1086;&#1089;&#1085;&#1072;&#1073;&#1078;&#1077;&#1085;&#1080;&#1103;%20&#1080;%20&#1082;&#1072;&#1085;&#1072;&#1083;&#1080;&#1079;&#1072;&#1094;&#1080;&#1080;.doc" TargetMode="External"/><Relationship Id="rId12" Type="http://schemas.openxmlformats.org/officeDocument/2006/relationships/hyperlink" Target="../../../../../../../../../../AppData/Local/Microsoft/Windows/Temporary%20Internet%20Files/Content.Outlook/&#1057;&#1041;&#1062;/&#1057;&#1041;&#1062;/1999&#1075;.%20&#1057;&#1080;&#1089;&#1090;&#1077;&#1084;&#1099;%20&#1087;&#1088;&#1086;&#1090;&#1080;&#1074;&#1086;&#1087;&#1086;&#1078;&#1072;&#1088;&#1085;&#1086;&#1081;%20&#1080;%20&#1086;&#1093;&#1088;&#1072;&#1085;&#1085;&#1086;&#1081;%20&#1079;&#1072;&#1097;&#1080;&#1090;&#1099;.doc" TargetMode="External"/><Relationship Id="rId17" Type="http://schemas.openxmlformats.org/officeDocument/2006/relationships/hyperlink" Target="../../../../../../../../../../AppData/Local/Microsoft/Windows/Temporary%20Internet%20Files/Content.Outlook/&#1057;&#1041;&#1062;/&#1057;&#1041;&#1062;/1987&#1075;.%20&#1057;&#1041;&#1062;%20&#8470;1%20&#1069;&#1083;&#1077;&#1082;&#1090;&#1088;&#1086;&#1101;&#1085;&#1077;&#1088;&#1075;&#1077;&#1090;&#1080;&#1082;&#1072;.doc" TargetMode="External"/><Relationship Id="rId25" Type="http://schemas.openxmlformats.org/officeDocument/2006/relationships/printerSettings" Target="../printerSettings/printerSettings10.bin"/><Relationship Id="rId2" Type="http://schemas.openxmlformats.org/officeDocument/2006/relationships/hyperlink" Target="../../../../../../../../../../AppData/Local/Microsoft/Windows/Temporary%20Internet%20Files/Content.Outlook/&#1057;&#1041;&#1062;/&#1057;&#1041;&#1062;/2007&#1075;.%20&#1040;&#1074;&#1090;&#1086;&#1084;&#1086;&#1073;&#1080;&#1083;&#1100;&#1085;&#1099;&#1077;%20&#1076;&#1086;&#1088;&#1086;&#1075;&#1080;%20&#1086;&#1073;&#1097;&#1077;&#1075;&#1086;%20&#1087;&#1086;&#1083;&#1100;&#1079;&#1086;&#1074;&#1072;&#1085;&#1080;&#1103;.doc" TargetMode="External"/><Relationship Id="rId16" Type="http://schemas.openxmlformats.org/officeDocument/2006/relationships/hyperlink" Target="../../../../../../../../../../AppData/Local/Microsoft/Windows/Temporary%20Internet%20Files/Content.Outlook/&#1057;&#1041;&#1062;/&#1057;&#1041;&#1062;/2004&#1075;.%20&#1043;&#1086;&#1088;&#1085;&#1086;&#1088;&#1091;&#1076;&#1085;&#1072;&#1103;%20&#1087;&#1088;&#1086;&#1084;&#1099;&#1096;&#1083;&#1077;&#1085;&#1085;&#1086;&#1089;&#1090;&#1100;.rtf" TargetMode="External"/><Relationship Id="rId20" Type="http://schemas.openxmlformats.org/officeDocument/2006/relationships/hyperlink" Target="../../../../../../../../../../AppData/Local/Microsoft/Windows/Temporary%20Internet%20Files/Content.Outlook/&#1057;&#1041;&#1062;/&#1057;&#1041;&#1062;/1987&#1075;.%20&#1057;&#1041;&#1062;%20&#8470;42%20&#1055;&#1088;&#1077;&#1076;&#1087;&#1088;&#1080;&#1103;&#1090;&#1080;&#1103;%20&#1090;&#1086;&#1088;&#1075;&#1086;&#1074;&#1083;&#1080;%20&#1080;%20&#1086;&#1073;&#1097;&#1077;&#1089;&#1090;&#1074;&#1077;&#1085;&#1085;&#1086;&#1075;&#1086;%20&#1087;&#1080;&#1090;&#1072;&#1085;&#1080;&#1103;.doc" TargetMode="External"/><Relationship Id="rId1" Type="http://schemas.openxmlformats.org/officeDocument/2006/relationships/hyperlink" Target="../../../../../../../../../../AppData/Local/Microsoft/Windows/Temporary%20Internet%20Files/Content.Outlook/&#1057;&#1041;&#1062;/&#1057;&#1041;&#1062;/2006&#1075;.%20&#1054;&#1073;&#1098;&#1077;&#1082;&#1090;&#1099;%20&#1085;&#1077;&#1092;&#1090;&#1077;&#1076;&#1086;&#1073;&#1099;&#1074;&#1072;&#1102;&#1097;&#1077;&#1081;%20&#1087;&#1088;&#1086;&#1084;&#1099;&#1096;&#1083;&#1077;&#1085;&#1085;&#1086;&#1089;&#1090;&#1080;.rtf" TargetMode="External"/><Relationship Id="rId6" Type="http://schemas.openxmlformats.org/officeDocument/2006/relationships/hyperlink" Target="../../../../../../../../../../AppData/Local/Microsoft/Windows/Temporary%20Internet%20Files/Content.Outlook/&#1057;&#1041;&#1062;/&#1057;&#1041;&#1062;/1999&#1075;.%20&#1054;&#1073;&#1098;&#1077;&#1082;&#1090;&#1099;%20&#1075;&#1072;&#1079;&#1086;&#1074;&#1086;&#1081;%20&#1087;&#1088;&#1086;&#1084;&#1099;&#1096;&#1083;&#1077;&#1085;&#1085;&#1086;&#1089;&#1090;&#1080;%20(&#1087;&#1086;&#1089;&#1086;&#1073;&#1080;&#1077;).doc" TargetMode="External"/><Relationship Id="rId11" Type="http://schemas.openxmlformats.org/officeDocument/2006/relationships/hyperlink" Target="../../../../../../../../../../AppData/Local/Microsoft/Windows/Temporary%20Internet%20Files/Content.Outlook/&#1057;&#1041;&#1062;/&#1057;&#1041;&#1062;/2010&#1075;.%20&#1054;&#1073;&#1098;&#1077;&#1082;&#1090;&#1099;%20&#1078;&#1080;&#1083;&#1080;&#1097;&#1085;&#1086;-&#1075;&#1088;&#1072;&#1078;&#1076;&#1072;&#1085;&#1089;&#1082;&#1086;&#1075;&#1086;%20&#1089;&#1090;&#1088;&#1086;&#1080;&#1090;&#1077;&#1083;&#1100;&#1089;&#1090;&#1074;&#1072;.doc" TargetMode="External"/><Relationship Id="rId24" Type="http://schemas.openxmlformats.org/officeDocument/2006/relationships/hyperlink" Target="../../../../../../../../../../AppData/Local/Microsoft/Windows/Temporary%20Internet%20Files/Content.Outlook/&#1057;&#1041;&#1062;/&#1057;&#1041;&#1062;/2004&#1075;.%20&#1054;&#1073;&#1098;&#1077;&#1082;&#1090;&#1099;%20&#1088;&#1077;&#1095;&#1085;&#1086;&#1075;&#1086;%20&#1090;&#1088;&#1072;&#1085;&#1089;&#1087;&#1086;&#1088;&#1090;&#1072;.doc" TargetMode="External"/><Relationship Id="rId5" Type="http://schemas.openxmlformats.org/officeDocument/2006/relationships/hyperlink" Target="../../../../../../../../../../AppData/Local/Microsoft/Windows/Temporary%20Internet%20Files/Content.Outlook/&#1057;&#1041;&#1062;/&#1057;&#1041;&#1062;/1999&#1075;.%20&#1054;&#1073;&#1098;&#1077;&#1082;&#1090;&#1099;%20&#1075;&#1072;&#1079;&#1086;&#1074;&#1086;&#1081;%20&#1087;&#1088;&#1086;&#1084;&#1099;&#1096;&#1083;&#1077;&#1085;&#1085;&#1086;&#1089;&#1090;&#1080;.doc" TargetMode="External"/><Relationship Id="rId15" Type="http://schemas.openxmlformats.org/officeDocument/2006/relationships/hyperlink" Target="../../../../../../../../../../AppData/Local/Microsoft/Windows/Temporary%20Internet%20Files/Content.Outlook/&#1057;&#1041;&#1062;/&#1057;&#1041;&#1062;/2004&#1075;.%20&#1054;&#1073;&#1098;&#1077;&#1082;&#1090;&#1099;%20&#1087;&#1088;&#1086;&#1084;&#1099;&#1096;&#1083;&#1077;&#1085;&#1085;&#1086;&#1089;&#1090;&#1080;%20&#1093;&#1080;&#1084;&#1080;&#1095;&#1077;&#1089;&#1082;&#1080;&#1093;%20&#1074;&#1086;&#1083;&#1086;&#1082;&#1086;&#1085;.doc" TargetMode="External"/><Relationship Id="rId23" Type="http://schemas.openxmlformats.org/officeDocument/2006/relationships/hyperlink" Target="../../../../../../../../../../AppData/Local/Microsoft/Windows/Temporary%20Internet%20Files/Content.Outlook/&#1057;&#1041;&#1062;/&#1057;&#1041;&#1062;/&#1056;&#1072;&#1079;&#1098;&#1103;&#1089;&#1085;&#1077;&#1085;&#1080;&#1077;%20&#1087;&#1086;%20&#1087;&#1088;&#1080;&#1084;&#1077;&#1085;&#1077;&#1085;&#1080;&#1102;%20&#1057;&#1041;&#1062;%201999&#1075;.pdf" TargetMode="External"/><Relationship Id="rId10" Type="http://schemas.openxmlformats.org/officeDocument/2006/relationships/hyperlink" Target="../../../../../../../../../../AppData/Local/Microsoft/Windows/Temporary%20Internet%20Files/Content.Outlook/&#1057;&#1041;&#1062;/&#1057;&#1041;&#1062;/2006&#1075;.%20&#1043;&#1072;&#1079;&#1086;&#1086;&#1073;&#1086;&#1088;&#1091;&#1076;&#1086;&#1074;&#1072;&#1085;&#1080;&#1077;%20&#1080;%20&#1075;&#1072;&#1079;&#1086;&#1089;&#1085;&#1072;&#1073;&#1078;&#1077;&#1085;&#1080;&#1077;.rtf" TargetMode="External"/><Relationship Id="rId19" Type="http://schemas.openxmlformats.org/officeDocument/2006/relationships/hyperlink" Target="../../../../../../../../../../AppData/Local/Microsoft/Windows/Temporary%20Internet%20Files/Content.Outlook/&#1057;&#1041;&#1062;/&#1057;&#1041;&#1062;/1987&#1075;.%20&#1057;&#1041;&#1062;%20&#8470;31%20&#1055;&#1088;&#1077;&#1076;&#1087;&#1088;&#1080;&#1103;&#1090;&#1080;&#1103;%20&#1072;&#1075;&#1088;&#1086;&#1087;&#1088;&#1086;&#1084;&#1099;&#1096;&#1083;&#1077;&#1085;&#1085;&#1086;&#1075;&#1086;%20&#1082;&#1086;&#1084;&#1087;&#1083;&#1077;&#1082;&#1089;&#1072;%20(&#1095;&#1072;&#1089;&#1090;&#1100;%202).doc" TargetMode="External"/><Relationship Id="rId4" Type="http://schemas.openxmlformats.org/officeDocument/2006/relationships/hyperlink" Target="../../../../../../../../../../AppData/Local/Microsoft/Windows/Temporary%20Internet%20Files/Content.Outlook/&#1057;&#1041;&#1062;/&#1057;&#1041;&#1062;/2004&#1075;.%20&#1054;&#1073;&#1098;&#1077;&#1082;&#1090;&#1099;%20&#1085;&#1077;&#1092;&#1090;&#1077;&#1087;&#1077;&#1088;&#1077;&#1088;&#1072;&#1073;&#1072;&#1090;&#1099;&#1074;&#1072;&#1102;&#1097;&#1077;&#1081;%20&#1080;%20&#1085;&#1077;&#1092;&#1090;&#1077;&#1093;&#1080;&#1084;.%20&#1087;&#1088;&#1086;&#1084;-&#1090;&#1080;.rtf" TargetMode="External"/><Relationship Id="rId9" Type="http://schemas.openxmlformats.org/officeDocument/2006/relationships/hyperlink" Target="../../../../../../../../../../AppData/Local/Microsoft/Windows/Temporary%20Internet%20Files/Content.Outlook/&#1057;&#1041;&#1062;/&#1057;&#1041;&#1062;/2004&#1075;.%20&#1054;&#1073;&#1098;&#1077;&#1082;&#1090;&#1099;%20&#1075;&#1088;&#1072;&#1078;&#1076;&#1072;&#1085;&#1089;&#1082;&#1086;&#1081;%20&#1072;&#1074;&#1080;&#1072;&#1094;&#1080;&#1080;.doc" TargetMode="External"/><Relationship Id="rId14" Type="http://schemas.openxmlformats.org/officeDocument/2006/relationships/hyperlink" Target="../../../../../../../../../../AppData/Local/Microsoft/Windows/Temporary%20Internet%20Files/Content.Outlook/&#1057;&#1041;&#1062;/&#1057;&#1041;&#1062;/2010&#1075;.%20&#1054;&#1073;&#1098;&#1077;&#1082;&#1090;&#1099;%20&#1089;&#1074;&#1103;&#1079;&#1080;.doc" TargetMode="External"/><Relationship Id="rId22" Type="http://schemas.openxmlformats.org/officeDocument/2006/relationships/hyperlink" Target="../../../../../../../../../../AppData/Local/Microsoft/Windows/Temporary%20Internet%20Files/Content.Outlook/&#1057;&#1041;&#1062;/&#1057;&#1041;&#1062;/&#1052;&#1077;&#1090;&#1086;&#1076;&#1080;&#1095;&#1077;&#1089;&#1082;&#1080;&#1077;%20&#1091;&#1082;&#1072;&#1079;&#1072;&#1085;&#1080;&#1103;%20&#1087;&#1086;%20&#1087;&#1088;&#1080;&#1084;&#1077;&#1085;&#1077;&#1085;&#1080;&#1102;%20&#1057;&#1041;&#1062;_2009%20&#1075;..doc" TargetMode="External"/><Relationship Id="rId27"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4"/>
  <sheetViews>
    <sheetView tabSelected="1" view="pageBreakPreview" zoomScale="96" zoomScaleNormal="100" zoomScaleSheetLayoutView="96" workbookViewId="0">
      <selection activeCell="O20" sqref="O20"/>
    </sheetView>
  </sheetViews>
  <sheetFormatPr defaultColWidth="8.85546875" defaultRowHeight="12.75"/>
  <cols>
    <col min="1" max="1" width="8.85546875" style="576"/>
    <col min="2" max="2" width="31.140625" style="576" customWidth="1"/>
    <col min="3" max="3" width="8.85546875" style="576"/>
    <col min="4" max="4" width="15.42578125" style="576" customWidth="1"/>
    <col min="5" max="5" width="17.85546875" style="576" customWidth="1"/>
    <col min="6" max="6" width="16.85546875" style="576" customWidth="1"/>
    <col min="7" max="7" width="18.140625" style="576" customWidth="1"/>
    <col min="8" max="16384" width="8.85546875" style="576"/>
  </cols>
  <sheetData>
    <row r="1" spans="1:7" ht="15">
      <c r="A1" s="583"/>
      <c r="B1" s="583"/>
      <c r="C1" s="583"/>
      <c r="D1" s="574"/>
      <c r="E1" s="583"/>
      <c r="F1" s="583"/>
      <c r="G1" s="603" t="s">
        <v>352</v>
      </c>
    </row>
    <row r="2" spans="1:7" ht="20.25" customHeight="1">
      <c r="A2" s="606" t="s">
        <v>326</v>
      </c>
      <c r="B2" s="606"/>
      <c r="C2" s="606"/>
      <c r="D2" s="606"/>
      <c r="E2" s="606"/>
      <c r="F2" s="606"/>
      <c r="G2" s="606"/>
    </row>
    <row r="4" spans="1:7">
      <c r="A4" s="607" t="s">
        <v>350</v>
      </c>
      <c r="B4" s="607"/>
      <c r="C4" s="607"/>
      <c r="D4" s="607"/>
      <c r="E4" s="607"/>
      <c r="F4" s="607"/>
      <c r="G4" s="607"/>
    </row>
    <row r="5" spans="1:7">
      <c r="A5" s="580"/>
      <c r="B5" s="581"/>
      <c r="C5" s="575"/>
      <c r="D5" s="575"/>
      <c r="E5" s="575"/>
      <c r="F5" s="575"/>
      <c r="G5" s="575"/>
    </row>
    <row r="6" spans="1:7">
      <c r="A6" s="582" t="s">
        <v>349</v>
      </c>
      <c r="B6" s="582"/>
      <c r="C6" s="582"/>
      <c r="D6" s="582"/>
      <c r="E6" s="582"/>
      <c r="F6" s="582"/>
      <c r="G6" s="582"/>
    </row>
    <row r="7" spans="1:7">
      <c r="A7" s="580"/>
      <c r="B7" s="582"/>
      <c r="C7" s="575"/>
      <c r="D7" s="575"/>
      <c r="E7" s="575"/>
      <c r="F7" s="575"/>
      <c r="G7" s="575"/>
    </row>
    <row r="8" spans="1:7">
      <c r="A8" s="585" t="s">
        <v>347</v>
      </c>
      <c r="B8" s="585"/>
      <c r="C8" s="585"/>
      <c r="D8" s="585"/>
      <c r="E8" s="585"/>
      <c r="F8" s="585"/>
      <c r="G8" s="585"/>
    </row>
    <row r="9" spans="1:7">
      <c r="A9" s="580"/>
      <c r="B9" s="582"/>
      <c r="C9" s="575"/>
      <c r="D9" s="575"/>
      <c r="E9" s="575"/>
      <c r="F9" s="575"/>
      <c r="G9" s="575"/>
    </row>
    <row r="10" spans="1:7">
      <c r="A10" s="585" t="s">
        <v>351</v>
      </c>
      <c r="B10" s="585"/>
      <c r="C10" s="585"/>
      <c r="D10" s="585"/>
      <c r="E10" s="585"/>
      <c r="F10" s="585"/>
      <c r="G10" s="585"/>
    </row>
    <row r="11" spans="1:7">
      <c r="A11" s="580"/>
      <c r="B11" s="582"/>
      <c r="C11" s="575"/>
      <c r="D11" s="575"/>
      <c r="E11" s="575"/>
      <c r="F11" s="575"/>
      <c r="G11" s="575"/>
    </row>
    <row r="12" spans="1:7" ht="30.6" customHeight="1">
      <c r="A12" s="612" t="s">
        <v>348</v>
      </c>
      <c r="B12" s="612"/>
      <c r="C12" s="612"/>
      <c r="D12" s="612"/>
      <c r="E12" s="612"/>
      <c r="F12" s="612"/>
      <c r="G12" s="612"/>
    </row>
    <row r="13" spans="1:7">
      <c r="A13" s="586"/>
      <c r="B13" s="586"/>
      <c r="C13" s="586"/>
      <c r="D13" s="586"/>
      <c r="E13" s="586"/>
      <c r="F13" s="586"/>
      <c r="G13" s="586"/>
    </row>
    <row r="14" spans="1:7">
      <c r="A14" s="614" t="s">
        <v>327</v>
      </c>
      <c r="B14" s="614"/>
      <c r="C14" s="614"/>
      <c r="D14" s="614"/>
      <c r="E14" s="614"/>
      <c r="F14" s="575"/>
      <c r="G14" s="575"/>
    </row>
    <row r="15" spans="1:7">
      <c r="A15" s="614" t="s">
        <v>328</v>
      </c>
      <c r="B15" s="614"/>
      <c r="C15" s="614"/>
      <c r="D15" s="614"/>
      <c r="E15" s="614"/>
      <c r="F15" s="575"/>
      <c r="G15" s="575"/>
    </row>
    <row r="16" spans="1:7" ht="13.5" thickBot="1">
      <c r="A16" s="575"/>
      <c r="B16" s="575"/>
      <c r="C16" s="575"/>
      <c r="D16" s="575"/>
      <c r="E16" s="575"/>
      <c r="F16" s="575"/>
      <c r="G16" s="575"/>
    </row>
    <row r="17" spans="1:7" ht="39" thickBot="1">
      <c r="A17" s="587" t="s">
        <v>300</v>
      </c>
      <c r="B17" s="587" t="s">
        <v>329</v>
      </c>
      <c r="C17" s="587" t="s">
        <v>9</v>
      </c>
      <c r="D17" s="587" t="s">
        <v>330</v>
      </c>
      <c r="E17" s="587" t="s">
        <v>331</v>
      </c>
      <c r="F17" s="587" t="s">
        <v>332</v>
      </c>
      <c r="G17" s="587" t="s">
        <v>333</v>
      </c>
    </row>
    <row r="18" spans="1:7" ht="13.5" thickBot="1">
      <c r="A18" s="588">
        <v>1</v>
      </c>
      <c r="B18" s="589">
        <v>2</v>
      </c>
      <c r="C18" s="589">
        <v>3</v>
      </c>
      <c r="D18" s="589">
        <v>4</v>
      </c>
      <c r="E18" s="590">
        <v>5</v>
      </c>
      <c r="F18" s="589">
        <v>6</v>
      </c>
      <c r="G18" s="589">
        <v>7</v>
      </c>
    </row>
    <row r="19" spans="1:7">
      <c r="A19" s="591">
        <v>1</v>
      </c>
      <c r="B19" s="592" t="s">
        <v>334</v>
      </c>
      <c r="C19" s="592"/>
      <c r="D19" s="592"/>
      <c r="E19" s="592"/>
      <c r="F19" s="592"/>
      <c r="G19" s="592"/>
    </row>
    <row r="20" spans="1:7">
      <c r="A20" s="593">
        <v>3</v>
      </c>
      <c r="B20" s="594" t="s">
        <v>335</v>
      </c>
      <c r="C20" s="594"/>
      <c r="D20" s="594"/>
      <c r="E20" s="594"/>
      <c r="F20" s="594"/>
      <c r="G20" s="594"/>
    </row>
    <row r="21" spans="1:7">
      <c r="A21" s="593">
        <v>4</v>
      </c>
      <c r="B21" s="594" t="s">
        <v>325</v>
      </c>
      <c r="C21" s="594"/>
      <c r="D21" s="594"/>
      <c r="E21" s="594"/>
      <c r="F21" s="594"/>
      <c r="G21" s="594"/>
    </row>
    <row r="22" spans="1:7">
      <c r="A22" s="593" t="s">
        <v>324</v>
      </c>
      <c r="B22" s="594"/>
      <c r="C22" s="594"/>
      <c r="D22" s="594"/>
      <c r="E22" s="594"/>
      <c r="F22" s="594"/>
      <c r="G22" s="594"/>
    </row>
    <row r="23" spans="1:7">
      <c r="A23" s="608" t="s">
        <v>336</v>
      </c>
      <c r="B23" s="608"/>
      <c r="C23" s="594"/>
      <c r="D23" s="594"/>
      <c r="E23" s="594"/>
      <c r="F23" s="594"/>
      <c r="G23" s="594"/>
    </row>
    <row r="24" spans="1:7">
      <c r="A24" s="575"/>
      <c r="B24" s="575"/>
      <c r="C24" s="575"/>
      <c r="D24" s="575"/>
      <c r="E24" s="575"/>
      <c r="F24" s="575"/>
      <c r="G24" s="575"/>
    </row>
    <row r="25" spans="1:7">
      <c r="A25" s="579" t="s">
        <v>343</v>
      </c>
      <c r="B25" s="575"/>
      <c r="C25" s="575"/>
      <c r="D25" s="575"/>
      <c r="E25" s="575"/>
      <c r="F25" s="575"/>
      <c r="G25" s="575"/>
    </row>
    <row r="26" spans="1:7" ht="31.15" customHeight="1">
      <c r="A26" s="609" t="s">
        <v>338</v>
      </c>
      <c r="B26" s="609"/>
      <c r="C26" s="609"/>
      <c r="D26" s="609"/>
      <c r="E26" s="609"/>
      <c r="F26" s="609"/>
      <c r="G26" s="609"/>
    </row>
    <row r="27" spans="1:7">
      <c r="A27" s="610" t="s">
        <v>337</v>
      </c>
      <c r="B27" s="610"/>
      <c r="C27" s="610"/>
      <c r="D27" s="610"/>
      <c r="E27" s="610"/>
      <c r="F27" s="610"/>
      <c r="G27" s="610"/>
    </row>
    <row r="28" spans="1:7" ht="48" customHeight="1">
      <c r="A28" s="611" t="s">
        <v>339</v>
      </c>
      <c r="B28" s="611"/>
      <c r="C28" s="611"/>
      <c r="D28" s="611"/>
      <c r="E28" s="611"/>
      <c r="F28" s="611"/>
      <c r="G28" s="611"/>
    </row>
    <row r="29" spans="1:7">
      <c r="A29" s="584"/>
      <c r="B29" s="584"/>
      <c r="E29" s="595"/>
      <c r="F29" s="595"/>
      <c r="G29" s="595"/>
    </row>
    <row r="30" spans="1:7">
      <c r="A30" s="613" t="s">
        <v>340</v>
      </c>
      <c r="B30" s="613"/>
      <c r="C30" s="613"/>
      <c r="E30" s="596"/>
      <c r="F30" s="595"/>
      <c r="G30" s="596"/>
    </row>
    <row r="31" spans="1:7">
      <c r="A31" s="604" t="s">
        <v>342</v>
      </c>
      <c r="B31" s="604"/>
      <c r="C31" s="578"/>
      <c r="E31" s="597" t="s">
        <v>341</v>
      </c>
      <c r="F31" s="595"/>
      <c r="G31" s="597" t="s">
        <v>346</v>
      </c>
    </row>
    <row r="32" spans="1:7">
      <c r="A32" s="598"/>
      <c r="B32" s="598"/>
      <c r="C32" s="583"/>
      <c r="D32" s="583"/>
      <c r="E32" s="595"/>
      <c r="F32" s="595"/>
      <c r="G32" s="595"/>
    </row>
    <row r="33" spans="1:7">
      <c r="A33" s="605" t="s">
        <v>345</v>
      </c>
      <c r="B33" s="605"/>
      <c r="C33" s="577"/>
      <c r="D33" s="577"/>
      <c r="E33" s="595"/>
      <c r="F33" s="577" t="s">
        <v>344</v>
      </c>
      <c r="G33" s="595"/>
    </row>
    <row r="34" spans="1:7">
      <c r="E34" s="595"/>
      <c r="F34" s="595"/>
      <c r="G34" s="595"/>
    </row>
    <row r="37" spans="1:7">
      <c r="E37" s="599"/>
      <c r="F37" s="599"/>
      <c r="G37" s="599"/>
    </row>
    <row r="38" spans="1:7">
      <c r="A38" s="599"/>
      <c r="B38" s="599"/>
      <c r="C38" s="599"/>
      <c r="D38" s="599"/>
      <c r="E38" s="599"/>
      <c r="F38" s="599"/>
      <c r="G38" s="599"/>
    </row>
    <row r="39" spans="1:7">
      <c r="A39" s="599"/>
      <c r="B39" s="599"/>
      <c r="C39" s="599"/>
      <c r="D39" s="599"/>
      <c r="E39" s="599"/>
      <c r="F39" s="599"/>
      <c r="G39" s="599"/>
    </row>
    <row r="40" spans="1:7">
      <c r="A40" s="599"/>
      <c r="B40" s="599"/>
      <c r="C40" s="599"/>
      <c r="D40" s="599"/>
      <c r="E40" s="599"/>
      <c r="F40" s="599"/>
      <c r="G40" s="599"/>
    </row>
    <row r="41" spans="1:7">
      <c r="A41" s="599"/>
      <c r="B41" s="599"/>
      <c r="C41" s="599"/>
      <c r="D41" s="599"/>
      <c r="E41" s="599"/>
      <c r="F41" s="599"/>
      <c r="G41" s="599"/>
    </row>
    <row r="42" spans="1:7">
      <c r="A42" s="599"/>
      <c r="B42" s="599"/>
      <c r="C42" s="599"/>
      <c r="D42" s="599"/>
      <c r="E42" s="599"/>
      <c r="F42" s="599"/>
      <c r="G42" s="599"/>
    </row>
    <row r="43" spans="1:7">
      <c r="A43" s="599"/>
      <c r="B43" s="599"/>
      <c r="C43" s="599"/>
      <c r="D43" s="599"/>
      <c r="E43" s="599"/>
      <c r="F43" s="599"/>
      <c r="G43" s="599"/>
    </row>
    <row r="44" spans="1:7">
      <c r="A44" s="599"/>
      <c r="B44" s="599"/>
      <c r="C44" s="599"/>
      <c r="D44" s="599"/>
      <c r="E44" s="599"/>
      <c r="F44" s="599"/>
      <c r="G44" s="599"/>
    </row>
    <row r="45" spans="1:7" ht="15">
      <c r="A45" s="600"/>
      <c r="F45" s="601"/>
      <c r="G45" s="601"/>
    </row>
    <row r="49" spans="1:7" ht="15">
      <c r="A49" s="602"/>
      <c r="F49" s="602"/>
      <c r="G49" s="601"/>
    </row>
    <row r="50" spans="1:7" ht="15">
      <c r="A50" s="602"/>
      <c r="F50" s="602"/>
      <c r="G50" s="602"/>
    </row>
    <row r="51" spans="1:7" ht="15">
      <c r="A51" s="602"/>
      <c r="F51" s="602"/>
      <c r="G51" s="602"/>
    </row>
    <row r="52" spans="1:7" ht="15">
      <c r="A52" s="602"/>
      <c r="F52" s="602"/>
      <c r="G52" s="602"/>
    </row>
    <row r="53" spans="1:7" ht="15">
      <c r="A53" s="602"/>
      <c r="F53" s="602"/>
      <c r="G53" s="602"/>
    </row>
    <row r="54" spans="1:7" ht="15">
      <c r="A54" s="602"/>
      <c r="F54" s="602"/>
      <c r="G54" s="602"/>
    </row>
  </sheetData>
  <mergeCells count="12">
    <mergeCell ref="A31:B31"/>
    <mergeCell ref="A33:B33"/>
    <mergeCell ref="A2:G2"/>
    <mergeCell ref="A4:G4"/>
    <mergeCell ref="A23:B23"/>
    <mergeCell ref="A26:G26"/>
    <mergeCell ref="A27:G27"/>
    <mergeCell ref="A28:G28"/>
    <mergeCell ref="A12:G12"/>
    <mergeCell ref="A30:C30"/>
    <mergeCell ref="A14:E14"/>
    <mergeCell ref="A15:E15"/>
  </mergeCells>
  <pageMargins left="0.78740157480314965" right="0.78740157480314965" top="0.59055118110236227" bottom="0.49212598425196852" header="0.31496062992125984" footer="0.31496062992125984"/>
  <pageSetup paperSize="9" scale="74"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5"/>
  <sheetViews>
    <sheetView view="pageBreakPreview" zoomScale="75" zoomScaleNormal="80" zoomScaleSheetLayoutView="75" workbookViewId="0">
      <pane ySplit="9" topLeftCell="A10" activePane="bottomLeft" state="frozen"/>
      <selection activeCell="E247" sqref="E247"/>
      <selection pane="bottomLeft" activeCell="E247" sqref="E247"/>
    </sheetView>
  </sheetViews>
  <sheetFormatPr defaultColWidth="14.85546875" defaultRowHeight="15" outlineLevelRow="2"/>
  <cols>
    <col min="1" max="1" width="7.85546875" style="149" customWidth="1"/>
    <col min="2" max="2" width="40.28515625" style="149" customWidth="1"/>
    <col min="3" max="3" width="15.140625" style="149" customWidth="1"/>
    <col min="4" max="4" width="15.42578125" style="149" customWidth="1"/>
    <col min="5" max="5" width="16.42578125" style="149" customWidth="1"/>
    <col min="6" max="6" width="16" style="149" customWidth="1"/>
    <col min="7" max="7" width="17.5703125" style="149" customWidth="1"/>
    <col min="8" max="8" width="22.42578125" style="149" customWidth="1"/>
    <col min="9" max="10" width="16.7109375" style="149" hidden="1" customWidth="1"/>
    <col min="11" max="11" width="31.85546875" style="149" hidden="1" customWidth="1"/>
    <col min="12" max="16384" width="14.85546875" style="149"/>
  </cols>
  <sheetData>
    <row r="1" spans="1:18" ht="21" customHeight="1" outlineLevel="1">
      <c r="A1" s="618" t="e">
        <f>CONCATENATE(M2," ",#REF!,".",M1," ",M3)</f>
        <v>#REF!</v>
      </c>
      <c r="B1" s="618"/>
      <c r="C1" s="618"/>
      <c r="D1" s="618"/>
      <c r="E1" s="618"/>
      <c r="F1" s="618"/>
      <c r="G1" s="618"/>
      <c r="H1" s="618"/>
      <c r="I1" s="296"/>
      <c r="J1" s="296"/>
      <c r="K1" s="296"/>
      <c r="M1" s="264" t="e">
        <f>#REF!+1</f>
        <v>#REF!</v>
      </c>
      <c r="Q1" s="279" t="e">
        <f>#REF!+1</f>
        <v>#REF!</v>
      </c>
      <c r="R1" s="279" t="s">
        <v>197</v>
      </c>
    </row>
    <row r="2" spans="1:18" ht="18.75" customHeight="1">
      <c r="A2" s="150"/>
      <c r="B2" s="150"/>
      <c r="C2" s="150"/>
      <c r="D2" s="150"/>
      <c r="E2" s="150"/>
      <c r="F2" s="150"/>
      <c r="G2" s="150"/>
      <c r="H2" s="150"/>
      <c r="I2" s="150"/>
      <c r="J2" s="150"/>
      <c r="K2" s="150"/>
      <c r="M2" s="265" t="e">
        <f>#REF!</f>
        <v>#REF!</v>
      </c>
    </row>
    <row r="3" spans="1:18" s="151" customFormat="1" ht="18.75" customHeight="1">
      <c r="A3" s="625" t="e">
        <f>CONCATENATE(#REF!," ",Q1,"",R1)</f>
        <v>#REF!</v>
      </c>
      <c r="B3" s="625"/>
      <c r="C3" s="625"/>
      <c r="D3" s="625"/>
      <c r="E3" s="625"/>
      <c r="F3" s="625"/>
      <c r="G3" s="625"/>
      <c r="H3" s="625"/>
      <c r="I3" s="625"/>
      <c r="J3" s="625"/>
      <c r="K3" s="625"/>
      <c r="M3" s="266" t="e">
        <f>#REF!</f>
        <v>#REF!</v>
      </c>
    </row>
    <row r="4" spans="1:18" s="151" customFormat="1" ht="27.75" customHeight="1">
      <c r="A4" s="626" t="s">
        <v>14</v>
      </c>
      <c r="B4" s="626"/>
      <c r="C4" s="626"/>
      <c r="D4" s="626"/>
      <c r="E4" s="626"/>
      <c r="F4" s="626"/>
      <c r="G4" s="626"/>
      <c r="H4" s="626"/>
      <c r="I4" s="626"/>
      <c r="J4" s="626"/>
      <c r="K4" s="626"/>
    </row>
    <row r="5" spans="1:18" s="151" customFormat="1" ht="31.5" customHeight="1">
      <c r="A5" s="625" t="e">
        <f>#REF!</f>
        <v>#REF!</v>
      </c>
      <c r="B5" s="625"/>
      <c r="C5" s="625"/>
      <c r="D5" s="625"/>
      <c r="E5" s="625"/>
      <c r="F5" s="625"/>
      <c r="G5" s="625"/>
      <c r="H5" s="625"/>
      <c r="I5" s="625"/>
      <c r="J5" s="625"/>
      <c r="K5" s="625"/>
    </row>
    <row r="6" spans="1:18" s="151" customFormat="1" ht="17.25" customHeight="1">
      <c r="A6" s="626" t="s">
        <v>56</v>
      </c>
      <c r="B6" s="626"/>
      <c r="C6" s="626"/>
      <c r="D6" s="626"/>
      <c r="E6" s="626"/>
      <c r="F6" s="626"/>
      <c r="G6" s="626"/>
      <c r="H6" s="626"/>
      <c r="I6" s="626"/>
      <c r="J6" s="626"/>
      <c r="K6" s="626"/>
    </row>
    <row r="7" spans="1:18" s="151" customFormat="1" ht="38.25" customHeight="1">
      <c r="A7" s="624" t="s">
        <v>57</v>
      </c>
      <c r="B7" s="624"/>
      <c r="C7" s="624"/>
      <c r="D7" s="624"/>
      <c r="E7" s="624"/>
      <c r="F7" s="624"/>
      <c r="G7" s="624"/>
      <c r="H7" s="624"/>
      <c r="I7" s="624"/>
      <c r="J7" s="624"/>
      <c r="K7" s="624"/>
    </row>
    <row r="8" spans="1:18" s="151" customFormat="1" ht="30" customHeight="1">
      <c r="A8" s="620" t="s">
        <v>201</v>
      </c>
      <c r="B8" s="620"/>
      <c r="C8" s="620"/>
      <c r="D8" s="153"/>
      <c r="E8" s="621" t="e">
        <f>#REF!</f>
        <v>#REF!</v>
      </c>
      <c r="F8" s="621"/>
      <c r="G8" s="621"/>
      <c r="H8" s="621"/>
      <c r="I8" s="152"/>
      <c r="J8" s="152"/>
      <c r="K8" s="152"/>
    </row>
    <row r="9" spans="1:18" s="151" customFormat="1" ht="30" customHeight="1">
      <c r="A9" s="620" t="s">
        <v>202</v>
      </c>
      <c r="B9" s="620"/>
      <c r="C9" s="620"/>
      <c r="D9" s="153"/>
      <c r="E9" s="621" t="e">
        <f>#REF!</f>
        <v>#REF!</v>
      </c>
      <c r="F9" s="621"/>
      <c r="G9" s="621"/>
      <c r="H9" s="621"/>
      <c r="I9" s="152"/>
      <c r="J9" s="152"/>
      <c r="K9" s="152"/>
    </row>
    <row r="10" spans="1:18" s="286" customFormat="1" ht="17.25" customHeight="1">
      <c r="A10" s="627" t="s">
        <v>5</v>
      </c>
      <c r="B10" s="627" t="s">
        <v>6</v>
      </c>
      <c r="C10" s="627" t="s">
        <v>7</v>
      </c>
      <c r="D10" s="628" t="s">
        <v>8</v>
      </c>
      <c r="E10" s="629"/>
      <c r="F10" s="629"/>
      <c r="G10" s="629"/>
      <c r="H10" s="627" t="s">
        <v>13</v>
      </c>
      <c r="I10" s="285"/>
    </row>
    <row r="11" spans="1:18" s="289" customFormat="1" ht="68.25" customHeight="1">
      <c r="A11" s="627"/>
      <c r="B11" s="627"/>
      <c r="C11" s="627"/>
      <c r="D11" s="287" t="s">
        <v>9</v>
      </c>
      <c r="E11" s="284" t="s">
        <v>10</v>
      </c>
      <c r="F11" s="284" t="s">
        <v>11</v>
      </c>
      <c r="G11" s="284" t="s">
        <v>12</v>
      </c>
      <c r="H11" s="627"/>
      <c r="I11" s="288"/>
    </row>
    <row r="12" spans="1:18" s="295" customFormat="1" ht="15" customHeight="1">
      <c r="A12" s="290">
        <v>1</v>
      </c>
      <c r="B12" s="291">
        <v>2</v>
      </c>
      <c r="C12" s="291">
        <v>3</v>
      </c>
      <c r="D12" s="292">
        <v>4</v>
      </c>
      <c r="E12" s="290">
        <v>5</v>
      </c>
      <c r="F12" s="290">
        <v>6</v>
      </c>
      <c r="G12" s="291">
        <v>7</v>
      </c>
      <c r="H12" s="293">
        <v>8</v>
      </c>
      <c r="I12" s="294"/>
    </row>
    <row r="13" spans="1:18" s="151" customFormat="1" ht="29.25" customHeight="1">
      <c r="A13" s="623" t="str">
        <f ca="1">C234</f>
        <v>рублей 00 копеек</v>
      </c>
      <c r="B13" s="623"/>
      <c r="C13" s="623"/>
      <c r="D13" s="623"/>
      <c r="E13" s="623"/>
      <c r="F13" s="623"/>
      <c r="G13" s="623"/>
      <c r="H13" s="623"/>
      <c r="I13" s="623"/>
      <c r="J13" s="623"/>
      <c r="K13" s="623"/>
    </row>
    <row r="14" spans="1:18" s="151" customFormat="1" ht="29.25" customHeight="1">
      <c r="A14" s="622" t="s">
        <v>198</v>
      </c>
      <c r="B14" s="622"/>
      <c r="C14" s="622"/>
      <c r="D14" s="622"/>
      <c r="E14" s="622"/>
      <c r="F14" s="622"/>
      <c r="G14" s="622"/>
      <c r="H14" s="622"/>
      <c r="I14" s="622"/>
      <c r="J14" s="622"/>
      <c r="K14" s="622"/>
    </row>
    <row r="15" spans="1:18" s="151" customFormat="1" ht="29.25" hidden="1" customHeight="1" outlineLevel="1">
      <c r="A15" s="156"/>
      <c r="B15" s="156"/>
      <c r="C15" s="156"/>
      <c r="D15" s="156"/>
      <c r="E15" s="156"/>
      <c r="F15" s="156"/>
      <c r="G15" s="156"/>
      <c r="H15" s="156"/>
      <c r="I15" s="156"/>
      <c r="J15" s="156"/>
      <c r="K15" s="156"/>
    </row>
    <row r="16" spans="1:18" s="151" customFormat="1" ht="29.25" hidden="1" customHeight="1" outlineLevel="1">
      <c r="A16" s="619" t="e">
        <f>#REF!</f>
        <v>#REF!</v>
      </c>
      <c r="B16" s="619"/>
      <c r="C16" s="267"/>
      <c r="D16" s="267"/>
      <c r="E16" s="267"/>
      <c r="F16" s="268"/>
      <c r="G16" s="157"/>
      <c r="H16" s="156"/>
      <c r="I16" s="156"/>
      <c r="J16" s="156"/>
      <c r="K16" s="156"/>
    </row>
    <row r="17" spans="1:17" s="151" customFormat="1" ht="21" hidden="1" customHeight="1" outlineLevel="1">
      <c r="A17" s="631" t="e">
        <f>E8</f>
        <v>#REF!</v>
      </c>
      <c r="B17" s="619"/>
      <c r="C17" s="269"/>
      <c r="D17" s="269"/>
      <c r="E17" s="269"/>
      <c r="F17" s="619" t="e">
        <f>#REF!</f>
        <v>#REF!</v>
      </c>
      <c r="G17" s="619"/>
      <c r="H17" s="156"/>
      <c r="I17" s="156"/>
      <c r="J17" s="156"/>
      <c r="K17" s="156"/>
    </row>
    <row r="18" spans="1:17" s="151" customFormat="1" ht="29.25" hidden="1" customHeight="1" outlineLevel="1">
      <c r="A18" s="619"/>
      <c r="B18" s="619"/>
      <c r="C18" s="267"/>
      <c r="D18" s="267"/>
      <c r="E18" s="267"/>
      <c r="F18" s="267"/>
      <c r="G18" s="157"/>
      <c r="H18" s="156"/>
      <c r="I18" s="156"/>
      <c r="J18" s="156"/>
      <c r="K18" s="156"/>
    </row>
    <row r="19" spans="1:17" s="151" customFormat="1" ht="29.25" hidden="1" customHeight="1" outlineLevel="1">
      <c r="A19" s="632" t="s">
        <v>199</v>
      </c>
      <c r="B19" s="632"/>
      <c r="C19" s="267"/>
      <c r="D19" s="267"/>
      <c r="E19" s="267"/>
      <c r="F19" s="267"/>
      <c r="G19" s="157"/>
      <c r="H19" s="156"/>
      <c r="I19" s="156"/>
      <c r="J19" s="156"/>
      <c r="K19" s="156"/>
    </row>
    <row r="20" spans="1:17" s="151" customFormat="1" ht="20.25" hidden="1" customHeight="1" outlineLevel="1">
      <c r="A20" s="619" t="e">
        <f>#REF!</f>
        <v>#REF!</v>
      </c>
      <c r="B20" s="619"/>
      <c r="C20" s="267"/>
      <c r="D20" s="267"/>
      <c r="E20" s="267"/>
      <c r="F20" s="267"/>
      <c r="G20" s="157"/>
      <c r="H20" s="156"/>
      <c r="I20" s="156"/>
      <c r="J20" s="156"/>
      <c r="K20" s="156"/>
    </row>
    <row r="21" spans="1:17" s="151" customFormat="1" ht="20.25" hidden="1" customHeight="1" outlineLevel="1">
      <c r="A21" s="631" t="e">
        <f>E9</f>
        <v>#REF!</v>
      </c>
      <c r="B21" s="619"/>
      <c r="C21" s="269"/>
      <c r="D21" s="269"/>
      <c r="E21" s="269"/>
      <c r="F21" s="619" t="e">
        <f>#REF!</f>
        <v>#REF!</v>
      </c>
      <c r="G21" s="619"/>
      <c r="H21" s="156"/>
      <c r="I21" s="156"/>
      <c r="J21" s="156"/>
      <c r="K21" s="156"/>
    </row>
    <row r="22" spans="1:17" collapsed="1">
      <c r="A22" s="158"/>
      <c r="B22" s="158"/>
      <c r="C22" s="158"/>
      <c r="D22" s="158"/>
      <c r="E22" s="158"/>
      <c r="F22" s="158"/>
      <c r="G22" s="158"/>
      <c r="H22" s="158"/>
      <c r="I22" s="158"/>
      <c r="J22" s="158"/>
      <c r="K22" s="158"/>
    </row>
    <row r="23" spans="1:17" s="151" customFormat="1" ht="14.25" customHeight="1">
      <c r="A23" s="155"/>
      <c r="B23" s="630"/>
      <c r="C23" s="630"/>
      <c r="D23" s="159"/>
      <c r="E23" s="159"/>
      <c r="F23" s="160"/>
      <c r="G23" s="155"/>
      <c r="H23" s="154"/>
      <c r="I23" s="155"/>
      <c r="J23" s="154"/>
      <c r="K23" s="155"/>
    </row>
    <row r="24" spans="1:17" s="151" customFormat="1" ht="14.25" customHeight="1">
      <c r="A24" s="155"/>
      <c r="B24" s="163"/>
      <c r="C24" s="163"/>
      <c r="D24" s="159"/>
      <c r="E24" s="159"/>
      <c r="F24" s="160"/>
      <c r="G24" s="155"/>
      <c r="H24" s="154"/>
      <c r="I24" s="155"/>
      <c r="J24" s="154"/>
      <c r="K24" s="155"/>
    </row>
    <row r="25" spans="1:17">
      <c r="A25" s="158"/>
      <c r="B25" s="192"/>
      <c r="C25" s="193"/>
      <c r="D25" s="193"/>
      <c r="E25" s="193"/>
      <c r="F25" s="193"/>
      <c r="G25" s="193"/>
      <c r="H25" s="193"/>
      <c r="I25" s="193"/>
      <c r="J25" s="193"/>
      <c r="K25" s="193"/>
      <c r="L25" s="162"/>
      <c r="M25" s="162"/>
    </row>
    <row r="26" spans="1:17">
      <c r="A26" s="158"/>
      <c r="B26" s="192"/>
      <c r="C26" s="193"/>
      <c r="D26" s="193"/>
      <c r="E26" s="193"/>
      <c r="F26" s="193"/>
      <c r="G26" s="193"/>
      <c r="H26" s="193"/>
      <c r="I26" s="193"/>
      <c r="J26" s="193"/>
      <c r="K26" s="193"/>
      <c r="L26" s="162"/>
      <c r="M26" s="162"/>
    </row>
    <row r="27" spans="1:17" s="5" customFormat="1" ht="15.75">
      <c r="A27" s="7"/>
      <c r="B27" s="7"/>
      <c r="C27" s="7"/>
      <c r="D27" s="7"/>
      <c r="E27" s="7"/>
      <c r="F27" s="7"/>
      <c r="G27" s="7"/>
      <c r="H27" s="7"/>
      <c r="I27" s="7"/>
      <c r="J27" s="7"/>
      <c r="K27" s="7"/>
      <c r="L27" s="6"/>
      <c r="M27" s="56"/>
      <c r="N27" s="21"/>
      <c r="Q27" s="6"/>
    </row>
    <row r="28" spans="1:17" customFormat="1" ht="12.75" outlineLevel="1">
      <c r="A28" s="87"/>
      <c r="B28" s="88" t="s">
        <v>116</v>
      </c>
      <c r="C28" s="392"/>
      <c r="D28" s="87"/>
      <c r="E28" s="87"/>
      <c r="F28" s="87"/>
      <c r="G28" s="23"/>
      <c r="H28" s="23"/>
      <c r="I28" s="23"/>
      <c r="J28" s="23"/>
      <c r="K28" s="23"/>
    </row>
    <row r="29" spans="1:17" customFormat="1" ht="12.75" hidden="1" outlineLevel="2">
      <c r="A29" s="58"/>
      <c r="B29" s="58" t="s">
        <v>117</v>
      </c>
      <c r="C29" s="58">
        <f>ROUNDDOWN(C28/1000000,0)</f>
        <v>0</v>
      </c>
      <c r="D29" s="58"/>
      <c r="E29" s="58"/>
      <c r="F29" s="58"/>
    </row>
    <row r="30" spans="1:17" customFormat="1" ht="12.75" hidden="1" outlineLevel="2">
      <c r="A30" s="58"/>
      <c r="B30" s="58"/>
      <c r="C30" s="58"/>
      <c r="D30" s="58"/>
      <c r="E30" s="58"/>
      <c r="F30" s="58"/>
    </row>
    <row r="31" spans="1:17" customFormat="1" ht="12.75" hidden="1" outlineLevel="2">
      <c r="A31" s="58"/>
      <c r="B31" s="58" t="s">
        <v>118</v>
      </c>
      <c r="C31" s="58">
        <f>ROUNDDOWN(C29/100,0)</f>
        <v>0</v>
      </c>
      <c r="D31" s="58"/>
      <c r="E31" s="58"/>
      <c r="F31" s="58"/>
    </row>
    <row r="32" spans="1:17" customFormat="1" ht="12.75" hidden="1" outlineLevel="2">
      <c r="A32" s="58"/>
      <c r="B32" s="58"/>
      <c r="C32" s="58"/>
      <c r="D32" s="58"/>
      <c r="E32" s="58"/>
      <c r="F32" s="58"/>
    </row>
    <row r="33" spans="1:6" customFormat="1" ht="12.75" hidden="1" outlineLevel="2">
      <c r="A33" s="58"/>
      <c r="B33" s="58" t="s">
        <v>119</v>
      </c>
      <c r="C33" s="58"/>
      <c r="D33" s="58"/>
      <c r="E33" s="58"/>
      <c r="F33" s="58"/>
    </row>
    <row r="34" spans="1:6" customFormat="1" ht="12.75" hidden="1" outlineLevel="2">
      <c r="A34" s="58"/>
      <c r="B34" s="58" t="s">
        <v>120</v>
      </c>
      <c r="C34" s="58"/>
      <c r="D34" s="58"/>
      <c r="E34" s="58"/>
      <c r="F34" s="58"/>
    </row>
    <row r="35" spans="1:6" customFormat="1" ht="12.75" hidden="1" outlineLevel="2">
      <c r="A35" s="58"/>
      <c r="B35" s="58" t="s">
        <v>121</v>
      </c>
      <c r="C35" s="58"/>
      <c r="D35" s="58"/>
      <c r="E35" s="58"/>
      <c r="F35" s="58"/>
    </row>
    <row r="36" spans="1:6" customFormat="1" ht="12.75" hidden="1" outlineLevel="2">
      <c r="A36" s="58"/>
      <c r="B36" s="58" t="s">
        <v>122</v>
      </c>
      <c r="C36" s="58"/>
      <c r="D36" s="58"/>
      <c r="E36" s="58"/>
      <c r="F36" s="58"/>
    </row>
    <row r="37" spans="1:6" customFormat="1" ht="12.75" hidden="1" outlineLevel="2">
      <c r="A37" s="58"/>
      <c r="B37" s="58" t="s">
        <v>123</v>
      </c>
      <c r="C37" s="58"/>
      <c r="D37" s="58"/>
      <c r="E37" s="58"/>
      <c r="F37" s="58"/>
    </row>
    <row r="38" spans="1:6" customFormat="1" ht="12.75" hidden="1" outlineLevel="2">
      <c r="A38" s="58"/>
      <c r="B38" s="58" t="s">
        <v>124</v>
      </c>
      <c r="C38" s="58"/>
      <c r="D38" s="58"/>
      <c r="E38" s="58"/>
      <c r="F38" s="58"/>
    </row>
    <row r="39" spans="1:6" customFormat="1" ht="12.75" hidden="1" outlineLevel="2">
      <c r="A39" s="58"/>
      <c r="B39" s="58" t="s">
        <v>125</v>
      </c>
      <c r="C39" s="58"/>
      <c r="D39" s="58"/>
      <c r="E39" s="58"/>
      <c r="F39" s="58"/>
    </row>
    <row r="40" spans="1:6" customFormat="1" ht="12.75" hidden="1" outlineLevel="2">
      <c r="A40" s="58"/>
      <c r="B40" s="58" t="s">
        <v>126</v>
      </c>
      <c r="C40" s="58"/>
      <c r="D40" s="58"/>
      <c r="E40" s="58"/>
      <c r="F40" s="58"/>
    </row>
    <row r="41" spans="1:6" customFormat="1" ht="12.75" hidden="1" outlineLevel="2">
      <c r="A41" s="58"/>
      <c r="B41" s="58" t="s">
        <v>127</v>
      </c>
      <c r="C41" s="58"/>
      <c r="D41" s="58"/>
      <c r="E41" s="58"/>
      <c r="F41" s="58"/>
    </row>
    <row r="42" spans="1:6" customFormat="1" ht="12.75" hidden="1" outlineLevel="2">
      <c r="A42" s="58"/>
      <c r="B42" s="58"/>
      <c r="C42" s="58"/>
      <c r="D42" s="58"/>
      <c r="E42" s="58"/>
      <c r="F42" s="58"/>
    </row>
    <row r="43" spans="1:6" customFormat="1" ht="12.75" hidden="1" outlineLevel="2">
      <c r="A43" s="58"/>
      <c r="B43" s="58"/>
      <c r="C43" s="111" t="str">
        <f ca="1">IF(C31&lt;&gt;0,OFFSET(B32,C31,0),"")</f>
        <v/>
      </c>
      <c r="D43" s="58"/>
      <c r="E43" s="58"/>
      <c r="F43" s="58"/>
    </row>
    <row r="44" spans="1:6" customFormat="1" ht="12.75" hidden="1" outlineLevel="2">
      <c r="A44" s="58"/>
      <c r="B44" s="58"/>
      <c r="C44" s="58"/>
      <c r="D44" s="58"/>
      <c r="E44" s="58"/>
      <c r="F44" s="58"/>
    </row>
    <row r="45" spans="1:6" customFormat="1" ht="12.75" hidden="1" outlineLevel="2">
      <c r="A45" s="58"/>
      <c r="B45" s="58" t="s">
        <v>128</v>
      </c>
      <c r="C45" s="58">
        <f>ROUNDDOWN((C28-C31*100000000)/10000000,0)</f>
        <v>0</v>
      </c>
      <c r="D45" s="58"/>
      <c r="E45" s="58"/>
      <c r="F45" s="58"/>
    </row>
    <row r="46" spans="1:6" customFormat="1" ht="12.75" hidden="1" outlineLevel="2">
      <c r="A46" s="58"/>
      <c r="B46" s="58"/>
      <c r="C46" s="58"/>
      <c r="D46" s="58"/>
      <c r="E46" s="58"/>
      <c r="F46" s="58"/>
    </row>
    <row r="47" spans="1:6" customFormat="1" ht="12.75" hidden="1" outlineLevel="2">
      <c r="A47" s="58"/>
      <c r="B47" s="58" t="s">
        <v>129</v>
      </c>
      <c r="C47" s="58"/>
      <c r="D47" s="58"/>
      <c r="E47" s="58"/>
      <c r="F47" s="58"/>
    </row>
    <row r="48" spans="1:6" customFormat="1" ht="12.75" hidden="1" outlineLevel="2">
      <c r="A48" s="58"/>
      <c r="B48" s="58" t="s">
        <v>130</v>
      </c>
      <c r="C48" s="58"/>
      <c r="D48" s="58"/>
      <c r="E48" s="58"/>
      <c r="F48" s="58"/>
    </row>
    <row r="49" spans="1:6" customFormat="1" ht="12.75" hidden="1" outlineLevel="2">
      <c r="A49" s="58"/>
      <c r="B49" s="58" t="s">
        <v>131</v>
      </c>
      <c r="C49" s="58"/>
      <c r="D49" s="58"/>
      <c r="E49" s="58"/>
      <c r="F49" s="58"/>
    </row>
    <row r="50" spans="1:6" customFormat="1" ht="12.75" hidden="1" outlineLevel="2">
      <c r="A50" s="58"/>
      <c r="B50" s="58" t="s">
        <v>132</v>
      </c>
      <c r="C50" s="58"/>
      <c r="D50" s="58"/>
      <c r="E50" s="58"/>
      <c r="F50" s="58"/>
    </row>
    <row r="51" spans="1:6" customFormat="1" ht="12.75" hidden="1" outlineLevel="2">
      <c r="A51" s="58"/>
      <c r="B51" s="58" t="s">
        <v>133</v>
      </c>
      <c r="C51" s="58"/>
      <c r="D51" s="58"/>
      <c r="E51" s="58"/>
      <c r="F51" s="58"/>
    </row>
    <row r="52" spans="1:6" customFormat="1" ht="12.75" hidden="1" outlineLevel="2">
      <c r="A52" s="58"/>
      <c r="B52" s="58" t="s">
        <v>134</v>
      </c>
      <c r="C52" s="58"/>
      <c r="D52" s="58"/>
      <c r="E52" s="58"/>
      <c r="F52" s="58"/>
    </row>
    <row r="53" spans="1:6" customFormat="1" ht="12.75" hidden="1" outlineLevel="2">
      <c r="A53" s="58"/>
      <c r="B53" s="58" t="s">
        <v>135</v>
      </c>
      <c r="C53" s="58"/>
      <c r="D53" s="58"/>
      <c r="E53" s="58"/>
      <c r="F53" s="58"/>
    </row>
    <row r="54" spans="1:6" customFormat="1" ht="12.75" hidden="1" outlineLevel="2">
      <c r="A54" s="58"/>
      <c r="B54" s="58" t="s">
        <v>136</v>
      </c>
      <c r="C54" s="58"/>
      <c r="D54" s="58"/>
      <c r="E54" s="58"/>
      <c r="F54" s="58"/>
    </row>
    <row r="55" spans="1:6" customFormat="1" ht="12.75" hidden="1" outlineLevel="2">
      <c r="A55" s="58"/>
      <c r="B55" s="58" t="s">
        <v>137</v>
      </c>
      <c r="C55" s="58"/>
      <c r="D55" s="58"/>
      <c r="E55" s="58"/>
      <c r="F55" s="58"/>
    </row>
    <row r="56" spans="1:6" customFormat="1" ht="12.75" hidden="1" outlineLevel="2">
      <c r="A56" s="58"/>
      <c r="B56" s="58"/>
      <c r="C56" s="58"/>
      <c r="D56" s="58"/>
      <c r="E56" s="58"/>
      <c r="F56" s="58"/>
    </row>
    <row r="57" spans="1:6" customFormat="1" ht="12.75" hidden="1" outlineLevel="2">
      <c r="A57" s="58"/>
      <c r="B57" s="58"/>
      <c r="C57" s="111" t="str">
        <f ca="1">IF(AND(C45=1,C59&lt;&gt;0),"",IF(C45&lt;&gt;0,OFFSET(B46,C45,0),""))</f>
        <v/>
      </c>
      <c r="D57" s="58"/>
      <c r="E57" s="58"/>
      <c r="F57" s="58"/>
    </row>
    <row r="58" spans="1:6" customFormat="1" ht="12.75" hidden="1" outlineLevel="2">
      <c r="A58" s="58"/>
      <c r="B58" s="58"/>
      <c r="C58" s="58"/>
      <c r="D58" s="58"/>
      <c r="E58" s="58"/>
      <c r="F58" s="58"/>
    </row>
    <row r="59" spans="1:6" customFormat="1" ht="12.75" hidden="1" outlineLevel="2">
      <c r="A59" s="58"/>
      <c r="B59" s="58" t="s">
        <v>138</v>
      </c>
      <c r="C59" s="58">
        <f>ROUNDDOWN((C28-C31*100000000-C45*10000000)/1000000,0)</f>
        <v>0</v>
      </c>
      <c r="D59" s="58"/>
      <c r="E59" s="58"/>
      <c r="F59" s="58"/>
    </row>
    <row r="60" spans="1:6" customFormat="1" ht="12.75" hidden="1" outlineLevel="2">
      <c r="A60" s="58"/>
      <c r="B60" s="58"/>
      <c r="C60" s="58"/>
      <c r="D60" s="58"/>
      <c r="E60" s="58"/>
      <c r="F60" s="58"/>
    </row>
    <row r="61" spans="1:6" customFormat="1" ht="12.75" hidden="1" outlineLevel="2">
      <c r="A61" s="58"/>
      <c r="B61" s="58" t="s">
        <v>139</v>
      </c>
      <c r="C61" s="58"/>
      <c r="D61" s="58"/>
      <c r="E61" s="58"/>
      <c r="F61" s="58"/>
    </row>
    <row r="62" spans="1:6" customFormat="1" ht="12.75" hidden="1" outlineLevel="2">
      <c r="A62" s="58"/>
      <c r="B62" s="58" t="s">
        <v>140</v>
      </c>
      <c r="C62" s="58"/>
      <c r="D62" s="58"/>
      <c r="E62" s="58"/>
      <c r="F62" s="58"/>
    </row>
    <row r="63" spans="1:6" customFormat="1" ht="12.75" hidden="1" outlineLevel="2">
      <c r="A63" s="58"/>
      <c r="B63" s="58" t="s">
        <v>141</v>
      </c>
      <c r="C63" s="58"/>
      <c r="D63" s="58"/>
      <c r="E63" s="58"/>
      <c r="F63" s="58"/>
    </row>
    <row r="64" spans="1:6" customFormat="1" ht="12.75" hidden="1" outlineLevel="2">
      <c r="A64" s="58"/>
      <c r="B64" s="58" t="s">
        <v>142</v>
      </c>
      <c r="C64" s="58"/>
      <c r="D64" s="58"/>
      <c r="E64" s="58"/>
      <c r="F64" s="58"/>
    </row>
    <row r="65" spans="1:6" customFormat="1" ht="12.75" hidden="1" outlineLevel="2">
      <c r="A65" s="58"/>
      <c r="B65" s="58" t="s">
        <v>143</v>
      </c>
      <c r="C65" s="58"/>
      <c r="D65" s="58"/>
      <c r="E65" s="58"/>
      <c r="F65" s="58"/>
    </row>
    <row r="66" spans="1:6" customFormat="1" ht="12.75" hidden="1" outlineLevel="2">
      <c r="A66" s="58"/>
      <c r="B66" s="58" t="s">
        <v>144</v>
      </c>
      <c r="C66" s="58"/>
      <c r="D66" s="58"/>
      <c r="E66" s="58"/>
      <c r="F66" s="58"/>
    </row>
    <row r="67" spans="1:6" customFormat="1" ht="12.75" hidden="1" outlineLevel="2">
      <c r="A67" s="58"/>
      <c r="B67" s="58" t="s">
        <v>145</v>
      </c>
      <c r="C67" s="58"/>
      <c r="D67" s="58"/>
      <c r="E67" s="58"/>
      <c r="F67" s="58"/>
    </row>
    <row r="68" spans="1:6" customFormat="1" ht="12.75" hidden="1" outlineLevel="2">
      <c r="A68" s="58"/>
      <c r="B68" s="58" t="s">
        <v>146</v>
      </c>
      <c r="C68" s="58"/>
      <c r="D68" s="58"/>
      <c r="E68" s="58"/>
      <c r="F68" s="58"/>
    </row>
    <row r="69" spans="1:6" customFormat="1" ht="12.75" hidden="1" outlineLevel="2">
      <c r="A69" s="58"/>
      <c r="B69" s="58" t="s">
        <v>147</v>
      </c>
      <c r="C69" s="58"/>
      <c r="D69" s="58"/>
      <c r="E69" s="58"/>
      <c r="F69" s="58"/>
    </row>
    <row r="70" spans="1:6" customFormat="1" ht="12.75" hidden="1" outlineLevel="2">
      <c r="A70" s="58"/>
      <c r="B70" s="58"/>
      <c r="C70" s="58"/>
      <c r="D70" s="58"/>
      <c r="E70" s="58"/>
      <c r="F70" s="58"/>
    </row>
    <row r="71" spans="1:6" customFormat="1" ht="12.75" hidden="1" outlineLevel="2">
      <c r="A71" s="58"/>
      <c r="B71" s="58"/>
      <c r="C71" s="111" t="str">
        <f ca="1">IF(C45&lt;&gt;1,IF(C59&lt;&gt;0,OFFSET(B60,C59,0),""),"")</f>
        <v/>
      </c>
      <c r="D71" s="58"/>
      <c r="E71" s="58"/>
      <c r="F71" s="58"/>
    </row>
    <row r="72" spans="1:6" customFormat="1" ht="12.75" hidden="1" outlineLevel="2">
      <c r="A72" s="58"/>
      <c r="B72" s="58"/>
      <c r="C72" s="58"/>
      <c r="D72" s="58"/>
      <c r="E72" s="58"/>
      <c r="F72" s="58"/>
    </row>
    <row r="73" spans="1:6" customFormat="1" ht="12.75" hidden="1" outlineLevel="2">
      <c r="A73" s="58"/>
      <c r="B73" s="58" t="s">
        <v>148</v>
      </c>
      <c r="C73" s="58"/>
      <c r="D73" s="58"/>
      <c r="E73" s="58"/>
      <c r="F73" s="58"/>
    </row>
    <row r="74" spans="1:6" customFormat="1" ht="12.75" hidden="1" outlineLevel="2">
      <c r="A74" s="58"/>
      <c r="B74" s="58"/>
      <c r="C74" s="58"/>
      <c r="D74" s="58"/>
      <c r="E74" s="58"/>
      <c r="F74" s="58"/>
    </row>
    <row r="75" spans="1:6" customFormat="1" ht="12.75" hidden="1" outlineLevel="2">
      <c r="A75" s="58"/>
      <c r="B75" s="58"/>
      <c r="C75" s="58">
        <f>+C59</f>
        <v>0</v>
      </c>
      <c r="D75" s="58"/>
      <c r="E75" s="58"/>
      <c r="F75" s="58"/>
    </row>
    <row r="76" spans="1:6" customFormat="1" ht="12.75" hidden="1" outlineLevel="2">
      <c r="A76" s="58"/>
      <c r="B76" s="58" t="s">
        <v>149</v>
      </c>
      <c r="C76" s="58"/>
      <c r="D76" s="58"/>
      <c r="E76" s="58"/>
      <c r="F76" s="58"/>
    </row>
    <row r="77" spans="1:6" customFormat="1" ht="12.75" hidden="1" outlineLevel="2">
      <c r="A77" s="58"/>
      <c r="B77" s="58" t="s">
        <v>150</v>
      </c>
      <c r="C77" s="58"/>
      <c r="D77" s="58"/>
      <c r="E77" s="58"/>
      <c r="F77" s="58"/>
    </row>
    <row r="78" spans="1:6" customFormat="1" ht="12.75" hidden="1" outlineLevel="2">
      <c r="A78" s="58"/>
      <c r="B78" s="58" t="s">
        <v>151</v>
      </c>
      <c r="C78" s="58"/>
      <c r="D78" s="58"/>
      <c r="E78" s="58"/>
      <c r="F78" s="58"/>
    </row>
    <row r="79" spans="1:6" customFormat="1" ht="12.75" hidden="1" outlineLevel="2">
      <c r="A79" s="58"/>
      <c r="B79" s="58" t="s">
        <v>152</v>
      </c>
      <c r="C79" s="58"/>
      <c r="D79" s="58"/>
      <c r="E79" s="58"/>
      <c r="F79" s="58"/>
    </row>
    <row r="80" spans="1:6" customFormat="1" ht="12.75" hidden="1" outlineLevel="2">
      <c r="A80" s="58"/>
      <c r="B80" s="58" t="s">
        <v>153</v>
      </c>
      <c r="C80" s="58"/>
      <c r="D80" s="58"/>
      <c r="E80" s="58"/>
      <c r="F80" s="58"/>
    </row>
    <row r="81" spans="1:6" customFormat="1" ht="12.75" hidden="1" outlineLevel="2">
      <c r="A81" s="58"/>
      <c r="B81" s="58" t="s">
        <v>154</v>
      </c>
      <c r="C81" s="58"/>
      <c r="D81" s="58"/>
      <c r="E81" s="58"/>
      <c r="F81" s="58"/>
    </row>
    <row r="82" spans="1:6" customFormat="1" ht="12.75" hidden="1" outlineLevel="2">
      <c r="A82" s="58"/>
      <c r="B82" s="58" t="s">
        <v>155</v>
      </c>
      <c r="C82" s="58"/>
      <c r="D82" s="58"/>
      <c r="E82" s="58"/>
      <c r="F82" s="58"/>
    </row>
    <row r="83" spans="1:6" customFormat="1" ht="12.75" hidden="1" outlineLevel="2">
      <c r="A83" s="58"/>
      <c r="B83" s="58" t="s">
        <v>156</v>
      </c>
      <c r="C83" s="58"/>
      <c r="D83" s="58"/>
      <c r="E83" s="58"/>
      <c r="F83" s="58"/>
    </row>
    <row r="84" spans="1:6" customFormat="1" ht="12.75" hidden="1" outlineLevel="2">
      <c r="A84" s="58"/>
      <c r="B84" s="58" t="s">
        <v>157</v>
      </c>
      <c r="C84" s="58"/>
      <c r="D84" s="58"/>
      <c r="E84" s="58"/>
      <c r="F84" s="58"/>
    </row>
    <row r="85" spans="1:6" customFormat="1" ht="12.75" hidden="1" outlineLevel="2">
      <c r="A85" s="58"/>
      <c r="B85" s="58"/>
      <c r="C85" s="58"/>
      <c r="D85" s="58"/>
      <c r="E85" s="58"/>
      <c r="F85" s="58"/>
    </row>
    <row r="86" spans="1:6" customFormat="1" ht="12.75" hidden="1" outlineLevel="2">
      <c r="A86" s="58"/>
      <c r="B86" s="58"/>
      <c r="C86" s="111" t="str">
        <f ca="1">IF(AND(C45=1,C59&lt;&gt;0),IF(C45&lt;&gt;0,OFFSET(B75,C75,0),""),"")</f>
        <v/>
      </c>
      <c r="D86" s="58"/>
      <c r="E86" s="58"/>
      <c r="F86" s="58"/>
    </row>
    <row r="87" spans="1:6" customFormat="1" ht="12.75" hidden="1" outlineLevel="2">
      <c r="A87" s="58"/>
      <c r="B87" s="58"/>
      <c r="C87" s="58"/>
      <c r="D87" s="58"/>
      <c r="E87" s="58"/>
      <c r="F87" s="58"/>
    </row>
    <row r="88" spans="1:6" customFormat="1" ht="12.75" hidden="1" outlineLevel="2">
      <c r="A88" s="58"/>
      <c r="B88" s="58"/>
      <c r="C88" s="111" t="str">
        <f>IF(C45&lt;&gt;1,IF(OR(C59=2,C59=3,C59=4)," миллиона",""),"")</f>
        <v/>
      </c>
      <c r="D88" s="58"/>
      <c r="E88" s="58"/>
      <c r="F88" s="58"/>
    </row>
    <row r="89" spans="1:6" customFormat="1" ht="12.75" hidden="1" outlineLevel="2">
      <c r="A89" s="58"/>
      <c r="B89" s="58"/>
      <c r="C89" s="111" t="str">
        <f>IF(C45&lt;&gt;1,IF(OR(C59=1)," миллион",""),"")</f>
        <v/>
      </c>
      <c r="D89" s="58"/>
      <c r="E89" s="58"/>
      <c r="F89" s="58"/>
    </row>
    <row r="90" spans="1:6" customFormat="1" ht="12.75" hidden="1" outlineLevel="2">
      <c r="A90" s="58"/>
      <c r="B90" s="58"/>
      <c r="C90" s="111" t="str">
        <f>IF(C29&lt;&gt;0,IF(AND(C88="",C89="")," миллионов",""),"")</f>
        <v/>
      </c>
      <c r="D90" s="58"/>
      <c r="E90" s="58"/>
      <c r="F90" s="58"/>
    </row>
    <row r="91" spans="1:6" customFormat="1" ht="12.75" hidden="1" outlineLevel="2">
      <c r="A91" s="58"/>
      <c r="B91" s="58"/>
      <c r="C91" s="112" t="str">
        <f ca="1">(CONCATENATE(C43,C57,C71,C86,C88,C89,C90))</f>
        <v/>
      </c>
      <c r="D91" s="58"/>
      <c r="E91" s="58"/>
      <c r="F91" s="58"/>
    </row>
    <row r="92" spans="1:6" customFormat="1" ht="12.75" hidden="1" outlineLevel="2">
      <c r="A92" s="58"/>
      <c r="B92" s="58"/>
      <c r="C92" s="58"/>
      <c r="D92" s="58"/>
      <c r="E92" s="58"/>
      <c r="F92" s="58"/>
    </row>
    <row r="93" spans="1:6" customFormat="1" ht="12.75" hidden="1" outlineLevel="2">
      <c r="A93" s="58"/>
      <c r="B93" s="58" t="s">
        <v>158</v>
      </c>
      <c r="C93" s="58">
        <f>ROUNDDOWN((C28-C29*1000000)/1000,0)</f>
        <v>0</v>
      </c>
      <c r="D93" s="58"/>
      <c r="E93" s="58"/>
      <c r="F93" s="58"/>
    </row>
    <row r="94" spans="1:6" customFormat="1" ht="12.75" hidden="1" outlineLevel="2">
      <c r="A94" s="58"/>
      <c r="B94" s="58" t="s">
        <v>159</v>
      </c>
      <c r="C94" s="58">
        <f>ROUNDDOWN(C93/100,0)</f>
        <v>0</v>
      </c>
      <c r="D94" s="58"/>
      <c r="E94" s="58"/>
      <c r="F94" s="58"/>
    </row>
    <row r="95" spans="1:6" customFormat="1" ht="12.75" hidden="1" outlineLevel="2">
      <c r="A95" s="58"/>
      <c r="B95" s="58"/>
      <c r="C95" s="58"/>
      <c r="D95" s="58"/>
      <c r="E95" s="58"/>
      <c r="F95" s="58"/>
    </row>
    <row r="96" spans="1:6" customFormat="1" ht="12.75" hidden="1" outlineLevel="2">
      <c r="A96" s="58"/>
      <c r="B96" s="58" t="s">
        <v>160</v>
      </c>
      <c r="C96" s="58"/>
      <c r="D96" s="58"/>
      <c r="E96" s="58"/>
      <c r="F96" s="58"/>
    </row>
    <row r="97" spans="1:6" customFormat="1" ht="12.75" hidden="1" outlineLevel="2">
      <c r="A97" s="58"/>
      <c r="B97" s="58" t="s">
        <v>161</v>
      </c>
      <c r="C97" s="58"/>
      <c r="D97" s="58"/>
      <c r="E97" s="58"/>
      <c r="F97" s="58"/>
    </row>
    <row r="98" spans="1:6" customFormat="1" ht="12.75" hidden="1" outlineLevel="2">
      <c r="A98" s="58"/>
      <c r="B98" s="58" t="s">
        <v>162</v>
      </c>
      <c r="C98" s="58"/>
      <c r="D98" s="58"/>
      <c r="E98" s="58"/>
      <c r="F98" s="58"/>
    </row>
    <row r="99" spans="1:6" customFormat="1" ht="12.75" hidden="1" outlineLevel="2">
      <c r="A99" s="58"/>
      <c r="B99" s="58" t="s">
        <v>163</v>
      </c>
      <c r="C99" s="58"/>
      <c r="D99" s="58"/>
      <c r="E99" s="58"/>
      <c r="F99" s="58"/>
    </row>
    <row r="100" spans="1:6" customFormat="1" ht="12.75" hidden="1" outlineLevel="2">
      <c r="A100" s="58"/>
      <c r="B100" s="58" t="s">
        <v>164</v>
      </c>
      <c r="C100" s="58"/>
      <c r="D100" s="58"/>
      <c r="E100" s="58"/>
      <c r="F100" s="58"/>
    </row>
    <row r="101" spans="1:6" customFormat="1" ht="12.75" hidden="1" outlineLevel="2">
      <c r="A101" s="58"/>
      <c r="B101" s="58" t="s">
        <v>165</v>
      </c>
      <c r="C101" s="58"/>
      <c r="D101" s="58"/>
      <c r="E101" s="58"/>
      <c r="F101" s="58"/>
    </row>
    <row r="102" spans="1:6" customFormat="1" ht="12.75" hidden="1" outlineLevel="2">
      <c r="A102" s="58"/>
      <c r="B102" s="58" t="s">
        <v>166</v>
      </c>
      <c r="C102" s="58"/>
      <c r="D102" s="58"/>
      <c r="E102" s="58"/>
      <c r="F102" s="58"/>
    </row>
    <row r="103" spans="1:6" customFormat="1" ht="12.75" hidden="1" outlineLevel="2">
      <c r="A103" s="58"/>
      <c r="B103" s="58" t="s">
        <v>167</v>
      </c>
      <c r="C103" s="58"/>
      <c r="D103" s="58"/>
      <c r="E103" s="58"/>
      <c r="F103" s="58"/>
    </row>
    <row r="104" spans="1:6" customFormat="1" ht="12.75" hidden="1" outlineLevel="2">
      <c r="A104" s="58"/>
      <c r="B104" s="58" t="s">
        <v>168</v>
      </c>
      <c r="C104" s="58"/>
      <c r="D104" s="58"/>
      <c r="E104" s="58"/>
      <c r="F104" s="58"/>
    </row>
    <row r="105" spans="1:6" customFormat="1" ht="12.75" hidden="1" outlineLevel="2">
      <c r="A105" s="58"/>
      <c r="B105" s="58"/>
      <c r="C105" s="58"/>
      <c r="D105" s="58"/>
      <c r="E105" s="58"/>
      <c r="F105" s="58"/>
    </row>
    <row r="106" spans="1:6" customFormat="1" ht="12.75" hidden="1" outlineLevel="2">
      <c r="A106" s="58"/>
      <c r="B106" s="58"/>
      <c r="C106" s="111" t="str">
        <f ca="1">IF(C94&lt;&gt;0,OFFSET(B95,C94,0),"")</f>
        <v/>
      </c>
      <c r="D106" s="58"/>
      <c r="E106" s="58"/>
      <c r="F106" s="58"/>
    </row>
    <row r="107" spans="1:6" customFormat="1" ht="12.75" hidden="1" outlineLevel="2">
      <c r="A107" s="58"/>
      <c r="B107" s="58"/>
      <c r="C107" s="58"/>
      <c r="D107" s="58"/>
      <c r="E107" s="58"/>
      <c r="F107" s="58"/>
    </row>
    <row r="108" spans="1:6" customFormat="1" ht="12.75" hidden="1" outlineLevel="2">
      <c r="A108" s="58"/>
      <c r="B108" s="58" t="s">
        <v>169</v>
      </c>
      <c r="C108" s="58">
        <f>ROUNDDOWN((C93-C94*100)/10,0)</f>
        <v>0</v>
      </c>
      <c r="D108" s="58"/>
      <c r="E108" s="58"/>
      <c r="F108" s="58"/>
    </row>
    <row r="109" spans="1:6" customFormat="1" ht="12.75" hidden="1" outlineLevel="2">
      <c r="A109" s="58"/>
      <c r="B109" s="58"/>
      <c r="C109" s="58"/>
      <c r="D109" s="58"/>
      <c r="E109" s="58"/>
      <c r="F109" s="58"/>
    </row>
    <row r="110" spans="1:6" customFormat="1" ht="12.75" hidden="1" outlineLevel="2">
      <c r="A110" s="58"/>
      <c r="B110" s="58" t="s">
        <v>129</v>
      </c>
      <c r="C110" s="58"/>
      <c r="D110" s="58"/>
      <c r="E110" s="58"/>
      <c r="F110" s="58"/>
    </row>
    <row r="111" spans="1:6" customFormat="1" ht="12.75" hidden="1" outlineLevel="2">
      <c r="A111" s="58"/>
      <c r="B111" s="58" t="s">
        <v>130</v>
      </c>
      <c r="C111" s="58"/>
      <c r="D111" s="58"/>
      <c r="E111" s="58"/>
      <c r="F111" s="58"/>
    </row>
    <row r="112" spans="1:6" customFormat="1" ht="12.75" hidden="1" outlineLevel="2">
      <c r="A112" s="58"/>
      <c r="B112" s="58" t="s">
        <v>131</v>
      </c>
      <c r="C112" s="58"/>
      <c r="D112" s="58"/>
      <c r="E112" s="58"/>
      <c r="F112" s="58"/>
    </row>
    <row r="113" spans="1:6" customFormat="1" ht="12.75" hidden="1" outlineLevel="2">
      <c r="A113" s="58"/>
      <c r="B113" s="58" t="s">
        <v>132</v>
      </c>
      <c r="C113" s="58"/>
      <c r="D113" s="58"/>
      <c r="E113" s="58"/>
      <c r="F113" s="58"/>
    </row>
    <row r="114" spans="1:6" customFormat="1" ht="12.75" hidden="1" outlineLevel="2">
      <c r="A114" s="58"/>
      <c r="B114" s="58" t="s">
        <v>133</v>
      </c>
      <c r="C114" s="58"/>
      <c r="D114" s="58"/>
      <c r="E114" s="58"/>
      <c r="F114" s="58"/>
    </row>
    <row r="115" spans="1:6" customFormat="1" ht="12.75" hidden="1" outlineLevel="2">
      <c r="A115" s="58"/>
      <c r="B115" s="58" t="s">
        <v>134</v>
      </c>
      <c r="C115" s="58"/>
      <c r="D115" s="58"/>
      <c r="E115" s="58"/>
      <c r="F115" s="58"/>
    </row>
    <row r="116" spans="1:6" customFormat="1" ht="12.75" hidden="1" outlineLevel="2">
      <c r="A116" s="58"/>
      <c r="B116" s="58" t="s">
        <v>135</v>
      </c>
      <c r="C116" s="58"/>
      <c r="D116" s="58"/>
      <c r="E116" s="58"/>
      <c r="F116" s="58"/>
    </row>
    <row r="117" spans="1:6" customFormat="1" ht="12.75" hidden="1" outlineLevel="2">
      <c r="A117" s="58"/>
      <c r="B117" s="58" t="s">
        <v>136</v>
      </c>
      <c r="C117" s="58"/>
      <c r="D117" s="58"/>
      <c r="E117" s="58"/>
      <c r="F117" s="58"/>
    </row>
    <row r="118" spans="1:6" customFormat="1" ht="12.75" hidden="1" outlineLevel="2">
      <c r="A118" s="58"/>
      <c r="B118" s="58" t="s">
        <v>137</v>
      </c>
      <c r="C118" s="58"/>
      <c r="D118" s="58"/>
      <c r="E118" s="58"/>
      <c r="F118" s="58"/>
    </row>
    <row r="119" spans="1:6" customFormat="1" ht="12.75" hidden="1" outlineLevel="2">
      <c r="A119" s="58"/>
      <c r="B119" s="58"/>
      <c r="C119" s="58"/>
      <c r="D119" s="58"/>
      <c r="E119" s="58"/>
      <c r="F119" s="58"/>
    </row>
    <row r="120" spans="1:6" customFormat="1" ht="12.75" hidden="1" outlineLevel="2">
      <c r="A120" s="58"/>
      <c r="B120" s="58"/>
      <c r="C120" s="111" t="str">
        <f ca="1">IF(AND(C108=1,C122&lt;&gt;0),"",IF(C108&lt;&gt;0,OFFSET(B109,C108,0),""))</f>
        <v/>
      </c>
      <c r="D120" s="58"/>
      <c r="E120" s="58"/>
      <c r="F120" s="58"/>
    </row>
    <row r="121" spans="1:6" customFormat="1" ht="12.75" hidden="1" outlineLevel="2">
      <c r="A121" s="58"/>
      <c r="B121" s="58"/>
      <c r="C121" s="58"/>
      <c r="D121" s="58"/>
      <c r="E121" s="58"/>
      <c r="F121" s="58"/>
    </row>
    <row r="122" spans="1:6" customFormat="1" ht="12.75" hidden="1" outlineLevel="2">
      <c r="A122" s="58"/>
      <c r="B122" s="58" t="s">
        <v>158</v>
      </c>
      <c r="C122" s="58">
        <f>C93-C94*100-C108*10</f>
        <v>0</v>
      </c>
      <c r="D122" s="58"/>
      <c r="E122" s="58"/>
      <c r="F122" s="58"/>
    </row>
    <row r="123" spans="1:6" customFormat="1" ht="12.75" hidden="1" outlineLevel="2">
      <c r="A123" s="58"/>
      <c r="B123" s="58"/>
      <c r="C123" s="58"/>
      <c r="D123" s="58"/>
      <c r="E123" s="58"/>
      <c r="F123" s="58"/>
    </row>
    <row r="124" spans="1:6" customFormat="1" ht="12.75" hidden="1" outlineLevel="2">
      <c r="A124" s="58"/>
      <c r="B124" s="58" t="s">
        <v>170</v>
      </c>
      <c r="C124" s="58"/>
      <c r="D124" s="58"/>
      <c r="E124" s="58"/>
      <c r="F124" s="58"/>
    </row>
    <row r="125" spans="1:6" customFormat="1" ht="12.75" hidden="1" outlineLevel="2">
      <c r="A125" s="58"/>
      <c r="B125" s="58" t="s">
        <v>171</v>
      </c>
      <c r="C125" s="58"/>
      <c r="D125" s="58"/>
      <c r="E125" s="58"/>
      <c r="F125" s="58"/>
    </row>
    <row r="126" spans="1:6" customFormat="1" ht="12.75" hidden="1" outlineLevel="2">
      <c r="A126" s="58"/>
      <c r="B126" s="58" t="s">
        <v>141</v>
      </c>
      <c r="C126" s="58"/>
      <c r="D126" s="58"/>
      <c r="E126" s="58"/>
      <c r="F126" s="58"/>
    </row>
    <row r="127" spans="1:6" customFormat="1" ht="12.75" hidden="1" outlineLevel="2">
      <c r="A127" s="58"/>
      <c r="B127" s="58" t="s">
        <v>142</v>
      </c>
      <c r="C127" s="58"/>
      <c r="D127" s="58"/>
      <c r="E127" s="58"/>
      <c r="F127" s="58"/>
    </row>
    <row r="128" spans="1:6" customFormat="1" ht="12.75" hidden="1" outlineLevel="2">
      <c r="A128" s="58"/>
      <c r="B128" s="58" t="s">
        <v>143</v>
      </c>
      <c r="C128" s="58"/>
      <c r="D128" s="58"/>
      <c r="E128" s="58"/>
      <c r="F128" s="58"/>
    </row>
    <row r="129" spans="1:6" customFormat="1" ht="12.75" hidden="1" outlineLevel="2">
      <c r="A129" s="58"/>
      <c r="B129" s="58" t="s">
        <v>144</v>
      </c>
      <c r="C129" s="58"/>
      <c r="D129" s="58"/>
      <c r="E129" s="58"/>
      <c r="F129" s="58"/>
    </row>
    <row r="130" spans="1:6" customFormat="1" ht="12.75" hidden="1" outlineLevel="2">
      <c r="A130" s="58"/>
      <c r="B130" s="58" t="s">
        <v>145</v>
      </c>
      <c r="C130" s="58"/>
      <c r="D130" s="58"/>
      <c r="E130" s="58"/>
      <c r="F130" s="58"/>
    </row>
    <row r="131" spans="1:6" customFormat="1" ht="12.75" hidden="1" outlineLevel="2">
      <c r="A131" s="58"/>
      <c r="B131" s="58" t="s">
        <v>146</v>
      </c>
      <c r="C131" s="58"/>
      <c r="D131" s="58"/>
      <c r="E131" s="58"/>
      <c r="F131" s="58"/>
    </row>
    <row r="132" spans="1:6" customFormat="1" ht="12.75" hidden="1" outlineLevel="2">
      <c r="A132" s="58"/>
      <c r="B132" s="58" t="s">
        <v>147</v>
      </c>
      <c r="C132" s="58"/>
      <c r="D132" s="58"/>
      <c r="E132" s="58"/>
      <c r="F132" s="58"/>
    </row>
    <row r="133" spans="1:6" customFormat="1" ht="12.75" hidden="1" outlineLevel="2">
      <c r="A133" s="58"/>
      <c r="B133" s="58"/>
      <c r="C133" s="58"/>
      <c r="D133" s="58"/>
      <c r="E133" s="58"/>
      <c r="F133" s="58"/>
    </row>
    <row r="134" spans="1:6" customFormat="1" ht="12.75" hidden="1" outlineLevel="2">
      <c r="A134" s="58"/>
      <c r="B134" s="58"/>
      <c r="C134" s="111" t="str">
        <f ca="1">IF(C108&lt;&gt;1,IF(C122&lt;&gt;0,OFFSET(B123,C122,0),""),"")</f>
        <v/>
      </c>
      <c r="D134" s="58"/>
      <c r="E134" s="58"/>
      <c r="F134" s="58"/>
    </row>
    <row r="135" spans="1:6" customFormat="1" ht="12.75" hidden="1" outlineLevel="2">
      <c r="A135" s="58"/>
      <c r="B135" s="58"/>
      <c r="C135" s="58"/>
      <c r="D135" s="58"/>
      <c r="E135" s="58"/>
      <c r="F135" s="58"/>
    </row>
    <row r="136" spans="1:6" customFormat="1" ht="12.75" hidden="1" outlineLevel="2">
      <c r="A136" s="58"/>
      <c r="B136" s="58" t="s">
        <v>148</v>
      </c>
      <c r="C136" s="58"/>
      <c r="D136" s="58"/>
      <c r="E136" s="58"/>
      <c r="F136" s="58"/>
    </row>
    <row r="137" spans="1:6" customFormat="1" ht="12.75" hidden="1" outlineLevel="2">
      <c r="A137" s="58"/>
      <c r="B137" s="58"/>
      <c r="C137" s="58"/>
      <c r="D137" s="58"/>
      <c r="E137" s="58"/>
      <c r="F137" s="58"/>
    </row>
    <row r="138" spans="1:6" customFormat="1" ht="12.75" hidden="1" outlineLevel="2">
      <c r="A138" s="58"/>
      <c r="B138" s="58"/>
      <c r="C138" s="58">
        <f>+C122</f>
        <v>0</v>
      </c>
      <c r="D138" s="58"/>
      <c r="E138" s="58"/>
      <c r="F138" s="58"/>
    </row>
    <row r="139" spans="1:6" customFormat="1" ht="12.75" hidden="1" outlineLevel="2">
      <c r="A139" s="58"/>
      <c r="B139" s="58" t="s">
        <v>149</v>
      </c>
      <c r="C139" s="58"/>
      <c r="D139" s="58"/>
      <c r="E139" s="58"/>
      <c r="F139" s="58"/>
    </row>
    <row r="140" spans="1:6" customFormat="1" ht="12.75" hidden="1" outlineLevel="2">
      <c r="A140" s="58"/>
      <c r="B140" s="58" t="s">
        <v>150</v>
      </c>
      <c r="C140" s="58"/>
      <c r="D140" s="58"/>
      <c r="E140" s="58"/>
      <c r="F140" s="58"/>
    </row>
    <row r="141" spans="1:6" customFormat="1" ht="12.75" hidden="1" outlineLevel="2">
      <c r="A141" s="58"/>
      <c r="B141" s="58" t="s">
        <v>151</v>
      </c>
      <c r="C141" s="58"/>
      <c r="D141" s="58"/>
      <c r="E141" s="58"/>
      <c r="F141" s="58"/>
    </row>
    <row r="142" spans="1:6" customFormat="1" ht="12.75" hidden="1" outlineLevel="2">
      <c r="A142" s="58"/>
      <c r="B142" s="58" t="s">
        <v>152</v>
      </c>
      <c r="C142" s="58"/>
      <c r="D142" s="58"/>
      <c r="E142" s="58"/>
      <c r="F142" s="58"/>
    </row>
    <row r="143" spans="1:6" customFormat="1" ht="12.75" hidden="1" outlineLevel="2">
      <c r="A143" s="58"/>
      <c r="B143" s="58" t="s">
        <v>153</v>
      </c>
      <c r="C143" s="58"/>
      <c r="D143" s="58"/>
      <c r="E143" s="58"/>
      <c r="F143" s="58"/>
    </row>
    <row r="144" spans="1:6" customFormat="1" ht="12.75" hidden="1" outlineLevel="2">
      <c r="A144" s="58"/>
      <c r="B144" s="58" t="s">
        <v>154</v>
      </c>
      <c r="C144" s="58"/>
      <c r="D144" s="58"/>
      <c r="E144" s="58"/>
      <c r="F144" s="58"/>
    </row>
    <row r="145" spans="1:6" customFormat="1" ht="12.75" hidden="1" outlineLevel="2">
      <c r="A145" s="58"/>
      <c r="B145" s="58" t="s">
        <v>155</v>
      </c>
      <c r="C145" s="58"/>
      <c r="D145" s="58"/>
      <c r="E145" s="58"/>
      <c r="F145" s="58"/>
    </row>
    <row r="146" spans="1:6" customFormat="1" ht="12.75" hidden="1" outlineLevel="2">
      <c r="A146" s="58"/>
      <c r="B146" s="58" t="s">
        <v>156</v>
      </c>
      <c r="C146" s="58"/>
      <c r="D146" s="58"/>
      <c r="E146" s="58"/>
      <c r="F146" s="58"/>
    </row>
    <row r="147" spans="1:6" customFormat="1" ht="12.75" hidden="1" outlineLevel="2">
      <c r="A147" s="58"/>
      <c r="B147" s="58" t="s">
        <v>157</v>
      </c>
      <c r="C147" s="58"/>
      <c r="D147" s="58"/>
      <c r="E147" s="58"/>
      <c r="F147" s="58"/>
    </row>
    <row r="148" spans="1:6" customFormat="1" ht="12.75" hidden="1" outlineLevel="2">
      <c r="A148" s="58"/>
      <c r="B148" s="58"/>
      <c r="C148" s="58"/>
      <c r="D148" s="58"/>
      <c r="E148" s="58"/>
      <c r="F148" s="58"/>
    </row>
    <row r="149" spans="1:6" customFormat="1" ht="12.75" hidden="1" outlineLevel="2">
      <c r="A149" s="58"/>
      <c r="B149" s="58"/>
      <c r="C149" s="111" t="str">
        <f ca="1">IF(AND(C108=1,C122&lt;&gt;0),IF(C108&lt;&gt;0,OFFSET(B138,C138,0),""),"")</f>
        <v/>
      </c>
      <c r="D149" s="58"/>
      <c r="E149" s="58"/>
      <c r="F149" s="58"/>
    </row>
    <row r="150" spans="1:6" customFormat="1" ht="12.75" hidden="1" outlineLevel="2">
      <c r="A150" s="58"/>
      <c r="B150" s="58"/>
      <c r="C150" s="58"/>
      <c r="D150" s="58"/>
      <c r="E150" s="58"/>
      <c r="F150" s="58"/>
    </row>
    <row r="151" spans="1:6" customFormat="1" ht="12.75" hidden="1" outlineLevel="2">
      <c r="A151" s="58"/>
      <c r="B151" s="58"/>
      <c r="C151" s="111" t="str">
        <f>IF(C108&lt;&gt;1,IF(OR(C122=2,C122=3,C122=4)," тысячи",""),"")</f>
        <v/>
      </c>
      <c r="D151" s="58"/>
      <c r="E151" s="58"/>
      <c r="F151" s="58"/>
    </row>
    <row r="152" spans="1:6" customFormat="1" ht="12.75" hidden="1" outlineLevel="2">
      <c r="A152" s="58"/>
      <c r="B152" s="58"/>
      <c r="C152" s="111" t="str">
        <f>IF(C108&lt;&gt;1,IF(OR(C122=1)," тысяча",""),"")</f>
        <v/>
      </c>
      <c r="D152" s="58"/>
      <c r="E152" s="58"/>
      <c r="F152" s="58"/>
    </row>
    <row r="153" spans="1:6" customFormat="1" ht="12.75" hidden="1" outlineLevel="2">
      <c r="A153" s="58"/>
      <c r="B153" s="58"/>
      <c r="C153" s="111" t="str">
        <f>IF(C93&lt;&gt;0,IF(AND(C151="",C152="")," тысяч",""),"")</f>
        <v/>
      </c>
      <c r="D153" s="58"/>
      <c r="E153" s="58"/>
      <c r="F153" s="58"/>
    </row>
    <row r="154" spans="1:6" customFormat="1" ht="12.75" hidden="1" outlineLevel="2">
      <c r="A154" s="58"/>
      <c r="B154" s="58"/>
      <c r="C154" s="112" t="str">
        <f ca="1">(CONCATENATE(C106,C120,C134,C149,C151,C152,C153))</f>
        <v/>
      </c>
      <c r="D154" s="58"/>
      <c r="E154" s="58"/>
      <c r="F154" s="58"/>
    </row>
    <row r="155" spans="1:6" customFormat="1" ht="12.75" hidden="1" outlineLevel="2">
      <c r="A155" s="58"/>
      <c r="B155" s="58"/>
      <c r="C155" s="58"/>
      <c r="D155" s="58"/>
      <c r="E155" s="58"/>
      <c r="F155" s="58"/>
    </row>
    <row r="156" spans="1:6" customFormat="1" ht="12.75" hidden="1" outlineLevel="2">
      <c r="A156" s="58"/>
      <c r="B156" s="58" t="s">
        <v>172</v>
      </c>
      <c r="C156" s="58">
        <f>ROUNDDOWN(C28-C29*1000000-C93*1000,0)</f>
        <v>0</v>
      </c>
      <c r="D156" s="58"/>
      <c r="E156" s="58"/>
      <c r="F156" s="58"/>
    </row>
    <row r="157" spans="1:6" customFormat="1" ht="12.75" hidden="1" outlineLevel="2">
      <c r="A157" s="58"/>
      <c r="B157" s="58" t="s">
        <v>159</v>
      </c>
      <c r="C157" s="58">
        <f>ROUNDDOWN(C156/100,0)</f>
        <v>0</v>
      </c>
      <c r="D157" s="58"/>
      <c r="E157" s="58"/>
      <c r="F157" s="58"/>
    </row>
    <row r="158" spans="1:6" customFormat="1" ht="12.75" hidden="1" outlineLevel="2">
      <c r="A158" s="58"/>
      <c r="B158" s="58"/>
      <c r="C158" s="58"/>
      <c r="D158" s="58"/>
      <c r="E158" s="58"/>
      <c r="F158" s="58"/>
    </row>
    <row r="159" spans="1:6" customFormat="1" ht="12.75" hidden="1" outlineLevel="2">
      <c r="A159" s="58"/>
      <c r="B159" s="58" t="s">
        <v>160</v>
      </c>
      <c r="C159" s="58"/>
      <c r="D159" s="58"/>
      <c r="E159" s="58"/>
      <c r="F159" s="58"/>
    </row>
    <row r="160" spans="1:6" customFormat="1" ht="12.75" hidden="1" outlineLevel="2">
      <c r="A160" s="58"/>
      <c r="B160" s="58" t="s">
        <v>161</v>
      </c>
      <c r="C160" s="58"/>
      <c r="D160" s="58"/>
      <c r="E160" s="58"/>
      <c r="F160" s="58"/>
    </row>
    <row r="161" spans="1:6" customFormat="1" ht="12.75" hidden="1" outlineLevel="2">
      <c r="A161" s="58"/>
      <c r="B161" s="58" t="s">
        <v>162</v>
      </c>
      <c r="C161" s="58"/>
      <c r="D161" s="58"/>
      <c r="E161" s="58"/>
      <c r="F161" s="58"/>
    </row>
    <row r="162" spans="1:6" customFormat="1" ht="12.75" hidden="1" outlineLevel="2">
      <c r="A162" s="58"/>
      <c r="B162" s="58" t="s">
        <v>163</v>
      </c>
      <c r="C162" s="58"/>
      <c r="D162" s="58"/>
      <c r="E162" s="58"/>
      <c r="F162" s="58"/>
    </row>
    <row r="163" spans="1:6" customFormat="1" ht="12.75" hidden="1" outlineLevel="2">
      <c r="A163" s="58"/>
      <c r="B163" s="58" t="s">
        <v>164</v>
      </c>
      <c r="C163" s="58"/>
      <c r="D163" s="58"/>
      <c r="E163" s="58"/>
      <c r="F163" s="58"/>
    </row>
    <row r="164" spans="1:6" customFormat="1" ht="12.75" hidden="1" outlineLevel="2">
      <c r="A164" s="58"/>
      <c r="B164" s="58" t="s">
        <v>165</v>
      </c>
      <c r="C164" s="58"/>
      <c r="D164" s="58"/>
      <c r="E164" s="58"/>
      <c r="F164" s="58"/>
    </row>
    <row r="165" spans="1:6" customFormat="1" ht="12.75" hidden="1" outlineLevel="2">
      <c r="A165" s="58"/>
      <c r="B165" s="58" t="s">
        <v>166</v>
      </c>
      <c r="C165" s="58"/>
      <c r="D165" s="58"/>
      <c r="E165" s="58"/>
      <c r="F165" s="58"/>
    </row>
    <row r="166" spans="1:6" customFormat="1" ht="12.75" hidden="1" outlineLevel="2">
      <c r="A166" s="58"/>
      <c r="B166" s="58" t="s">
        <v>167</v>
      </c>
      <c r="C166" s="58"/>
      <c r="D166" s="58"/>
      <c r="E166" s="58"/>
      <c r="F166" s="58"/>
    </row>
    <row r="167" spans="1:6" customFormat="1" ht="12.75" hidden="1" outlineLevel="2">
      <c r="A167" s="58"/>
      <c r="B167" s="58" t="s">
        <v>168</v>
      </c>
      <c r="C167" s="58"/>
      <c r="D167" s="58"/>
      <c r="E167" s="58"/>
      <c r="F167" s="58"/>
    </row>
    <row r="168" spans="1:6" customFormat="1" ht="12.75" hidden="1" outlineLevel="2">
      <c r="A168" s="58"/>
      <c r="B168" s="58"/>
      <c r="C168" s="58"/>
      <c r="D168" s="58"/>
      <c r="E168" s="58"/>
      <c r="F168" s="58"/>
    </row>
    <row r="169" spans="1:6" customFormat="1" ht="12.75" hidden="1" outlineLevel="2">
      <c r="A169" s="58"/>
      <c r="B169" s="58"/>
      <c r="C169" s="111" t="str">
        <f ca="1">IF(C157&lt;&gt;0,OFFSET(B158,C157,0),"")</f>
        <v/>
      </c>
      <c r="D169" s="58"/>
      <c r="E169" s="58"/>
      <c r="F169" s="58"/>
    </row>
    <row r="170" spans="1:6" customFormat="1" ht="12.75" hidden="1" outlineLevel="2">
      <c r="A170" s="58"/>
      <c r="B170" s="58"/>
      <c r="C170" s="58"/>
      <c r="D170" s="58"/>
      <c r="E170" s="58"/>
      <c r="F170" s="58"/>
    </row>
    <row r="171" spans="1:6" customFormat="1" ht="12.75" hidden="1" outlineLevel="2">
      <c r="A171" s="58"/>
      <c r="B171" s="58" t="s">
        <v>169</v>
      </c>
      <c r="C171" s="58">
        <f>ROUNDDOWN((C156-C157*100)/10,0)</f>
        <v>0</v>
      </c>
      <c r="D171" s="58"/>
      <c r="E171" s="58"/>
      <c r="F171" s="58"/>
    </row>
    <row r="172" spans="1:6" customFormat="1" ht="12.75" hidden="1" outlineLevel="2">
      <c r="A172" s="58"/>
      <c r="B172" s="58"/>
      <c r="C172" s="58"/>
      <c r="D172" s="58"/>
      <c r="E172" s="58"/>
      <c r="F172" s="58"/>
    </row>
    <row r="173" spans="1:6" customFormat="1" ht="12.75" hidden="1" outlineLevel="2">
      <c r="A173" s="58"/>
      <c r="B173" s="58" t="s">
        <v>129</v>
      </c>
      <c r="C173" s="58"/>
      <c r="D173" s="58"/>
      <c r="E173" s="58"/>
      <c r="F173" s="58"/>
    </row>
    <row r="174" spans="1:6" customFormat="1" ht="12.75" hidden="1" outlineLevel="2">
      <c r="A174" s="58"/>
      <c r="B174" s="58" t="s">
        <v>130</v>
      </c>
      <c r="C174" s="58"/>
      <c r="D174" s="58"/>
      <c r="E174" s="58"/>
      <c r="F174" s="58"/>
    </row>
    <row r="175" spans="1:6" customFormat="1" ht="12.75" hidden="1" outlineLevel="2">
      <c r="A175" s="58"/>
      <c r="B175" s="58" t="s">
        <v>131</v>
      </c>
      <c r="C175" s="58"/>
      <c r="D175" s="58"/>
      <c r="E175" s="58"/>
      <c r="F175" s="58"/>
    </row>
    <row r="176" spans="1:6" customFormat="1" ht="12.75" hidden="1" outlineLevel="2">
      <c r="A176" s="58"/>
      <c r="B176" s="58" t="s">
        <v>132</v>
      </c>
      <c r="C176" s="58"/>
      <c r="D176" s="58"/>
      <c r="E176" s="58"/>
      <c r="F176" s="58"/>
    </row>
    <row r="177" spans="1:6" customFormat="1" ht="12.75" hidden="1" outlineLevel="2">
      <c r="A177" s="58"/>
      <c r="B177" s="58" t="s">
        <v>133</v>
      </c>
      <c r="C177" s="58"/>
      <c r="D177" s="58"/>
      <c r="E177" s="58"/>
      <c r="F177" s="58"/>
    </row>
    <row r="178" spans="1:6" customFormat="1" ht="12.75" hidden="1" outlineLevel="2">
      <c r="A178" s="58"/>
      <c r="B178" s="58" t="s">
        <v>134</v>
      </c>
      <c r="C178" s="58"/>
      <c r="D178" s="58"/>
      <c r="E178" s="58"/>
      <c r="F178" s="58"/>
    </row>
    <row r="179" spans="1:6" customFormat="1" ht="12.75" hidden="1" outlineLevel="2">
      <c r="A179" s="58"/>
      <c r="B179" s="58" t="s">
        <v>135</v>
      </c>
      <c r="C179" s="58"/>
      <c r="D179" s="58"/>
      <c r="E179" s="58"/>
      <c r="F179" s="58"/>
    </row>
    <row r="180" spans="1:6" customFormat="1" ht="12.75" hidden="1" outlineLevel="2">
      <c r="A180" s="58"/>
      <c r="B180" s="58" t="s">
        <v>136</v>
      </c>
      <c r="C180" s="58"/>
      <c r="D180" s="58"/>
      <c r="E180" s="58"/>
      <c r="F180" s="58"/>
    </row>
    <row r="181" spans="1:6" customFormat="1" ht="12.75" hidden="1" outlineLevel="2">
      <c r="A181" s="58"/>
      <c r="B181" s="58" t="s">
        <v>137</v>
      </c>
      <c r="C181" s="58"/>
      <c r="D181" s="58"/>
      <c r="E181" s="58"/>
      <c r="F181" s="58"/>
    </row>
    <row r="182" spans="1:6" customFormat="1" ht="12.75" hidden="1" outlineLevel="2">
      <c r="A182" s="58"/>
      <c r="B182" s="58"/>
      <c r="C182" s="58"/>
      <c r="D182" s="58"/>
      <c r="E182" s="58"/>
      <c r="F182" s="58"/>
    </row>
    <row r="183" spans="1:6" customFormat="1" ht="12.75" hidden="1" outlineLevel="2">
      <c r="A183" s="58"/>
      <c r="B183" s="58"/>
      <c r="C183" s="111" t="str">
        <f ca="1">IF(AND(C171=1,C185&lt;&gt;0),"",IF(C171&lt;&gt;0,OFFSET(B172,C171,0),""))</f>
        <v/>
      </c>
      <c r="D183" s="58"/>
      <c r="E183" s="58"/>
      <c r="F183" s="58"/>
    </row>
    <row r="184" spans="1:6" customFormat="1" ht="12.75" hidden="1" outlineLevel="2">
      <c r="A184" s="58"/>
      <c r="B184" s="58"/>
      <c r="C184" s="58"/>
      <c r="D184" s="58"/>
      <c r="E184" s="58"/>
      <c r="F184" s="58"/>
    </row>
    <row r="185" spans="1:6" customFormat="1" ht="12.75" hidden="1" outlineLevel="2">
      <c r="A185" s="58"/>
      <c r="B185" s="58" t="s">
        <v>158</v>
      </c>
      <c r="C185" s="58">
        <f>C156-C157*100-C171*10</f>
        <v>0</v>
      </c>
      <c r="D185" s="58"/>
      <c r="E185" s="58"/>
      <c r="F185" s="58"/>
    </row>
    <row r="186" spans="1:6" customFormat="1" ht="12.75" hidden="1" outlineLevel="2">
      <c r="A186" s="58"/>
      <c r="B186" s="58"/>
      <c r="C186" s="58"/>
      <c r="D186" s="58"/>
      <c r="E186" s="58"/>
      <c r="F186" s="58"/>
    </row>
    <row r="187" spans="1:6" customFormat="1" ht="12.75" hidden="1" outlineLevel="2">
      <c r="A187" s="58"/>
      <c r="B187" s="58" t="s">
        <v>139</v>
      </c>
      <c r="C187" s="58"/>
      <c r="D187" s="58"/>
      <c r="E187" s="58"/>
      <c r="F187" s="58"/>
    </row>
    <row r="188" spans="1:6" customFormat="1" ht="12.75" hidden="1" outlineLevel="2">
      <c r="A188" s="58"/>
      <c r="B188" s="58" t="s">
        <v>140</v>
      </c>
      <c r="C188" s="58"/>
      <c r="D188" s="58"/>
      <c r="E188" s="58"/>
      <c r="F188" s="58"/>
    </row>
    <row r="189" spans="1:6" customFormat="1" ht="12.75" hidden="1" outlineLevel="2">
      <c r="A189" s="58"/>
      <c r="B189" s="58" t="s">
        <v>141</v>
      </c>
      <c r="C189" s="58"/>
      <c r="D189" s="58"/>
      <c r="E189" s="58"/>
      <c r="F189" s="58"/>
    </row>
    <row r="190" spans="1:6" customFormat="1" ht="12.75" hidden="1" outlineLevel="2">
      <c r="A190" s="58"/>
      <c r="B190" s="58" t="s">
        <v>142</v>
      </c>
      <c r="C190" s="58"/>
      <c r="D190" s="58"/>
      <c r="E190" s="58"/>
      <c r="F190" s="58"/>
    </row>
    <row r="191" spans="1:6" customFormat="1" ht="12.75" hidden="1" outlineLevel="2">
      <c r="A191" s="58"/>
      <c r="B191" s="58" t="s">
        <v>143</v>
      </c>
      <c r="C191" s="58"/>
      <c r="D191" s="58"/>
      <c r="E191" s="58"/>
      <c r="F191" s="58"/>
    </row>
    <row r="192" spans="1:6" customFormat="1" ht="12.75" hidden="1" outlineLevel="2">
      <c r="A192" s="58"/>
      <c r="B192" s="58" t="s">
        <v>144</v>
      </c>
      <c r="C192" s="58"/>
      <c r="D192" s="58"/>
      <c r="E192" s="58"/>
      <c r="F192" s="58"/>
    </row>
    <row r="193" spans="1:6" customFormat="1" ht="12.75" hidden="1" outlineLevel="2">
      <c r="A193" s="58"/>
      <c r="B193" s="58" t="s">
        <v>145</v>
      </c>
      <c r="C193" s="58"/>
      <c r="D193" s="58"/>
      <c r="E193" s="58"/>
      <c r="F193" s="58"/>
    </row>
    <row r="194" spans="1:6" customFormat="1" ht="12.75" hidden="1" outlineLevel="2">
      <c r="A194" s="58"/>
      <c r="B194" s="58" t="s">
        <v>146</v>
      </c>
      <c r="C194" s="58"/>
      <c r="D194" s="58"/>
      <c r="E194" s="58"/>
      <c r="F194" s="58"/>
    </row>
    <row r="195" spans="1:6" customFormat="1" ht="12.75" hidden="1" outlineLevel="2">
      <c r="A195" s="58"/>
      <c r="B195" s="58" t="s">
        <v>147</v>
      </c>
      <c r="C195" s="58"/>
      <c r="D195" s="58"/>
      <c r="E195" s="58"/>
      <c r="F195" s="58"/>
    </row>
    <row r="196" spans="1:6" customFormat="1" ht="12.75" hidden="1" outlineLevel="2">
      <c r="A196" s="58"/>
      <c r="B196" s="58"/>
      <c r="C196" s="58"/>
      <c r="D196" s="58"/>
      <c r="E196" s="58"/>
      <c r="F196" s="58"/>
    </row>
    <row r="197" spans="1:6" customFormat="1" ht="12.75" hidden="1" outlineLevel="2">
      <c r="A197" s="58"/>
      <c r="B197" s="58"/>
      <c r="C197" s="111" t="str">
        <f ca="1">IF(C171&lt;&gt;1,IF(C185&lt;&gt;0,OFFSET(B186,C185,0),""),"")</f>
        <v/>
      </c>
      <c r="D197" s="58"/>
      <c r="E197" s="58"/>
      <c r="F197" s="58"/>
    </row>
    <row r="198" spans="1:6" customFormat="1" ht="12.75" hidden="1" outlineLevel="2">
      <c r="A198" s="58"/>
      <c r="B198" s="58"/>
      <c r="C198" s="58"/>
      <c r="D198" s="58"/>
      <c r="E198" s="58"/>
      <c r="F198" s="58"/>
    </row>
    <row r="199" spans="1:6" customFormat="1" ht="12.75" hidden="1" outlineLevel="2">
      <c r="A199" s="58"/>
      <c r="B199" s="58" t="s">
        <v>148</v>
      </c>
      <c r="C199" s="58"/>
      <c r="D199" s="58"/>
      <c r="E199" s="58"/>
      <c r="F199" s="58"/>
    </row>
    <row r="200" spans="1:6" customFormat="1" ht="12.75" hidden="1" outlineLevel="2">
      <c r="A200" s="58"/>
      <c r="B200" s="58"/>
      <c r="C200" s="58"/>
      <c r="D200" s="58"/>
      <c r="E200" s="58"/>
      <c r="F200" s="58"/>
    </row>
    <row r="201" spans="1:6" customFormat="1" ht="12.75" hidden="1" outlineLevel="2">
      <c r="A201" s="58"/>
      <c r="B201" s="58"/>
      <c r="C201" s="58">
        <f>+C185</f>
        <v>0</v>
      </c>
      <c r="D201" s="58"/>
      <c r="E201" s="58"/>
      <c r="F201" s="58"/>
    </row>
    <row r="202" spans="1:6" customFormat="1" ht="12.75" hidden="1" outlineLevel="2">
      <c r="A202" s="58"/>
      <c r="B202" s="58" t="s">
        <v>149</v>
      </c>
      <c r="C202" s="58"/>
      <c r="D202" s="58"/>
      <c r="E202" s="58"/>
      <c r="F202" s="58"/>
    </row>
    <row r="203" spans="1:6" customFormat="1" ht="12.75" hidden="1" outlineLevel="2">
      <c r="A203" s="58"/>
      <c r="B203" s="58" t="s">
        <v>150</v>
      </c>
      <c r="C203" s="58"/>
      <c r="D203" s="58"/>
      <c r="E203" s="58"/>
      <c r="F203" s="58"/>
    </row>
    <row r="204" spans="1:6" customFormat="1" ht="12.75" hidden="1" outlineLevel="2">
      <c r="A204" s="58"/>
      <c r="B204" s="58" t="s">
        <v>151</v>
      </c>
      <c r="C204" s="58"/>
      <c r="D204" s="58"/>
      <c r="E204" s="58"/>
      <c r="F204" s="58"/>
    </row>
    <row r="205" spans="1:6" customFormat="1" ht="12.75" hidden="1" outlineLevel="2">
      <c r="A205" s="58"/>
      <c r="B205" s="58" t="s">
        <v>152</v>
      </c>
      <c r="C205" s="58"/>
      <c r="D205" s="58"/>
      <c r="E205" s="58"/>
      <c r="F205" s="58"/>
    </row>
    <row r="206" spans="1:6" customFormat="1" ht="12.75" hidden="1" outlineLevel="2">
      <c r="A206" s="58"/>
      <c r="B206" s="58" t="s">
        <v>153</v>
      </c>
      <c r="C206" s="58"/>
      <c r="D206" s="58"/>
      <c r="E206" s="58"/>
      <c r="F206" s="58"/>
    </row>
    <row r="207" spans="1:6" customFormat="1" ht="12.75" hidden="1" outlineLevel="2">
      <c r="A207" s="58"/>
      <c r="B207" s="58" t="s">
        <v>154</v>
      </c>
      <c r="C207" s="58"/>
      <c r="D207" s="58"/>
      <c r="E207" s="58"/>
      <c r="F207" s="58"/>
    </row>
    <row r="208" spans="1:6" customFormat="1" ht="12.75" hidden="1" outlineLevel="2">
      <c r="A208" s="58"/>
      <c r="B208" s="58" t="s">
        <v>155</v>
      </c>
      <c r="C208" s="58"/>
      <c r="D208" s="58"/>
      <c r="E208" s="58"/>
      <c r="F208" s="58"/>
    </row>
    <row r="209" spans="1:6" customFormat="1" ht="12.75" hidden="1" outlineLevel="2">
      <c r="A209" s="58"/>
      <c r="B209" s="58" t="s">
        <v>156</v>
      </c>
      <c r="C209" s="58"/>
      <c r="D209" s="58"/>
      <c r="E209" s="58"/>
      <c r="F209" s="58"/>
    </row>
    <row r="210" spans="1:6" customFormat="1" ht="12.75" hidden="1" outlineLevel="2">
      <c r="A210" s="58"/>
      <c r="B210" s="58" t="s">
        <v>157</v>
      </c>
      <c r="C210" s="58"/>
      <c r="D210" s="58"/>
      <c r="E210" s="58"/>
      <c r="F210" s="58"/>
    </row>
    <row r="211" spans="1:6" customFormat="1" ht="12.75" hidden="1" outlineLevel="2">
      <c r="A211" s="58"/>
      <c r="B211" s="58"/>
      <c r="C211" s="58"/>
      <c r="D211" s="58"/>
      <c r="E211" s="58"/>
      <c r="F211" s="58"/>
    </row>
    <row r="212" spans="1:6" customFormat="1" ht="12.75" hidden="1" outlineLevel="2">
      <c r="A212" s="58"/>
      <c r="B212" s="58"/>
      <c r="C212" s="111" t="str">
        <f ca="1">IF(AND(C171=1,C185&lt;&gt;0),IF(C171&lt;&gt;0,OFFSET(B201,C201,0),""),"")</f>
        <v/>
      </c>
      <c r="D212" s="58"/>
      <c r="E212" s="58"/>
      <c r="F212" s="58"/>
    </row>
    <row r="213" spans="1:6" customFormat="1" ht="12.75" hidden="1" outlineLevel="2">
      <c r="A213" s="58"/>
      <c r="B213" s="58"/>
      <c r="C213" s="58"/>
      <c r="D213" s="58"/>
      <c r="E213" s="58"/>
      <c r="F213" s="58"/>
    </row>
    <row r="214" spans="1:6" customFormat="1" ht="12.75" hidden="1" outlineLevel="2">
      <c r="A214" s="58"/>
      <c r="B214" s="58"/>
      <c r="C214" s="111" t="str">
        <f>IF(C171&lt;&gt;1,IF(OR(C185=2,C185=3,C185=4)," рубля",""),"")</f>
        <v/>
      </c>
      <c r="D214" s="58"/>
      <c r="E214" s="58"/>
      <c r="F214" s="58"/>
    </row>
    <row r="215" spans="1:6" customFormat="1" ht="12.75" hidden="1" outlineLevel="2">
      <c r="A215" s="58"/>
      <c r="B215" s="58"/>
      <c r="C215" s="111" t="str">
        <f>IF(C171&lt;&gt;1,IF(OR(C185=1)," рубль",""),"")</f>
        <v/>
      </c>
      <c r="D215" s="58"/>
      <c r="E215" s="58"/>
      <c r="F215" s="58"/>
    </row>
    <row r="216" spans="1:6" customFormat="1" ht="12.75" hidden="1" outlineLevel="2">
      <c r="A216" s="58"/>
      <c r="B216" s="58"/>
      <c r="C216" s="111" t="str">
        <f>IF(AND(C214="",C215="")," рублей","")</f>
        <v xml:space="preserve"> рублей</v>
      </c>
      <c r="D216" s="58"/>
      <c r="E216" s="58"/>
      <c r="F216" s="58"/>
    </row>
    <row r="217" spans="1:6" customFormat="1" ht="12.75" hidden="1" outlineLevel="2">
      <c r="A217" s="58"/>
      <c r="B217" s="58"/>
      <c r="C217" s="112" t="str">
        <f ca="1">(CONCATENATE(C169,C183,C197,C212,C214,C215,C216))</f>
        <v xml:space="preserve"> рублей</v>
      </c>
      <c r="D217" s="58"/>
      <c r="E217" s="58"/>
      <c r="F217" s="58"/>
    </row>
    <row r="218" spans="1:6" customFormat="1" ht="12.75" hidden="1" outlineLevel="2">
      <c r="A218" s="58"/>
      <c r="B218" s="58"/>
      <c r="C218" s="58"/>
      <c r="D218" s="58"/>
      <c r="E218" s="58"/>
      <c r="F218" s="58"/>
    </row>
    <row r="219" spans="1:6" customFormat="1" ht="12.75" hidden="1" outlineLevel="2">
      <c r="A219" s="58"/>
      <c r="B219" s="58"/>
      <c r="C219" s="58" t="str">
        <f ca="1">TRIM(CONCATENATE(C91,C154,C217))</f>
        <v>рублей</v>
      </c>
      <c r="D219" s="58"/>
      <c r="E219" s="58"/>
      <c r="F219" s="58"/>
    </row>
    <row r="220" spans="1:6" customFormat="1" ht="12.75" hidden="1" outlineLevel="2">
      <c r="A220" s="58"/>
      <c r="B220" s="58"/>
      <c r="C220" s="112" t="str">
        <f ca="1">LEFT(C219,1)</f>
        <v>р</v>
      </c>
      <c r="D220" s="58"/>
      <c r="E220" s="58"/>
      <c r="F220" s="58"/>
    </row>
    <row r="221" spans="1:6" customFormat="1" ht="12.75" hidden="1" outlineLevel="2">
      <c r="A221" s="58"/>
      <c r="B221" s="58"/>
      <c r="C221" s="112" t="str">
        <f ca="1">LOWER(C219)</f>
        <v>рублей</v>
      </c>
      <c r="D221" s="58"/>
      <c r="E221" s="58"/>
      <c r="F221" s="58"/>
    </row>
    <row r="222" spans="1:6" customFormat="1" ht="12.75" hidden="1" outlineLevel="2">
      <c r="A222" s="58"/>
      <c r="B222" s="58"/>
      <c r="C222" s="112" t="str">
        <f ca="1">REPLACE(C221,1,1,"")</f>
        <v>ублей</v>
      </c>
      <c r="D222" s="58"/>
      <c r="E222" s="58"/>
      <c r="F222" s="58"/>
    </row>
    <row r="223" spans="1:6" customFormat="1" ht="12.75" hidden="1" outlineLevel="2">
      <c r="A223" s="58"/>
      <c r="B223" s="58"/>
      <c r="C223" s="112" t="str">
        <f ca="1">CONCATENATE(C220,C222)</f>
        <v>рублей</v>
      </c>
      <c r="D223" s="58"/>
      <c r="E223" s="58"/>
      <c r="F223" s="58"/>
    </row>
    <row r="224" spans="1:6" customFormat="1" ht="12.75" hidden="1" outlineLevel="2">
      <c r="A224" s="58"/>
      <c r="B224" s="58"/>
      <c r="C224" s="58"/>
      <c r="D224" s="58"/>
      <c r="E224" s="58"/>
      <c r="F224" s="58"/>
    </row>
    <row r="225" spans="1:17" customFormat="1" ht="12.75" hidden="1" outlineLevel="2">
      <c r="A225" s="58"/>
      <c r="B225" s="58" t="s">
        <v>173</v>
      </c>
      <c r="C225" s="58">
        <f>ROUND(C28-C29*1000000-C93*1000-C156,2)*100</f>
        <v>0</v>
      </c>
      <c r="D225" s="58"/>
      <c r="E225" s="58"/>
      <c r="F225" s="58"/>
    </row>
    <row r="226" spans="1:17" customFormat="1" ht="12.75" hidden="1" outlineLevel="2">
      <c r="A226" s="58"/>
      <c r="B226" s="58" t="s">
        <v>174</v>
      </c>
      <c r="C226" s="58">
        <f>ROUNDDOWN(C225/10,0)</f>
        <v>0</v>
      </c>
      <c r="D226" s="58"/>
      <c r="E226" s="58"/>
      <c r="F226" s="58"/>
    </row>
    <row r="227" spans="1:17" customFormat="1" ht="12.75" hidden="1" outlineLevel="2">
      <c r="A227" s="58"/>
      <c r="B227" s="58" t="s">
        <v>175</v>
      </c>
      <c r="C227" s="58">
        <f>+C225-C226*10</f>
        <v>0</v>
      </c>
      <c r="D227" s="58"/>
      <c r="E227" s="58"/>
      <c r="F227" s="58"/>
    </row>
    <row r="228" spans="1:17" customFormat="1" ht="12.75" hidden="1" outlineLevel="2">
      <c r="A228" s="58"/>
      <c r="B228" s="58"/>
      <c r="C228" s="58" t="str">
        <f>IF(C225&lt;10,CONCATENATE("0",C225),C225)</f>
        <v>00</v>
      </c>
      <c r="D228" s="58"/>
      <c r="E228" s="58"/>
      <c r="F228" s="58"/>
    </row>
    <row r="229" spans="1:17" customFormat="1" ht="12.75" hidden="1" outlineLevel="2">
      <c r="A229" s="58"/>
      <c r="B229" s="58"/>
      <c r="C229" s="58"/>
      <c r="D229" s="58"/>
      <c r="E229" s="58"/>
      <c r="F229" s="58"/>
    </row>
    <row r="230" spans="1:17" customFormat="1" ht="12.75" hidden="1" outlineLevel="2">
      <c r="A230" s="58"/>
      <c r="B230" s="58"/>
      <c r="C230" s="111" t="str">
        <f>IF(AND(C227=1,C226&lt;&gt;1)," копейка","")</f>
        <v/>
      </c>
      <c r="D230" s="58"/>
      <c r="E230" s="58"/>
      <c r="F230" s="58"/>
    </row>
    <row r="231" spans="1:17" customFormat="1" ht="12.75" hidden="1" outlineLevel="2">
      <c r="A231" s="58"/>
      <c r="B231" s="58"/>
      <c r="C231" s="111" t="str">
        <f>IF(C226&lt;&gt;1,IF(OR(C227=2,C227=3,C227=4)," копейки",""),"")</f>
        <v/>
      </c>
      <c r="D231" s="58"/>
      <c r="E231" s="58"/>
      <c r="F231" s="58"/>
    </row>
    <row r="232" spans="1:17" customFormat="1" ht="12.75" hidden="1" outlineLevel="2">
      <c r="A232" s="58"/>
      <c r="B232" s="58"/>
      <c r="C232" s="111" t="str">
        <f>IF(AND(C230="",C231="")," копеек","")</f>
        <v xml:space="preserve"> копеек</v>
      </c>
      <c r="D232" s="58"/>
      <c r="E232" s="58"/>
      <c r="F232" s="58"/>
    </row>
    <row r="233" spans="1:17" customFormat="1" ht="12.75" hidden="1" outlineLevel="2">
      <c r="A233" s="58"/>
      <c r="B233" s="58"/>
      <c r="C233" s="58"/>
      <c r="D233" s="58"/>
      <c r="E233" s="58"/>
      <c r="F233" s="58"/>
    </row>
    <row r="234" spans="1:17" customFormat="1" ht="12" customHeight="1" outlineLevel="1" collapsed="1">
      <c r="A234" s="58"/>
      <c r="B234" s="58" t="s">
        <v>176</v>
      </c>
      <c r="C234" s="111" t="str">
        <f ca="1">CONCATENATE(C223," ",C228,C230,C231,C232)</f>
        <v>рублей 00 копеек</v>
      </c>
      <c r="D234" s="58"/>
      <c r="E234" s="58"/>
      <c r="F234" s="58"/>
    </row>
    <row r="235" spans="1:17" s="5" customFormat="1" ht="15.75">
      <c r="A235" s="6"/>
      <c r="B235" s="6"/>
      <c r="C235" s="6"/>
      <c r="D235" s="6"/>
      <c r="E235" s="6"/>
      <c r="F235" s="6"/>
      <c r="G235" s="6"/>
      <c r="H235" s="6"/>
      <c r="I235" s="6"/>
      <c r="J235" s="6"/>
      <c r="K235" s="6"/>
      <c r="L235" s="6"/>
      <c r="M235" s="56"/>
      <c r="N235" s="21"/>
      <c r="Q235" s="6"/>
    </row>
    <row r="236" spans="1:17">
      <c r="B236" s="161"/>
      <c r="C236" s="162"/>
      <c r="D236" s="162"/>
      <c r="E236" s="162"/>
      <c r="F236" s="162"/>
      <c r="G236" s="162"/>
      <c r="H236" s="162"/>
      <c r="I236" s="162"/>
      <c r="J236" s="162"/>
      <c r="K236" s="162"/>
      <c r="L236" s="162"/>
      <c r="M236" s="162"/>
    </row>
    <row r="237" spans="1:17">
      <c r="B237" s="161"/>
      <c r="C237" s="162"/>
      <c r="D237" s="162"/>
      <c r="E237" s="162"/>
      <c r="F237" s="162"/>
      <c r="G237" s="162"/>
      <c r="H237" s="162"/>
      <c r="I237" s="162"/>
      <c r="J237" s="162"/>
      <c r="K237" s="162"/>
      <c r="L237" s="162"/>
      <c r="M237" s="162"/>
    </row>
    <row r="238" spans="1:17">
      <c r="B238" s="161"/>
      <c r="C238" s="162"/>
      <c r="D238" s="162"/>
      <c r="E238" s="162"/>
      <c r="F238" s="162"/>
      <c r="G238" s="162"/>
      <c r="H238" s="162"/>
      <c r="I238" s="162"/>
      <c r="J238" s="162"/>
      <c r="K238" s="162"/>
      <c r="L238" s="162"/>
      <c r="M238" s="162"/>
    </row>
    <row r="239" spans="1:17">
      <c r="B239" s="161"/>
      <c r="C239" s="162"/>
      <c r="D239" s="162"/>
      <c r="E239" s="162"/>
      <c r="F239" s="162"/>
      <c r="G239" s="162"/>
      <c r="H239" s="162"/>
      <c r="I239" s="162"/>
      <c r="J239" s="162"/>
      <c r="K239" s="162"/>
      <c r="L239" s="162"/>
      <c r="M239" s="162"/>
    </row>
    <row r="240" spans="1:17">
      <c r="B240" s="161"/>
      <c r="C240" s="162"/>
      <c r="D240" s="162"/>
      <c r="E240" s="162"/>
      <c r="F240" s="162"/>
      <c r="G240" s="162"/>
      <c r="H240" s="162"/>
      <c r="I240" s="162"/>
      <c r="J240" s="162"/>
      <c r="K240" s="162"/>
      <c r="L240" s="162"/>
      <c r="M240" s="162"/>
    </row>
    <row r="241" spans="1:13">
      <c r="B241" s="161"/>
      <c r="C241" s="162"/>
      <c r="D241" s="162"/>
      <c r="E241" s="162"/>
      <c r="F241" s="162"/>
      <c r="G241" s="162"/>
      <c r="H241" s="162"/>
      <c r="I241" s="162"/>
      <c r="J241" s="162"/>
      <c r="K241" s="162"/>
      <c r="L241" s="162"/>
      <c r="M241" s="162"/>
    </row>
    <row r="242" spans="1:13">
      <c r="B242" s="161"/>
      <c r="C242" s="162"/>
      <c r="D242" s="162"/>
      <c r="E242" s="162"/>
      <c r="F242" s="162"/>
      <c r="G242" s="162"/>
      <c r="H242" s="162"/>
      <c r="I242" s="162"/>
      <c r="J242" s="162"/>
      <c r="K242" s="162"/>
      <c r="L242" s="162"/>
      <c r="M242" s="162"/>
    </row>
    <row r="243" spans="1:13">
      <c r="B243" s="161"/>
      <c r="C243" s="162"/>
      <c r="D243" s="162"/>
      <c r="E243" s="162"/>
      <c r="F243" s="162"/>
      <c r="G243" s="162"/>
      <c r="H243" s="162"/>
      <c r="I243" s="162"/>
      <c r="J243" s="162"/>
      <c r="K243" s="162"/>
      <c r="L243" s="162"/>
      <c r="M243" s="162"/>
    </row>
    <row r="244" spans="1:13">
      <c r="B244" s="161"/>
      <c r="C244" s="162"/>
      <c r="D244" s="162"/>
      <c r="E244" s="162"/>
      <c r="F244" s="162"/>
      <c r="G244" s="162"/>
      <c r="H244" s="162"/>
      <c r="I244" s="162"/>
      <c r="J244" s="162"/>
      <c r="K244" s="162"/>
      <c r="L244" s="162"/>
      <c r="M244" s="162"/>
    </row>
    <row r="245" spans="1:13">
      <c r="B245" s="161"/>
      <c r="C245" s="162"/>
      <c r="D245" s="162"/>
      <c r="E245" s="162"/>
      <c r="F245" s="162"/>
      <c r="G245" s="162"/>
      <c r="H245" s="162"/>
      <c r="I245" s="162"/>
      <c r="J245" s="162"/>
      <c r="K245" s="162"/>
      <c r="L245" s="162"/>
      <c r="M245" s="162"/>
    </row>
    <row r="246" spans="1:13">
      <c r="B246" s="161"/>
      <c r="C246" s="162"/>
      <c r="D246" s="162"/>
      <c r="E246" s="162"/>
      <c r="F246" s="162"/>
      <c r="G246" s="162"/>
      <c r="H246" s="162"/>
      <c r="I246" s="162"/>
      <c r="J246" s="162"/>
      <c r="K246" s="162"/>
      <c r="L246" s="162"/>
      <c r="M246" s="162"/>
    </row>
    <row r="247" spans="1:13">
      <c r="B247" s="161"/>
      <c r="C247" s="162"/>
      <c r="D247" s="162"/>
      <c r="E247" s="162"/>
      <c r="F247" s="162"/>
      <c r="G247" s="162"/>
      <c r="H247" s="162"/>
      <c r="I247" s="162"/>
      <c r="J247" s="162"/>
      <c r="K247" s="162"/>
      <c r="L247" s="162"/>
      <c r="M247" s="162"/>
    </row>
    <row r="248" spans="1:13" s="517" customFormat="1" ht="24" hidden="1" customHeight="1" outlineLevel="1">
      <c r="A248" s="513"/>
      <c r="B248" s="514" t="s">
        <v>313</v>
      </c>
      <c r="C248" s="615" t="e">
        <f>#REF!</f>
        <v>#REF!</v>
      </c>
      <c r="D248" s="616"/>
      <c r="E248" s="616"/>
      <c r="F248" s="616"/>
      <c r="G248" s="617"/>
      <c r="H248" s="514" t="e">
        <f>H247*C248</f>
        <v>#REF!</v>
      </c>
      <c r="I248" s="515"/>
      <c r="J248" s="516"/>
    </row>
    <row r="249" spans="1:13" s="517" customFormat="1" ht="24" hidden="1" customHeight="1" outlineLevel="1">
      <c r="A249" s="513"/>
      <c r="B249" s="514" t="s">
        <v>315</v>
      </c>
      <c r="C249" s="514"/>
      <c r="D249" s="518"/>
      <c r="E249" s="519"/>
      <c r="F249" s="519"/>
      <c r="G249" s="520"/>
      <c r="H249" s="514" t="e">
        <f>H248</f>
        <v>#REF!</v>
      </c>
      <c r="I249" s="515"/>
      <c r="J249" s="516"/>
    </row>
    <row r="250" spans="1:13" collapsed="1">
      <c r="B250" s="161"/>
      <c r="C250" s="162"/>
      <c r="D250" s="162"/>
      <c r="E250" s="162"/>
      <c r="F250" s="162"/>
      <c r="G250" s="162"/>
      <c r="H250" s="162"/>
      <c r="I250" s="162"/>
      <c r="J250" s="162"/>
      <c r="K250" s="162"/>
      <c r="L250" s="162"/>
      <c r="M250" s="162"/>
    </row>
    <row r="251" spans="1:13">
      <c r="B251" s="161"/>
      <c r="C251" s="162"/>
      <c r="D251" s="162"/>
      <c r="E251" s="162"/>
      <c r="F251" s="162"/>
      <c r="G251" s="162"/>
      <c r="H251" s="162"/>
      <c r="I251" s="162"/>
      <c r="J251" s="162"/>
      <c r="K251" s="162"/>
      <c r="L251" s="162"/>
      <c r="M251" s="162"/>
    </row>
    <row r="252" spans="1:13">
      <c r="B252" s="161"/>
      <c r="C252" s="162"/>
      <c r="D252" s="162"/>
      <c r="E252" s="162"/>
      <c r="F252" s="162"/>
      <c r="G252" s="162"/>
      <c r="H252" s="162"/>
      <c r="I252" s="162"/>
      <c r="J252" s="162"/>
      <c r="K252" s="162"/>
      <c r="L252" s="162"/>
      <c r="M252" s="162"/>
    </row>
    <row r="253" spans="1:13">
      <c r="B253" s="161"/>
      <c r="C253" s="162"/>
      <c r="D253" s="162"/>
      <c r="E253" s="162"/>
      <c r="F253" s="162"/>
      <c r="G253" s="162"/>
      <c r="H253" s="162"/>
      <c r="I253" s="162"/>
      <c r="J253" s="162"/>
      <c r="K253" s="162"/>
      <c r="L253" s="162"/>
      <c r="M253" s="162"/>
    </row>
    <row r="254" spans="1:13">
      <c r="B254" s="161"/>
      <c r="C254" s="162"/>
      <c r="D254" s="162"/>
      <c r="E254" s="162"/>
      <c r="F254" s="162"/>
      <c r="G254" s="162"/>
      <c r="H254" s="162"/>
      <c r="I254" s="162"/>
      <c r="J254" s="162"/>
      <c r="K254" s="162"/>
      <c r="L254" s="162"/>
      <c r="M254" s="162"/>
    </row>
    <row r="255" spans="1:13">
      <c r="B255" s="161"/>
      <c r="C255" s="162"/>
      <c r="D255" s="162"/>
      <c r="E255" s="162"/>
      <c r="F255" s="162"/>
      <c r="G255" s="162"/>
      <c r="H255" s="162"/>
      <c r="I255" s="162"/>
      <c r="J255" s="162"/>
      <c r="K255" s="162"/>
      <c r="L255" s="162"/>
      <c r="M255" s="162"/>
    </row>
    <row r="256" spans="1:13">
      <c r="B256" s="161"/>
      <c r="C256" s="162"/>
      <c r="D256" s="162"/>
      <c r="E256" s="162"/>
      <c r="F256" s="162"/>
      <c r="G256" s="162"/>
      <c r="H256" s="162"/>
      <c r="I256" s="162"/>
      <c r="J256" s="162"/>
      <c r="K256" s="162"/>
      <c r="L256" s="162"/>
      <c r="M256" s="162"/>
    </row>
    <row r="257" spans="2:13">
      <c r="B257" s="161"/>
      <c r="C257" s="162"/>
      <c r="D257" s="162"/>
      <c r="E257" s="162"/>
      <c r="F257" s="162"/>
      <c r="G257" s="162"/>
      <c r="H257" s="162"/>
      <c r="I257" s="162"/>
      <c r="J257" s="162"/>
      <c r="K257" s="162"/>
      <c r="L257" s="162"/>
      <c r="M257" s="162"/>
    </row>
    <row r="258" spans="2:13">
      <c r="B258" s="161"/>
      <c r="C258" s="162"/>
      <c r="D258" s="162"/>
      <c r="E258" s="162"/>
      <c r="F258" s="162"/>
      <c r="G258" s="162"/>
      <c r="H258" s="162"/>
      <c r="I258" s="162"/>
      <c r="J258" s="162"/>
      <c r="K258" s="162"/>
      <c r="L258" s="162"/>
      <c r="M258" s="162"/>
    </row>
    <row r="259" spans="2:13">
      <c r="B259" s="161"/>
      <c r="C259" s="162"/>
      <c r="D259" s="162"/>
      <c r="E259" s="162"/>
      <c r="F259" s="162"/>
      <c r="G259" s="162"/>
      <c r="H259" s="162"/>
      <c r="I259" s="162"/>
      <c r="J259" s="162"/>
      <c r="K259" s="162"/>
      <c r="L259" s="162"/>
      <c r="M259" s="162"/>
    </row>
    <row r="260" spans="2:13">
      <c r="B260" s="161"/>
      <c r="C260" s="162"/>
      <c r="D260" s="162"/>
      <c r="E260" s="162"/>
      <c r="F260" s="162"/>
      <c r="G260" s="162"/>
      <c r="H260" s="162"/>
      <c r="I260" s="162"/>
      <c r="J260" s="162"/>
      <c r="K260" s="162"/>
      <c r="L260" s="162"/>
      <c r="M260" s="162"/>
    </row>
    <row r="261" spans="2:13">
      <c r="B261" s="161"/>
      <c r="C261" s="162"/>
      <c r="D261" s="162"/>
      <c r="E261" s="162"/>
      <c r="F261" s="162"/>
      <c r="G261" s="162"/>
      <c r="H261" s="162"/>
      <c r="I261" s="162"/>
      <c r="J261" s="162"/>
      <c r="K261" s="162"/>
      <c r="L261" s="162"/>
      <c r="M261" s="162"/>
    </row>
    <row r="262" spans="2:13">
      <c r="B262" s="161"/>
      <c r="C262" s="162"/>
      <c r="D262" s="162"/>
      <c r="E262" s="162"/>
      <c r="F262" s="162"/>
      <c r="G262" s="162"/>
      <c r="H262" s="162"/>
      <c r="I262" s="162"/>
      <c r="J262" s="162"/>
      <c r="K262" s="162"/>
      <c r="L262" s="162"/>
      <c r="M262" s="162"/>
    </row>
    <row r="263" spans="2:13">
      <c r="B263" s="161"/>
      <c r="C263" s="162"/>
      <c r="D263" s="162"/>
      <c r="E263" s="162"/>
      <c r="F263" s="162"/>
      <c r="G263" s="162"/>
      <c r="H263" s="162"/>
      <c r="I263" s="162"/>
      <c r="J263" s="162"/>
      <c r="K263" s="162"/>
      <c r="L263" s="162"/>
      <c r="M263" s="162"/>
    </row>
    <row r="264" spans="2:13">
      <c r="B264" s="161"/>
      <c r="C264" s="162"/>
      <c r="D264" s="162"/>
      <c r="E264" s="162"/>
      <c r="F264" s="162"/>
      <c r="G264" s="162"/>
      <c r="H264" s="162"/>
      <c r="I264" s="162"/>
      <c r="J264" s="162"/>
      <c r="K264" s="162"/>
      <c r="L264" s="162"/>
      <c r="M264" s="162"/>
    </row>
    <row r="265" spans="2:13">
      <c r="B265" s="161"/>
      <c r="C265" s="162"/>
      <c r="D265" s="162"/>
      <c r="E265" s="162"/>
      <c r="F265" s="162"/>
      <c r="G265" s="162"/>
      <c r="H265" s="162"/>
      <c r="I265" s="162"/>
      <c r="J265" s="162"/>
      <c r="K265" s="162"/>
      <c r="L265" s="162"/>
      <c r="M265" s="162"/>
    </row>
    <row r="266" spans="2:13">
      <c r="B266" s="161"/>
      <c r="C266" s="162"/>
      <c r="D266" s="162"/>
      <c r="E266" s="162"/>
      <c r="F266" s="162"/>
      <c r="G266" s="162"/>
      <c r="H266" s="162"/>
      <c r="I266" s="162"/>
      <c r="J266" s="162"/>
      <c r="K266" s="162"/>
      <c r="L266" s="162"/>
      <c r="M266" s="162"/>
    </row>
    <row r="267" spans="2:13">
      <c r="B267" s="161"/>
      <c r="C267" s="162"/>
      <c r="D267" s="162"/>
      <c r="E267" s="162"/>
      <c r="F267" s="162"/>
      <c r="G267" s="162"/>
      <c r="H267" s="162"/>
      <c r="I267" s="162"/>
      <c r="J267" s="162"/>
      <c r="K267" s="162"/>
      <c r="L267" s="162"/>
      <c r="M267" s="162"/>
    </row>
    <row r="268" spans="2:13">
      <c r="B268" s="161"/>
      <c r="C268" s="162"/>
      <c r="D268" s="162"/>
      <c r="E268" s="162"/>
      <c r="F268" s="162"/>
      <c r="G268" s="162"/>
      <c r="H268" s="162"/>
      <c r="I268" s="162"/>
      <c r="J268" s="162"/>
      <c r="K268" s="162"/>
      <c r="L268" s="162"/>
      <c r="M268" s="162"/>
    </row>
    <row r="269" spans="2:13">
      <c r="B269" s="161"/>
      <c r="C269" s="162"/>
      <c r="D269" s="162"/>
      <c r="E269" s="162"/>
      <c r="F269" s="162"/>
      <c r="G269" s="162"/>
      <c r="H269" s="162"/>
      <c r="I269" s="162"/>
      <c r="J269" s="162"/>
      <c r="K269" s="162"/>
      <c r="L269" s="162"/>
      <c r="M269" s="162"/>
    </row>
    <row r="270" spans="2:13">
      <c r="B270" s="161"/>
      <c r="C270" s="162"/>
      <c r="D270" s="162"/>
      <c r="E270" s="162"/>
      <c r="F270" s="162"/>
      <c r="G270" s="162"/>
      <c r="H270" s="162"/>
      <c r="I270" s="162"/>
      <c r="J270" s="162"/>
      <c r="K270" s="162"/>
      <c r="L270" s="162"/>
      <c r="M270" s="162"/>
    </row>
    <row r="271" spans="2:13">
      <c r="B271" s="161"/>
      <c r="C271" s="162"/>
      <c r="D271" s="162"/>
      <c r="E271" s="162"/>
      <c r="F271" s="162"/>
      <c r="G271" s="162"/>
      <c r="H271" s="162"/>
      <c r="I271" s="162"/>
      <c r="J271" s="162"/>
      <c r="K271" s="162"/>
      <c r="L271" s="162"/>
      <c r="M271" s="162"/>
    </row>
    <row r="272" spans="2:13">
      <c r="B272" s="161"/>
      <c r="C272" s="162"/>
      <c r="D272" s="162"/>
      <c r="E272" s="162"/>
      <c r="F272" s="162"/>
      <c r="G272" s="162"/>
      <c r="H272" s="162"/>
      <c r="I272" s="162"/>
      <c r="J272" s="162"/>
      <c r="K272" s="162"/>
      <c r="L272" s="162"/>
      <c r="M272" s="162"/>
    </row>
    <row r="273" spans="2:13">
      <c r="B273" s="161"/>
      <c r="C273" s="162"/>
      <c r="D273" s="162"/>
      <c r="E273" s="162"/>
      <c r="F273" s="162"/>
      <c r="G273" s="162"/>
      <c r="H273" s="162"/>
      <c r="I273" s="162"/>
      <c r="J273" s="162"/>
      <c r="K273" s="162"/>
      <c r="L273" s="162"/>
      <c r="M273" s="162"/>
    </row>
    <row r="274" spans="2:13">
      <c r="B274" s="161"/>
      <c r="C274" s="162"/>
      <c r="D274" s="162"/>
      <c r="E274" s="162"/>
      <c r="F274" s="162"/>
      <c r="G274" s="162"/>
      <c r="H274" s="162"/>
      <c r="I274" s="162"/>
      <c r="J274" s="162"/>
      <c r="K274" s="162"/>
      <c r="L274" s="162"/>
      <c r="M274" s="162"/>
    </row>
    <row r="275" spans="2:13">
      <c r="B275" s="161"/>
      <c r="C275" s="162"/>
      <c r="D275" s="162"/>
      <c r="E275" s="162"/>
      <c r="F275" s="162"/>
      <c r="G275" s="162"/>
      <c r="H275" s="162"/>
      <c r="I275" s="162"/>
      <c r="J275" s="162"/>
      <c r="K275" s="162"/>
      <c r="L275" s="162"/>
      <c r="M275" s="162"/>
    </row>
    <row r="276" spans="2:13">
      <c r="B276" s="161"/>
      <c r="C276" s="162"/>
      <c r="D276" s="162"/>
      <c r="E276" s="162"/>
      <c r="F276" s="162"/>
      <c r="G276" s="162"/>
      <c r="H276" s="162"/>
      <c r="I276" s="162"/>
      <c r="J276" s="162"/>
      <c r="K276" s="162"/>
      <c r="L276" s="162"/>
      <c r="M276" s="162"/>
    </row>
    <row r="277" spans="2:13">
      <c r="B277" s="161"/>
      <c r="C277" s="162"/>
      <c r="D277" s="162"/>
      <c r="E277" s="162"/>
      <c r="F277" s="162"/>
      <c r="G277" s="162"/>
      <c r="H277" s="162"/>
      <c r="I277" s="162"/>
      <c r="J277" s="162"/>
      <c r="K277" s="162"/>
      <c r="L277" s="162"/>
      <c r="M277" s="162"/>
    </row>
    <row r="278" spans="2:13">
      <c r="B278" s="161"/>
      <c r="C278" s="162"/>
      <c r="D278" s="162"/>
      <c r="E278" s="162"/>
      <c r="F278" s="162"/>
      <c r="G278" s="162"/>
      <c r="H278" s="162"/>
      <c r="I278" s="162"/>
      <c r="J278" s="162"/>
      <c r="K278" s="162"/>
      <c r="L278" s="162"/>
      <c r="M278" s="162"/>
    </row>
    <row r="279" spans="2:13">
      <c r="B279" s="161"/>
      <c r="C279" s="162"/>
      <c r="D279" s="162"/>
      <c r="E279" s="162"/>
      <c r="F279" s="162"/>
      <c r="G279" s="162"/>
      <c r="H279" s="162"/>
      <c r="I279" s="162"/>
      <c r="J279" s="162"/>
      <c r="K279" s="162"/>
      <c r="L279" s="162"/>
      <c r="M279" s="162"/>
    </row>
    <row r="280" spans="2:13">
      <c r="B280" s="161"/>
      <c r="C280" s="162"/>
      <c r="D280" s="162"/>
      <c r="E280" s="162"/>
      <c r="F280" s="162"/>
      <c r="G280" s="162"/>
      <c r="H280" s="162"/>
      <c r="I280" s="162"/>
      <c r="J280" s="162"/>
      <c r="K280" s="162"/>
      <c r="L280" s="162"/>
      <c r="M280" s="162"/>
    </row>
    <row r="281" spans="2:13">
      <c r="B281" s="161"/>
      <c r="C281" s="162"/>
      <c r="D281" s="162"/>
      <c r="E281" s="162"/>
      <c r="F281" s="162"/>
      <c r="G281" s="162"/>
      <c r="H281" s="162"/>
      <c r="I281" s="162"/>
      <c r="J281" s="162"/>
      <c r="K281" s="162"/>
      <c r="L281" s="162"/>
      <c r="M281" s="162"/>
    </row>
    <row r="282" spans="2:13">
      <c r="B282" s="161"/>
      <c r="C282" s="162"/>
      <c r="D282" s="162"/>
      <c r="E282" s="162"/>
      <c r="F282" s="162"/>
      <c r="G282" s="162"/>
      <c r="H282" s="162"/>
      <c r="I282" s="162"/>
      <c r="J282" s="162"/>
      <c r="K282" s="162"/>
      <c r="L282" s="162"/>
      <c r="M282" s="162"/>
    </row>
    <row r="283" spans="2:13">
      <c r="B283" s="161"/>
      <c r="C283" s="162"/>
      <c r="D283" s="162"/>
      <c r="E283" s="162"/>
      <c r="F283" s="162"/>
      <c r="G283" s="162"/>
      <c r="H283" s="162"/>
      <c r="I283" s="162"/>
      <c r="J283" s="162"/>
      <c r="K283" s="162"/>
      <c r="L283" s="162"/>
      <c r="M283" s="162"/>
    </row>
    <row r="284" spans="2:13">
      <c r="B284" s="161"/>
      <c r="C284" s="162"/>
      <c r="D284" s="162"/>
      <c r="E284" s="162"/>
      <c r="F284" s="162"/>
      <c r="G284" s="162"/>
      <c r="H284" s="162"/>
      <c r="I284" s="162"/>
      <c r="J284" s="162"/>
      <c r="K284" s="162"/>
      <c r="L284" s="162"/>
      <c r="M284" s="162"/>
    </row>
    <row r="285" spans="2:13">
      <c r="B285" s="161"/>
      <c r="C285" s="162"/>
      <c r="D285" s="162"/>
      <c r="E285" s="162"/>
      <c r="F285" s="162"/>
      <c r="G285" s="162"/>
      <c r="H285" s="162"/>
      <c r="I285" s="162"/>
      <c r="J285" s="162"/>
      <c r="K285" s="162"/>
      <c r="L285" s="162"/>
      <c r="M285" s="162"/>
    </row>
    <row r="286" spans="2:13">
      <c r="B286" s="161"/>
      <c r="C286" s="162"/>
      <c r="D286" s="162"/>
      <c r="E286" s="162"/>
      <c r="F286" s="162"/>
      <c r="G286" s="162"/>
      <c r="H286" s="162"/>
      <c r="I286" s="162"/>
      <c r="J286" s="162"/>
      <c r="K286" s="162"/>
      <c r="L286" s="162"/>
      <c r="M286" s="162"/>
    </row>
    <row r="287" spans="2:13">
      <c r="B287" s="161"/>
      <c r="C287" s="162"/>
      <c r="D287" s="162"/>
      <c r="E287" s="162"/>
      <c r="F287" s="162"/>
      <c r="G287" s="162"/>
      <c r="H287" s="162"/>
      <c r="I287" s="162"/>
      <c r="J287" s="162"/>
      <c r="K287" s="162"/>
      <c r="L287" s="162"/>
      <c r="M287" s="162"/>
    </row>
    <row r="288" spans="2:13">
      <c r="B288" s="161"/>
      <c r="C288" s="162"/>
      <c r="D288" s="162"/>
      <c r="E288" s="162"/>
      <c r="F288" s="162"/>
      <c r="G288" s="162"/>
      <c r="H288" s="162"/>
      <c r="I288" s="162"/>
      <c r="J288" s="162"/>
      <c r="K288" s="162"/>
      <c r="L288" s="162"/>
      <c r="M288" s="162"/>
    </row>
    <row r="289" spans="2:13">
      <c r="B289" s="161"/>
      <c r="C289" s="162"/>
      <c r="D289" s="162"/>
      <c r="E289" s="162"/>
      <c r="F289" s="162"/>
      <c r="G289" s="162"/>
      <c r="H289" s="162"/>
      <c r="I289" s="162"/>
      <c r="J289" s="162"/>
      <c r="K289" s="162"/>
      <c r="L289" s="162"/>
      <c r="M289" s="162"/>
    </row>
    <row r="290" spans="2:13">
      <c r="B290" s="161"/>
      <c r="C290" s="162"/>
      <c r="D290" s="162"/>
      <c r="E290" s="162"/>
      <c r="F290" s="162"/>
      <c r="G290" s="162"/>
      <c r="H290" s="162"/>
      <c r="I290" s="162"/>
      <c r="J290" s="162"/>
      <c r="K290" s="162"/>
      <c r="L290" s="162"/>
      <c r="M290" s="162"/>
    </row>
    <row r="291" spans="2:13">
      <c r="B291" s="161"/>
      <c r="C291" s="162"/>
      <c r="D291" s="162"/>
      <c r="E291" s="162"/>
      <c r="F291" s="162"/>
      <c r="G291" s="162"/>
      <c r="H291" s="162"/>
      <c r="I291" s="162"/>
      <c r="J291" s="162"/>
      <c r="K291" s="162"/>
      <c r="L291" s="162"/>
      <c r="M291" s="162"/>
    </row>
    <row r="292" spans="2:13">
      <c r="B292" s="161"/>
      <c r="C292" s="162"/>
      <c r="D292" s="162"/>
      <c r="E292" s="162"/>
      <c r="F292" s="162"/>
      <c r="G292" s="162"/>
      <c r="H292" s="162"/>
      <c r="I292" s="162"/>
      <c r="J292" s="162"/>
      <c r="K292" s="162"/>
      <c r="L292" s="162"/>
      <c r="M292" s="162"/>
    </row>
    <row r="293" spans="2:13">
      <c r="B293" s="161"/>
      <c r="C293" s="162"/>
      <c r="D293" s="162"/>
      <c r="E293" s="162"/>
      <c r="F293" s="162"/>
      <c r="G293" s="162"/>
      <c r="H293" s="162"/>
      <c r="I293" s="162"/>
      <c r="J293" s="162"/>
      <c r="K293" s="162"/>
      <c r="L293" s="162"/>
      <c r="M293" s="162"/>
    </row>
    <row r="294" spans="2:13">
      <c r="B294" s="161"/>
      <c r="C294" s="162"/>
      <c r="D294" s="162"/>
      <c r="E294" s="162"/>
      <c r="F294" s="162"/>
      <c r="G294" s="162"/>
      <c r="H294" s="162"/>
      <c r="I294" s="162"/>
      <c r="J294" s="162"/>
      <c r="K294" s="162"/>
      <c r="L294" s="162"/>
      <c r="M294" s="162"/>
    </row>
    <row r="295" spans="2:13">
      <c r="B295" s="161"/>
      <c r="C295" s="162"/>
      <c r="D295" s="162"/>
      <c r="E295" s="162"/>
      <c r="F295" s="162"/>
      <c r="G295" s="162"/>
      <c r="H295" s="162"/>
      <c r="I295" s="162"/>
      <c r="J295" s="162"/>
      <c r="K295" s="162"/>
      <c r="L295" s="162"/>
      <c r="M295" s="162"/>
    </row>
    <row r="296" spans="2:13">
      <c r="B296" s="161"/>
      <c r="C296" s="162"/>
      <c r="D296" s="162"/>
      <c r="E296" s="162"/>
      <c r="F296" s="162"/>
      <c r="G296" s="162"/>
      <c r="H296" s="162"/>
      <c r="I296" s="162"/>
      <c r="J296" s="162"/>
      <c r="K296" s="162"/>
      <c r="L296" s="162"/>
      <c r="M296" s="162"/>
    </row>
    <row r="297" spans="2:13">
      <c r="B297" s="161"/>
      <c r="C297" s="162"/>
      <c r="D297" s="162"/>
      <c r="E297" s="162"/>
      <c r="F297" s="162"/>
      <c r="G297" s="162"/>
      <c r="H297" s="162"/>
      <c r="I297" s="162"/>
      <c r="J297" s="162"/>
      <c r="K297" s="162"/>
      <c r="L297" s="162"/>
      <c r="M297" s="162"/>
    </row>
    <row r="298" spans="2:13">
      <c r="B298" s="161"/>
      <c r="C298" s="162"/>
      <c r="D298" s="162"/>
      <c r="E298" s="162"/>
      <c r="F298" s="162"/>
      <c r="G298" s="162"/>
      <c r="H298" s="162"/>
      <c r="I298" s="162"/>
      <c r="J298" s="162"/>
      <c r="K298" s="162"/>
      <c r="L298" s="162"/>
      <c r="M298" s="162"/>
    </row>
    <row r="299" spans="2:13">
      <c r="B299" s="161"/>
      <c r="C299" s="162"/>
      <c r="D299" s="162"/>
      <c r="E299" s="162"/>
      <c r="F299" s="162"/>
      <c r="G299" s="162"/>
      <c r="H299" s="162"/>
      <c r="I299" s="162"/>
      <c r="J299" s="162"/>
      <c r="K299" s="162"/>
      <c r="L299" s="162"/>
      <c r="M299" s="162"/>
    </row>
    <row r="300" spans="2:13">
      <c r="B300" s="161"/>
      <c r="C300" s="162"/>
      <c r="D300" s="162"/>
      <c r="E300" s="162"/>
      <c r="F300" s="162"/>
      <c r="G300" s="162"/>
      <c r="H300" s="162"/>
      <c r="I300" s="162"/>
      <c r="J300" s="162"/>
      <c r="K300" s="162"/>
      <c r="L300" s="162"/>
      <c r="M300" s="162"/>
    </row>
    <row r="301" spans="2:13">
      <c r="B301" s="161"/>
      <c r="C301" s="162"/>
      <c r="D301" s="162"/>
      <c r="E301" s="162"/>
      <c r="F301" s="162"/>
      <c r="G301" s="162"/>
      <c r="H301" s="162"/>
      <c r="I301" s="162"/>
      <c r="J301" s="162"/>
      <c r="K301" s="162"/>
      <c r="L301" s="162"/>
      <c r="M301" s="162"/>
    </row>
    <row r="302" spans="2:13">
      <c r="B302" s="161"/>
      <c r="C302" s="162"/>
      <c r="D302" s="162"/>
      <c r="E302" s="162"/>
      <c r="F302" s="162"/>
      <c r="G302" s="162"/>
      <c r="H302" s="162"/>
      <c r="I302" s="162"/>
      <c r="J302" s="162"/>
      <c r="K302" s="162"/>
      <c r="L302" s="162"/>
      <c r="M302" s="162"/>
    </row>
    <row r="303" spans="2:13">
      <c r="B303" s="161"/>
      <c r="C303" s="162"/>
      <c r="D303" s="162"/>
      <c r="E303" s="162"/>
      <c r="F303" s="162"/>
      <c r="G303" s="162"/>
      <c r="H303" s="162"/>
      <c r="I303" s="162"/>
      <c r="J303" s="162"/>
      <c r="K303" s="162"/>
      <c r="L303" s="162"/>
      <c r="M303" s="162"/>
    </row>
    <row r="304" spans="2:13">
      <c r="B304" s="161"/>
      <c r="C304" s="162"/>
      <c r="D304" s="162"/>
      <c r="E304" s="162"/>
      <c r="F304" s="162"/>
      <c r="G304" s="162"/>
      <c r="H304" s="162"/>
      <c r="I304" s="162"/>
      <c r="J304" s="162"/>
      <c r="K304" s="162"/>
      <c r="L304" s="162"/>
      <c r="M304" s="162"/>
    </row>
    <row r="305" spans="2:13">
      <c r="B305" s="161"/>
      <c r="C305" s="162"/>
      <c r="D305" s="162"/>
      <c r="E305" s="162"/>
      <c r="F305" s="162"/>
      <c r="G305" s="162"/>
      <c r="H305" s="162"/>
      <c r="I305" s="162"/>
      <c r="J305" s="162"/>
      <c r="K305" s="162"/>
      <c r="L305" s="162"/>
      <c r="M305" s="162"/>
    </row>
    <row r="306" spans="2:13">
      <c r="B306" s="161"/>
      <c r="C306" s="162"/>
      <c r="D306" s="162"/>
      <c r="E306" s="162"/>
      <c r="F306" s="162"/>
      <c r="G306" s="162"/>
      <c r="H306" s="162"/>
      <c r="I306" s="162"/>
      <c r="J306" s="162"/>
      <c r="K306" s="162"/>
      <c r="L306" s="162"/>
      <c r="M306" s="162"/>
    </row>
    <row r="307" spans="2:13">
      <c r="B307" s="161"/>
      <c r="C307" s="162"/>
      <c r="D307" s="162"/>
      <c r="E307" s="162"/>
      <c r="F307" s="162"/>
      <c r="G307" s="162"/>
      <c r="H307" s="162"/>
      <c r="I307" s="162"/>
      <c r="J307" s="162"/>
      <c r="K307" s="162"/>
      <c r="L307" s="162"/>
      <c r="M307" s="162"/>
    </row>
    <row r="308" spans="2:13">
      <c r="B308" s="161"/>
      <c r="C308" s="162"/>
      <c r="D308" s="162"/>
      <c r="E308" s="162"/>
      <c r="F308" s="162"/>
      <c r="G308" s="162"/>
      <c r="H308" s="162"/>
      <c r="I308" s="162"/>
      <c r="J308" s="162"/>
      <c r="K308" s="162"/>
      <c r="L308" s="162"/>
      <c r="M308" s="162"/>
    </row>
    <row r="309" spans="2:13">
      <c r="B309" s="161"/>
      <c r="C309" s="162"/>
      <c r="D309" s="162"/>
      <c r="E309" s="162"/>
      <c r="F309" s="162"/>
      <c r="G309" s="162"/>
      <c r="H309" s="162"/>
      <c r="I309" s="162"/>
      <c r="J309" s="162"/>
      <c r="K309" s="162"/>
      <c r="L309" s="162"/>
      <c r="M309" s="162"/>
    </row>
    <row r="310" spans="2:13">
      <c r="B310" s="161"/>
      <c r="C310" s="162"/>
      <c r="D310" s="162"/>
      <c r="E310" s="162"/>
      <c r="F310" s="162"/>
      <c r="G310" s="162"/>
      <c r="H310" s="162"/>
      <c r="I310" s="162"/>
      <c r="J310" s="162"/>
      <c r="K310" s="162"/>
      <c r="L310" s="162"/>
      <c r="M310" s="162"/>
    </row>
    <row r="311" spans="2:13">
      <c r="B311" s="161"/>
      <c r="C311" s="162"/>
      <c r="D311" s="162"/>
      <c r="E311" s="162"/>
      <c r="F311" s="162"/>
      <c r="G311" s="162"/>
      <c r="H311" s="162"/>
      <c r="I311" s="162"/>
      <c r="J311" s="162"/>
      <c r="K311" s="162"/>
      <c r="L311" s="162"/>
      <c r="M311" s="162"/>
    </row>
    <row r="312" spans="2:13">
      <c r="B312" s="161"/>
      <c r="C312" s="162"/>
      <c r="D312" s="162"/>
      <c r="E312" s="162"/>
      <c r="F312" s="162"/>
      <c r="G312" s="162"/>
      <c r="H312" s="162"/>
      <c r="I312" s="162"/>
      <c r="J312" s="162"/>
      <c r="K312" s="162"/>
      <c r="L312" s="162"/>
      <c r="M312" s="162"/>
    </row>
    <row r="313" spans="2:13">
      <c r="B313" s="161"/>
      <c r="C313" s="162"/>
      <c r="D313" s="162"/>
      <c r="E313" s="162"/>
      <c r="F313" s="162"/>
      <c r="G313" s="162"/>
      <c r="H313" s="162"/>
      <c r="I313" s="162"/>
      <c r="J313" s="162"/>
      <c r="K313" s="162"/>
      <c r="L313" s="162"/>
      <c r="M313" s="162"/>
    </row>
    <row r="314" spans="2:13">
      <c r="B314" s="161"/>
      <c r="C314" s="162"/>
      <c r="D314" s="162"/>
      <c r="E314" s="162"/>
      <c r="F314" s="162"/>
      <c r="G314" s="162"/>
      <c r="H314" s="162"/>
      <c r="I314" s="162"/>
      <c r="J314" s="162"/>
      <c r="K314" s="162"/>
      <c r="L314" s="162"/>
      <c r="M314" s="162"/>
    </row>
    <row r="315" spans="2:13">
      <c r="B315" s="161"/>
      <c r="C315" s="162"/>
      <c r="D315" s="162"/>
      <c r="E315" s="162"/>
      <c r="F315" s="162"/>
      <c r="G315" s="162"/>
      <c r="H315" s="162"/>
      <c r="I315" s="162"/>
      <c r="J315" s="162"/>
      <c r="K315" s="162"/>
      <c r="L315" s="162"/>
      <c r="M315" s="162"/>
    </row>
    <row r="316" spans="2:13">
      <c r="B316" s="161"/>
      <c r="C316" s="162"/>
      <c r="D316" s="162"/>
      <c r="E316" s="162"/>
      <c r="F316" s="162"/>
      <c r="G316" s="162"/>
      <c r="H316" s="162"/>
      <c r="I316" s="162"/>
      <c r="J316" s="162"/>
      <c r="K316" s="162"/>
      <c r="L316" s="162"/>
      <c r="M316" s="162"/>
    </row>
    <row r="317" spans="2:13">
      <c r="B317" s="161"/>
      <c r="C317" s="162"/>
      <c r="D317" s="162"/>
      <c r="E317" s="162"/>
      <c r="F317" s="162"/>
      <c r="G317" s="162"/>
      <c r="H317" s="162"/>
      <c r="I317" s="162"/>
      <c r="J317" s="162"/>
      <c r="K317" s="162"/>
      <c r="L317" s="162"/>
      <c r="M317" s="162"/>
    </row>
    <row r="318" spans="2:13">
      <c r="B318" s="161"/>
      <c r="C318" s="162"/>
      <c r="D318" s="162"/>
      <c r="E318" s="162"/>
      <c r="F318" s="162"/>
      <c r="G318" s="162"/>
      <c r="H318" s="162"/>
      <c r="I318" s="162"/>
      <c r="J318" s="162"/>
      <c r="K318" s="162"/>
      <c r="L318" s="162"/>
      <c r="M318" s="162"/>
    </row>
    <row r="319" spans="2:13">
      <c r="B319" s="161"/>
      <c r="C319" s="162"/>
      <c r="D319" s="162"/>
      <c r="E319" s="162"/>
      <c r="F319" s="162"/>
      <c r="G319" s="162"/>
      <c r="H319" s="162"/>
      <c r="I319" s="162"/>
      <c r="J319" s="162"/>
      <c r="K319" s="162"/>
      <c r="L319" s="162"/>
      <c r="M319" s="162"/>
    </row>
    <row r="320" spans="2:13">
      <c r="B320" s="161"/>
      <c r="C320" s="162"/>
      <c r="D320" s="162"/>
      <c r="E320" s="162"/>
      <c r="F320" s="162"/>
      <c r="G320" s="162"/>
      <c r="H320" s="162"/>
      <c r="I320" s="162"/>
      <c r="J320" s="162"/>
      <c r="K320" s="162"/>
      <c r="L320" s="162"/>
      <c r="M320" s="162"/>
    </row>
    <row r="321" spans="2:13">
      <c r="B321" s="161"/>
      <c r="C321" s="162"/>
      <c r="D321" s="162"/>
      <c r="E321" s="162"/>
      <c r="F321" s="162"/>
      <c r="G321" s="162"/>
      <c r="H321" s="162"/>
      <c r="I321" s="162"/>
      <c r="J321" s="162"/>
      <c r="K321" s="162"/>
      <c r="L321" s="162"/>
      <c r="M321" s="162"/>
    </row>
    <row r="322" spans="2:13">
      <c r="B322" s="161"/>
      <c r="C322" s="162"/>
      <c r="D322" s="162"/>
      <c r="E322" s="162"/>
      <c r="F322" s="162"/>
      <c r="G322" s="162"/>
      <c r="H322" s="162"/>
      <c r="I322" s="162"/>
      <c r="J322" s="162"/>
      <c r="K322" s="162"/>
      <c r="L322" s="162"/>
      <c r="M322" s="162"/>
    </row>
    <row r="323" spans="2:13">
      <c r="B323" s="161"/>
      <c r="C323" s="162"/>
      <c r="D323" s="162"/>
      <c r="E323" s="162"/>
      <c r="F323" s="162"/>
      <c r="G323" s="162"/>
      <c r="H323" s="162"/>
      <c r="I323" s="162"/>
      <c r="J323" s="162"/>
      <c r="K323" s="162"/>
      <c r="L323" s="162"/>
      <c r="M323" s="162"/>
    </row>
    <row r="324" spans="2:13">
      <c r="B324" s="161"/>
      <c r="C324" s="162"/>
      <c r="D324" s="162"/>
      <c r="E324" s="162"/>
      <c r="F324" s="162"/>
      <c r="G324" s="162"/>
      <c r="H324" s="162"/>
      <c r="I324" s="162"/>
      <c r="J324" s="162"/>
      <c r="K324" s="162"/>
      <c r="L324" s="162"/>
      <c r="M324" s="162"/>
    </row>
    <row r="325" spans="2:13">
      <c r="B325" s="161"/>
      <c r="C325" s="162"/>
      <c r="D325" s="162"/>
      <c r="E325" s="162"/>
      <c r="F325" s="162"/>
      <c r="G325" s="162"/>
      <c r="H325" s="162"/>
      <c r="I325" s="162"/>
      <c r="J325" s="162"/>
      <c r="K325" s="162"/>
      <c r="L325" s="162"/>
      <c r="M325" s="162"/>
    </row>
    <row r="326" spans="2:13">
      <c r="B326" s="161"/>
      <c r="C326" s="162"/>
      <c r="D326" s="162"/>
      <c r="E326" s="162"/>
      <c r="F326" s="162"/>
      <c r="G326" s="162"/>
      <c r="H326" s="162"/>
      <c r="I326" s="162"/>
      <c r="J326" s="162"/>
      <c r="K326" s="162"/>
      <c r="L326" s="162"/>
      <c r="M326" s="162"/>
    </row>
    <row r="327" spans="2:13">
      <c r="B327" s="161"/>
      <c r="C327" s="162"/>
      <c r="D327" s="162"/>
      <c r="E327" s="162"/>
      <c r="F327" s="162"/>
      <c r="G327" s="162"/>
      <c r="H327" s="162"/>
      <c r="I327" s="162"/>
      <c r="J327" s="162"/>
      <c r="K327" s="162"/>
      <c r="L327" s="162"/>
      <c r="M327" s="162"/>
    </row>
    <row r="328" spans="2:13">
      <c r="B328" s="161"/>
      <c r="C328" s="162"/>
      <c r="D328" s="162"/>
      <c r="E328" s="162"/>
      <c r="F328" s="162"/>
      <c r="G328" s="162"/>
      <c r="H328" s="162"/>
      <c r="I328" s="162"/>
      <c r="J328" s="162"/>
      <c r="K328" s="162"/>
      <c r="L328" s="162"/>
      <c r="M328" s="162"/>
    </row>
    <row r="329" spans="2:13">
      <c r="B329" s="161"/>
      <c r="C329" s="162"/>
      <c r="D329" s="162"/>
      <c r="E329" s="162"/>
      <c r="F329" s="162"/>
      <c r="G329" s="162"/>
      <c r="H329" s="162"/>
      <c r="I329" s="162"/>
      <c r="J329" s="162"/>
      <c r="K329" s="162"/>
      <c r="L329" s="162"/>
      <c r="M329" s="162"/>
    </row>
    <row r="330" spans="2:13">
      <c r="B330" s="161"/>
      <c r="C330" s="162"/>
      <c r="D330" s="162"/>
      <c r="E330" s="162"/>
      <c r="F330" s="162"/>
      <c r="G330" s="162"/>
      <c r="H330" s="162"/>
      <c r="I330" s="162"/>
      <c r="J330" s="162"/>
      <c r="K330" s="162"/>
      <c r="L330" s="162"/>
      <c r="M330" s="162"/>
    </row>
    <row r="331" spans="2:13">
      <c r="B331" s="161"/>
      <c r="C331" s="162"/>
      <c r="D331" s="162"/>
      <c r="E331" s="162"/>
      <c r="F331" s="162"/>
      <c r="G331" s="162"/>
      <c r="H331" s="162"/>
      <c r="I331" s="162"/>
      <c r="J331" s="162"/>
      <c r="K331" s="162"/>
      <c r="L331" s="162"/>
      <c r="M331" s="162"/>
    </row>
    <row r="332" spans="2:13">
      <c r="B332" s="161"/>
      <c r="C332" s="162"/>
      <c r="D332" s="162"/>
      <c r="E332" s="162"/>
      <c r="F332" s="162"/>
      <c r="G332" s="162"/>
      <c r="H332" s="162"/>
      <c r="I332" s="162"/>
      <c r="J332" s="162"/>
      <c r="K332" s="162"/>
      <c r="L332" s="162"/>
      <c r="M332" s="162"/>
    </row>
    <row r="333" spans="2:13">
      <c r="B333" s="161"/>
      <c r="C333" s="162"/>
      <c r="D333" s="162"/>
      <c r="E333" s="162"/>
      <c r="F333" s="162"/>
      <c r="G333" s="162"/>
      <c r="H333" s="162"/>
      <c r="I333" s="162"/>
      <c r="J333" s="162"/>
      <c r="K333" s="162"/>
      <c r="L333" s="162"/>
      <c r="M333" s="162"/>
    </row>
    <row r="334" spans="2:13">
      <c r="B334" s="161"/>
      <c r="C334" s="162"/>
      <c r="D334" s="162"/>
      <c r="E334" s="162"/>
      <c r="F334" s="162"/>
      <c r="G334" s="162"/>
      <c r="H334" s="162"/>
      <c r="I334" s="162"/>
      <c r="J334" s="162"/>
      <c r="K334" s="162"/>
      <c r="L334" s="162"/>
      <c r="M334" s="162"/>
    </row>
    <row r="335" spans="2:13">
      <c r="B335" s="161"/>
      <c r="C335" s="162"/>
      <c r="D335" s="162"/>
      <c r="E335" s="162"/>
      <c r="F335" s="162"/>
      <c r="G335" s="162"/>
      <c r="H335" s="162"/>
      <c r="I335" s="162"/>
      <c r="J335" s="162"/>
      <c r="K335" s="162"/>
      <c r="L335" s="162"/>
      <c r="M335" s="162"/>
    </row>
    <row r="336" spans="2:13">
      <c r="B336" s="161"/>
      <c r="C336" s="162"/>
      <c r="D336" s="162"/>
      <c r="E336" s="162"/>
      <c r="F336" s="162"/>
      <c r="G336" s="162"/>
      <c r="H336" s="162"/>
      <c r="I336" s="162"/>
      <c r="J336" s="162"/>
      <c r="K336" s="162"/>
      <c r="L336" s="162"/>
      <c r="M336" s="162"/>
    </row>
    <row r="337" spans="2:13">
      <c r="B337" s="161"/>
      <c r="C337" s="162"/>
      <c r="D337" s="162"/>
      <c r="E337" s="162"/>
      <c r="F337" s="162"/>
      <c r="G337" s="162"/>
      <c r="H337" s="162"/>
      <c r="I337" s="162"/>
      <c r="J337" s="162"/>
      <c r="K337" s="162"/>
      <c r="L337" s="162"/>
      <c r="M337" s="162"/>
    </row>
    <row r="338" spans="2:13">
      <c r="B338" s="161"/>
      <c r="C338" s="162"/>
      <c r="D338" s="162"/>
      <c r="E338" s="162"/>
      <c r="F338" s="162"/>
      <c r="G338" s="162"/>
      <c r="H338" s="162"/>
      <c r="I338" s="162"/>
      <c r="J338" s="162"/>
      <c r="K338" s="162"/>
      <c r="L338" s="162"/>
      <c r="M338" s="162"/>
    </row>
    <row r="339" spans="2:13">
      <c r="B339" s="161"/>
      <c r="C339" s="162"/>
      <c r="D339" s="162"/>
      <c r="E339" s="162"/>
      <c r="F339" s="162"/>
      <c r="G339" s="162"/>
      <c r="H339" s="162"/>
      <c r="I339" s="162"/>
      <c r="J339" s="162"/>
      <c r="K339" s="162"/>
      <c r="L339" s="162"/>
      <c r="M339" s="162"/>
    </row>
    <row r="340" spans="2:13">
      <c r="B340" s="161"/>
      <c r="C340" s="162"/>
      <c r="D340" s="162"/>
      <c r="E340" s="162"/>
      <c r="F340" s="162"/>
      <c r="G340" s="162"/>
      <c r="H340" s="162"/>
      <c r="I340" s="162"/>
      <c r="J340" s="162"/>
      <c r="K340" s="162"/>
      <c r="L340" s="162"/>
      <c r="M340" s="162"/>
    </row>
    <row r="341" spans="2:13">
      <c r="B341" s="161"/>
      <c r="C341" s="162"/>
      <c r="D341" s="162"/>
      <c r="E341" s="162"/>
      <c r="F341" s="162"/>
      <c r="G341" s="162"/>
      <c r="H341" s="162"/>
      <c r="I341" s="162"/>
      <c r="J341" s="162"/>
      <c r="K341" s="162"/>
      <c r="L341" s="162"/>
      <c r="M341" s="162"/>
    </row>
    <row r="342" spans="2:13">
      <c r="B342" s="161"/>
      <c r="C342" s="162"/>
      <c r="D342" s="162"/>
      <c r="E342" s="162"/>
      <c r="F342" s="162"/>
      <c r="G342" s="162"/>
      <c r="H342" s="162"/>
      <c r="I342" s="162"/>
      <c r="J342" s="162"/>
      <c r="K342" s="162"/>
      <c r="L342" s="162"/>
      <c r="M342" s="162"/>
    </row>
    <row r="343" spans="2:13">
      <c r="B343" s="161"/>
      <c r="C343" s="162"/>
      <c r="D343" s="162"/>
      <c r="E343" s="162"/>
      <c r="F343" s="162"/>
      <c r="G343" s="162"/>
      <c r="H343" s="162"/>
      <c r="I343" s="162"/>
      <c r="J343" s="162"/>
      <c r="K343" s="162"/>
      <c r="L343" s="162"/>
      <c r="M343" s="162"/>
    </row>
    <row r="344" spans="2:13">
      <c r="B344" s="161"/>
      <c r="C344" s="162"/>
      <c r="D344" s="162"/>
      <c r="E344" s="162"/>
      <c r="F344" s="162"/>
      <c r="G344" s="162"/>
      <c r="H344" s="162"/>
      <c r="I344" s="162"/>
      <c r="J344" s="162"/>
      <c r="K344" s="162"/>
      <c r="L344" s="162"/>
      <c r="M344" s="162"/>
    </row>
    <row r="345" spans="2:13">
      <c r="B345" s="161"/>
      <c r="C345" s="162"/>
      <c r="D345" s="162"/>
      <c r="E345" s="162"/>
      <c r="F345" s="162"/>
      <c r="G345" s="162"/>
      <c r="H345" s="162"/>
      <c r="I345" s="162"/>
      <c r="J345" s="162"/>
      <c r="K345" s="162"/>
      <c r="L345" s="162"/>
      <c r="M345" s="162"/>
    </row>
  </sheetData>
  <mergeCells count="27">
    <mergeCell ref="A10:A11"/>
    <mergeCell ref="B10:B11"/>
    <mergeCell ref="C10:C11"/>
    <mergeCell ref="D10:G10"/>
    <mergeCell ref="B23:C23"/>
    <mergeCell ref="A16:B16"/>
    <mergeCell ref="A17:B17"/>
    <mergeCell ref="A18:B18"/>
    <mergeCell ref="A19:B19"/>
    <mergeCell ref="A20:B20"/>
    <mergeCell ref="A21:B21"/>
    <mergeCell ref="C248:G248"/>
    <mergeCell ref="A1:H1"/>
    <mergeCell ref="F17:G17"/>
    <mergeCell ref="F21:G21"/>
    <mergeCell ref="A8:C8"/>
    <mergeCell ref="A9:C9"/>
    <mergeCell ref="E8:H8"/>
    <mergeCell ref="E9:H9"/>
    <mergeCell ref="A14:K14"/>
    <mergeCell ref="A13:K13"/>
    <mergeCell ref="A7:K7"/>
    <mergeCell ref="A3:K3"/>
    <mergeCell ref="A4:K4"/>
    <mergeCell ref="A5:K5"/>
    <mergeCell ref="A6:K6"/>
    <mergeCell ref="H10:H11"/>
  </mergeCells>
  <phoneticPr fontId="59" type="noConversion"/>
  <pageMargins left="0.74803149606299213" right="0.35433070866141736" top="0.55118110236220474" bottom="0.31496062992125984" header="0.55118110236220474" footer="0.15748031496062992"/>
  <pageSetup paperSize="9" scale="61" fitToHeight="5" orientation="portrait" r:id="rId1"/>
  <headerFooter alignWithMargins="0">
    <oddFooter>&amp;R&amp;P</oddFooter>
  </headerFooter>
  <colBreaks count="1" manualBreakCount="1">
    <brk id="8" max="20"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dimension ref="A1:M248"/>
  <sheetViews>
    <sheetView view="pageBreakPreview" zoomScaleNormal="85" workbookViewId="0">
      <selection activeCell="E247" sqref="E247"/>
    </sheetView>
  </sheetViews>
  <sheetFormatPr defaultColWidth="9.140625" defaultRowHeight="12.75" outlineLevelRow="2"/>
  <cols>
    <col min="1" max="1" width="8.42578125" style="433" bestFit="1" customWidth="1"/>
    <col min="2" max="2" width="37.140625" style="433" customWidth="1"/>
    <col min="3" max="3" width="64.140625" style="434" customWidth="1"/>
    <col min="4" max="4" width="11.42578125" style="434" customWidth="1"/>
    <col min="5" max="5" width="26.140625" style="434" customWidth="1"/>
    <col min="6" max="6" width="15" style="435" customWidth="1"/>
    <col min="7" max="8" width="11.140625" style="450" customWidth="1"/>
    <col min="9" max="9" width="14.28515625" style="409" customWidth="1"/>
    <col min="10" max="16384" width="9.140625" style="407"/>
  </cols>
  <sheetData>
    <row r="1" spans="1:13" ht="15.75">
      <c r="A1" s="437"/>
      <c r="B1" s="438"/>
      <c r="C1" s="439"/>
      <c r="D1" s="439"/>
      <c r="E1" s="439"/>
      <c r="F1" s="439"/>
      <c r="G1" s="449"/>
      <c r="H1" s="449"/>
      <c r="I1" s="458" t="e">
        <f>#REF!</f>
        <v>#REF!</v>
      </c>
      <c r="J1" s="436"/>
    </row>
    <row r="2" spans="1:13" ht="15.75">
      <c r="A2" s="633" t="s">
        <v>309</v>
      </c>
      <c r="B2" s="633"/>
      <c r="C2" s="633"/>
      <c r="D2" s="633"/>
      <c r="E2" s="633"/>
      <c r="F2" s="633"/>
      <c r="G2" s="455"/>
      <c r="H2" s="455"/>
      <c r="I2" s="459" t="e">
        <f>#REF!</f>
        <v>#REF!</v>
      </c>
      <c r="J2" s="408"/>
    </row>
    <row r="3" spans="1:13" ht="15.75">
      <c r="A3" s="634" t="s">
        <v>303</v>
      </c>
      <c r="B3" s="634"/>
      <c r="C3" s="634"/>
      <c r="D3" s="634"/>
      <c r="E3" s="634"/>
      <c r="F3" s="634"/>
    </row>
    <row r="4" spans="1:13" ht="34.5" customHeight="1">
      <c r="A4" s="634" t="e">
        <f>#REF!</f>
        <v>#REF!</v>
      </c>
      <c r="B4" s="634"/>
      <c r="C4" s="634"/>
      <c r="D4" s="634"/>
      <c r="E4" s="634"/>
      <c r="F4" s="634"/>
    </row>
    <row r="5" spans="1:13" ht="14.25">
      <c r="A5" s="440"/>
      <c r="B5" s="440"/>
      <c r="C5" s="441"/>
      <c r="D5" s="442"/>
      <c r="E5" s="443"/>
      <c r="F5" s="442"/>
      <c r="G5" s="451"/>
      <c r="H5" s="452"/>
    </row>
    <row r="6" spans="1:13" ht="14.25">
      <c r="A6" s="440" t="s">
        <v>201</v>
      </c>
      <c r="B6" s="440"/>
      <c r="C6" s="441"/>
      <c r="D6" s="442" t="e">
        <f>#REF!</f>
        <v>#REF!</v>
      </c>
      <c r="E6" s="443"/>
      <c r="F6" s="442"/>
      <c r="G6" s="451"/>
      <c r="H6" s="452"/>
    </row>
    <row r="7" spans="1:13" ht="14.25">
      <c r="A7" s="440"/>
      <c r="B7" s="440"/>
      <c r="C7" s="441"/>
      <c r="D7" s="442"/>
      <c r="E7" s="443"/>
      <c r="F7" s="442"/>
      <c r="G7" s="451"/>
      <c r="H7" s="452"/>
    </row>
    <row r="8" spans="1:13" ht="14.25">
      <c r="A8" s="440" t="s">
        <v>202</v>
      </c>
      <c r="B8" s="440"/>
      <c r="C8" s="441"/>
      <c r="D8" s="442" t="e">
        <f>#REF!</f>
        <v>#REF!</v>
      </c>
      <c r="E8" s="443"/>
      <c r="F8" s="442"/>
      <c r="G8" s="451"/>
      <c r="H8" s="452"/>
    </row>
    <row r="9" spans="1:13" ht="13.5" customHeight="1">
      <c r="A9" s="444"/>
      <c r="B9" s="444"/>
      <c r="C9" s="444"/>
      <c r="D9" s="444"/>
      <c r="E9" s="444"/>
      <c r="F9" s="444"/>
    </row>
    <row r="10" spans="1:13" s="414" customFormat="1" ht="47.25" customHeight="1">
      <c r="A10" s="410" t="s">
        <v>300</v>
      </c>
      <c r="B10" s="411" t="s">
        <v>304</v>
      </c>
      <c r="C10" s="635" t="s">
        <v>305</v>
      </c>
      <c r="D10" s="635"/>
      <c r="E10" s="411" t="s">
        <v>306</v>
      </c>
      <c r="F10" s="412" t="s">
        <v>307</v>
      </c>
      <c r="G10" s="637" t="s">
        <v>308</v>
      </c>
      <c r="H10" s="637"/>
      <c r="I10" s="413"/>
    </row>
    <row r="11" spans="1:13" ht="15.75">
      <c r="A11" s="415">
        <v>1</v>
      </c>
      <c r="B11" s="415">
        <v>2</v>
      </c>
      <c r="C11" s="641">
        <v>3</v>
      </c>
      <c r="D11" s="642"/>
      <c r="E11" s="416">
        <v>4</v>
      </c>
      <c r="F11" s="416">
        <v>5</v>
      </c>
      <c r="G11" s="456">
        <v>1991</v>
      </c>
      <c r="H11" s="456" t="e">
        <f>I1</f>
        <v>#REF!</v>
      </c>
    </row>
    <row r="12" spans="1:13" s="419" customFormat="1" ht="15.75" customHeight="1">
      <c r="A12" s="638" t="str">
        <f ca="1">C233</f>
        <v>рублей 00 копеек</v>
      </c>
      <c r="B12" s="638"/>
      <c r="C12" s="638"/>
      <c r="D12" s="638"/>
      <c r="E12" s="638"/>
      <c r="F12" s="638"/>
      <c r="G12" s="457"/>
      <c r="H12" s="457"/>
      <c r="I12" s="417"/>
      <c r="J12" s="417"/>
      <c r="K12" s="418"/>
      <c r="L12" s="418"/>
      <c r="M12" s="418"/>
    </row>
    <row r="13" spans="1:13" s="419" customFormat="1">
      <c r="A13" s="640" t="s">
        <v>198</v>
      </c>
      <c r="B13" s="640"/>
      <c r="C13" s="640"/>
      <c r="D13" s="640"/>
      <c r="E13" s="640"/>
      <c r="F13" s="640"/>
      <c r="G13" s="453"/>
      <c r="H13" s="453"/>
      <c r="I13" s="420"/>
      <c r="J13" s="421"/>
      <c r="K13" s="422"/>
      <c r="L13" s="422"/>
      <c r="M13" s="422"/>
    </row>
    <row r="14" spans="1:13" s="419" customFormat="1">
      <c r="A14" s="445"/>
      <c r="B14" s="446"/>
      <c r="C14" s="447"/>
      <c r="D14" s="447"/>
      <c r="E14" s="447"/>
      <c r="F14" s="447"/>
      <c r="G14" s="453"/>
      <c r="H14" s="453"/>
      <c r="I14" s="420"/>
      <c r="J14" s="421"/>
      <c r="K14" s="422"/>
      <c r="L14" s="422"/>
      <c r="M14" s="422"/>
    </row>
    <row r="15" spans="1:13" s="419" customFormat="1" hidden="1" outlineLevel="1">
      <c r="A15" s="445"/>
      <c r="B15" s="445"/>
      <c r="C15" s="447"/>
      <c r="D15" s="447"/>
      <c r="E15" s="447"/>
      <c r="F15" s="447"/>
      <c r="G15" s="453"/>
      <c r="H15" s="453"/>
      <c r="I15" s="420"/>
      <c r="J15" s="421"/>
      <c r="K15" s="422"/>
      <c r="L15" s="422"/>
      <c r="M15" s="422"/>
    </row>
    <row r="16" spans="1:13" hidden="1" outlineLevel="1">
      <c r="A16" s="461"/>
      <c r="B16" s="462"/>
      <c r="C16" s="463"/>
      <c r="D16" s="463"/>
      <c r="E16" s="463"/>
      <c r="F16" s="464"/>
    </row>
    <row r="17" spans="1:11" ht="14.25" hidden="1" outlineLevel="1">
      <c r="A17" s="465" t="s">
        <v>197</v>
      </c>
      <c r="B17" s="466" t="e">
        <f>#REF!</f>
        <v>#REF!</v>
      </c>
      <c r="C17" s="463"/>
      <c r="D17" s="463"/>
      <c r="E17" s="463"/>
      <c r="F17" s="464"/>
    </row>
    <row r="18" spans="1:11" ht="14.25" hidden="1" outlineLevel="1">
      <c r="A18" s="467"/>
      <c r="B18" s="468" t="e">
        <f>D6</f>
        <v>#REF!</v>
      </c>
      <c r="C18" s="469"/>
      <c r="D18" s="639" t="e">
        <f>#REF!</f>
        <v>#REF!</v>
      </c>
      <c r="E18" s="639"/>
      <c r="F18" s="470"/>
    </row>
    <row r="19" spans="1:11" ht="14.25" hidden="1" outlineLevel="1">
      <c r="A19" s="467" t="s">
        <v>197</v>
      </c>
      <c r="B19" s="466"/>
      <c r="C19" s="463"/>
      <c r="D19" s="471"/>
      <c r="E19" s="471"/>
      <c r="F19" s="464"/>
    </row>
    <row r="20" spans="1:11" ht="14.25" hidden="1" outlineLevel="1">
      <c r="A20" s="467"/>
      <c r="B20" s="466"/>
      <c r="C20" s="463"/>
      <c r="D20" s="471"/>
      <c r="E20" s="471"/>
      <c r="F20" s="464"/>
    </row>
    <row r="21" spans="1:11" ht="15" hidden="1" outlineLevel="1">
      <c r="A21" s="461"/>
      <c r="B21" s="472" t="s">
        <v>199</v>
      </c>
      <c r="C21" s="463"/>
      <c r="D21" s="471"/>
      <c r="E21" s="471"/>
      <c r="F21" s="464"/>
    </row>
    <row r="22" spans="1:11" ht="14.25" hidden="1" outlineLevel="1">
      <c r="A22" s="461"/>
      <c r="B22" s="466" t="e">
        <f>#REF!</f>
        <v>#REF!</v>
      </c>
      <c r="C22" s="463"/>
      <c r="D22" s="471"/>
      <c r="E22" s="471"/>
      <c r="F22" s="464"/>
    </row>
    <row r="23" spans="1:11" ht="14.25" hidden="1" outlineLevel="1">
      <c r="A23" s="461"/>
      <c r="B23" s="468" t="e">
        <f>D8</f>
        <v>#REF!</v>
      </c>
      <c r="C23" s="469"/>
      <c r="D23" s="639" t="e">
        <f>#REF!</f>
        <v>#REF!</v>
      </c>
      <c r="E23" s="639"/>
      <c r="F23" s="470"/>
    </row>
    <row r="24" spans="1:11" collapsed="1">
      <c r="A24" s="423"/>
      <c r="B24" s="423"/>
      <c r="C24" s="424"/>
      <c r="D24" s="425"/>
      <c r="E24" s="425"/>
      <c r="F24" s="426"/>
    </row>
    <row r="25" spans="1:11">
      <c r="A25" s="423"/>
      <c r="B25" s="423"/>
      <c r="C25" s="425"/>
      <c r="D25" s="425"/>
      <c r="E25" s="425"/>
      <c r="F25" s="426"/>
    </row>
    <row r="26" spans="1:11">
      <c r="A26" s="423"/>
      <c r="B26" s="423"/>
      <c r="C26" s="425"/>
      <c r="D26" s="425"/>
      <c r="E26" s="425"/>
      <c r="F26" s="426"/>
    </row>
    <row r="27" spans="1:11" s="430" customFormat="1" outlineLevel="1">
      <c r="A27" s="427"/>
      <c r="B27" s="428" t="s">
        <v>116</v>
      </c>
      <c r="C27" s="448"/>
      <c r="D27" s="427"/>
      <c r="E27" s="429"/>
      <c r="F27" s="427"/>
      <c r="G27" s="454"/>
      <c r="H27" s="454"/>
      <c r="I27" s="427"/>
      <c r="J27" s="427"/>
      <c r="K27" s="427"/>
    </row>
    <row r="28" spans="1:11" s="430" customFormat="1" outlineLevel="1">
      <c r="A28" s="427"/>
      <c r="B28" s="427" t="s">
        <v>117</v>
      </c>
      <c r="C28" s="427">
        <f>ROUNDDOWN(C27/1000000,0)</f>
        <v>0</v>
      </c>
      <c r="D28" s="427"/>
      <c r="E28" s="429"/>
      <c r="F28" s="427"/>
      <c r="G28" s="454"/>
      <c r="H28" s="454"/>
      <c r="I28" s="427"/>
      <c r="J28" s="427"/>
      <c r="K28" s="427"/>
    </row>
    <row r="29" spans="1:11" s="430" customFormat="1" outlineLevel="1">
      <c r="A29" s="427"/>
      <c r="B29" s="427"/>
      <c r="C29" s="427"/>
      <c r="D29" s="427"/>
      <c r="E29" s="429"/>
      <c r="F29" s="427"/>
      <c r="G29" s="454"/>
      <c r="H29" s="454"/>
      <c r="I29" s="427"/>
      <c r="J29" s="427"/>
      <c r="K29" s="427"/>
    </row>
    <row r="30" spans="1:11" s="430" customFormat="1" hidden="1" outlineLevel="2">
      <c r="A30" s="427"/>
      <c r="B30" s="427" t="s">
        <v>118</v>
      </c>
      <c r="C30" s="427">
        <f>ROUNDDOWN(C28/100,0)</f>
        <v>0</v>
      </c>
      <c r="D30" s="427"/>
      <c r="E30" s="429"/>
      <c r="F30" s="427"/>
      <c r="G30" s="454"/>
      <c r="H30" s="454"/>
      <c r="I30" s="427"/>
      <c r="J30" s="427"/>
      <c r="K30" s="427"/>
    </row>
    <row r="31" spans="1:11" s="430" customFormat="1" hidden="1" outlineLevel="2">
      <c r="A31" s="427"/>
      <c r="B31" s="427"/>
      <c r="C31" s="427"/>
      <c r="D31" s="427"/>
      <c r="E31" s="429"/>
      <c r="F31" s="427"/>
      <c r="G31" s="454"/>
      <c r="H31" s="454"/>
      <c r="I31" s="427"/>
      <c r="J31" s="427"/>
      <c r="K31" s="427"/>
    </row>
    <row r="32" spans="1:11" s="430" customFormat="1" hidden="1" outlineLevel="2">
      <c r="A32" s="427"/>
      <c r="B32" s="427" t="s">
        <v>119</v>
      </c>
      <c r="C32" s="427"/>
      <c r="D32" s="427"/>
      <c r="E32" s="429"/>
      <c r="F32" s="427"/>
      <c r="G32" s="454"/>
      <c r="H32" s="454"/>
      <c r="I32" s="427"/>
      <c r="J32" s="427"/>
      <c r="K32" s="427"/>
    </row>
    <row r="33" spans="1:11" s="430" customFormat="1" hidden="1" outlineLevel="2">
      <c r="A33" s="427"/>
      <c r="B33" s="427" t="s">
        <v>120</v>
      </c>
      <c r="C33" s="427"/>
      <c r="D33" s="427"/>
      <c r="E33" s="429"/>
      <c r="F33" s="427"/>
      <c r="G33" s="454"/>
      <c r="H33" s="454"/>
      <c r="I33" s="427"/>
      <c r="J33" s="427"/>
      <c r="K33" s="427"/>
    </row>
    <row r="34" spans="1:11" s="430" customFormat="1" hidden="1" outlineLevel="2">
      <c r="A34" s="427"/>
      <c r="B34" s="427" t="s">
        <v>121</v>
      </c>
      <c r="C34" s="427"/>
      <c r="D34" s="427"/>
      <c r="E34" s="429"/>
      <c r="F34" s="427"/>
      <c r="G34" s="454"/>
      <c r="H34" s="454"/>
      <c r="I34" s="427"/>
      <c r="J34" s="427"/>
      <c r="K34" s="427"/>
    </row>
    <row r="35" spans="1:11" s="430" customFormat="1" hidden="1" outlineLevel="2">
      <c r="A35" s="427"/>
      <c r="B35" s="427" t="s">
        <v>122</v>
      </c>
      <c r="C35" s="427"/>
      <c r="D35" s="427"/>
      <c r="E35" s="429"/>
      <c r="F35" s="427"/>
      <c r="G35" s="454"/>
      <c r="H35" s="454"/>
      <c r="I35" s="427"/>
      <c r="J35" s="427"/>
      <c r="K35" s="427"/>
    </row>
    <row r="36" spans="1:11" s="430" customFormat="1" hidden="1" outlineLevel="2">
      <c r="A36" s="427"/>
      <c r="B36" s="427" t="s">
        <v>123</v>
      </c>
      <c r="C36" s="427"/>
      <c r="D36" s="427"/>
      <c r="E36" s="429"/>
      <c r="F36" s="427"/>
      <c r="G36" s="454"/>
      <c r="H36" s="454"/>
      <c r="I36" s="427"/>
      <c r="J36" s="427"/>
      <c r="K36" s="427"/>
    </row>
    <row r="37" spans="1:11" s="430" customFormat="1" hidden="1" outlineLevel="2">
      <c r="A37" s="427"/>
      <c r="B37" s="427" t="s">
        <v>124</v>
      </c>
      <c r="C37" s="427"/>
      <c r="D37" s="427"/>
      <c r="E37" s="429"/>
      <c r="F37" s="427"/>
      <c r="G37" s="454"/>
      <c r="H37" s="454"/>
      <c r="I37" s="427"/>
      <c r="J37" s="427"/>
      <c r="K37" s="427"/>
    </row>
    <row r="38" spans="1:11" s="430" customFormat="1" hidden="1" outlineLevel="2">
      <c r="A38" s="427"/>
      <c r="B38" s="427" t="s">
        <v>125</v>
      </c>
      <c r="C38" s="427"/>
      <c r="D38" s="427"/>
      <c r="E38" s="429"/>
      <c r="F38" s="427"/>
      <c r="G38" s="454"/>
      <c r="H38" s="454"/>
      <c r="I38" s="427"/>
      <c r="J38" s="427"/>
      <c r="K38" s="427"/>
    </row>
    <row r="39" spans="1:11" s="430" customFormat="1" hidden="1" outlineLevel="2">
      <c r="A39" s="427"/>
      <c r="B39" s="427" t="s">
        <v>126</v>
      </c>
      <c r="C39" s="427"/>
      <c r="D39" s="427"/>
      <c r="E39" s="429"/>
      <c r="F39" s="427"/>
      <c r="G39" s="454"/>
      <c r="H39" s="454"/>
      <c r="I39" s="427"/>
      <c r="J39" s="427"/>
      <c r="K39" s="427"/>
    </row>
    <row r="40" spans="1:11" s="430" customFormat="1" hidden="1" outlineLevel="2">
      <c r="A40" s="427"/>
      <c r="B40" s="427" t="s">
        <v>127</v>
      </c>
      <c r="C40" s="427"/>
      <c r="D40" s="427"/>
      <c r="E40" s="429"/>
      <c r="F40" s="427"/>
      <c r="G40" s="454"/>
      <c r="H40" s="454"/>
      <c r="I40" s="427"/>
      <c r="J40" s="427"/>
      <c r="K40" s="427"/>
    </row>
    <row r="41" spans="1:11" s="430" customFormat="1" hidden="1" outlineLevel="2">
      <c r="A41" s="427"/>
      <c r="B41" s="427"/>
      <c r="C41" s="427"/>
      <c r="D41" s="427"/>
      <c r="E41" s="429"/>
      <c r="F41" s="427"/>
      <c r="G41" s="454"/>
      <c r="H41" s="454"/>
      <c r="I41" s="427"/>
      <c r="J41" s="427"/>
      <c r="K41" s="427"/>
    </row>
    <row r="42" spans="1:11" s="430" customFormat="1" hidden="1" outlineLevel="2">
      <c r="A42" s="427"/>
      <c r="B42" s="427"/>
      <c r="C42" s="431" t="str">
        <f ca="1">IF(C30&lt;&gt;0,OFFSET(B31,C30,0),"")</f>
        <v/>
      </c>
      <c r="D42" s="427"/>
      <c r="E42" s="429"/>
      <c r="F42" s="427"/>
      <c r="G42" s="454"/>
      <c r="H42" s="454"/>
      <c r="I42" s="427"/>
      <c r="J42" s="427"/>
      <c r="K42" s="427"/>
    </row>
    <row r="43" spans="1:11" s="430" customFormat="1" hidden="1" outlineLevel="2">
      <c r="A43" s="427"/>
      <c r="B43" s="427"/>
      <c r="C43" s="427"/>
      <c r="D43" s="427"/>
      <c r="E43" s="429"/>
      <c r="F43" s="427"/>
      <c r="G43" s="454"/>
      <c r="H43" s="454"/>
      <c r="I43" s="427"/>
      <c r="J43" s="427"/>
      <c r="K43" s="427"/>
    </row>
    <row r="44" spans="1:11" s="430" customFormat="1" hidden="1" outlineLevel="2">
      <c r="A44" s="427"/>
      <c r="B44" s="427" t="s">
        <v>128</v>
      </c>
      <c r="C44" s="427">
        <f>ROUNDDOWN((C27-C30*100000000)/10000000,0)</f>
        <v>0</v>
      </c>
      <c r="D44" s="427"/>
      <c r="E44" s="429"/>
      <c r="F44" s="427"/>
      <c r="G44" s="454"/>
      <c r="H44" s="454"/>
      <c r="I44" s="427"/>
      <c r="J44" s="427"/>
      <c r="K44" s="427"/>
    </row>
    <row r="45" spans="1:11" s="430" customFormat="1" hidden="1" outlineLevel="2">
      <c r="A45" s="427"/>
      <c r="B45" s="427"/>
      <c r="C45" s="427"/>
      <c r="D45" s="427"/>
      <c r="E45" s="429"/>
      <c r="F45" s="427"/>
      <c r="G45" s="454"/>
      <c r="H45" s="454"/>
      <c r="I45" s="427"/>
      <c r="J45" s="427"/>
      <c r="K45" s="427"/>
    </row>
    <row r="46" spans="1:11" s="430" customFormat="1" hidden="1" outlineLevel="2">
      <c r="A46" s="427"/>
      <c r="B46" s="427" t="s">
        <v>129</v>
      </c>
      <c r="C46" s="427"/>
      <c r="D46" s="427"/>
      <c r="E46" s="429"/>
      <c r="F46" s="427"/>
      <c r="G46" s="454"/>
      <c r="H46" s="454"/>
      <c r="I46" s="427"/>
      <c r="J46" s="427"/>
      <c r="K46" s="427"/>
    </row>
    <row r="47" spans="1:11" s="430" customFormat="1" hidden="1" outlineLevel="2">
      <c r="A47" s="427"/>
      <c r="B47" s="427" t="s">
        <v>130</v>
      </c>
      <c r="C47" s="427"/>
      <c r="D47" s="427"/>
      <c r="E47" s="429"/>
      <c r="F47" s="427"/>
      <c r="G47" s="454"/>
      <c r="H47" s="454"/>
      <c r="I47" s="427"/>
      <c r="J47" s="427"/>
      <c r="K47" s="427"/>
    </row>
    <row r="48" spans="1:11" s="430" customFormat="1" hidden="1" outlineLevel="2">
      <c r="A48" s="427"/>
      <c r="B48" s="427" t="s">
        <v>131</v>
      </c>
      <c r="C48" s="427"/>
      <c r="D48" s="427"/>
      <c r="E48" s="429"/>
      <c r="F48" s="427"/>
      <c r="G48" s="454"/>
      <c r="H48" s="454"/>
      <c r="I48" s="427"/>
      <c r="J48" s="427"/>
      <c r="K48" s="427"/>
    </row>
    <row r="49" spans="1:11" s="430" customFormat="1" hidden="1" outlineLevel="2">
      <c r="A49" s="427"/>
      <c r="B49" s="427" t="s">
        <v>132</v>
      </c>
      <c r="C49" s="427"/>
      <c r="D49" s="427"/>
      <c r="E49" s="429"/>
      <c r="F49" s="427"/>
      <c r="G49" s="454"/>
      <c r="H49" s="454"/>
      <c r="I49" s="427"/>
      <c r="J49" s="427"/>
      <c r="K49" s="427"/>
    </row>
    <row r="50" spans="1:11" s="430" customFormat="1" hidden="1" outlineLevel="2">
      <c r="A50" s="427"/>
      <c r="B50" s="427" t="s">
        <v>133</v>
      </c>
      <c r="C50" s="427"/>
      <c r="D50" s="427"/>
      <c r="E50" s="429"/>
      <c r="F50" s="427"/>
      <c r="G50" s="454"/>
      <c r="H50" s="454"/>
      <c r="I50" s="427"/>
      <c r="J50" s="427"/>
      <c r="K50" s="427"/>
    </row>
    <row r="51" spans="1:11" s="430" customFormat="1" hidden="1" outlineLevel="2">
      <c r="A51" s="427"/>
      <c r="B51" s="427" t="s">
        <v>134</v>
      </c>
      <c r="C51" s="427"/>
      <c r="D51" s="427"/>
      <c r="E51" s="429"/>
      <c r="F51" s="427"/>
      <c r="G51" s="454"/>
      <c r="H51" s="454"/>
      <c r="I51" s="427"/>
      <c r="J51" s="427"/>
      <c r="K51" s="427"/>
    </row>
    <row r="52" spans="1:11" s="430" customFormat="1" hidden="1" outlineLevel="2">
      <c r="A52" s="427"/>
      <c r="B52" s="427" t="s">
        <v>135</v>
      </c>
      <c r="C52" s="427"/>
      <c r="D52" s="427"/>
      <c r="E52" s="429"/>
      <c r="F52" s="427"/>
      <c r="G52" s="454"/>
      <c r="H52" s="454"/>
      <c r="I52" s="427"/>
      <c r="J52" s="427"/>
      <c r="K52" s="427"/>
    </row>
    <row r="53" spans="1:11" s="430" customFormat="1" hidden="1" outlineLevel="2">
      <c r="A53" s="427"/>
      <c r="B53" s="427" t="s">
        <v>136</v>
      </c>
      <c r="C53" s="427"/>
      <c r="D53" s="427"/>
      <c r="E53" s="429"/>
      <c r="F53" s="427"/>
      <c r="G53" s="454"/>
      <c r="H53" s="454"/>
      <c r="I53" s="427"/>
      <c r="J53" s="427"/>
      <c r="K53" s="427"/>
    </row>
    <row r="54" spans="1:11" s="430" customFormat="1" hidden="1" outlineLevel="2">
      <c r="A54" s="427"/>
      <c r="B54" s="427" t="s">
        <v>137</v>
      </c>
      <c r="C54" s="427"/>
      <c r="D54" s="427"/>
      <c r="E54" s="429"/>
      <c r="F54" s="427"/>
      <c r="G54" s="454"/>
      <c r="H54" s="454"/>
      <c r="I54" s="427"/>
      <c r="J54" s="427"/>
      <c r="K54" s="427"/>
    </row>
    <row r="55" spans="1:11" s="430" customFormat="1" hidden="1" outlineLevel="2">
      <c r="A55" s="427"/>
      <c r="B55" s="427"/>
      <c r="C55" s="427"/>
      <c r="D55" s="427"/>
      <c r="E55" s="429"/>
      <c r="F55" s="427"/>
      <c r="G55" s="454"/>
      <c r="H55" s="454"/>
      <c r="I55" s="427"/>
      <c r="J55" s="427"/>
      <c r="K55" s="427"/>
    </row>
    <row r="56" spans="1:11" s="430" customFormat="1" hidden="1" outlineLevel="2">
      <c r="A56" s="427"/>
      <c r="B56" s="427"/>
      <c r="C56" s="431" t="str">
        <f ca="1">IF(AND(C44=1,C58&lt;&gt;0),"",IF(C44&lt;&gt;0,OFFSET(B45,C44,0),""))</f>
        <v/>
      </c>
      <c r="D56" s="427"/>
      <c r="E56" s="429"/>
      <c r="F56" s="427"/>
      <c r="G56" s="454"/>
      <c r="H56" s="454"/>
      <c r="I56" s="427"/>
      <c r="J56" s="427"/>
      <c r="K56" s="427"/>
    </row>
    <row r="57" spans="1:11" s="430" customFormat="1" hidden="1" outlineLevel="2">
      <c r="A57" s="427"/>
      <c r="B57" s="427"/>
      <c r="C57" s="427"/>
      <c r="D57" s="427"/>
      <c r="E57" s="429"/>
      <c r="F57" s="427"/>
      <c r="G57" s="454"/>
      <c r="H57" s="454"/>
      <c r="I57" s="427"/>
      <c r="J57" s="427"/>
      <c r="K57" s="427"/>
    </row>
    <row r="58" spans="1:11" s="430" customFormat="1" hidden="1" outlineLevel="2">
      <c r="A58" s="427"/>
      <c r="B58" s="427" t="s">
        <v>138</v>
      </c>
      <c r="C58" s="427">
        <f>ROUNDDOWN((C27-C30*100000000-C44*10000000)/1000000,0)</f>
        <v>0</v>
      </c>
      <c r="D58" s="427"/>
      <c r="E58" s="429"/>
      <c r="F58" s="427"/>
      <c r="G58" s="454"/>
      <c r="H58" s="454"/>
      <c r="I58" s="427"/>
      <c r="J58" s="427"/>
      <c r="K58" s="427"/>
    </row>
    <row r="59" spans="1:11" s="430" customFormat="1" hidden="1" outlineLevel="2">
      <c r="A59" s="427"/>
      <c r="B59" s="427"/>
      <c r="C59" s="427"/>
      <c r="D59" s="427"/>
      <c r="E59" s="429"/>
      <c r="F59" s="427"/>
      <c r="G59" s="454"/>
      <c r="H59" s="454"/>
      <c r="I59" s="427"/>
      <c r="J59" s="427"/>
      <c r="K59" s="427"/>
    </row>
    <row r="60" spans="1:11" s="430" customFormat="1" hidden="1" outlineLevel="2">
      <c r="A60" s="427"/>
      <c r="B60" s="427" t="s">
        <v>139</v>
      </c>
      <c r="C60" s="427"/>
      <c r="D60" s="427"/>
      <c r="E60" s="429"/>
      <c r="F60" s="427"/>
      <c r="G60" s="454"/>
      <c r="H60" s="454"/>
      <c r="I60" s="427"/>
      <c r="J60" s="427"/>
      <c r="K60" s="427"/>
    </row>
    <row r="61" spans="1:11" s="430" customFormat="1" hidden="1" outlineLevel="2">
      <c r="A61" s="427"/>
      <c r="B61" s="427" t="s">
        <v>140</v>
      </c>
      <c r="C61" s="427"/>
      <c r="D61" s="427"/>
      <c r="E61" s="429"/>
      <c r="F61" s="427"/>
      <c r="G61" s="454"/>
      <c r="H61" s="454"/>
      <c r="I61" s="427"/>
      <c r="J61" s="427"/>
      <c r="K61" s="427"/>
    </row>
    <row r="62" spans="1:11" s="430" customFormat="1" hidden="1" outlineLevel="2">
      <c r="A62" s="427"/>
      <c r="B62" s="427" t="s">
        <v>141</v>
      </c>
      <c r="C62" s="427"/>
      <c r="D62" s="427"/>
      <c r="E62" s="429"/>
      <c r="F62" s="427"/>
      <c r="G62" s="454"/>
      <c r="H62" s="454"/>
      <c r="I62" s="427"/>
      <c r="J62" s="427"/>
      <c r="K62" s="427"/>
    </row>
    <row r="63" spans="1:11" s="430" customFormat="1" hidden="1" outlineLevel="2">
      <c r="A63" s="427"/>
      <c r="B63" s="427" t="s">
        <v>142</v>
      </c>
      <c r="C63" s="427"/>
      <c r="D63" s="427"/>
      <c r="E63" s="429"/>
      <c r="F63" s="427"/>
      <c r="G63" s="454"/>
      <c r="H63" s="454"/>
      <c r="I63" s="427"/>
      <c r="J63" s="427"/>
      <c r="K63" s="427"/>
    </row>
    <row r="64" spans="1:11" s="430" customFormat="1" hidden="1" outlineLevel="2">
      <c r="A64" s="427"/>
      <c r="B64" s="427" t="s">
        <v>143</v>
      </c>
      <c r="C64" s="427"/>
      <c r="D64" s="427"/>
      <c r="E64" s="429"/>
      <c r="F64" s="427"/>
      <c r="G64" s="454"/>
      <c r="H64" s="454"/>
      <c r="I64" s="427"/>
      <c r="J64" s="427"/>
      <c r="K64" s="427"/>
    </row>
    <row r="65" spans="1:11" s="430" customFormat="1" hidden="1" outlineLevel="2">
      <c r="A65" s="427"/>
      <c r="B65" s="427" t="s">
        <v>144</v>
      </c>
      <c r="C65" s="427"/>
      <c r="D65" s="427"/>
      <c r="E65" s="429"/>
      <c r="F65" s="427"/>
      <c r="G65" s="454"/>
      <c r="H65" s="454"/>
      <c r="I65" s="427"/>
      <c r="J65" s="427"/>
      <c r="K65" s="427"/>
    </row>
    <row r="66" spans="1:11" s="430" customFormat="1" hidden="1" outlineLevel="2">
      <c r="A66" s="427"/>
      <c r="B66" s="427" t="s">
        <v>145</v>
      </c>
      <c r="C66" s="427"/>
      <c r="D66" s="427"/>
      <c r="E66" s="429"/>
      <c r="F66" s="427"/>
      <c r="G66" s="454"/>
      <c r="H66" s="454"/>
      <c r="I66" s="427"/>
      <c r="J66" s="427"/>
      <c r="K66" s="427"/>
    </row>
    <row r="67" spans="1:11" s="430" customFormat="1" hidden="1" outlineLevel="2">
      <c r="A67" s="427"/>
      <c r="B67" s="427" t="s">
        <v>146</v>
      </c>
      <c r="C67" s="427"/>
      <c r="D67" s="427"/>
      <c r="E67" s="429"/>
      <c r="F67" s="427"/>
      <c r="G67" s="454"/>
      <c r="H67" s="454"/>
      <c r="I67" s="427"/>
      <c r="J67" s="427"/>
      <c r="K67" s="427"/>
    </row>
    <row r="68" spans="1:11" s="430" customFormat="1" hidden="1" outlineLevel="2">
      <c r="A68" s="427"/>
      <c r="B68" s="427" t="s">
        <v>147</v>
      </c>
      <c r="C68" s="427"/>
      <c r="D68" s="427"/>
      <c r="E68" s="429"/>
      <c r="F68" s="427"/>
      <c r="G68" s="454"/>
      <c r="H68" s="454"/>
      <c r="I68" s="427"/>
      <c r="J68" s="427"/>
      <c r="K68" s="427"/>
    </row>
    <row r="69" spans="1:11" s="430" customFormat="1" hidden="1" outlineLevel="2">
      <c r="A69" s="427"/>
      <c r="B69" s="427"/>
      <c r="C69" s="427"/>
      <c r="D69" s="427"/>
      <c r="E69" s="429"/>
      <c r="F69" s="427"/>
      <c r="G69" s="454"/>
      <c r="H69" s="454"/>
      <c r="I69" s="427"/>
      <c r="J69" s="427"/>
      <c r="K69" s="427"/>
    </row>
    <row r="70" spans="1:11" s="430" customFormat="1" hidden="1" outlineLevel="2">
      <c r="A70" s="427"/>
      <c r="B70" s="427"/>
      <c r="C70" s="431" t="str">
        <f ca="1">IF(C44&lt;&gt;1,IF(C58&lt;&gt;0,OFFSET(B59,C58,0),""),"")</f>
        <v/>
      </c>
      <c r="D70" s="427"/>
      <c r="E70" s="429"/>
      <c r="F70" s="427"/>
      <c r="G70" s="454"/>
      <c r="H70" s="454"/>
      <c r="I70" s="427"/>
      <c r="J70" s="427"/>
      <c r="K70" s="427"/>
    </row>
    <row r="71" spans="1:11" s="430" customFormat="1" hidden="1" outlineLevel="2">
      <c r="A71" s="427"/>
      <c r="B71" s="427"/>
      <c r="C71" s="427"/>
      <c r="D71" s="427"/>
      <c r="E71" s="429"/>
      <c r="F71" s="427"/>
      <c r="G71" s="454"/>
      <c r="H71" s="454"/>
      <c r="I71" s="427"/>
      <c r="J71" s="427"/>
      <c r="K71" s="427"/>
    </row>
    <row r="72" spans="1:11" s="430" customFormat="1" hidden="1" outlineLevel="2">
      <c r="A72" s="427"/>
      <c r="B72" s="427" t="s">
        <v>148</v>
      </c>
      <c r="C72" s="427"/>
      <c r="D72" s="427"/>
      <c r="E72" s="429"/>
      <c r="F72" s="427"/>
      <c r="G72" s="454"/>
      <c r="H72" s="454"/>
      <c r="I72" s="427"/>
      <c r="J72" s="427"/>
      <c r="K72" s="427"/>
    </row>
    <row r="73" spans="1:11" s="430" customFormat="1" hidden="1" outlineLevel="2">
      <c r="A73" s="427"/>
      <c r="B73" s="427"/>
      <c r="C73" s="427"/>
      <c r="D73" s="427"/>
      <c r="E73" s="429"/>
      <c r="F73" s="427"/>
      <c r="G73" s="454"/>
      <c r="H73" s="454"/>
      <c r="I73" s="427"/>
      <c r="J73" s="427"/>
      <c r="K73" s="427"/>
    </row>
    <row r="74" spans="1:11" s="430" customFormat="1" hidden="1" outlineLevel="2">
      <c r="A74" s="427"/>
      <c r="B74" s="427"/>
      <c r="C74" s="427">
        <f>+C58</f>
        <v>0</v>
      </c>
      <c r="D74" s="427"/>
      <c r="E74" s="429"/>
      <c r="F74" s="427"/>
      <c r="G74" s="454"/>
      <c r="H74" s="454"/>
      <c r="I74" s="427"/>
      <c r="J74" s="427"/>
      <c r="K74" s="427"/>
    </row>
    <row r="75" spans="1:11" s="430" customFormat="1" hidden="1" outlineLevel="2">
      <c r="A75" s="427"/>
      <c r="B75" s="427" t="s">
        <v>149</v>
      </c>
      <c r="C75" s="427"/>
      <c r="D75" s="427"/>
      <c r="E75" s="429"/>
      <c r="F75" s="427"/>
      <c r="G75" s="454"/>
      <c r="H75" s="454"/>
      <c r="I75" s="427"/>
      <c r="J75" s="427"/>
      <c r="K75" s="427"/>
    </row>
    <row r="76" spans="1:11" s="430" customFormat="1" hidden="1" outlineLevel="2">
      <c r="A76" s="427"/>
      <c r="B76" s="427" t="s">
        <v>150</v>
      </c>
      <c r="C76" s="427"/>
      <c r="D76" s="427"/>
      <c r="E76" s="429"/>
      <c r="F76" s="427"/>
      <c r="G76" s="454"/>
      <c r="H76" s="454"/>
      <c r="I76" s="427"/>
      <c r="J76" s="427"/>
      <c r="K76" s="427"/>
    </row>
    <row r="77" spans="1:11" s="430" customFormat="1" hidden="1" outlineLevel="2">
      <c r="A77" s="427"/>
      <c r="B77" s="427" t="s">
        <v>151</v>
      </c>
      <c r="C77" s="427"/>
      <c r="D77" s="427"/>
      <c r="E77" s="429"/>
      <c r="F77" s="427"/>
      <c r="G77" s="454"/>
      <c r="H77" s="454"/>
      <c r="I77" s="427"/>
      <c r="J77" s="427"/>
      <c r="K77" s="427"/>
    </row>
    <row r="78" spans="1:11" s="430" customFormat="1" hidden="1" outlineLevel="2">
      <c r="A78" s="427"/>
      <c r="B78" s="427" t="s">
        <v>152</v>
      </c>
      <c r="C78" s="427"/>
      <c r="D78" s="427"/>
      <c r="E78" s="429"/>
      <c r="F78" s="427"/>
      <c r="G78" s="454"/>
      <c r="H78" s="454"/>
      <c r="I78" s="427"/>
      <c r="J78" s="427"/>
      <c r="K78" s="427"/>
    </row>
    <row r="79" spans="1:11" s="430" customFormat="1" hidden="1" outlineLevel="2">
      <c r="A79" s="427"/>
      <c r="B79" s="427" t="s">
        <v>153</v>
      </c>
      <c r="C79" s="427"/>
      <c r="D79" s="427"/>
      <c r="E79" s="429"/>
      <c r="F79" s="427"/>
      <c r="G79" s="454"/>
      <c r="H79" s="454"/>
      <c r="I79" s="427"/>
      <c r="J79" s="427"/>
      <c r="K79" s="427"/>
    </row>
    <row r="80" spans="1:11" s="430" customFormat="1" hidden="1" outlineLevel="2">
      <c r="A80" s="427"/>
      <c r="B80" s="427" t="s">
        <v>154</v>
      </c>
      <c r="C80" s="427"/>
      <c r="D80" s="427"/>
      <c r="E80" s="429"/>
      <c r="F80" s="427"/>
      <c r="G80" s="454"/>
      <c r="H80" s="454"/>
      <c r="I80" s="427"/>
      <c r="J80" s="427"/>
      <c r="K80" s="427"/>
    </row>
    <row r="81" spans="1:11" s="430" customFormat="1" hidden="1" outlineLevel="2">
      <c r="A81" s="427"/>
      <c r="B81" s="427" t="s">
        <v>155</v>
      </c>
      <c r="C81" s="427"/>
      <c r="D81" s="427"/>
      <c r="E81" s="429"/>
      <c r="F81" s="427"/>
      <c r="G81" s="454"/>
      <c r="H81" s="454"/>
      <c r="I81" s="427"/>
      <c r="J81" s="427"/>
      <c r="K81" s="427"/>
    </row>
    <row r="82" spans="1:11" s="430" customFormat="1" hidden="1" outlineLevel="2">
      <c r="A82" s="427"/>
      <c r="B82" s="427" t="s">
        <v>156</v>
      </c>
      <c r="C82" s="427"/>
      <c r="D82" s="427"/>
      <c r="E82" s="429"/>
      <c r="F82" s="427"/>
      <c r="G82" s="454"/>
      <c r="H82" s="454"/>
      <c r="I82" s="427"/>
      <c r="J82" s="427"/>
      <c r="K82" s="427"/>
    </row>
    <row r="83" spans="1:11" s="430" customFormat="1" hidden="1" outlineLevel="2">
      <c r="A83" s="427"/>
      <c r="B83" s="427" t="s">
        <v>157</v>
      </c>
      <c r="C83" s="427"/>
      <c r="D83" s="427"/>
      <c r="E83" s="429"/>
      <c r="F83" s="427"/>
      <c r="G83" s="454"/>
      <c r="H83" s="454"/>
      <c r="I83" s="427"/>
      <c r="J83" s="427"/>
      <c r="K83" s="427"/>
    </row>
    <row r="84" spans="1:11" s="430" customFormat="1" hidden="1" outlineLevel="2">
      <c r="A84" s="427"/>
      <c r="B84" s="427"/>
      <c r="C84" s="427"/>
      <c r="D84" s="427"/>
      <c r="E84" s="429"/>
      <c r="F84" s="427"/>
      <c r="G84" s="454"/>
      <c r="H84" s="454"/>
      <c r="I84" s="427"/>
      <c r="J84" s="427"/>
      <c r="K84" s="427"/>
    </row>
    <row r="85" spans="1:11" s="430" customFormat="1" hidden="1" outlineLevel="2">
      <c r="A85" s="427"/>
      <c r="B85" s="427"/>
      <c r="C85" s="431" t="str">
        <f ca="1">IF(AND(C44=1,C58&lt;&gt;0),IF(C44&lt;&gt;0,OFFSET(B74,C74,0),""),"")</f>
        <v/>
      </c>
      <c r="D85" s="427"/>
      <c r="E85" s="429"/>
      <c r="F85" s="427"/>
      <c r="G85" s="454"/>
      <c r="H85" s="454"/>
      <c r="I85" s="427"/>
      <c r="J85" s="427"/>
      <c r="K85" s="427"/>
    </row>
    <row r="86" spans="1:11" s="430" customFormat="1" hidden="1" outlineLevel="2">
      <c r="A86" s="427"/>
      <c r="B86" s="427"/>
      <c r="C86" s="427"/>
      <c r="D86" s="427"/>
      <c r="E86" s="429"/>
      <c r="F86" s="427"/>
      <c r="G86" s="454"/>
      <c r="H86" s="454"/>
      <c r="I86" s="427"/>
      <c r="J86" s="427"/>
      <c r="K86" s="427"/>
    </row>
    <row r="87" spans="1:11" s="430" customFormat="1" hidden="1" outlineLevel="2">
      <c r="A87" s="427"/>
      <c r="B87" s="427"/>
      <c r="C87" s="431" t="str">
        <f>IF(C44&lt;&gt;1,IF(OR(C58=2,C58=3,C58=4)," миллиона",""),"")</f>
        <v/>
      </c>
      <c r="D87" s="427"/>
      <c r="E87" s="429"/>
      <c r="F87" s="427"/>
      <c r="G87" s="454"/>
      <c r="H87" s="454"/>
      <c r="I87" s="427"/>
      <c r="J87" s="427"/>
      <c r="K87" s="427"/>
    </row>
    <row r="88" spans="1:11" s="430" customFormat="1" hidden="1" outlineLevel="2">
      <c r="A88" s="427"/>
      <c r="B88" s="427"/>
      <c r="C88" s="431" t="str">
        <f>IF(C44&lt;&gt;1,IF(OR(C58=1)," миллион",""),"")</f>
        <v/>
      </c>
      <c r="D88" s="427"/>
      <c r="E88" s="429"/>
      <c r="F88" s="427"/>
      <c r="G88" s="454"/>
      <c r="H88" s="454"/>
      <c r="I88" s="427"/>
      <c r="J88" s="427"/>
      <c r="K88" s="427"/>
    </row>
    <row r="89" spans="1:11" s="430" customFormat="1" hidden="1" outlineLevel="2">
      <c r="A89" s="427"/>
      <c r="B89" s="427"/>
      <c r="C89" s="431" t="str">
        <f>IF(C28&lt;&gt;0,IF(AND(C87="",C88="")," миллионов",""),"")</f>
        <v/>
      </c>
      <c r="D89" s="427"/>
      <c r="E89" s="429"/>
      <c r="F89" s="427"/>
      <c r="G89" s="454"/>
      <c r="H89" s="454"/>
      <c r="I89" s="427"/>
      <c r="J89" s="427"/>
      <c r="K89" s="427"/>
    </row>
    <row r="90" spans="1:11" s="430" customFormat="1" hidden="1" outlineLevel="2">
      <c r="A90" s="427"/>
      <c r="B90" s="427"/>
      <c r="C90" s="432" t="str">
        <f ca="1">(CONCATENATE(C42,C56,C70,C85,C87,C88,C89))</f>
        <v/>
      </c>
      <c r="D90" s="427"/>
      <c r="E90" s="429"/>
      <c r="F90" s="427"/>
      <c r="G90" s="454"/>
      <c r="H90" s="454"/>
      <c r="I90" s="427"/>
      <c r="J90" s="427"/>
      <c r="K90" s="427"/>
    </row>
    <row r="91" spans="1:11" s="430" customFormat="1" hidden="1" outlineLevel="2">
      <c r="A91" s="427"/>
      <c r="B91" s="427"/>
      <c r="C91" s="427"/>
      <c r="D91" s="427"/>
      <c r="E91" s="429"/>
      <c r="F91" s="427"/>
      <c r="G91" s="454"/>
      <c r="H91" s="454"/>
      <c r="I91" s="427"/>
      <c r="J91" s="427"/>
      <c r="K91" s="427"/>
    </row>
    <row r="92" spans="1:11" s="430" customFormat="1" hidden="1" outlineLevel="2">
      <c r="A92" s="427"/>
      <c r="B92" s="427" t="s">
        <v>158</v>
      </c>
      <c r="C92" s="427">
        <f>ROUNDDOWN((C27-C28*1000000)/1000,0)</f>
        <v>0</v>
      </c>
      <c r="D92" s="427"/>
      <c r="E92" s="429"/>
      <c r="F92" s="427"/>
      <c r="G92" s="454"/>
      <c r="H92" s="454"/>
      <c r="I92" s="427"/>
      <c r="J92" s="427"/>
      <c r="K92" s="427"/>
    </row>
    <row r="93" spans="1:11" s="430" customFormat="1" hidden="1" outlineLevel="2">
      <c r="A93" s="427"/>
      <c r="B93" s="427" t="s">
        <v>159</v>
      </c>
      <c r="C93" s="427">
        <f>ROUNDDOWN(C92/100,0)</f>
        <v>0</v>
      </c>
      <c r="D93" s="427"/>
      <c r="E93" s="429"/>
      <c r="F93" s="427"/>
      <c r="G93" s="454"/>
      <c r="H93" s="454"/>
      <c r="I93" s="427"/>
      <c r="J93" s="427"/>
      <c r="K93" s="427"/>
    </row>
    <row r="94" spans="1:11" s="430" customFormat="1" hidden="1" outlineLevel="2">
      <c r="A94" s="427"/>
      <c r="B94" s="427"/>
      <c r="C94" s="427"/>
      <c r="D94" s="427"/>
      <c r="E94" s="429"/>
      <c r="F94" s="427"/>
      <c r="G94" s="454"/>
      <c r="H94" s="454"/>
      <c r="I94" s="427"/>
      <c r="J94" s="427"/>
      <c r="K94" s="427"/>
    </row>
    <row r="95" spans="1:11" s="430" customFormat="1" hidden="1" outlineLevel="2">
      <c r="A95" s="427"/>
      <c r="B95" s="427" t="s">
        <v>160</v>
      </c>
      <c r="C95" s="427"/>
      <c r="D95" s="427"/>
      <c r="E95" s="429"/>
      <c r="F95" s="427"/>
      <c r="G95" s="454"/>
      <c r="H95" s="454"/>
      <c r="I95" s="427"/>
      <c r="J95" s="427"/>
      <c r="K95" s="427"/>
    </row>
    <row r="96" spans="1:11" s="430" customFormat="1" hidden="1" outlineLevel="2">
      <c r="A96" s="427"/>
      <c r="B96" s="427" t="s">
        <v>161</v>
      </c>
      <c r="C96" s="427"/>
      <c r="D96" s="427"/>
      <c r="E96" s="429"/>
      <c r="F96" s="427"/>
      <c r="G96" s="454"/>
      <c r="H96" s="454"/>
      <c r="I96" s="427"/>
      <c r="J96" s="427"/>
      <c r="K96" s="427"/>
    </row>
    <row r="97" spans="1:11" s="430" customFormat="1" hidden="1" outlineLevel="2">
      <c r="A97" s="427"/>
      <c r="B97" s="427" t="s">
        <v>162</v>
      </c>
      <c r="C97" s="427"/>
      <c r="D97" s="427"/>
      <c r="E97" s="429"/>
      <c r="F97" s="427"/>
      <c r="G97" s="454"/>
      <c r="H97" s="454"/>
      <c r="I97" s="427"/>
      <c r="J97" s="427"/>
      <c r="K97" s="427"/>
    </row>
    <row r="98" spans="1:11" s="430" customFormat="1" hidden="1" outlineLevel="2">
      <c r="A98" s="427"/>
      <c r="B98" s="427" t="s">
        <v>163</v>
      </c>
      <c r="C98" s="427"/>
      <c r="D98" s="427"/>
      <c r="E98" s="429"/>
      <c r="F98" s="427"/>
      <c r="G98" s="454"/>
      <c r="H98" s="454"/>
      <c r="I98" s="427"/>
      <c r="J98" s="427"/>
      <c r="K98" s="427"/>
    </row>
    <row r="99" spans="1:11" s="430" customFormat="1" hidden="1" outlineLevel="2">
      <c r="A99" s="427"/>
      <c r="B99" s="427" t="s">
        <v>164</v>
      </c>
      <c r="C99" s="427"/>
      <c r="D99" s="427"/>
      <c r="E99" s="429"/>
      <c r="F99" s="427"/>
      <c r="G99" s="454"/>
      <c r="H99" s="454"/>
      <c r="I99" s="427"/>
      <c r="J99" s="427"/>
      <c r="K99" s="427"/>
    </row>
    <row r="100" spans="1:11" s="430" customFormat="1" hidden="1" outlineLevel="2">
      <c r="A100" s="427"/>
      <c r="B100" s="427" t="s">
        <v>165</v>
      </c>
      <c r="C100" s="427"/>
      <c r="D100" s="427"/>
      <c r="E100" s="429"/>
      <c r="F100" s="427"/>
      <c r="G100" s="454"/>
      <c r="H100" s="454"/>
      <c r="I100" s="427"/>
      <c r="J100" s="427"/>
      <c r="K100" s="427"/>
    </row>
    <row r="101" spans="1:11" s="430" customFormat="1" hidden="1" outlineLevel="2">
      <c r="A101" s="427"/>
      <c r="B101" s="427" t="s">
        <v>166</v>
      </c>
      <c r="C101" s="427"/>
      <c r="D101" s="427"/>
      <c r="E101" s="429"/>
      <c r="F101" s="427"/>
      <c r="G101" s="454"/>
      <c r="H101" s="454"/>
      <c r="I101" s="427"/>
      <c r="J101" s="427"/>
      <c r="K101" s="427"/>
    </row>
    <row r="102" spans="1:11" s="430" customFormat="1" hidden="1" outlineLevel="2">
      <c r="A102" s="427"/>
      <c r="B102" s="427" t="s">
        <v>167</v>
      </c>
      <c r="C102" s="427"/>
      <c r="D102" s="427"/>
      <c r="E102" s="429"/>
      <c r="F102" s="427"/>
      <c r="G102" s="454"/>
      <c r="H102" s="454"/>
      <c r="I102" s="427"/>
      <c r="J102" s="427"/>
      <c r="K102" s="427"/>
    </row>
    <row r="103" spans="1:11" s="430" customFormat="1" hidden="1" outlineLevel="2">
      <c r="A103" s="427"/>
      <c r="B103" s="427" t="s">
        <v>168</v>
      </c>
      <c r="C103" s="427"/>
      <c r="D103" s="427"/>
      <c r="E103" s="429"/>
      <c r="F103" s="427"/>
      <c r="G103" s="454"/>
      <c r="H103" s="454"/>
      <c r="I103" s="427"/>
      <c r="J103" s="427"/>
      <c r="K103" s="427"/>
    </row>
    <row r="104" spans="1:11" s="430" customFormat="1" hidden="1" outlineLevel="2">
      <c r="A104" s="427"/>
      <c r="B104" s="427"/>
      <c r="C104" s="427"/>
      <c r="D104" s="427"/>
      <c r="E104" s="429"/>
      <c r="F104" s="427"/>
      <c r="G104" s="454"/>
      <c r="H104" s="454"/>
      <c r="I104" s="427"/>
      <c r="J104" s="427"/>
      <c r="K104" s="427"/>
    </row>
    <row r="105" spans="1:11" s="430" customFormat="1" hidden="1" outlineLevel="2">
      <c r="A105" s="427"/>
      <c r="B105" s="427"/>
      <c r="C105" s="431" t="str">
        <f ca="1">IF(C93&lt;&gt;0,OFFSET(B94,C93,0),"")</f>
        <v/>
      </c>
      <c r="D105" s="427"/>
      <c r="E105" s="429"/>
      <c r="F105" s="427"/>
      <c r="G105" s="454"/>
      <c r="H105" s="454"/>
      <c r="I105" s="427"/>
      <c r="J105" s="427"/>
      <c r="K105" s="427"/>
    </row>
    <row r="106" spans="1:11" s="430" customFormat="1" hidden="1" outlineLevel="2">
      <c r="A106" s="427"/>
      <c r="B106" s="427"/>
      <c r="C106" s="427"/>
      <c r="D106" s="427"/>
      <c r="E106" s="429"/>
      <c r="F106" s="427"/>
      <c r="G106" s="454"/>
      <c r="H106" s="454"/>
      <c r="I106" s="427"/>
      <c r="J106" s="427"/>
      <c r="K106" s="427"/>
    </row>
    <row r="107" spans="1:11" s="430" customFormat="1" hidden="1" outlineLevel="2">
      <c r="A107" s="427"/>
      <c r="B107" s="427" t="s">
        <v>169</v>
      </c>
      <c r="C107" s="427">
        <f>ROUNDDOWN((C92-C93*100)/10,0)</f>
        <v>0</v>
      </c>
      <c r="D107" s="427"/>
      <c r="E107" s="429"/>
      <c r="F107" s="427"/>
      <c r="G107" s="454"/>
      <c r="H107" s="454"/>
      <c r="I107" s="427"/>
      <c r="J107" s="427"/>
      <c r="K107" s="427"/>
    </row>
    <row r="108" spans="1:11" s="430" customFormat="1" hidden="1" outlineLevel="2">
      <c r="A108" s="427"/>
      <c r="B108" s="427"/>
      <c r="C108" s="427"/>
      <c r="D108" s="427"/>
      <c r="E108" s="429"/>
      <c r="F108" s="427"/>
      <c r="G108" s="454"/>
      <c r="H108" s="454"/>
      <c r="I108" s="427"/>
      <c r="J108" s="427"/>
      <c r="K108" s="427"/>
    </row>
    <row r="109" spans="1:11" s="430" customFormat="1" hidden="1" outlineLevel="2">
      <c r="A109" s="427"/>
      <c r="B109" s="427" t="s">
        <v>129</v>
      </c>
      <c r="C109" s="427"/>
      <c r="D109" s="427"/>
      <c r="E109" s="429"/>
      <c r="F109" s="427"/>
      <c r="G109" s="454"/>
      <c r="H109" s="454"/>
      <c r="I109" s="427"/>
      <c r="J109" s="427"/>
      <c r="K109" s="427"/>
    </row>
    <row r="110" spans="1:11" s="430" customFormat="1" hidden="1" outlineLevel="2">
      <c r="A110" s="427"/>
      <c r="B110" s="427" t="s">
        <v>130</v>
      </c>
      <c r="C110" s="427"/>
      <c r="D110" s="427"/>
      <c r="E110" s="429"/>
      <c r="F110" s="427"/>
      <c r="G110" s="454"/>
      <c r="H110" s="454"/>
      <c r="I110" s="427"/>
      <c r="J110" s="427"/>
      <c r="K110" s="427"/>
    </row>
    <row r="111" spans="1:11" s="430" customFormat="1" hidden="1" outlineLevel="2">
      <c r="A111" s="427"/>
      <c r="B111" s="427" t="s">
        <v>131</v>
      </c>
      <c r="C111" s="427"/>
      <c r="D111" s="427"/>
      <c r="E111" s="429"/>
      <c r="F111" s="427"/>
      <c r="G111" s="454"/>
      <c r="H111" s="454"/>
      <c r="I111" s="427"/>
      <c r="J111" s="427"/>
      <c r="K111" s="427"/>
    </row>
    <row r="112" spans="1:11" s="430" customFormat="1" hidden="1" outlineLevel="2">
      <c r="A112" s="427"/>
      <c r="B112" s="427" t="s">
        <v>132</v>
      </c>
      <c r="C112" s="427"/>
      <c r="D112" s="427"/>
      <c r="E112" s="429"/>
      <c r="F112" s="427"/>
      <c r="G112" s="454"/>
      <c r="H112" s="454"/>
      <c r="I112" s="427"/>
      <c r="J112" s="427"/>
      <c r="K112" s="427"/>
    </row>
    <row r="113" spans="1:11" s="430" customFormat="1" hidden="1" outlineLevel="2">
      <c r="A113" s="427"/>
      <c r="B113" s="427" t="s">
        <v>133</v>
      </c>
      <c r="C113" s="427"/>
      <c r="D113" s="427"/>
      <c r="E113" s="429"/>
      <c r="F113" s="427"/>
      <c r="G113" s="454"/>
      <c r="H113" s="454"/>
      <c r="I113" s="427"/>
      <c r="J113" s="427"/>
      <c r="K113" s="427"/>
    </row>
    <row r="114" spans="1:11" s="430" customFormat="1" hidden="1" outlineLevel="2">
      <c r="A114" s="427"/>
      <c r="B114" s="427" t="s">
        <v>134</v>
      </c>
      <c r="C114" s="427"/>
      <c r="D114" s="427"/>
      <c r="E114" s="429"/>
      <c r="F114" s="427"/>
      <c r="G114" s="454"/>
      <c r="H114" s="454"/>
      <c r="I114" s="427"/>
      <c r="J114" s="427"/>
      <c r="K114" s="427"/>
    </row>
    <row r="115" spans="1:11" s="430" customFormat="1" hidden="1" outlineLevel="2">
      <c r="A115" s="427"/>
      <c r="B115" s="427" t="s">
        <v>135</v>
      </c>
      <c r="C115" s="427"/>
      <c r="D115" s="427"/>
      <c r="E115" s="429"/>
      <c r="F115" s="427"/>
      <c r="G115" s="454"/>
      <c r="H115" s="454"/>
      <c r="I115" s="427"/>
      <c r="J115" s="427"/>
      <c r="K115" s="427"/>
    </row>
    <row r="116" spans="1:11" s="430" customFormat="1" hidden="1" outlineLevel="2">
      <c r="A116" s="427"/>
      <c r="B116" s="427" t="s">
        <v>136</v>
      </c>
      <c r="C116" s="427"/>
      <c r="D116" s="427"/>
      <c r="E116" s="429"/>
      <c r="F116" s="427"/>
      <c r="G116" s="454"/>
      <c r="H116" s="454"/>
      <c r="I116" s="427"/>
      <c r="J116" s="427"/>
      <c r="K116" s="427"/>
    </row>
    <row r="117" spans="1:11" s="430" customFormat="1" hidden="1" outlineLevel="2">
      <c r="A117" s="427"/>
      <c r="B117" s="427" t="s">
        <v>137</v>
      </c>
      <c r="C117" s="427"/>
      <c r="D117" s="427"/>
      <c r="E117" s="429"/>
      <c r="F117" s="427"/>
      <c r="G117" s="454"/>
      <c r="H117" s="454"/>
      <c r="I117" s="427"/>
      <c r="J117" s="427"/>
      <c r="K117" s="427"/>
    </row>
    <row r="118" spans="1:11" s="430" customFormat="1" hidden="1" outlineLevel="2">
      <c r="A118" s="427"/>
      <c r="B118" s="427"/>
      <c r="C118" s="427"/>
      <c r="D118" s="427"/>
      <c r="E118" s="429"/>
      <c r="F118" s="427"/>
      <c r="G118" s="454"/>
      <c r="H118" s="454"/>
      <c r="I118" s="427"/>
      <c r="J118" s="427"/>
      <c r="K118" s="427"/>
    </row>
    <row r="119" spans="1:11" s="430" customFormat="1" hidden="1" outlineLevel="2">
      <c r="A119" s="427"/>
      <c r="B119" s="427"/>
      <c r="C119" s="431" t="str">
        <f ca="1">IF(AND(C107=1,C121&lt;&gt;0),"",IF(C107&lt;&gt;0,OFFSET(B108,C107,0),""))</f>
        <v/>
      </c>
      <c r="D119" s="427"/>
      <c r="E119" s="429"/>
      <c r="F119" s="427"/>
      <c r="G119" s="454"/>
      <c r="H119" s="454"/>
      <c r="I119" s="427"/>
      <c r="J119" s="427"/>
      <c r="K119" s="427"/>
    </row>
    <row r="120" spans="1:11" s="430" customFormat="1" hidden="1" outlineLevel="2">
      <c r="A120" s="427"/>
      <c r="B120" s="427"/>
      <c r="C120" s="427"/>
      <c r="D120" s="427"/>
      <c r="E120" s="429"/>
      <c r="F120" s="427"/>
      <c r="G120" s="454"/>
      <c r="H120" s="454"/>
      <c r="I120" s="427"/>
      <c r="J120" s="427"/>
      <c r="K120" s="427"/>
    </row>
    <row r="121" spans="1:11" s="430" customFormat="1" hidden="1" outlineLevel="2">
      <c r="A121" s="427"/>
      <c r="B121" s="427" t="s">
        <v>158</v>
      </c>
      <c r="C121" s="427">
        <f>C92-C93*100-C107*10</f>
        <v>0</v>
      </c>
      <c r="D121" s="427"/>
      <c r="E121" s="429"/>
      <c r="F121" s="427"/>
      <c r="G121" s="454"/>
      <c r="H121" s="454"/>
      <c r="I121" s="427"/>
      <c r="J121" s="427"/>
      <c r="K121" s="427"/>
    </row>
    <row r="122" spans="1:11" s="430" customFormat="1" hidden="1" outlineLevel="2">
      <c r="A122" s="427"/>
      <c r="B122" s="427"/>
      <c r="C122" s="427"/>
      <c r="D122" s="427"/>
      <c r="E122" s="429"/>
      <c r="F122" s="427"/>
      <c r="G122" s="454"/>
      <c r="H122" s="454"/>
      <c r="I122" s="427"/>
      <c r="J122" s="427"/>
      <c r="K122" s="427"/>
    </row>
    <row r="123" spans="1:11" s="430" customFormat="1" hidden="1" outlineLevel="2">
      <c r="A123" s="427"/>
      <c r="B123" s="427" t="s">
        <v>170</v>
      </c>
      <c r="C123" s="427"/>
      <c r="D123" s="427"/>
      <c r="E123" s="429"/>
      <c r="F123" s="427"/>
      <c r="G123" s="454"/>
      <c r="H123" s="454"/>
      <c r="I123" s="427"/>
      <c r="J123" s="427"/>
      <c r="K123" s="427"/>
    </row>
    <row r="124" spans="1:11" s="430" customFormat="1" hidden="1" outlineLevel="2">
      <c r="A124" s="427"/>
      <c r="B124" s="427" t="s">
        <v>171</v>
      </c>
      <c r="C124" s="427"/>
      <c r="D124" s="427"/>
      <c r="E124" s="429"/>
      <c r="F124" s="427"/>
      <c r="G124" s="454"/>
      <c r="H124" s="454"/>
      <c r="I124" s="427"/>
      <c r="J124" s="427"/>
      <c r="K124" s="427"/>
    </row>
    <row r="125" spans="1:11" s="430" customFormat="1" hidden="1" outlineLevel="2">
      <c r="A125" s="427"/>
      <c r="B125" s="427" t="s">
        <v>141</v>
      </c>
      <c r="C125" s="427"/>
      <c r="D125" s="427"/>
      <c r="E125" s="429"/>
      <c r="F125" s="427"/>
      <c r="G125" s="454"/>
      <c r="H125" s="454"/>
      <c r="I125" s="427"/>
      <c r="J125" s="427"/>
      <c r="K125" s="427"/>
    </row>
    <row r="126" spans="1:11" s="430" customFormat="1" hidden="1" outlineLevel="2">
      <c r="A126" s="427"/>
      <c r="B126" s="427" t="s">
        <v>142</v>
      </c>
      <c r="C126" s="427"/>
      <c r="D126" s="427"/>
      <c r="E126" s="429"/>
      <c r="F126" s="427"/>
      <c r="G126" s="454"/>
      <c r="H126" s="454"/>
      <c r="I126" s="427"/>
      <c r="J126" s="427"/>
      <c r="K126" s="427"/>
    </row>
    <row r="127" spans="1:11" s="430" customFormat="1" hidden="1" outlineLevel="2">
      <c r="A127" s="427"/>
      <c r="B127" s="427" t="s">
        <v>143</v>
      </c>
      <c r="C127" s="427"/>
      <c r="D127" s="427"/>
      <c r="E127" s="429"/>
      <c r="F127" s="427"/>
      <c r="G127" s="454"/>
      <c r="H127" s="454"/>
      <c r="I127" s="427"/>
      <c r="J127" s="427"/>
      <c r="K127" s="427"/>
    </row>
    <row r="128" spans="1:11" s="430" customFormat="1" hidden="1" outlineLevel="2">
      <c r="A128" s="427"/>
      <c r="B128" s="427" t="s">
        <v>144</v>
      </c>
      <c r="C128" s="427"/>
      <c r="D128" s="427"/>
      <c r="E128" s="429"/>
      <c r="F128" s="427"/>
      <c r="G128" s="454"/>
      <c r="H128" s="454"/>
      <c r="I128" s="427"/>
      <c r="J128" s="427"/>
      <c r="K128" s="427"/>
    </row>
    <row r="129" spans="1:11" s="430" customFormat="1" hidden="1" outlineLevel="2">
      <c r="A129" s="427"/>
      <c r="B129" s="427" t="s">
        <v>145</v>
      </c>
      <c r="C129" s="427"/>
      <c r="D129" s="427"/>
      <c r="E129" s="429"/>
      <c r="F129" s="427"/>
      <c r="G129" s="454"/>
      <c r="H129" s="454"/>
      <c r="I129" s="427"/>
      <c r="J129" s="427"/>
      <c r="K129" s="427"/>
    </row>
    <row r="130" spans="1:11" s="430" customFormat="1" hidden="1" outlineLevel="2">
      <c r="A130" s="427"/>
      <c r="B130" s="427" t="s">
        <v>146</v>
      </c>
      <c r="C130" s="427"/>
      <c r="D130" s="427"/>
      <c r="E130" s="429"/>
      <c r="F130" s="427"/>
      <c r="G130" s="454"/>
      <c r="H130" s="454"/>
      <c r="I130" s="427"/>
      <c r="J130" s="427"/>
      <c r="K130" s="427"/>
    </row>
    <row r="131" spans="1:11" s="430" customFormat="1" hidden="1" outlineLevel="2">
      <c r="A131" s="427"/>
      <c r="B131" s="427" t="s">
        <v>147</v>
      </c>
      <c r="C131" s="427"/>
      <c r="D131" s="427"/>
      <c r="E131" s="429"/>
      <c r="F131" s="427"/>
      <c r="G131" s="454"/>
      <c r="H131" s="454"/>
      <c r="I131" s="427"/>
      <c r="J131" s="427"/>
      <c r="K131" s="427"/>
    </row>
    <row r="132" spans="1:11" s="430" customFormat="1" hidden="1" outlineLevel="2">
      <c r="A132" s="427"/>
      <c r="B132" s="427"/>
      <c r="C132" s="427"/>
      <c r="D132" s="427"/>
      <c r="E132" s="429"/>
      <c r="F132" s="427"/>
      <c r="G132" s="454"/>
      <c r="H132" s="454"/>
      <c r="I132" s="427"/>
      <c r="J132" s="427"/>
      <c r="K132" s="427"/>
    </row>
    <row r="133" spans="1:11" s="430" customFormat="1" hidden="1" outlineLevel="2">
      <c r="A133" s="427"/>
      <c r="B133" s="427"/>
      <c r="C133" s="431" t="str">
        <f ca="1">IF(C107&lt;&gt;1,IF(C121&lt;&gt;0,OFFSET(B122,C121,0),""),"")</f>
        <v/>
      </c>
      <c r="D133" s="427"/>
      <c r="E133" s="429"/>
      <c r="F133" s="427"/>
      <c r="G133" s="454"/>
      <c r="H133" s="454"/>
      <c r="I133" s="427"/>
      <c r="J133" s="427"/>
      <c r="K133" s="427"/>
    </row>
    <row r="134" spans="1:11" s="430" customFormat="1" hidden="1" outlineLevel="2">
      <c r="A134" s="427"/>
      <c r="B134" s="427"/>
      <c r="C134" s="427"/>
      <c r="D134" s="427"/>
      <c r="E134" s="429"/>
      <c r="F134" s="427"/>
      <c r="G134" s="454"/>
      <c r="H134" s="454"/>
      <c r="I134" s="427"/>
      <c r="J134" s="427"/>
      <c r="K134" s="427"/>
    </row>
    <row r="135" spans="1:11" s="430" customFormat="1" hidden="1" outlineLevel="2">
      <c r="A135" s="427"/>
      <c r="B135" s="427" t="s">
        <v>148</v>
      </c>
      <c r="C135" s="427"/>
      <c r="D135" s="427"/>
      <c r="E135" s="429"/>
      <c r="F135" s="427"/>
      <c r="G135" s="454"/>
      <c r="H135" s="454"/>
      <c r="I135" s="427"/>
      <c r="J135" s="427"/>
      <c r="K135" s="427"/>
    </row>
    <row r="136" spans="1:11" s="430" customFormat="1" hidden="1" outlineLevel="2">
      <c r="A136" s="427"/>
      <c r="B136" s="427"/>
      <c r="C136" s="427"/>
      <c r="D136" s="427"/>
      <c r="E136" s="429"/>
      <c r="F136" s="427"/>
      <c r="G136" s="454"/>
      <c r="H136" s="454"/>
      <c r="I136" s="427"/>
      <c r="J136" s="427"/>
      <c r="K136" s="427"/>
    </row>
    <row r="137" spans="1:11" s="430" customFormat="1" hidden="1" outlineLevel="2">
      <c r="A137" s="427"/>
      <c r="B137" s="427"/>
      <c r="C137" s="427">
        <f>+C121</f>
        <v>0</v>
      </c>
      <c r="D137" s="427"/>
      <c r="E137" s="429"/>
      <c r="F137" s="427"/>
      <c r="G137" s="454"/>
      <c r="H137" s="454"/>
      <c r="I137" s="427"/>
      <c r="J137" s="427"/>
      <c r="K137" s="427"/>
    </row>
    <row r="138" spans="1:11" s="430" customFormat="1" hidden="1" outlineLevel="2">
      <c r="A138" s="427"/>
      <c r="B138" s="427" t="s">
        <v>149</v>
      </c>
      <c r="C138" s="427"/>
      <c r="D138" s="427"/>
      <c r="E138" s="429"/>
      <c r="F138" s="427"/>
      <c r="G138" s="454"/>
      <c r="H138" s="454"/>
      <c r="I138" s="427"/>
      <c r="J138" s="427"/>
      <c r="K138" s="427"/>
    </row>
    <row r="139" spans="1:11" s="430" customFormat="1" hidden="1" outlineLevel="2">
      <c r="A139" s="427"/>
      <c r="B139" s="427" t="s">
        <v>150</v>
      </c>
      <c r="C139" s="427"/>
      <c r="D139" s="427"/>
      <c r="E139" s="429"/>
      <c r="F139" s="427"/>
      <c r="G139" s="454"/>
      <c r="H139" s="454"/>
      <c r="I139" s="427"/>
      <c r="J139" s="427"/>
      <c r="K139" s="427"/>
    </row>
    <row r="140" spans="1:11" s="430" customFormat="1" hidden="1" outlineLevel="2">
      <c r="A140" s="427"/>
      <c r="B140" s="427" t="s">
        <v>151</v>
      </c>
      <c r="C140" s="427"/>
      <c r="D140" s="427"/>
      <c r="E140" s="429"/>
      <c r="F140" s="427"/>
      <c r="G140" s="454"/>
      <c r="H140" s="454"/>
      <c r="I140" s="427"/>
      <c r="J140" s="427"/>
      <c r="K140" s="427"/>
    </row>
    <row r="141" spans="1:11" s="430" customFormat="1" hidden="1" outlineLevel="2">
      <c r="A141" s="427"/>
      <c r="B141" s="427" t="s">
        <v>152</v>
      </c>
      <c r="C141" s="427"/>
      <c r="D141" s="427"/>
      <c r="E141" s="429"/>
      <c r="F141" s="427"/>
      <c r="G141" s="454"/>
      <c r="H141" s="454"/>
      <c r="I141" s="427"/>
      <c r="J141" s="427"/>
      <c r="K141" s="427"/>
    </row>
    <row r="142" spans="1:11" s="430" customFormat="1" hidden="1" outlineLevel="2">
      <c r="A142" s="427"/>
      <c r="B142" s="427" t="s">
        <v>153</v>
      </c>
      <c r="C142" s="427"/>
      <c r="D142" s="427"/>
      <c r="E142" s="429"/>
      <c r="F142" s="427"/>
      <c r="G142" s="454"/>
      <c r="H142" s="454"/>
      <c r="I142" s="427"/>
      <c r="J142" s="427"/>
      <c r="K142" s="427"/>
    </row>
    <row r="143" spans="1:11" s="430" customFormat="1" hidden="1" outlineLevel="2">
      <c r="A143" s="427"/>
      <c r="B143" s="427" t="s">
        <v>154</v>
      </c>
      <c r="C143" s="427"/>
      <c r="D143" s="427"/>
      <c r="E143" s="429"/>
      <c r="F143" s="427"/>
      <c r="G143" s="454"/>
      <c r="H143" s="454"/>
      <c r="I143" s="427"/>
      <c r="J143" s="427"/>
      <c r="K143" s="427"/>
    </row>
    <row r="144" spans="1:11" s="430" customFormat="1" hidden="1" outlineLevel="2">
      <c r="A144" s="427"/>
      <c r="B144" s="427" t="s">
        <v>155</v>
      </c>
      <c r="C144" s="427"/>
      <c r="D144" s="427"/>
      <c r="E144" s="429"/>
      <c r="F144" s="427"/>
      <c r="G144" s="454"/>
      <c r="H144" s="454"/>
      <c r="I144" s="427"/>
      <c r="J144" s="427"/>
      <c r="K144" s="427"/>
    </row>
    <row r="145" spans="1:11" s="430" customFormat="1" hidden="1" outlineLevel="2">
      <c r="A145" s="427"/>
      <c r="B145" s="427" t="s">
        <v>156</v>
      </c>
      <c r="C145" s="427"/>
      <c r="D145" s="427"/>
      <c r="E145" s="429"/>
      <c r="F145" s="427"/>
      <c r="G145" s="454"/>
      <c r="H145" s="454"/>
      <c r="I145" s="427"/>
      <c r="J145" s="427"/>
      <c r="K145" s="427"/>
    </row>
    <row r="146" spans="1:11" s="430" customFormat="1" hidden="1" outlineLevel="2">
      <c r="A146" s="427"/>
      <c r="B146" s="427" t="s">
        <v>157</v>
      </c>
      <c r="C146" s="427"/>
      <c r="D146" s="427"/>
      <c r="E146" s="429"/>
      <c r="F146" s="427"/>
      <c r="G146" s="454"/>
      <c r="H146" s="454"/>
      <c r="I146" s="427"/>
      <c r="J146" s="427"/>
      <c r="K146" s="427"/>
    </row>
    <row r="147" spans="1:11" s="430" customFormat="1" hidden="1" outlineLevel="2">
      <c r="A147" s="427"/>
      <c r="B147" s="427"/>
      <c r="C147" s="427"/>
      <c r="D147" s="427"/>
      <c r="E147" s="429"/>
      <c r="F147" s="427"/>
      <c r="G147" s="454"/>
      <c r="H147" s="454"/>
      <c r="I147" s="427"/>
      <c r="J147" s="427"/>
      <c r="K147" s="427"/>
    </row>
    <row r="148" spans="1:11" s="430" customFormat="1" hidden="1" outlineLevel="2">
      <c r="A148" s="427"/>
      <c r="B148" s="427"/>
      <c r="C148" s="431" t="str">
        <f ca="1">IF(AND(C107=1,C121&lt;&gt;0),IF(C107&lt;&gt;0,OFFSET(B137,C137,0),""),"")</f>
        <v/>
      </c>
      <c r="D148" s="427"/>
      <c r="E148" s="429"/>
      <c r="F148" s="427"/>
      <c r="G148" s="454"/>
      <c r="H148" s="454"/>
      <c r="I148" s="427"/>
      <c r="J148" s="427"/>
      <c r="K148" s="427"/>
    </row>
    <row r="149" spans="1:11" s="430" customFormat="1" hidden="1" outlineLevel="2">
      <c r="A149" s="427"/>
      <c r="B149" s="427"/>
      <c r="C149" s="427"/>
      <c r="D149" s="427"/>
      <c r="E149" s="429"/>
      <c r="F149" s="427"/>
      <c r="G149" s="454"/>
      <c r="H149" s="454"/>
      <c r="I149" s="427"/>
      <c r="J149" s="427"/>
      <c r="K149" s="427"/>
    </row>
    <row r="150" spans="1:11" s="430" customFormat="1" hidden="1" outlineLevel="2">
      <c r="A150" s="427"/>
      <c r="B150" s="427"/>
      <c r="C150" s="431" t="str">
        <f>IF(C107&lt;&gt;1,IF(OR(C121=2,C121=3,C121=4)," тысячи",""),"")</f>
        <v/>
      </c>
      <c r="D150" s="427"/>
      <c r="E150" s="429"/>
      <c r="F150" s="427"/>
      <c r="G150" s="454"/>
      <c r="H150" s="454"/>
      <c r="I150" s="427"/>
      <c r="J150" s="427"/>
      <c r="K150" s="427"/>
    </row>
    <row r="151" spans="1:11" s="430" customFormat="1" hidden="1" outlineLevel="2">
      <c r="A151" s="427"/>
      <c r="B151" s="427"/>
      <c r="C151" s="431" t="str">
        <f>IF(C107&lt;&gt;1,IF(OR(C121=1)," тысяча",""),"")</f>
        <v/>
      </c>
      <c r="D151" s="427"/>
      <c r="E151" s="429"/>
      <c r="F151" s="427"/>
      <c r="G151" s="454"/>
      <c r="H151" s="454"/>
      <c r="I151" s="427"/>
      <c r="J151" s="427"/>
      <c r="K151" s="427"/>
    </row>
    <row r="152" spans="1:11" s="430" customFormat="1" hidden="1" outlineLevel="2">
      <c r="A152" s="427"/>
      <c r="B152" s="427"/>
      <c r="C152" s="431" t="str">
        <f>IF(C92&lt;&gt;0,IF(AND(C150="",C151="")," тысяч",""),"")</f>
        <v/>
      </c>
      <c r="D152" s="427"/>
      <c r="E152" s="429"/>
      <c r="F152" s="427"/>
      <c r="G152" s="454"/>
      <c r="H152" s="454"/>
      <c r="I152" s="427"/>
      <c r="J152" s="427"/>
      <c r="K152" s="427"/>
    </row>
    <row r="153" spans="1:11" s="430" customFormat="1" hidden="1" outlineLevel="2">
      <c r="A153" s="427"/>
      <c r="B153" s="427"/>
      <c r="C153" s="432" t="str">
        <f ca="1">(CONCATENATE(C105,C119,C133,C148,C150,C151,C152))</f>
        <v/>
      </c>
      <c r="D153" s="427"/>
      <c r="E153" s="429"/>
      <c r="F153" s="427"/>
      <c r="G153" s="454"/>
      <c r="H153" s="454"/>
      <c r="I153" s="427"/>
      <c r="J153" s="427"/>
      <c r="K153" s="427"/>
    </row>
    <row r="154" spans="1:11" s="430" customFormat="1" hidden="1" outlineLevel="2">
      <c r="A154" s="427"/>
      <c r="B154" s="427"/>
      <c r="C154" s="427"/>
      <c r="D154" s="427"/>
      <c r="E154" s="429"/>
      <c r="F154" s="427"/>
      <c r="G154" s="454"/>
      <c r="H154" s="454"/>
      <c r="I154" s="427"/>
      <c r="J154" s="427"/>
      <c r="K154" s="427"/>
    </row>
    <row r="155" spans="1:11" s="430" customFormat="1" hidden="1" outlineLevel="2">
      <c r="A155" s="427"/>
      <c r="B155" s="427" t="s">
        <v>172</v>
      </c>
      <c r="C155" s="427">
        <f>ROUNDDOWN(C27-C28*1000000-C92*1000,0)</f>
        <v>0</v>
      </c>
      <c r="D155" s="427"/>
      <c r="E155" s="429"/>
      <c r="F155" s="427"/>
      <c r="G155" s="454"/>
      <c r="H155" s="454"/>
      <c r="I155" s="427"/>
      <c r="J155" s="427"/>
      <c r="K155" s="427"/>
    </row>
    <row r="156" spans="1:11" s="430" customFormat="1" hidden="1" outlineLevel="2">
      <c r="A156" s="427"/>
      <c r="B156" s="427" t="s">
        <v>159</v>
      </c>
      <c r="C156" s="427">
        <f>ROUNDDOWN(C155/100,0)</f>
        <v>0</v>
      </c>
      <c r="D156" s="427"/>
      <c r="E156" s="429"/>
      <c r="F156" s="427"/>
      <c r="G156" s="454"/>
      <c r="H156" s="454"/>
      <c r="I156" s="427"/>
      <c r="J156" s="427"/>
      <c r="K156" s="427"/>
    </row>
    <row r="157" spans="1:11" s="430" customFormat="1" hidden="1" outlineLevel="2">
      <c r="A157" s="427"/>
      <c r="B157" s="427"/>
      <c r="C157" s="427"/>
      <c r="D157" s="427"/>
      <c r="E157" s="429"/>
      <c r="F157" s="427"/>
      <c r="G157" s="454"/>
      <c r="H157" s="454"/>
      <c r="I157" s="427"/>
      <c r="J157" s="427"/>
      <c r="K157" s="427"/>
    </row>
    <row r="158" spans="1:11" s="430" customFormat="1" hidden="1" outlineLevel="2">
      <c r="A158" s="427"/>
      <c r="B158" s="427" t="s">
        <v>160</v>
      </c>
      <c r="C158" s="427"/>
      <c r="D158" s="427"/>
      <c r="E158" s="429"/>
      <c r="F158" s="427"/>
      <c r="G158" s="454"/>
      <c r="H158" s="454"/>
      <c r="I158" s="427"/>
      <c r="J158" s="427"/>
      <c r="K158" s="427"/>
    </row>
    <row r="159" spans="1:11" s="430" customFormat="1" hidden="1" outlineLevel="2">
      <c r="A159" s="427"/>
      <c r="B159" s="427" t="s">
        <v>161</v>
      </c>
      <c r="C159" s="427"/>
      <c r="D159" s="427"/>
      <c r="E159" s="429"/>
      <c r="F159" s="427"/>
      <c r="G159" s="454"/>
      <c r="H159" s="454"/>
      <c r="I159" s="427"/>
      <c r="J159" s="427"/>
      <c r="K159" s="427"/>
    </row>
    <row r="160" spans="1:11" s="430" customFormat="1" hidden="1" outlineLevel="2">
      <c r="A160" s="427"/>
      <c r="B160" s="427" t="s">
        <v>162</v>
      </c>
      <c r="C160" s="427"/>
      <c r="D160" s="427"/>
      <c r="E160" s="429"/>
      <c r="F160" s="427"/>
      <c r="G160" s="454"/>
      <c r="H160" s="454"/>
      <c r="I160" s="427"/>
      <c r="J160" s="427"/>
      <c r="K160" s="427"/>
    </row>
    <row r="161" spans="1:11" s="430" customFormat="1" hidden="1" outlineLevel="2">
      <c r="A161" s="427"/>
      <c r="B161" s="427" t="s">
        <v>163</v>
      </c>
      <c r="C161" s="427"/>
      <c r="D161" s="427"/>
      <c r="E161" s="429"/>
      <c r="F161" s="427"/>
      <c r="G161" s="454"/>
      <c r="H161" s="454"/>
      <c r="I161" s="427"/>
      <c r="J161" s="427"/>
      <c r="K161" s="427"/>
    </row>
    <row r="162" spans="1:11" s="430" customFormat="1" hidden="1" outlineLevel="2">
      <c r="A162" s="427"/>
      <c r="B162" s="427" t="s">
        <v>164</v>
      </c>
      <c r="C162" s="427"/>
      <c r="D162" s="427"/>
      <c r="E162" s="429"/>
      <c r="F162" s="427"/>
      <c r="G162" s="454"/>
      <c r="H162" s="454"/>
      <c r="I162" s="427"/>
      <c r="J162" s="427"/>
      <c r="K162" s="427"/>
    </row>
    <row r="163" spans="1:11" s="430" customFormat="1" hidden="1" outlineLevel="2">
      <c r="A163" s="427"/>
      <c r="B163" s="427" t="s">
        <v>165</v>
      </c>
      <c r="C163" s="427"/>
      <c r="D163" s="427"/>
      <c r="E163" s="429"/>
      <c r="F163" s="427"/>
      <c r="G163" s="454"/>
      <c r="H163" s="454"/>
      <c r="I163" s="427"/>
      <c r="J163" s="427"/>
      <c r="K163" s="427"/>
    </row>
    <row r="164" spans="1:11" s="430" customFormat="1" hidden="1" outlineLevel="2">
      <c r="A164" s="427"/>
      <c r="B164" s="427" t="s">
        <v>166</v>
      </c>
      <c r="C164" s="427"/>
      <c r="D164" s="427"/>
      <c r="E164" s="429"/>
      <c r="F164" s="427"/>
      <c r="G164" s="454"/>
      <c r="H164" s="454"/>
      <c r="I164" s="427"/>
      <c r="J164" s="427"/>
      <c r="K164" s="427"/>
    </row>
    <row r="165" spans="1:11" s="430" customFormat="1" hidden="1" outlineLevel="2">
      <c r="A165" s="427"/>
      <c r="B165" s="427" t="s">
        <v>167</v>
      </c>
      <c r="C165" s="427"/>
      <c r="D165" s="427"/>
      <c r="E165" s="429"/>
      <c r="F165" s="427"/>
      <c r="G165" s="454"/>
      <c r="H165" s="454"/>
      <c r="I165" s="427"/>
      <c r="J165" s="427"/>
      <c r="K165" s="427"/>
    </row>
    <row r="166" spans="1:11" s="430" customFormat="1" hidden="1" outlineLevel="2">
      <c r="A166" s="427"/>
      <c r="B166" s="427" t="s">
        <v>168</v>
      </c>
      <c r="C166" s="427"/>
      <c r="D166" s="427"/>
      <c r="E166" s="429"/>
      <c r="F166" s="427"/>
      <c r="G166" s="454"/>
      <c r="H166" s="454"/>
      <c r="I166" s="427"/>
      <c r="J166" s="427"/>
      <c r="K166" s="427"/>
    </row>
    <row r="167" spans="1:11" s="430" customFormat="1" hidden="1" outlineLevel="2">
      <c r="A167" s="427"/>
      <c r="B167" s="427"/>
      <c r="C167" s="427"/>
      <c r="D167" s="427"/>
      <c r="E167" s="429"/>
      <c r="F167" s="427"/>
      <c r="G167" s="454"/>
      <c r="H167" s="454"/>
      <c r="I167" s="427"/>
      <c r="J167" s="427"/>
      <c r="K167" s="427"/>
    </row>
    <row r="168" spans="1:11" s="430" customFormat="1" hidden="1" outlineLevel="2">
      <c r="A168" s="427"/>
      <c r="B168" s="427"/>
      <c r="C168" s="431" t="str">
        <f ca="1">IF(C156&lt;&gt;0,OFFSET(B157,C156,0),"")</f>
        <v/>
      </c>
      <c r="D168" s="427"/>
      <c r="E168" s="429"/>
      <c r="F168" s="427"/>
      <c r="G168" s="454"/>
      <c r="H168" s="454"/>
      <c r="I168" s="427"/>
      <c r="J168" s="427"/>
      <c r="K168" s="427"/>
    </row>
    <row r="169" spans="1:11" s="430" customFormat="1" hidden="1" outlineLevel="2">
      <c r="A169" s="427"/>
      <c r="B169" s="427"/>
      <c r="C169" s="427"/>
      <c r="D169" s="427"/>
      <c r="E169" s="429"/>
      <c r="F169" s="427"/>
      <c r="G169" s="454"/>
      <c r="H169" s="454"/>
      <c r="I169" s="427"/>
      <c r="J169" s="427"/>
      <c r="K169" s="427"/>
    </row>
    <row r="170" spans="1:11" s="430" customFormat="1" hidden="1" outlineLevel="2">
      <c r="A170" s="427"/>
      <c r="B170" s="427" t="s">
        <v>169</v>
      </c>
      <c r="C170" s="427">
        <f>ROUNDDOWN((C155-C156*100)/10,0)</f>
        <v>0</v>
      </c>
      <c r="D170" s="427"/>
      <c r="E170" s="429"/>
      <c r="F170" s="427"/>
      <c r="G170" s="454"/>
      <c r="H170" s="454"/>
      <c r="I170" s="427"/>
      <c r="J170" s="427"/>
      <c r="K170" s="427"/>
    </row>
    <row r="171" spans="1:11" s="430" customFormat="1" hidden="1" outlineLevel="2">
      <c r="A171" s="427"/>
      <c r="B171" s="427"/>
      <c r="C171" s="427"/>
      <c r="D171" s="427"/>
      <c r="E171" s="429"/>
      <c r="F171" s="427"/>
      <c r="G171" s="454"/>
      <c r="H171" s="454"/>
      <c r="I171" s="427"/>
      <c r="J171" s="427"/>
      <c r="K171" s="427"/>
    </row>
    <row r="172" spans="1:11" s="430" customFormat="1" hidden="1" outlineLevel="2">
      <c r="A172" s="427"/>
      <c r="B172" s="427" t="s">
        <v>129</v>
      </c>
      <c r="C172" s="427"/>
      <c r="D172" s="427"/>
      <c r="E172" s="429"/>
      <c r="F172" s="427"/>
      <c r="G172" s="454"/>
      <c r="H172" s="454"/>
      <c r="I172" s="427"/>
      <c r="J172" s="427"/>
      <c r="K172" s="427"/>
    </row>
    <row r="173" spans="1:11" s="430" customFormat="1" hidden="1" outlineLevel="2">
      <c r="A173" s="427"/>
      <c r="B173" s="427" t="s">
        <v>130</v>
      </c>
      <c r="C173" s="427"/>
      <c r="D173" s="427"/>
      <c r="E173" s="429"/>
      <c r="F173" s="427"/>
      <c r="G173" s="454"/>
      <c r="H173" s="454"/>
      <c r="I173" s="427"/>
      <c r="J173" s="427"/>
      <c r="K173" s="427"/>
    </row>
    <row r="174" spans="1:11" s="430" customFormat="1" hidden="1" outlineLevel="2">
      <c r="A174" s="427"/>
      <c r="B174" s="427" t="s">
        <v>131</v>
      </c>
      <c r="C174" s="427"/>
      <c r="D174" s="427"/>
      <c r="E174" s="429"/>
      <c r="F174" s="427"/>
      <c r="G174" s="454"/>
      <c r="H174" s="454"/>
      <c r="I174" s="427"/>
      <c r="J174" s="427"/>
      <c r="K174" s="427"/>
    </row>
    <row r="175" spans="1:11" s="430" customFormat="1" hidden="1" outlineLevel="2">
      <c r="A175" s="427"/>
      <c r="B175" s="427" t="s">
        <v>132</v>
      </c>
      <c r="C175" s="427"/>
      <c r="D175" s="427"/>
      <c r="E175" s="429"/>
      <c r="F175" s="427"/>
      <c r="G175" s="454"/>
      <c r="H175" s="454"/>
      <c r="I175" s="427"/>
      <c r="J175" s="427"/>
      <c r="K175" s="427"/>
    </row>
    <row r="176" spans="1:11" s="430" customFormat="1" hidden="1" outlineLevel="2">
      <c r="A176" s="427"/>
      <c r="B176" s="427" t="s">
        <v>133</v>
      </c>
      <c r="C176" s="427"/>
      <c r="D176" s="427"/>
      <c r="E176" s="429"/>
      <c r="F176" s="427"/>
      <c r="G176" s="454"/>
      <c r="H176" s="454"/>
      <c r="I176" s="427"/>
      <c r="J176" s="427"/>
      <c r="K176" s="427"/>
    </row>
    <row r="177" spans="1:11" s="430" customFormat="1" hidden="1" outlineLevel="2">
      <c r="A177" s="427"/>
      <c r="B177" s="427" t="s">
        <v>134</v>
      </c>
      <c r="C177" s="427"/>
      <c r="D177" s="427"/>
      <c r="E177" s="429"/>
      <c r="F177" s="427"/>
      <c r="G177" s="454"/>
      <c r="H177" s="454"/>
      <c r="I177" s="427"/>
      <c r="J177" s="427"/>
      <c r="K177" s="427"/>
    </row>
    <row r="178" spans="1:11" s="430" customFormat="1" hidden="1" outlineLevel="2">
      <c r="A178" s="427"/>
      <c r="B178" s="427" t="s">
        <v>135</v>
      </c>
      <c r="C178" s="427"/>
      <c r="D178" s="427"/>
      <c r="E178" s="429"/>
      <c r="F178" s="427"/>
      <c r="G178" s="454"/>
      <c r="H178" s="454"/>
      <c r="I178" s="427"/>
      <c r="J178" s="427"/>
      <c r="K178" s="427"/>
    </row>
    <row r="179" spans="1:11" s="430" customFormat="1" hidden="1" outlineLevel="2">
      <c r="A179" s="427"/>
      <c r="B179" s="427" t="s">
        <v>136</v>
      </c>
      <c r="C179" s="427"/>
      <c r="D179" s="427"/>
      <c r="E179" s="429"/>
      <c r="F179" s="427"/>
      <c r="G179" s="454"/>
      <c r="H179" s="454"/>
      <c r="I179" s="427"/>
      <c r="J179" s="427"/>
      <c r="K179" s="427"/>
    </row>
    <row r="180" spans="1:11" s="430" customFormat="1" hidden="1" outlineLevel="2">
      <c r="A180" s="427"/>
      <c r="B180" s="427" t="s">
        <v>137</v>
      </c>
      <c r="C180" s="427"/>
      <c r="D180" s="427"/>
      <c r="E180" s="429"/>
      <c r="F180" s="427"/>
      <c r="G180" s="454"/>
      <c r="H180" s="454"/>
      <c r="I180" s="427"/>
      <c r="J180" s="427"/>
      <c r="K180" s="427"/>
    </row>
    <row r="181" spans="1:11" s="430" customFormat="1" hidden="1" outlineLevel="2">
      <c r="A181" s="427"/>
      <c r="B181" s="427"/>
      <c r="C181" s="427"/>
      <c r="D181" s="427"/>
      <c r="E181" s="429"/>
      <c r="F181" s="427"/>
      <c r="G181" s="454"/>
      <c r="H181" s="454"/>
      <c r="I181" s="427"/>
      <c r="J181" s="427"/>
      <c r="K181" s="427"/>
    </row>
    <row r="182" spans="1:11" s="430" customFormat="1" hidden="1" outlineLevel="2">
      <c r="A182" s="427"/>
      <c r="B182" s="427"/>
      <c r="C182" s="431" t="str">
        <f ca="1">IF(AND(C170=1,C184&lt;&gt;0),"",IF(C170&lt;&gt;0,OFFSET(B171,C170,0),""))</f>
        <v/>
      </c>
      <c r="D182" s="427"/>
      <c r="E182" s="429"/>
      <c r="F182" s="427"/>
      <c r="G182" s="454"/>
      <c r="H182" s="454"/>
      <c r="I182" s="427"/>
      <c r="J182" s="427"/>
      <c r="K182" s="427"/>
    </row>
    <row r="183" spans="1:11" s="430" customFormat="1" hidden="1" outlineLevel="2">
      <c r="A183" s="427"/>
      <c r="B183" s="427"/>
      <c r="C183" s="427"/>
      <c r="D183" s="427"/>
      <c r="E183" s="429"/>
      <c r="F183" s="427"/>
      <c r="G183" s="454"/>
      <c r="H183" s="454"/>
      <c r="I183" s="427"/>
      <c r="J183" s="427"/>
      <c r="K183" s="427"/>
    </row>
    <row r="184" spans="1:11" s="430" customFormat="1" hidden="1" outlineLevel="2">
      <c r="A184" s="427"/>
      <c r="B184" s="427" t="s">
        <v>158</v>
      </c>
      <c r="C184" s="427">
        <f>C155-C156*100-C170*10</f>
        <v>0</v>
      </c>
      <c r="D184" s="427"/>
      <c r="E184" s="429"/>
      <c r="F184" s="427"/>
      <c r="G184" s="454"/>
      <c r="H184" s="454"/>
      <c r="I184" s="427"/>
      <c r="J184" s="427"/>
      <c r="K184" s="427"/>
    </row>
    <row r="185" spans="1:11" s="430" customFormat="1" hidden="1" outlineLevel="2">
      <c r="A185" s="427"/>
      <c r="B185" s="427"/>
      <c r="C185" s="427"/>
      <c r="D185" s="427"/>
      <c r="E185" s="429"/>
      <c r="F185" s="427"/>
      <c r="G185" s="454"/>
      <c r="H185" s="454"/>
      <c r="I185" s="427"/>
      <c r="J185" s="427"/>
      <c r="K185" s="427"/>
    </row>
    <row r="186" spans="1:11" s="430" customFormat="1" hidden="1" outlineLevel="2">
      <c r="A186" s="427"/>
      <c r="B186" s="427" t="s">
        <v>139</v>
      </c>
      <c r="C186" s="427"/>
      <c r="D186" s="427"/>
      <c r="E186" s="429"/>
      <c r="F186" s="427"/>
      <c r="G186" s="454"/>
      <c r="H186" s="454"/>
      <c r="I186" s="427"/>
      <c r="J186" s="427"/>
      <c r="K186" s="427"/>
    </row>
    <row r="187" spans="1:11" s="430" customFormat="1" hidden="1" outlineLevel="2">
      <c r="A187" s="427"/>
      <c r="B187" s="427" t="s">
        <v>140</v>
      </c>
      <c r="C187" s="427"/>
      <c r="D187" s="427"/>
      <c r="E187" s="429"/>
      <c r="F187" s="427"/>
      <c r="G187" s="454"/>
      <c r="H187" s="454"/>
      <c r="I187" s="427"/>
      <c r="J187" s="427"/>
      <c r="K187" s="427"/>
    </row>
    <row r="188" spans="1:11" s="430" customFormat="1" hidden="1" outlineLevel="2">
      <c r="A188" s="427"/>
      <c r="B188" s="427" t="s">
        <v>141</v>
      </c>
      <c r="C188" s="427"/>
      <c r="D188" s="427"/>
      <c r="E188" s="429"/>
      <c r="F188" s="427"/>
      <c r="G188" s="454"/>
      <c r="H188" s="454"/>
      <c r="I188" s="427"/>
      <c r="J188" s="427"/>
      <c r="K188" s="427"/>
    </row>
    <row r="189" spans="1:11" s="430" customFormat="1" hidden="1" outlineLevel="2">
      <c r="A189" s="427"/>
      <c r="B189" s="427" t="s">
        <v>142</v>
      </c>
      <c r="C189" s="427"/>
      <c r="D189" s="427"/>
      <c r="E189" s="429"/>
      <c r="F189" s="427"/>
      <c r="G189" s="454"/>
      <c r="H189" s="454"/>
      <c r="I189" s="427"/>
      <c r="J189" s="427"/>
      <c r="K189" s="427"/>
    </row>
    <row r="190" spans="1:11" s="430" customFormat="1" hidden="1" outlineLevel="2">
      <c r="A190" s="427"/>
      <c r="B190" s="427" t="s">
        <v>143</v>
      </c>
      <c r="C190" s="427"/>
      <c r="D190" s="427"/>
      <c r="E190" s="429"/>
      <c r="F190" s="427"/>
      <c r="G190" s="454"/>
      <c r="H190" s="454"/>
      <c r="I190" s="427"/>
      <c r="J190" s="427"/>
      <c r="K190" s="427"/>
    </row>
    <row r="191" spans="1:11" s="430" customFormat="1" hidden="1" outlineLevel="2">
      <c r="A191" s="427"/>
      <c r="B191" s="427" t="s">
        <v>144</v>
      </c>
      <c r="C191" s="427"/>
      <c r="D191" s="427"/>
      <c r="E191" s="429"/>
      <c r="F191" s="427"/>
      <c r="G191" s="454"/>
      <c r="H191" s="454"/>
      <c r="I191" s="427"/>
      <c r="J191" s="427"/>
      <c r="K191" s="427"/>
    </row>
    <row r="192" spans="1:11" s="430" customFormat="1" hidden="1" outlineLevel="2">
      <c r="A192" s="427"/>
      <c r="B192" s="427" t="s">
        <v>145</v>
      </c>
      <c r="C192" s="427"/>
      <c r="D192" s="427"/>
      <c r="E192" s="429"/>
      <c r="F192" s="427"/>
      <c r="G192" s="454"/>
      <c r="H192" s="454"/>
      <c r="I192" s="427"/>
      <c r="J192" s="427"/>
      <c r="K192" s="427"/>
    </row>
    <row r="193" spans="1:11" s="430" customFormat="1" hidden="1" outlineLevel="2">
      <c r="A193" s="427"/>
      <c r="B193" s="427" t="s">
        <v>146</v>
      </c>
      <c r="C193" s="427"/>
      <c r="D193" s="427"/>
      <c r="E193" s="429"/>
      <c r="F193" s="427"/>
      <c r="G193" s="454"/>
      <c r="H193" s="454"/>
      <c r="I193" s="427"/>
      <c r="J193" s="427"/>
      <c r="K193" s="427"/>
    </row>
    <row r="194" spans="1:11" s="430" customFormat="1" hidden="1" outlineLevel="2">
      <c r="A194" s="427"/>
      <c r="B194" s="427" t="s">
        <v>147</v>
      </c>
      <c r="C194" s="427"/>
      <c r="D194" s="427"/>
      <c r="E194" s="429"/>
      <c r="F194" s="427"/>
      <c r="G194" s="454"/>
      <c r="H194" s="454"/>
      <c r="I194" s="427"/>
      <c r="J194" s="427"/>
      <c r="K194" s="427"/>
    </row>
    <row r="195" spans="1:11" s="430" customFormat="1" hidden="1" outlineLevel="2">
      <c r="A195" s="427"/>
      <c r="B195" s="427"/>
      <c r="C195" s="427"/>
      <c r="D195" s="427"/>
      <c r="E195" s="429"/>
      <c r="F195" s="427"/>
      <c r="G195" s="454"/>
      <c r="H195" s="454"/>
      <c r="I195" s="427"/>
      <c r="J195" s="427"/>
      <c r="K195" s="427"/>
    </row>
    <row r="196" spans="1:11" s="430" customFormat="1" hidden="1" outlineLevel="2">
      <c r="A196" s="427"/>
      <c r="B196" s="427"/>
      <c r="C196" s="431" t="str">
        <f ca="1">IF(C170&lt;&gt;1,IF(C184&lt;&gt;0,OFFSET(B185,C184,0),""),"")</f>
        <v/>
      </c>
      <c r="D196" s="427"/>
      <c r="E196" s="429"/>
      <c r="F196" s="427"/>
      <c r="G196" s="454"/>
      <c r="H196" s="454"/>
      <c r="I196" s="427"/>
      <c r="J196" s="427"/>
      <c r="K196" s="427"/>
    </row>
    <row r="197" spans="1:11" s="430" customFormat="1" hidden="1" outlineLevel="2">
      <c r="A197" s="427"/>
      <c r="B197" s="427"/>
      <c r="C197" s="427"/>
      <c r="D197" s="427"/>
      <c r="E197" s="429"/>
      <c r="F197" s="427"/>
      <c r="G197" s="454"/>
      <c r="H197" s="454"/>
      <c r="I197" s="427"/>
      <c r="J197" s="427"/>
      <c r="K197" s="427"/>
    </row>
    <row r="198" spans="1:11" s="430" customFormat="1" hidden="1" outlineLevel="2">
      <c r="A198" s="427"/>
      <c r="B198" s="427" t="s">
        <v>148</v>
      </c>
      <c r="C198" s="427"/>
      <c r="D198" s="427"/>
      <c r="E198" s="429"/>
      <c r="F198" s="427"/>
      <c r="G198" s="454"/>
      <c r="H198" s="454"/>
      <c r="I198" s="427"/>
      <c r="J198" s="427"/>
      <c r="K198" s="427"/>
    </row>
    <row r="199" spans="1:11" s="430" customFormat="1" hidden="1" outlineLevel="2">
      <c r="A199" s="427"/>
      <c r="B199" s="427"/>
      <c r="C199" s="427"/>
      <c r="D199" s="427"/>
      <c r="E199" s="429"/>
      <c r="F199" s="427"/>
      <c r="G199" s="454"/>
      <c r="H199" s="454"/>
      <c r="I199" s="427"/>
      <c r="J199" s="427"/>
      <c r="K199" s="427"/>
    </row>
    <row r="200" spans="1:11" s="430" customFormat="1" hidden="1" outlineLevel="2">
      <c r="A200" s="427"/>
      <c r="B200" s="427"/>
      <c r="C200" s="427">
        <f>+C184</f>
        <v>0</v>
      </c>
      <c r="D200" s="427"/>
      <c r="E200" s="429"/>
      <c r="F200" s="427"/>
      <c r="G200" s="454"/>
      <c r="H200" s="454"/>
      <c r="I200" s="427"/>
      <c r="J200" s="427"/>
      <c r="K200" s="427"/>
    </row>
    <row r="201" spans="1:11" s="430" customFormat="1" hidden="1" outlineLevel="2">
      <c r="A201" s="427"/>
      <c r="B201" s="427" t="s">
        <v>149</v>
      </c>
      <c r="C201" s="427"/>
      <c r="D201" s="427"/>
      <c r="E201" s="429"/>
      <c r="F201" s="427"/>
      <c r="G201" s="454"/>
      <c r="H201" s="454"/>
      <c r="I201" s="427"/>
      <c r="J201" s="427"/>
      <c r="K201" s="427"/>
    </row>
    <row r="202" spans="1:11" s="430" customFormat="1" hidden="1" outlineLevel="2">
      <c r="A202" s="427"/>
      <c r="B202" s="427" t="s">
        <v>150</v>
      </c>
      <c r="C202" s="427"/>
      <c r="D202" s="427"/>
      <c r="E202" s="429"/>
      <c r="F202" s="427"/>
      <c r="G202" s="454"/>
      <c r="H202" s="454"/>
      <c r="I202" s="427"/>
      <c r="J202" s="427"/>
      <c r="K202" s="427"/>
    </row>
    <row r="203" spans="1:11" s="430" customFormat="1" hidden="1" outlineLevel="2">
      <c r="A203" s="427"/>
      <c r="B203" s="427" t="s">
        <v>151</v>
      </c>
      <c r="C203" s="427"/>
      <c r="D203" s="427"/>
      <c r="E203" s="429"/>
      <c r="F203" s="427"/>
      <c r="G203" s="454"/>
      <c r="H203" s="454"/>
      <c r="I203" s="427"/>
      <c r="J203" s="427"/>
      <c r="K203" s="427"/>
    </row>
    <row r="204" spans="1:11" s="430" customFormat="1" hidden="1" outlineLevel="2">
      <c r="A204" s="427"/>
      <c r="B204" s="427" t="s">
        <v>152</v>
      </c>
      <c r="C204" s="427"/>
      <c r="D204" s="427"/>
      <c r="E204" s="429"/>
      <c r="F204" s="427"/>
      <c r="G204" s="454"/>
      <c r="H204" s="454"/>
      <c r="I204" s="427"/>
      <c r="J204" s="427"/>
      <c r="K204" s="427"/>
    </row>
    <row r="205" spans="1:11" s="430" customFormat="1" hidden="1" outlineLevel="2">
      <c r="A205" s="427"/>
      <c r="B205" s="427" t="s">
        <v>153</v>
      </c>
      <c r="C205" s="427"/>
      <c r="D205" s="427"/>
      <c r="E205" s="429"/>
      <c r="F205" s="427"/>
      <c r="G205" s="454"/>
      <c r="H205" s="454"/>
      <c r="I205" s="427"/>
      <c r="J205" s="427"/>
      <c r="K205" s="427"/>
    </row>
    <row r="206" spans="1:11" s="430" customFormat="1" hidden="1" outlineLevel="2">
      <c r="A206" s="427"/>
      <c r="B206" s="427" t="s">
        <v>154</v>
      </c>
      <c r="C206" s="427"/>
      <c r="D206" s="427"/>
      <c r="E206" s="429"/>
      <c r="F206" s="427"/>
      <c r="G206" s="454"/>
      <c r="H206" s="454"/>
      <c r="I206" s="427"/>
      <c r="J206" s="427"/>
      <c r="K206" s="427"/>
    </row>
    <row r="207" spans="1:11" s="430" customFormat="1" hidden="1" outlineLevel="2">
      <c r="A207" s="427"/>
      <c r="B207" s="427" t="s">
        <v>155</v>
      </c>
      <c r="C207" s="427"/>
      <c r="D207" s="427"/>
      <c r="E207" s="429"/>
      <c r="F207" s="427"/>
      <c r="G207" s="454"/>
      <c r="H207" s="454"/>
      <c r="I207" s="427"/>
      <c r="J207" s="427"/>
      <c r="K207" s="427"/>
    </row>
    <row r="208" spans="1:11" s="430" customFormat="1" hidden="1" outlineLevel="2">
      <c r="A208" s="427"/>
      <c r="B208" s="427" t="s">
        <v>156</v>
      </c>
      <c r="C208" s="427"/>
      <c r="D208" s="427"/>
      <c r="E208" s="429"/>
      <c r="F208" s="427"/>
      <c r="G208" s="454"/>
      <c r="H208" s="454"/>
      <c r="I208" s="427"/>
      <c r="J208" s="427"/>
      <c r="K208" s="427"/>
    </row>
    <row r="209" spans="1:11" s="430" customFormat="1" hidden="1" outlineLevel="2">
      <c r="A209" s="427"/>
      <c r="B209" s="427" t="s">
        <v>157</v>
      </c>
      <c r="C209" s="427"/>
      <c r="D209" s="427"/>
      <c r="E209" s="429"/>
      <c r="F209" s="427"/>
      <c r="G209" s="454"/>
      <c r="H209" s="454"/>
      <c r="I209" s="427"/>
      <c r="J209" s="427"/>
      <c r="K209" s="427"/>
    </row>
    <row r="210" spans="1:11" s="430" customFormat="1" hidden="1" outlineLevel="2">
      <c r="A210" s="427"/>
      <c r="B210" s="427"/>
      <c r="C210" s="427"/>
      <c r="D210" s="427"/>
      <c r="E210" s="429"/>
      <c r="F210" s="427"/>
      <c r="G210" s="454"/>
      <c r="H210" s="454"/>
      <c r="I210" s="427"/>
      <c r="J210" s="427"/>
      <c r="K210" s="427"/>
    </row>
    <row r="211" spans="1:11" s="430" customFormat="1" hidden="1" outlineLevel="2">
      <c r="A211" s="427"/>
      <c r="B211" s="427"/>
      <c r="C211" s="431" t="str">
        <f ca="1">IF(AND(C170=1,C184&lt;&gt;0),IF(C170&lt;&gt;0,OFFSET(B200,C200,0),""),"")</f>
        <v/>
      </c>
      <c r="D211" s="427"/>
      <c r="E211" s="429"/>
      <c r="F211" s="427"/>
      <c r="G211" s="454"/>
      <c r="H211" s="454"/>
      <c r="I211" s="427"/>
      <c r="J211" s="427"/>
      <c r="K211" s="427"/>
    </row>
    <row r="212" spans="1:11" s="430" customFormat="1" hidden="1" outlineLevel="2">
      <c r="A212" s="427"/>
      <c r="B212" s="427"/>
      <c r="C212" s="427"/>
      <c r="D212" s="427"/>
      <c r="E212" s="429"/>
      <c r="F212" s="427"/>
      <c r="G212" s="454"/>
      <c r="H212" s="454"/>
      <c r="I212" s="427"/>
      <c r="J212" s="427"/>
      <c r="K212" s="427"/>
    </row>
    <row r="213" spans="1:11" s="430" customFormat="1" hidden="1" outlineLevel="2">
      <c r="A213" s="427"/>
      <c r="B213" s="427"/>
      <c r="C213" s="431" t="str">
        <f>IF(C170&lt;&gt;1,IF(OR(C184=2,C184=3,C184=4)," рубля",""),"")</f>
        <v/>
      </c>
      <c r="D213" s="427"/>
      <c r="E213" s="429"/>
      <c r="F213" s="427"/>
      <c r="G213" s="454"/>
      <c r="H213" s="454"/>
      <c r="I213" s="427"/>
      <c r="J213" s="427"/>
      <c r="K213" s="427"/>
    </row>
    <row r="214" spans="1:11" s="430" customFormat="1" hidden="1" outlineLevel="2">
      <c r="A214" s="427"/>
      <c r="B214" s="427"/>
      <c r="C214" s="431" t="str">
        <f>IF(C170&lt;&gt;1,IF(OR(C184=1)," рубль",""),"")</f>
        <v/>
      </c>
      <c r="D214" s="427"/>
      <c r="E214" s="429"/>
      <c r="F214" s="427"/>
      <c r="G214" s="454"/>
      <c r="H214" s="454"/>
      <c r="I214" s="427"/>
      <c r="J214" s="427"/>
      <c r="K214" s="427"/>
    </row>
    <row r="215" spans="1:11" s="430" customFormat="1" hidden="1" outlineLevel="2">
      <c r="A215" s="427"/>
      <c r="B215" s="427"/>
      <c r="C215" s="431" t="str">
        <f>IF(AND(C213="",C214="")," рублей","")</f>
        <v xml:space="preserve"> рублей</v>
      </c>
      <c r="D215" s="427"/>
      <c r="E215" s="429"/>
      <c r="F215" s="427"/>
      <c r="G215" s="454"/>
      <c r="H215" s="454"/>
      <c r="I215" s="427"/>
      <c r="J215" s="427"/>
      <c r="K215" s="427"/>
    </row>
    <row r="216" spans="1:11" s="430" customFormat="1" hidden="1" outlineLevel="2">
      <c r="A216" s="427"/>
      <c r="B216" s="427"/>
      <c r="C216" s="432" t="str">
        <f ca="1">(CONCATENATE(C168,C182,C196,C211,C213,C214,C215))</f>
        <v xml:space="preserve"> рублей</v>
      </c>
      <c r="D216" s="427"/>
      <c r="E216" s="429"/>
      <c r="F216" s="427"/>
      <c r="G216" s="454"/>
      <c r="H216" s="454"/>
      <c r="I216" s="427"/>
      <c r="J216" s="427"/>
      <c r="K216" s="427"/>
    </row>
    <row r="217" spans="1:11" s="430" customFormat="1" hidden="1" outlineLevel="2">
      <c r="A217" s="427"/>
      <c r="B217" s="427"/>
      <c r="C217" s="427"/>
      <c r="D217" s="427"/>
      <c r="E217" s="429"/>
      <c r="F217" s="427"/>
      <c r="G217" s="454"/>
      <c r="H217" s="454"/>
      <c r="I217" s="427"/>
      <c r="J217" s="427"/>
      <c r="K217" s="427"/>
    </row>
    <row r="218" spans="1:11" s="430" customFormat="1" hidden="1" outlineLevel="2">
      <c r="A218" s="427"/>
      <c r="B218" s="427"/>
      <c r="C218" s="427" t="str">
        <f ca="1">TRIM(CONCATENATE(C90,C153,C216))</f>
        <v>рублей</v>
      </c>
      <c r="D218" s="427"/>
      <c r="E218" s="429"/>
      <c r="F218" s="427"/>
      <c r="G218" s="454"/>
      <c r="H218" s="454"/>
      <c r="I218" s="427"/>
      <c r="J218" s="427"/>
      <c r="K218" s="427"/>
    </row>
    <row r="219" spans="1:11" s="430" customFormat="1" hidden="1" outlineLevel="2">
      <c r="A219" s="427"/>
      <c r="B219" s="427"/>
      <c r="C219" s="432" t="str">
        <f ca="1">LEFT(C218,1)</f>
        <v>р</v>
      </c>
      <c r="D219" s="427"/>
      <c r="E219" s="429"/>
      <c r="F219" s="427"/>
      <c r="G219" s="454"/>
      <c r="H219" s="454"/>
      <c r="I219" s="427"/>
      <c r="J219" s="427"/>
      <c r="K219" s="427"/>
    </row>
    <row r="220" spans="1:11" s="430" customFormat="1" hidden="1" outlineLevel="2">
      <c r="A220" s="427"/>
      <c r="B220" s="427"/>
      <c r="C220" s="432" t="str">
        <f ca="1">LOWER(C218)</f>
        <v>рублей</v>
      </c>
      <c r="D220" s="427"/>
      <c r="E220" s="429"/>
      <c r="F220" s="427"/>
      <c r="G220" s="454"/>
      <c r="H220" s="454"/>
      <c r="I220" s="427"/>
      <c r="J220" s="427"/>
      <c r="K220" s="427"/>
    </row>
    <row r="221" spans="1:11" s="430" customFormat="1" hidden="1" outlineLevel="2">
      <c r="A221" s="427"/>
      <c r="B221" s="427"/>
      <c r="C221" s="432" t="str">
        <f ca="1">REPLACE(C220,1,1,"")</f>
        <v>ублей</v>
      </c>
      <c r="D221" s="427"/>
      <c r="E221" s="429"/>
      <c r="F221" s="427"/>
      <c r="G221" s="454"/>
      <c r="H221" s="454"/>
      <c r="I221" s="427"/>
      <c r="J221" s="427"/>
      <c r="K221" s="427"/>
    </row>
    <row r="222" spans="1:11" s="430" customFormat="1" hidden="1" outlineLevel="2">
      <c r="A222" s="427"/>
      <c r="B222" s="427"/>
      <c r="C222" s="432" t="str">
        <f ca="1">CONCATENATE(C219,C221)</f>
        <v>рублей</v>
      </c>
      <c r="D222" s="427"/>
      <c r="E222" s="429"/>
      <c r="F222" s="427"/>
      <c r="G222" s="454"/>
      <c r="H222" s="454"/>
      <c r="I222" s="427"/>
      <c r="J222" s="427"/>
      <c r="K222" s="427"/>
    </row>
    <row r="223" spans="1:11" s="430" customFormat="1" hidden="1" outlineLevel="2">
      <c r="A223" s="427"/>
      <c r="B223" s="427"/>
      <c r="C223" s="427"/>
      <c r="D223" s="427"/>
      <c r="E223" s="429"/>
      <c r="F223" s="427"/>
      <c r="G223" s="454"/>
      <c r="H223" s="454"/>
      <c r="I223" s="427"/>
      <c r="J223" s="427"/>
      <c r="K223" s="427"/>
    </row>
    <row r="224" spans="1:11" s="430" customFormat="1" hidden="1" outlineLevel="2">
      <c r="A224" s="427"/>
      <c r="B224" s="427" t="s">
        <v>173</v>
      </c>
      <c r="C224" s="427">
        <f>ROUND(C27-C28*1000000-C92*1000-C155,2)*100</f>
        <v>0</v>
      </c>
      <c r="D224" s="427"/>
      <c r="E224" s="429"/>
      <c r="F224" s="427"/>
      <c r="G224" s="454"/>
      <c r="H224" s="454"/>
      <c r="I224" s="427"/>
      <c r="J224" s="427"/>
      <c r="K224" s="427"/>
    </row>
    <row r="225" spans="1:11" s="430" customFormat="1" hidden="1" outlineLevel="2">
      <c r="A225" s="427"/>
      <c r="B225" s="427" t="s">
        <v>174</v>
      </c>
      <c r="C225" s="427">
        <f>ROUNDDOWN(C224/10,0)</f>
        <v>0</v>
      </c>
      <c r="D225" s="427"/>
      <c r="E225" s="429"/>
      <c r="F225" s="427"/>
      <c r="G225" s="454"/>
      <c r="H225" s="454"/>
      <c r="I225" s="427"/>
      <c r="J225" s="427"/>
      <c r="K225" s="427"/>
    </row>
    <row r="226" spans="1:11" s="430" customFormat="1" hidden="1" outlineLevel="2">
      <c r="A226" s="427"/>
      <c r="B226" s="427" t="s">
        <v>175</v>
      </c>
      <c r="C226" s="427">
        <f>+C224-C225*10</f>
        <v>0</v>
      </c>
      <c r="D226" s="427"/>
      <c r="E226" s="429"/>
      <c r="F226" s="427"/>
      <c r="G226" s="454"/>
      <c r="H226" s="454"/>
      <c r="I226" s="427"/>
      <c r="J226" s="427"/>
      <c r="K226" s="427"/>
    </row>
    <row r="227" spans="1:11" s="430" customFormat="1" hidden="1" outlineLevel="2">
      <c r="A227" s="427"/>
      <c r="B227" s="427"/>
      <c r="C227" s="427" t="str">
        <f>IF(C224&lt;10,CONCATENATE("0",C224),C224)</f>
        <v>00</v>
      </c>
      <c r="D227" s="427"/>
      <c r="E227" s="429"/>
      <c r="F227" s="427"/>
      <c r="G227" s="454"/>
      <c r="H227" s="454"/>
      <c r="I227" s="427"/>
      <c r="J227" s="427"/>
      <c r="K227" s="427"/>
    </row>
    <row r="228" spans="1:11" s="430" customFormat="1" hidden="1" outlineLevel="2">
      <c r="A228" s="427"/>
      <c r="B228" s="427"/>
      <c r="C228" s="427"/>
      <c r="D228" s="427"/>
      <c r="E228" s="429"/>
      <c r="F228" s="427"/>
      <c r="G228" s="454"/>
      <c r="H228" s="454"/>
      <c r="I228" s="427"/>
      <c r="J228" s="427"/>
      <c r="K228" s="427"/>
    </row>
    <row r="229" spans="1:11" s="430" customFormat="1" hidden="1" outlineLevel="2">
      <c r="A229" s="427"/>
      <c r="B229" s="427"/>
      <c r="C229" s="431" t="str">
        <f>IF(AND(C226=1,C225&lt;&gt;1)," копейка","")</f>
        <v/>
      </c>
      <c r="D229" s="427"/>
      <c r="E229" s="429"/>
      <c r="F229" s="427"/>
      <c r="G229" s="454"/>
      <c r="H229" s="454"/>
      <c r="I229" s="427"/>
      <c r="J229" s="427"/>
      <c r="K229" s="427"/>
    </row>
    <row r="230" spans="1:11" s="430" customFormat="1" hidden="1" outlineLevel="2">
      <c r="A230" s="427"/>
      <c r="B230" s="427"/>
      <c r="C230" s="431" t="str">
        <f>IF(C225&lt;&gt;1,IF(OR(C226=2,C226=3,C226=4)," копейки",""),"")</f>
        <v/>
      </c>
      <c r="D230" s="427"/>
      <c r="E230" s="429"/>
      <c r="F230" s="427"/>
      <c r="G230" s="454"/>
      <c r="H230" s="454"/>
      <c r="I230" s="427"/>
      <c r="J230" s="427"/>
      <c r="K230" s="427"/>
    </row>
    <row r="231" spans="1:11" s="430" customFormat="1" hidden="1" outlineLevel="2">
      <c r="A231" s="427"/>
      <c r="B231" s="427"/>
      <c r="C231" s="431" t="str">
        <f>IF(AND(C229="",C230="")," копеек","")</f>
        <v xml:space="preserve"> копеек</v>
      </c>
      <c r="D231" s="427"/>
      <c r="E231" s="429"/>
      <c r="F231" s="427"/>
      <c r="G231" s="454"/>
      <c r="H231" s="454"/>
      <c r="I231" s="427"/>
      <c r="J231" s="427"/>
      <c r="K231" s="427"/>
    </row>
    <row r="232" spans="1:11" s="430" customFormat="1" hidden="1" outlineLevel="2">
      <c r="A232" s="427"/>
      <c r="B232" s="427"/>
      <c r="C232" s="427"/>
      <c r="D232" s="427"/>
      <c r="E232" s="429"/>
      <c r="F232" s="427"/>
      <c r="G232" s="454"/>
      <c r="H232" s="454"/>
      <c r="I232" s="427"/>
      <c r="J232" s="427"/>
      <c r="K232" s="427"/>
    </row>
    <row r="233" spans="1:11" s="430" customFormat="1" ht="12" customHeight="1" outlineLevel="1" collapsed="1">
      <c r="A233" s="427"/>
      <c r="B233" s="427" t="s">
        <v>176</v>
      </c>
      <c r="C233" s="431" t="str">
        <f ca="1">CONCATENATE(C222," ",C227,C229,C230,C231)</f>
        <v>рублей 00 копеек</v>
      </c>
      <c r="D233" s="427"/>
      <c r="E233" s="429"/>
      <c r="F233" s="427"/>
      <c r="G233" s="454"/>
      <c r="H233" s="454"/>
      <c r="I233" s="427"/>
      <c r="J233" s="427"/>
      <c r="K233" s="427"/>
    </row>
    <row r="246" spans="1:9" s="525" customFormat="1" ht="16.5" hidden="1" outlineLevel="1">
      <c r="A246" s="521"/>
      <c r="B246" s="529" t="s">
        <v>313</v>
      </c>
      <c r="C246" s="636" t="e">
        <f>#REF!</f>
        <v>#REF!</v>
      </c>
      <c r="D246" s="636"/>
      <c r="E246" s="636"/>
      <c r="F246" s="523" t="e">
        <f>F245*C246</f>
        <v>#REF!</v>
      </c>
      <c r="G246" s="524"/>
      <c r="H246" s="524"/>
      <c r="I246" s="524"/>
    </row>
    <row r="247" spans="1:9" s="525" customFormat="1" ht="16.5" hidden="1" outlineLevel="1">
      <c r="A247" s="521"/>
      <c r="B247" s="522" t="s">
        <v>315</v>
      </c>
      <c r="C247" s="526"/>
      <c r="D247" s="527"/>
      <c r="E247" s="528"/>
      <c r="F247" s="523" t="e">
        <f>F246</f>
        <v>#REF!</v>
      </c>
      <c r="G247" s="524"/>
      <c r="H247" s="524"/>
      <c r="I247" s="524"/>
    </row>
    <row r="248" spans="1:9" collapsed="1"/>
  </sheetData>
  <mergeCells count="11">
    <mergeCell ref="G10:H10"/>
    <mergeCell ref="A12:F12"/>
    <mergeCell ref="D18:E18"/>
    <mergeCell ref="D23:E23"/>
    <mergeCell ref="A13:F13"/>
    <mergeCell ref="C11:D11"/>
    <mergeCell ref="A2:F2"/>
    <mergeCell ref="A3:F3"/>
    <mergeCell ref="A4:F4"/>
    <mergeCell ref="C10:D10"/>
    <mergeCell ref="C246:E246"/>
  </mergeCells>
  <pageMargins left="0.94488188976377963" right="0.35433070866141736" top="0.31496062992125984" bottom="0.27559055118110237" header="0.51181102362204722" footer="0.51181102362204722"/>
  <pageSetup paperSize="9" scale="5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6"/>
  <sheetViews>
    <sheetView showGridLines="0" view="pageBreakPreview" zoomScaleNormal="130" zoomScaleSheetLayoutView="85" workbookViewId="0">
      <pane ySplit="18" topLeftCell="A19" activePane="bottomLeft" state="frozen"/>
      <selection activeCell="A21" sqref="A21:F21"/>
      <selection pane="bottomLeft" activeCell="A21" sqref="A21:F21"/>
    </sheetView>
  </sheetViews>
  <sheetFormatPr defaultColWidth="9.140625" defaultRowHeight="12.75" outlineLevelRow="2"/>
  <cols>
    <col min="1" max="1" width="0.140625" style="121" customWidth="1"/>
    <col min="2" max="2" width="6.5703125" style="122" customWidth="1"/>
    <col min="3" max="3" width="43.140625" style="121" customWidth="1"/>
    <col min="4" max="4" width="11.5703125" style="121" customWidth="1"/>
    <col min="5" max="6" width="5.5703125" style="121" customWidth="1"/>
    <col min="7" max="7" width="5.5703125" style="132" customWidth="1"/>
    <col min="8" max="10" width="5.5703125" style="121" customWidth="1"/>
    <col min="11" max="11" width="13.140625" style="121" customWidth="1"/>
    <col min="12" max="16384" width="9.140625" style="121"/>
  </cols>
  <sheetData>
    <row r="1" spans="2:23" ht="16.5" hidden="1" customHeight="1" outlineLevel="1">
      <c r="B1" s="647" t="e">
        <f>CONCATENATE(L2," ",#REF!,".",L1," ",L3)</f>
        <v>#REF!</v>
      </c>
      <c r="C1" s="647"/>
      <c r="D1" s="647"/>
      <c r="E1" s="647"/>
      <c r="F1" s="647"/>
      <c r="G1" s="647"/>
      <c r="H1" s="647"/>
      <c r="I1" s="647"/>
      <c r="J1" s="647"/>
      <c r="L1" s="264" t="e">
        <f>#REF!+1</f>
        <v>#REF!</v>
      </c>
      <c r="V1" s="281" t="e">
        <f>#REF!</f>
        <v>#REF!</v>
      </c>
      <c r="W1" s="281" t="e">
        <f>#REF!+1</f>
        <v>#REF!</v>
      </c>
    </row>
    <row r="2" spans="2:23" collapsed="1">
      <c r="D2" s="123" t="s">
        <v>197</v>
      </c>
      <c r="E2" s="123"/>
      <c r="F2" s="123"/>
      <c r="G2" s="123"/>
      <c r="H2" s="123"/>
      <c r="I2" s="123"/>
      <c r="J2" s="123"/>
      <c r="L2" s="265" t="e">
        <f>#REF!</f>
        <v>#REF!</v>
      </c>
    </row>
    <row r="3" spans="2:23">
      <c r="D3" s="648"/>
      <c r="E3" s="648"/>
      <c r="F3" s="648"/>
      <c r="G3" s="648"/>
      <c r="H3" s="648"/>
      <c r="I3" s="648"/>
      <c r="J3" s="648"/>
      <c r="L3" s="266" t="e">
        <f>#REF!</f>
        <v>#REF!</v>
      </c>
    </row>
    <row r="5" spans="2:23" ht="12.75" customHeight="1">
      <c r="C5" s="649" t="e">
        <f>CONCATENATE(#REF!," ",V1,".",W1)</f>
        <v>#REF!</v>
      </c>
      <c r="D5" s="649"/>
      <c r="E5" s="649"/>
      <c r="F5" s="649"/>
      <c r="G5" s="649"/>
      <c r="H5" s="649"/>
      <c r="I5" s="649"/>
    </row>
    <row r="6" spans="2:23" ht="30" customHeight="1">
      <c r="B6" s="650" t="e">
        <f>#REF!</f>
        <v>#REF!</v>
      </c>
      <c r="C6" s="650"/>
      <c r="D6" s="650"/>
      <c r="E6" s="650"/>
      <c r="F6" s="650"/>
      <c r="G6" s="650"/>
      <c r="H6" s="650"/>
      <c r="I6" s="650"/>
      <c r="J6" s="650"/>
    </row>
    <row r="7" spans="2:23">
      <c r="B7" s="653" t="s">
        <v>0</v>
      </c>
      <c r="C7" s="653"/>
      <c r="D7" s="653"/>
      <c r="E7" s="653"/>
      <c r="F7" s="653"/>
      <c r="G7" s="653"/>
      <c r="H7" s="653"/>
      <c r="I7" s="653"/>
      <c r="J7" s="653"/>
    </row>
    <row r="8" spans="2:23">
      <c r="B8" s="121"/>
      <c r="G8" s="121"/>
    </row>
    <row r="9" spans="2:23" s="124" customFormat="1" ht="12.75" customHeight="1">
      <c r="B9" s="654" t="s">
        <v>179</v>
      </c>
      <c r="C9" s="654"/>
      <c r="D9" s="654"/>
      <c r="E9" s="654"/>
      <c r="F9" s="654"/>
      <c r="G9" s="654"/>
      <c r="H9" s="654"/>
      <c r="I9" s="654"/>
      <c r="J9" s="654"/>
    </row>
    <row r="10" spans="2:23" s="124" customFormat="1">
      <c r="B10" s="655" t="s">
        <v>180</v>
      </c>
      <c r="C10" s="655"/>
      <c r="D10" s="655"/>
      <c r="E10" s="655"/>
      <c r="F10" s="655"/>
      <c r="G10" s="655"/>
      <c r="H10" s="655"/>
      <c r="I10" s="655"/>
      <c r="J10" s="655"/>
    </row>
    <row r="11" spans="2:23" s="124" customFormat="1">
      <c r="B11" s="655" t="s">
        <v>181</v>
      </c>
      <c r="C11" s="655"/>
      <c r="D11" s="655"/>
      <c r="E11" s="655"/>
      <c r="F11" s="655"/>
      <c r="G11" s="655"/>
      <c r="H11" s="655"/>
      <c r="I11" s="655"/>
      <c r="J11" s="655"/>
    </row>
    <row r="12" spans="2:23" s="124" customFormat="1">
      <c r="B12" s="125"/>
      <c r="C12" s="125"/>
      <c r="D12" s="125"/>
      <c r="E12" s="125"/>
      <c r="F12" s="125"/>
      <c r="G12" s="125"/>
      <c r="H12" s="125"/>
      <c r="I12" s="125"/>
      <c r="J12" s="125"/>
    </row>
    <row r="13" spans="2:23" s="167" customFormat="1">
      <c r="B13" s="164" t="s">
        <v>201</v>
      </c>
      <c r="C13" s="165"/>
      <c r="D13" s="164"/>
      <c r="E13" s="166" t="e">
        <f>#REF!</f>
        <v>#REF!</v>
      </c>
      <c r="F13" s="165"/>
      <c r="G13" s="165"/>
      <c r="H13" s="165"/>
      <c r="I13" s="165"/>
      <c r="J13" s="165"/>
    </row>
    <row r="14" spans="2:23" s="167" customFormat="1">
      <c r="B14" s="165"/>
      <c r="C14" s="165"/>
      <c r="D14" s="164"/>
      <c r="E14" s="164"/>
      <c r="F14" s="165"/>
      <c r="G14" s="165"/>
      <c r="H14" s="165"/>
      <c r="I14" s="165"/>
      <c r="J14" s="165"/>
    </row>
    <row r="15" spans="2:23" s="167" customFormat="1">
      <c r="B15" s="164" t="s">
        <v>202</v>
      </c>
      <c r="C15" s="165"/>
      <c r="D15" s="164"/>
      <c r="E15" s="166" t="e">
        <f>#REF!</f>
        <v>#REF!</v>
      </c>
      <c r="F15" s="168"/>
      <c r="G15" s="169"/>
    </row>
    <row r="16" spans="2:23" s="124" customFormat="1" ht="12">
      <c r="B16" s="126"/>
      <c r="C16" s="127"/>
      <c r="D16" s="128"/>
      <c r="E16" s="128"/>
      <c r="F16" s="127"/>
      <c r="G16" s="129"/>
    </row>
    <row r="17" spans="2:13" s="124" customFormat="1" ht="12">
      <c r="B17" s="126"/>
      <c r="C17" s="127"/>
      <c r="D17" s="127"/>
      <c r="E17" s="127"/>
      <c r="F17" s="127"/>
      <c r="G17" s="129"/>
    </row>
    <row r="18" spans="2:13" s="124" customFormat="1" ht="12">
      <c r="B18" s="126"/>
      <c r="C18" s="127"/>
      <c r="D18" s="127"/>
      <c r="E18" s="127"/>
      <c r="F18" s="127"/>
      <c r="G18" s="129"/>
    </row>
    <row r="19" spans="2:13" s="132" customFormat="1">
      <c r="B19" s="130" t="s">
        <v>182</v>
      </c>
      <c r="C19" s="131"/>
    </row>
    <row r="20" spans="2:13" s="140" customFormat="1">
      <c r="B20" s="144"/>
      <c r="C20" s="146"/>
      <c r="D20" s="145"/>
      <c r="E20" s="147"/>
      <c r="J20" s="148" t="s">
        <v>197</v>
      </c>
    </row>
    <row r="21" spans="2:13" s="143" customFormat="1">
      <c r="B21" s="651" t="str">
        <f ca="1">C243</f>
        <v>рублей 00 копеек</v>
      </c>
      <c r="C21" s="651"/>
      <c r="D21" s="651"/>
      <c r="E21" s="651"/>
      <c r="F21" s="651"/>
      <c r="G21" s="651"/>
      <c r="H21" s="651"/>
      <c r="I21" s="651"/>
      <c r="J21" s="651"/>
      <c r="K21" s="140"/>
      <c r="L21" s="140"/>
      <c r="M21" s="140"/>
    </row>
    <row r="22" spans="2:13" s="143" customFormat="1">
      <c r="B22" s="652" t="s">
        <v>183</v>
      </c>
      <c r="C22" s="652"/>
      <c r="D22" s="652"/>
      <c r="E22" s="652"/>
      <c r="F22" s="652"/>
      <c r="G22" s="652"/>
      <c r="H22" s="652"/>
      <c r="I22" s="652"/>
      <c r="J22" s="652"/>
    </row>
    <row r="23" spans="2:13" hidden="1" outlineLevel="1">
      <c r="B23" s="133"/>
      <c r="C23" s="132"/>
      <c r="D23" s="134"/>
      <c r="E23" s="132"/>
      <c r="F23" s="132"/>
      <c r="G23" s="135"/>
      <c r="H23" s="132"/>
    </row>
    <row r="24" spans="2:13" hidden="1" outlineLevel="1">
      <c r="B24" s="133"/>
      <c r="C24" s="137"/>
      <c r="D24" s="134"/>
      <c r="E24" s="132"/>
      <c r="F24" s="132"/>
      <c r="G24" s="135"/>
      <c r="H24" s="132"/>
    </row>
    <row r="25" spans="2:13" ht="15" hidden="1" outlineLevel="1">
      <c r="B25" s="243" t="e">
        <f>#REF!</f>
        <v>#REF!</v>
      </c>
      <c r="C25" s="244"/>
      <c r="D25" s="244"/>
      <c r="E25" s="244"/>
      <c r="F25" s="244"/>
      <c r="G25" s="245"/>
      <c r="H25" s="244"/>
      <c r="I25" s="246"/>
      <c r="J25" s="246"/>
    </row>
    <row r="26" spans="2:13" ht="15" hidden="1" outlineLevel="1">
      <c r="B26" s="247" t="e">
        <f>E13</f>
        <v>#REF!</v>
      </c>
      <c r="C26" s="248"/>
      <c r="D26" s="248"/>
      <c r="E26" s="248"/>
      <c r="F26" s="248"/>
      <c r="G26" s="249" t="e">
        <f>#REF!</f>
        <v>#REF!</v>
      </c>
      <c r="H26" s="248"/>
      <c r="I26" s="248"/>
      <c r="J26" s="248"/>
    </row>
    <row r="27" spans="2:13" s="132" customFormat="1" ht="15" hidden="1" outlineLevel="1">
      <c r="B27" s="250"/>
      <c r="C27" s="250"/>
      <c r="D27" s="250"/>
      <c r="E27" s="250"/>
      <c r="F27" s="250"/>
      <c r="G27" s="250"/>
      <c r="H27" s="250"/>
      <c r="I27" s="250"/>
      <c r="J27" s="250"/>
    </row>
    <row r="28" spans="2:13" s="132" customFormat="1" ht="15" hidden="1" outlineLevel="1">
      <c r="B28" s="255" t="s">
        <v>199</v>
      </c>
      <c r="C28" s="244"/>
      <c r="D28" s="244"/>
      <c r="E28" s="244"/>
      <c r="F28" s="244"/>
      <c r="G28" s="244"/>
      <c r="H28" s="244"/>
      <c r="I28" s="244"/>
      <c r="J28" s="244"/>
    </row>
    <row r="29" spans="2:13" s="132" customFormat="1" ht="4.5" hidden="1" customHeight="1" outlineLevel="1">
      <c r="B29" s="251"/>
      <c r="C29" s="244"/>
      <c r="D29" s="244"/>
      <c r="E29" s="244"/>
      <c r="F29" s="244"/>
      <c r="G29" s="244"/>
      <c r="H29" s="244"/>
      <c r="I29" s="244"/>
      <c r="J29" s="244"/>
    </row>
    <row r="30" spans="2:13" s="132" customFormat="1" ht="15" hidden="1" outlineLevel="1">
      <c r="B30" s="252" t="e">
        <f>#REF!</f>
        <v>#REF!</v>
      </c>
      <c r="C30" s="252"/>
      <c r="D30" s="252"/>
      <c r="E30" s="252"/>
      <c r="F30" s="252"/>
      <c r="G30" s="252"/>
      <c r="H30" s="252"/>
      <c r="I30" s="252"/>
      <c r="J30" s="252"/>
    </row>
    <row r="31" spans="2:13" s="132" customFormat="1" ht="15" hidden="1" outlineLevel="1">
      <c r="B31" s="253" t="e">
        <f>E15</f>
        <v>#REF!</v>
      </c>
      <c r="C31" s="248"/>
      <c r="D31" s="248"/>
      <c r="E31" s="248"/>
      <c r="F31" s="248"/>
      <c r="G31" s="248" t="e">
        <f>#REF!</f>
        <v>#REF!</v>
      </c>
      <c r="H31" s="248"/>
      <c r="I31" s="248"/>
      <c r="J31" s="248"/>
    </row>
    <row r="32" spans="2:13" s="132" customFormat="1" collapsed="1">
      <c r="B32" s="138"/>
    </row>
    <row r="36" spans="1:18" s="5" customFormat="1" ht="15.75">
      <c r="A36" s="139"/>
      <c r="B36" s="139"/>
      <c r="C36" s="139"/>
      <c r="D36" s="139"/>
      <c r="E36" s="139"/>
      <c r="F36" s="139"/>
      <c r="G36" s="139"/>
      <c r="H36" s="139"/>
      <c r="I36" s="139"/>
      <c r="J36" s="139"/>
      <c r="K36" s="139"/>
      <c r="L36" s="139"/>
      <c r="M36" s="21"/>
      <c r="N36" s="56"/>
      <c r="O36" s="21"/>
      <c r="R36" s="6"/>
    </row>
    <row r="37" spans="1:18" s="58" customFormat="1" outlineLevel="1">
      <c r="B37" s="110" t="s">
        <v>116</v>
      </c>
      <c r="C37" s="474"/>
    </row>
    <row r="38" spans="1:18" s="58" customFormat="1" outlineLevel="1">
      <c r="B38" s="58" t="s">
        <v>117</v>
      </c>
      <c r="C38" s="58">
        <f>ROUNDDOWN(C37/1000000,0)</f>
        <v>0</v>
      </c>
    </row>
    <row r="39" spans="1:18" s="58" customFormat="1" hidden="1" outlineLevel="2"/>
    <row r="40" spans="1:18" s="58" customFormat="1" hidden="1" outlineLevel="2">
      <c r="B40" s="58" t="s">
        <v>118</v>
      </c>
      <c r="C40" s="58">
        <f>ROUNDDOWN(C38/100,0)</f>
        <v>0</v>
      </c>
    </row>
    <row r="41" spans="1:18" s="58" customFormat="1" hidden="1" outlineLevel="2"/>
    <row r="42" spans="1:18" s="58" customFormat="1" hidden="1" outlineLevel="2">
      <c r="B42" s="58" t="s">
        <v>119</v>
      </c>
    </row>
    <row r="43" spans="1:18" s="58" customFormat="1" hidden="1" outlineLevel="2">
      <c r="B43" s="58" t="s">
        <v>120</v>
      </c>
    </row>
    <row r="44" spans="1:18" s="58" customFormat="1" hidden="1" outlineLevel="2">
      <c r="B44" s="58" t="s">
        <v>121</v>
      </c>
    </row>
    <row r="45" spans="1:18" s="58" customFormat="1" hidden="1" outlineLevel="2">
      <c r="B45" s="58" t="s">
        <v>122</v>
      </c>
    </row>
    <row r="46" spans="1:18" s="58" customFormat="1" hidden="1" outlineLevel="2">
      <c r="B46" s="58" t="s">
        <v>123</v>
      </c>
    </row>
    <row r="47" spans="1:18" s="58" customFormat="1" hidden="1" outlineLevel="2">
      <c r="B47" s="58" t="s">
        <v>124</v>
      </c>
    </row>
    <row r="48" spans="1:18" s="58" customFormat="1" hidden="1" outlineLevel="2">
      <c r="B48" s="58" t="s">
        <v>125</v>
      </c>
    </row>
    <row r="49" spans="2:3" s="58" customFormat="1" hidden="1" outlineLevel="2">
      <c r="B49" s="58" t="s">
        <v>126</v>
      </c>
    </row>
    <row r="50" spans="2:3" s="58" customFormat="1" hidden="1" outlineLevel="2">
      <c r="B50" s="58" t="s">
        <v>127</v>
      </c>
    </row>
    <row r="51" spans="2:3" s="58" customFormat="1" hidden="1" outlineLevel="2"/>
    <row r="52" spans="2:3" s="58" customFormat="1" hidden="1" outlineLevel="2">
      <c r="C52" s="111" t="str">
        <f ca="1">IF(C40&lt;&gt;0,OFFSET(B41,C40,0),"")</f>
        <v/>
      </c>
    </row>
    <row r="53" spans="2:3" s="58" customFormat="1" hidden="1" outlineLevel="2"/>
    <row r="54" spans="2:3" s="58" customFormat="1" hidden="1" outlineLevel="2">
      <c r="B54" s="58" t="s">
        <v>128</v>
      </c>
      <c r="C54" s="58">
        <f>ROUNDDOWN((C37-C40*100000000)/10000000,0)</f>
        <v>0</v>
      </c>
    </row>
    <row r="55" spans="2:3" s="58" customFormat="1" hidden="1" outlineLevel="2"/>
    <row r="56" spans="2:3" s="58" customFormat="1" hidden="1" outlineLevel="2">
      <c r="B56" s="58" t="s">
        <v>129</v>
      </c>
    </row>
    <row r="57" spans="2:3" s="58" customFormat="1" hidden="1" outlineLevel="2">
      <c r="B57" s="58" t="s">
        <v>130</v>
      </c>
    </row>
    <row r="58" spans="2:3" s="58" customFormat="1" hidden="1" outlineLevel="2">
      <c r="B58" s="58" t="s">
        <v>131</v>
      </c>
    </row>
    <row r="59" spans="2:3" s="58" customFormat="1" hidden="1" outlineLevel="2">
      <c r="B59" s="58" t="s">
        <v>132</v>
      </c>
    </row>
    <row r="60" spans="2:3" s="58" customFormat="1" hidden="1" outlineLevel="2">
      <c r="B60" s="58" t="s">
        <v>133</v>
      </c>
    </row>
    <row r="61" spans="2:3" s="58" customFormat="1" hidden="1" outlineLevel="2">
      <c r="B61" s="58" t="s">
        <v>134</v>
      </c>
    </row>
    <row r="62" spans="2:3" s="58" customFormat="1" hidden="1" outlineLevel="2">
      <c r="B62" s="58" t="s">
        <v>135</v>
      </c>
    </row>
    <row r="63" spans="2:3" s="58" customFormat="1" hidden="1" outlineLevel="2">
      <c r="B63" s="58" t="s">
        <v>136</v>
      </c>
    </row>
    <row r="64" spans="2:3" s="58" customFormat="1" hidden="1" outlineLevel="2">
      <c r="B64" s="58" t="s">
        <v>137</v>
      </c>
    </row>
    <row r="65" spans="2:3" s="58" customFormat="1" hidden="1" outlineLevel="2"/>
    <row r="66" spans="2:3" s="58" customFormat="1" hidden="1" outlineLevel="2">
      <c r="C66" s="111" t="str">
        <f ca="1">IF(AND(C54=1,C68&lt;&gt;0),"",IF(C54&lt;&gt;0,OFFSET(B55,C54,0),""))</f>
        <v/>
      </c>
    </row>
    <row r="67" spans="2:3" s="58" customFormat="1" hidden="1" outlineLevel="2"/>
    <row r="68" spans="2:3" s="58" customFormat="1" hidden="1" outlineLevel="2">
      <c r="B68" s="58" t="s">
        <v>138</v>
      </c>
      <c r="C68" s="58">
        <f>ROUNDDOWN((C37-C40*100000000-C54*10000000)/1000000,0)</f>
        <v>0</v>
      </c>
    </row>
    <row r="69" spans="2:3" s="58" customFormat="1" hidden="1" outlineLevel="2"/>
    <row r="70" spans="2:3" s="58" customFormat="1" hidden="1" outlineLevel="2">
      <c r="B70" s="58" t="s">
        <v>139</v>
      </c>
    </row>
    <row r="71" spans="2:3" s="58" customFormat="1" hidden="1" outlineLevel="2">
      <c r="B71" s="58" t="s">
        <v>140</v>
      </c>
    </row>
    <row r="72" spans="2:3" s="58" customFormat="1" hidden="1" outlineLevel="2">
      <c r="B72" s="58" t="s">
        <v>141</v>
      </c>
    </row>
    <row r="73" spans="2:3" s="58" customFormat="1" hidden="1" outlineLevel="2">
      <c r="B73" s="58" t="s">
        <v>142</v>
      </c>
    </row>
    <row r="74" spans="2:3" s="58" customFormat="1" hidden="1" outlineLevel="2">
      <c r="B74" s="58" t="s">
        <v>143</v>
      </c>
    </row>
    <row r="75" spans="2:3" s="58" customFormat="1" hidden="1" outlineLevel="2">
      <c r="B75" s="58" t="s">
        <v>144</v>
      </c>
    </row>
    <row r="76" spans="2:3" s="58" customFormat="1" hidden="1" outlineLevel="2">
      <c r="B76" s="58" t="s">
        <v>145</v>
      </c>
    </row>
    <row r="77" spans="2:3" s="58" customFormat="1" hidden="1" outlineLevel="2">
      <c r="B77" s="58" t="s">
        <v>146</v>
      </c>
    </row>
    <row r="78" spans="2:3" s="58" customFormat="1" hidden="1" outlineLevel="2">
      <c r="B78" s="58" t="s">
        <v>147</v>
      </c>
    </row>
    <row r="79" spans="2:3" s="58" customFormat="1" hidden="1" outlineLevel="2"/>
    <row r="80" spans="2:3" s="58" customFormat="1" hidden="1" outlineLevel="2">
      <c r="C80" s="111" t="str">
        <f ca="1">IF(C54&lt;&gt;1,IF(C68&lt;&gt;0,OFFSET(B69,C68,0),""),"")</f>
        <v/>
      </c>
    </row>
    <row r="81" spans="2:3" s="58" customFormat="1" hidden="1" outlineLevel="2"/>
    <row r="82" spans="2:3" s="58" customFormat="1" hidden="1" outlineLevel="2">
      <c r="B82" s="58" t="s">
        <v>148</v>
      </c>
    </row>
    <row r="83" spans="2:3" s="58" customFormat="1" hidden="1" outlineLevel="2"/>
    <row r="84" spans="2:3" s="58" customFormat="1" hidden="1" outlineLevel="2">
      <c r="C84" s="58">
        <f>+C68</f>
        <v>0</v>
      </c>
    </row>
    <row r="85" spans="2:3" s="58" customFormat="1" hidden="1" outlineLevel="2">
      <c r="B85" s="58" t="s">
        <v>149</v>
      </c>
    </row>
    <row r="86" spans="2:3" s="58" customFormat="1" hidden="1" outlineLevel="2">
      <c r="B86" s="58" t="s">
        <v>150</v>
      </c>
    </row>
    <row r="87" spans="2:3" s="58" customFormat="1" hidden="1" outlineLevel="2">
      <c r="B87" s="58" t="s">
        <v>151</v>
      </c>
    </row>
    <row r="88" spans="2:3" s="58" customFormat="1" hidden="1" outlineLevel="2">
      <c r="B88" s="58" t="s">
        <v>152</v>
      </c>
    </row>
    <row r="89" spans="2:3" s="58" customFormat="1" hidden="1" outlineLevel="2">
      <c r="B89" s="58" t="s">
        <v>153</v>
      </c>
    </row>
    <row r="90" spans="2:3" s="58" customFormat="1" hidden="1" outlineLevel="2">
      <c r="B90" s="58" t="s">
        <v>154</v>
      </c>
    </row>
    <row r="91" spans="2:3" s="58" customFormat="1" hidden="1" outlineLevel="2">
      <c r="B91" s="58" t="s">
        <v>155</v>
      </c>
    </row>
    <row r="92" spans="2:3" s="58" customFormat="1" hidden="1" outlineLevel="2">
      <c r="B92" s="58" t="s">
        <v>156</v>
      </c>
    </row>
    <row r="93" spans="2:3" s="58" customFormat="1" hidden="1" outlineLevel="2">
      <c r="B93" s="58" t="s">
        <v>157</v>
      </c>
    </row>
    <row r="94" spans="2:3" s="58" customFormat="1" hidden="1" outlineLevel="2"/>
    <row r="95" spans="2:3" s="58" customFormat="1" hidden="1" outlineLevel="2">
      <c r="C95" s="111" t="str">
        <f ca="1">IF(AND(C54=1,C68&lt;&gt;0),IF(C54&lt;&gt;0,OFFSET(B84,C84,0),""),"")</f>
        <v/>
      </c>
    </row>
    <row r="96" spans="2:3" s="58" customFormat="1" hidden="1" outlineLevel="2"/>
    <row r="97" spans="2:3" s="58" customFormat="1" hidden="1" outlineLevel="2">
      <c r="C97" s="111" t="str">
        <f>IF(C54&lt;&gt;1,IF(OR(C68=2,C68=3,C68=4)," миллиона",""),"")</f>
        <v/>
      </c>
    </row>
    <row r="98" spans="2:3" s="58" customFormat="1" hidden="1" outlineLevel="2">
      <c r="C98" s="111" t="str">
        <f>IF(C54&lt;&gt;1,IF(OR(C68=1)," миллион",""),"")</f>
        <v/>
      </c>
    </row>
    <row r="99" spans="2:3" s="58" customFormat="1" hidden="1" outlineLevel="2">
      <c r="C99" s="111" t="str">
        <f>IF(C38&lt;&gt;0,IF(AND(C97="",C98="")," миллионов",""),"")</f>
        <v/>
      </c>
    </row>
    <row r="100" spans="2:3" s="58" customFormat="1" hidden="1" outlineLevel="2">
      <c r="C100" s="112" t="str">
        <f ca="1">(CONCATENATE(C52,C66,C80,C95,C97,C98,C99))</f>
        <v/>
      </c>
    </row>
    <row r="101" spans="2:3" s="58" customFormat="1" hidden="1" outlineLevel="2"/>
    <row r="102" spans="2:3" s="58" customFormat="1" hidden="1" outlineLevel="2">
      <c r="B102" s="58" t="s">
        <v>158</v>
      </c>
      <c r="C102" s="58">
        <f>ROUNDDOWN((C37-C38*1000000)/1000,0)</f>
        <v>0</v>
      </c>
    </row>
    <row r="103" spans="2:3" s="58" customFormat="1" hidden="1" outlineLevel="2">
      <c r="B103" s="58" t="s">
        <v>159</v>
      </c>
      <c r="C103" s="58">
        <f>ROUNDDOWN(C102/100,0)</f>
        <v>0</v>
      </c>
    </row>
    <row r="104" spans="2:3" s="58" customFormat="1" hidden="1" outlineLevel="2"/>
    <row r="105" spans="2:3" s="58" customFormat="1" hidden="1" outlineLevel="2">
      <c r="B105" s="58" t="s">
        <v>160</v>
      </c>
    </row>
    <row r="106" spans="2:3" s="58" customFormat="1" hidden="1" outlineLevel="2">
      <c r="B106" s="58" t="s">
        <v>161</v>
      </c>
    </row>
    <row r="107" spans="2:3" s="58" customFormat="1" hidden="1" outlineLevel="2">
      <c r="B107" s="58" t="s">
        <v>162</v>
      </c>
    </row>
    <row r="108" spans="2:3" s="58" customFormat="1" hidden="1" outlineLevel="2">
      <c r="B108" s="58" t="s">
        <v>163</v>
      </c>
    </row>
    <row r="109" spans="2:3" s="58" customFormat="1" hidden="1" outlineLevel="2">
      <c r="B109" s="58" t="s">
        <v>164</v>
      </c>
    </row>
    <row r="110" spans="2:3" s="58" customFormat="1" hidden="1" outlineLevel="2">
      <c r="B110" s="58" t="s">
        <v>165</v>
      </c>
    </row>
    <row r="111" spans="2:3" s="58" customFormat="1" hidden="1" outlineLevel="2">
      <c r="B111" s="58" t="s">
        <v>166</v>
      </c>
    </row>
    <row r="112" spans="2:3" s="58" customFormat="1" hidden="1" outlineLevel="2">
      <c r="B112" s="58" t="s">
        <v>167</v>
      </c>
    </row>
    <row r="113" spans="2:3" s="58" customFormat="1" hidden="1" outlineLevel="2">
      <c r="B113" s="58" t="s">
        <v>168</v>
      </c>
    </row>
    <row r="114" spans="2:3" s="58" customFormat="1" hidden="1" outlineLevel="2"/>
    <row r="115" spans="2:3" s="58" customFormat="1" hidden="1" outlineLevel="2">
      <c r="C115" s="111" t="str">
        <f ca="1">IF(C103&lt;&gt;0,OFFSET(B104,C103,0),"")</f>
        <v/>
      </c>
    </row>
    <row r="116" spans="2:3" s="58" customFormat="1" hidden="1" outlineLevel="2"/>
    <row r="117" spans="2:3" s="58" customFormat="1" hidden="1" outlineLevel="2">
      <c r="B117" s="58" t="s">
        <v>169</v>
      </c>
      <c r="C117" s="58">
        <f>ROUNDDOWN((C102-C103*100)/10,0)</f>
        <v>0</v>
      </c>
    </row>
    <row r="118" spans="2:3" s="58" customFormat="1" hidden="1" outlineLevel="2"/>
    <row r="119" spans="2:3" s="58" customFormat="1" hidden="1" outlineLevel="2">
      <c r="B119" s="58" t="s">
        <v>129</v>
      </c>
    </row>
    <row r="120" spans="2:3" s="58" customFormat="1" hidden="1" outlineLevel="2">
      <c r="B120" s="58" t="s">
        <v>130</v>
      </c>
    </row>
    <row r="121" spans="2:3" s="58" customFormat="1" hidden="1" outlineLevel="2">
      <c r="B121" s="58" t="s">
        <v>131</v>
      </c>
    </row>
    <row r="122" spans="2:3" s="58" customFormat="1" hidden="1" outlineLevel="2">
      <c r="B122" s="58" t="s">
        <v>132</v>
      </c>
    </row>
    <row r="123" spans="2:3" s="58" customFormat="1" hidden="1" outlineLevel="2">
      <c r="B123" s="58" t="s">
        <v>133</v>
      </c>
    </row>
    <row r="124" spans="2:3" s="58" customFormat="1" hidden="1" outlineLevel="2">
      <c r="B124" s="58" t="s">
        <v>134</v>
      </c>
    </row>
    <row r="125" spans="2:3" s="58" customFormat="1" hidden="1" outlineLevel="2">
      <c r="B125" s="58" t="s">
        <v>135</v>
      </c>
    </row>
    <row r="126" spans="2:3" s="58" customFormat="1" hidden="1" outlineLevel="2">
      <c r="B126" s="58" t="s">
        <v>136</v>
      </c>
    </row>
    <row r="127" spans="2:3" s="58" customFormat="1" hidden="1" outlineLevel="2">
      <c r="B127" s="58" t="s">
        <v>137</v>
      </c>
    </row>
    <row r="128" spans="2:3" s="58" customFormat="1" hidden="1" outlineLevel="2"/>
    <row r="129" spans="2:3" s="58" customFormat="1" hidden="1" outlineLevel="2">
      <c r="C129" s="111" t="str">
        <f ca="1">IF(AND(C117=1,C131&lt;&gt;0),"",IF(C117&lt;&gt;0,OFFSET(B118,C117,0),""))</f>
        <v/>
      </c>
    </row>
    <row r="130" spans="2:3" s="58" customFormat="1" hidden="1" outlineLevel="2"/>
    <row r="131" spans="2:3" s="58" customFormat="1" hidden="1" outlineLevel="2">
      <c r="B131" s="58" t="s">
        <v>158</v>
      </c>
      <c r="C131" s="58">
        <f>C102-C103*100-C117*10</f>
        <v>0</v>
      </c>
    </row>
    <row r="132" spans="2:3" s="58" customFormat="1" hidden="1" outlineLevel="2"/>
    <row r="133" spans="2:3" s="58" customFormat="1" hidden="1" outlineLevel="2">
      <c r="B133" s="58" t="s">
        <v>170</v>
      </c>
    </row>
    <row r="134" spans="2:3" s="58" customFormat="1" hidden="1" outlineLevel="2">
      <c r="B134" s="58" t="s">
        <v>171</v>
      </c>
    </row>
    <row r="135" spans="2:3" s="58" customFormat="1" hidden="1" outlineLevel="2">
      <c r="B135" s="58" t="s">
        <v>141</v>
      </c>
    </row>
    <row r="136" spans="2:3" s="58" customFormat="1" hidden="1" outlineLevel="2">
      <c r="B136" s="58" t="s">
        <v>142</v>
      </c>
    </row>
    <row r="137" spans="2:3" s="58" customFormat="1" hidden="1" outlineLevel="2">
      <c r="B137" s="58" t="s">
        <v>143</v>
      </c>
    </row>
    <row r="138" spans="2:3" s="58" customFormat="1" hidden="1" outlineLevel="2">
      <c r="B138" s="58" t="s">
        <v>144</v>
      </c>
    </row>
    <row r="139" spans="2:3" s="58" customFormat="1" hidden="1" outlineLevel="2">
      <c r="B139" s="58" t="s">
        <v>145</v>
      </c>
    </row>
    <row r="140" spans="2:3" s="58" customFormat="1" hidden="1" outlineLevel="2">
      <c r="B140" s="58" t="s">
        <v>146</v>
      </c>
    </row>
    <row r="141" spans="2:3" s="58" customFormat="1" hidden="1" outlineLevel="2">
      <c r="B141" s="58" t="s">
        <v>147</v>
      </c>
    </row>
    <row r="142" spans="2:3" s="58" customFormat="1" hidden="1" outlineLevel="2"/>
    <row r="143" spans="2:3" s="58" customFormat="1" hidden="1" outlineLevel="2">
      <c r="C143" s="111" t="str">
        <f ca="1">IF(C117&lt;&gt;1,IF(C131&lt;&gt;0,OFFSET(B132,C131,0),""),"")</f>
        <v/>
      </c>
    </row>
    <row r="144" spans="2:3" s="58" customFormat="1" hidden="1" outlineLevel="2"/>
    <row r="145" spans="2:3" s="58" customFormat="1" hidden="1" outlineLevel="2">
      <c r="B145" s="58" t="s">
        <v>148</v>
      </c>
    </row>
    <row r="146" spans="2:3" s="58" customFormat="1" hidden="1" outlineLevel="2"/>
    <row r="147" spans="2:3" s="58" customFormat="1" hidden="1" outlineLevel="2">
      <c r="C147" s="58">
        <f>+C131</f>
        <v>0</v>
      </c>
    </row>
    <row r="148" spans="2:3" s="58" customFormat="1" hidden="1" outlineLevel="2">
      <c r="B148" s="58" t="s">
        <v>149</v>
      </c>
    </row>
    <row r="149" spans="2:3" s="58" customFormat="1" hidden="1" outlineLevel="2">
      <c r="B149" s="58" t="s">
        <v>150</v>
      </c>
    </row>
    <row r="150" spans="2:3" s="58" customFormat="1" hidden="1" outlineLevel="2">
      <c r="B150" s="58" t="s">
        <v>151</v>
      </c>
    </row>
    <row r="151" spans="2:3" s="58" customFormat="1" hidden="1" outlineLevel="2">
      <c r="B151" s="58" t="s">
        <v>152</v>
      </c>
    </row>
    <row r="152" spans="2:3" s="58" customFormat="1" hidden="1" outlineLevel="2">
      <c r="B152" s="58" t="s">
        <v>153</v>
      </c>
    </row>
    <row r="153" spans="2:3" s="58" customFormat="1" hidden="1" outlineLevel="2">
      <c r="B153" s="58" t="s">
        <v>154</v>
      </c>
    </row>
    <row r="154" spans="2:3" s="58" customFormat="1" hidden="1" outlineLevel="2">
      <c r="B154" s="58" t="s">
        <v>155</v>
      </c>
    </row>
    <row r="155" spans="2:3" s="58" customFormat="1" hidden="1" outlineLevel="2">
      <c r="B155" s="58" t="s">
        <v>156</v>
      </c>
    </row>
    <row r="156" spans="2:3" s="58" customFormat="1" hidden="1" outlineLevel="2">
      <c r="B156" s="58" t="s">
        <v>157</v>
      </c>
    </row>
    <row r="157" spans="2:3" s="58" customFormat="1" hidden="1" outlineLevel="2"/>
    <row r="158" spans="2:3" s="58" customFormat="1" hidden="1" outlineLevel="2">
      <c r="C158" s="111" t="str">
        <f ca="1">IF(AND(C117=1,C131&lt;&gt;0),IF(C117&lt;&gt;0,OFFSET(B147,C147,0),""),"")</f>
        <v/>
      </c>
    </row>
    <row r="159" spans="2:3" s="58" customFormat="1" hidden="1" outlineLevel="2"/>
    <row r="160" spans="2:3" s="58" customFormat="1" hidden="1" outlineLevel="2">
      <c r="C160" s="111" t="str">
        <f>IF(C117&lt;&gt;1,IF(OR(C131=2,C131=3,C131=4)," тысячи",""),"")</f>
        <v/>
      </c>
    </row>
    <row r="161" spans="2:3" s="58" customFormat="1" hidden="1" outlineLevel="2">
      <c r="C161" s="111" t="str">
        <f>IF(C117&lt;&gt;1,IF(OR(C131=1)," тысяча",""),"")</f>
        <v/>
      </c>
    </row>
    <row r="162" spans="2:3" s="58" customFormat="1" hidden="1" outlineLevel="2">
      <c r="C162" s="111" t="str">
        <f>IF(C102&lt;&gt;0,IF(AND(C160="",C161="")," тысяч",""),"")</f>
        <v/>
      </c>
    </row>
    <row r="163" spans="2:3" s="58" customFormat="1" hidden="1" outlineLevel="2">
      <c r="C163" s="112" t="str">
        <f ca="1">(CONCATENATE(C115,C129,C143,C158,C160,C161,C162))</f>
        <v/>
      </c>
    </row>
    <row r="164" spans="2:3" s="58" customFormat="1" hidden="1" outlineLevel="2"/>
    <row r="165" spans="2:3" s="58" customFormat="1" hidden="1" outlineLevel="2">
      <c r="B165" s="58" t="s">
        <v>172</v>
      </c>
      <c r="C165" s="58">
        <f>ROUNDDOWN(C37-C38*1000000-C102*1000,0)</f>
        <v>0</v>
      </c>
    </row>
    <row r="166" spans="2:3" s="58" customFormat="1" hidden="1" outlineLevel="2">
      <c r="B166" s="58" t="s">
        <v>159</v>
      </c>
      <c r="C166" s="58">
        <f>ROUNDDOWN(C165/100,0)</f>
        <v>0</v>
      </c>
    </row>
    <row r="167" spans="2:3" s="58" customFormat="1" hidden="1" outlineLevel="2"/>
    <row r="168" spans="2:3" s="58" customFormat="1" hidden="1" outlineLevel="2">
      <c r="B168" s="58" t="s">
        <v>160</v>
      </c>
    </row>
    <row r="169" spans="2:3" s="58" customFormat="1" hidden="1" outlineLevel="2">
      <c r="B169" s="58" t="s">
        <v>161</v>
      </c>
    </row>
    <row r="170" spans="2:3" s="58" customFormat="1" hidden="1" outlineLevel="2">
      <c r="B170" s="58" t="s">
        <v>162</v>
      </c>
    </row>
    <row r="171" spans="2:3" s="58" customFormat="1" hidden="1" outlineLevel="2">
      <c r="B171" s="58" t="s">
        <v>163</v>
      </c>
    </row>
    <row r="172" spans="2:3" s="58" customFormat="1" hidden="1" outlineLevel="2">
      <c r="B172" s="58" t="s">
        <v>164</v>
      </c>
    </row>
    <row r="173" spans="2:3" s="58" customFormat="1" hidden="1" outlineLevel="2">
      <c r="B173" s="58" t="s">
        <v>165</v>
      </c>
    </row>
    <row r="174" spans="2:3" s="58" customFormat="1" hidden="1" outlineLevel="2">
      <c r="B174" s="58" t="s">
        <v>166</v>
      </c>
    </row>
    <row r="175" spans="2:3" s="58" customFormat="1" hidden="1" outlineLevel="2">
      <c r="B175" s="58" t="s">
        <v>167</v>
      </c>
    </row>
    <row r="176" spans="2:3" s="58" customFormat="1" hidden="1" outlineLevel="2">
      <c r="B176" s="58" t="s">
        <v>168</v>
      </c>
    </row>
    <row r="177" spans="2:3" s="58" customFormat="1" hidden="1" outlineLevel="2"/>
    <row r="178" spans="2:3" s="58" customFormat="1" hidden="1" outlineLevel="2">
      <c r="C178" s="111" t="str">
        <f ca="1">IF(C166&lt;&gt;0,OFFSET(B167,C166,0),"")</f>
        <v/>
      </c>
    </row>
    <row r="179" spans="2:3" s="58" customFormat="1" hidden="1" outlineLevel="2"/>
    <row r="180" spans="2:3" s="58" customFormat="1" hidden="1" outlineLevel="2">
      <c r="B180" s="58" t="s">
        <v>169</v>
      </c>
      <c r="C180" s="58">
        <f>ROUNDDOWN((C165-C166*100)/10,0)</f>
        <v>0</v>
      </c>
    </row>
    <row r="181" spans="2:3" s="58" customFormat="1" hidden="1" outlineLevel="2"/>
    <row r="182" spans="2:3" s="58" customFormat="1" hidden="1" outlineLevel="2">
      <c r="B182" s="58" t="s">
        <v>129</v>
      </c>
    </row>
    <row r="183" spans="2:3" s="58" customFormat="1" hidden="1" outlineLevel="2">
      <c r="B183" s="58" t="s">
        <v>130</v>
      </c>
    </row>
    <row r="184" spans="2:3" s="58" customFormat="1" hidden="1" outlineLevel="2">
      <c r="B184" s="58" t="s">
        <v>131</v>
      </c>
    </row>
    <row r="185" spans="2:3" s="58" customFormat="1" hidden="1" outlineLevel="2">
      <c r="B185" s="58" t="s">
        <v>132</v>
      </c>
    </row>
    <row r="186" spans="2:3" s="58" customFormat="1" hidden="1" outlineLevel="2">
      <c r="B186" s="58" t="s">
        <v>133</v>
      </c>
    </row>
    <row r="187" spans="2:3" s="58" customFormat="1" hidden="1" outlineLevel="2">
      <c r="B187" s="58" t="s">
        <v>134</v>
      </c>
    </row>
    <row r="188" spans="2:3" s="58" customFormat="1" hidden="1" outlineLevel="2">
      <c r="B188" s="58" t="s">
        <v>135</v>
      </c>
    </row>
    <row r="189" spans="2:3" s="58" customFormat="1" hidden="1" outlineLevel="2">
      <c r="B189" s="58" t="s">
        <v>136</v>
      </c>
    </row>
    <row r="190" spans="2:3" s="58" customFormat="1" hidden="1" outlineLevel="2">
      <c r="B190" s="58" t="s">
        <v>137</v>
      </c>
    </row>
    <row r="191" spans="2:3" s="58" customFormat="1" hidden="1" outlineLevel="2"/>
    <row r="192" spans="2:3" s="58" customFormat="1" hidden="1" outlineLevel="2">
      <c r="C192" s="111" t="str">
        <f ca="1">IF(AND(C180=1,C194&lt;&gt;0),"",IF(C180&lt;&gt;0,OFFSET(B181,C180,0),""))</f>
        <v/>
      </c>
    </row>
    <row r="193" spans="2:3" s="58" customFormat="1" hidden="1" outlineLevel="2"/>
    <row r="194" spans="2:3" s="58" customFormat="1" hidden="1" outlineLevel="2">
      <c r="B194" s="58" t="s">
        <v>158</v>
      </c>
      <c r="C194" s="58">
        <f>C165-C166*100-C180*10</f>
        <v>0</v>
      </c>
    </row>
    <row r="195" spans="2:3" s="58" customFormat="1" hidden="1" outlineLevel="2"/>
    <row r="196" spans="2:3" s="58" customFormat="1" hidden="1" outlineLevel="2">
      <c r="B196" s="58" t="s">
        <v>139</v>
      </c>
    </row>
    <row r="197" spans="2:3" s="58" customFormat="1" hidden="1" outlineLevel="2">
      <c r="B197" s="58" t="s">
        <v>140</v>
      </c>
    </row>
    <row r="198" spans="2:3" s="58" customFormat="1" hidden="1" outlineLevel="2">
      <c r="B198" s="58" t="s">
        <v>141</v>
      </c>
    </row>
    <row r="199" spans="2:3" s="58" customFormat="1" hidden="1" outlineLevel="2">
      <c r="B199" s="58" t="s">
        <v>142</v>
      </c>
    </row>
    <row r="200" spans="2:3" s="58" customFormat="1" hidden="1" outlineLevel="2">
      <c r="B200" s="58" t="s">
        <v>143</v>
      </c>
    </row>
    <row r="201" spans="2:3" s="58" customFormat="1" hidden="1" outlineLevel="2">
      <c r="B201" s="58" t="s">
        <v>144</v>
      </c>
    </row>
    <row r="202" spans="2:3" s="58" customFormat="1" hidden="1" outlineLevel="2">
      <c r="B202" s="58" t="s">
        <v>145</v>
      </c>
    </row>
    <row r="203" spans="2:3" s="58" customFormat="1" hidden="1" outlineLevel="2">
      <c r="B203" s="58" t="s">
        <v>146</v>
      </c>
    </row>
    <row r="204" spans="2:3" s="58" customFormat="1" hidden="1" outlineLevel="2">
      <c r="B204" s="58" t="s">
        <v>147</v>
      </c>
    </row>
    <row r="205" spans="2:3" s="58" customFormat="1" hidden="1" outlineLevel="2"/>
    <row r="206" spans="2:3" s="58" customFormat="1" hidden="1" outlineLevel="2">
      <c r="C206" s="111" t="str">
        <f ca="1">IF(C180&lt;&gt;1,IF(C194&lt;&gt;0,OFFSET(B195,C194,0),""),"")</f>
        <v/>
      </c>
    </row>
    <row r="207" spans="2:3" s="58" customFormat="1" hidden="1" outlineLevel="2"/>
    <row r="208" spans="2:3" s="58" customFormat="1" hidden="1" outlineLevel="2">
      <c r="B208" s="58" t="s">
        <v>148</v>
      </c>
    </row>
    <row r="209" spans="2:3" s="58" customFormat="1" hidden="1" outlineLevel="2"/>
    <row r="210" spans="2:3" s="58" customFormat="1" hidden="1" outlineLevel="2">
      <c r="C210" s="58">
        <f>+C194</f>
        <v>0</v>
      </c>
    </row>
    <row r="211" spans="2:3" s="58" customFormat="1" hidden="1" outlineLevel="2">
      <c r="B211" s="58" t="s">
        <v>149</v>
      </c>
    </row>
    <row r="212" spans="2:3" s="58" customFormat="1" hidden="1" outlineLevel="2">
      <c r="B212" s="58" t="s">
        <v>150</v>
      </c>
    </row>
    <row r="213" spans="2:3" s="58" customFormat="1" hidden="1" outlineLevel="2">
      <c r="B213" s="58" t="s">
        <v>151</v>
      </c>
    </row>
    <row r="214" spans="2:3" s="58" customFormat="1" hidden="1" outlineLevel="2">
      <c r="B214" s="58" t="s">
        <v>152</v>
      </c>
    </row>
    <row r="215" spans="2:3" s="58" customFormat="1" hidden="1" outlineLevel="2">
      <c r="B215" s="58" t="s">
        <v>153</v>
      </c>
    </row>
    <row r="216" spans="2:3" s="58" customFormat="1" hidden="1" outlineLevel="2">
      <c r="B216" s="58" t="s">
        <v>154</v>
      </c>
    </row>
    <row r="217" spans="2:3" s="58" customFormat="1" hidden="1" outlineLevel="2">
      <c r="B217" s="58" t="s">
        <v>155</v>
      </c>
    </row>
    <row r="218" spans="2:3" s="58" customFormat="1" hidden="1" outlineLevel="2">
      <c r="B218" s="58" t="s">
        <v>156</v>
      </c>
    </row>
    <row r="219" spans="2:3" s="58" customFormat="1" hidden="1" outlineLevel="2">
      <c r="B219" s="58" t="s">
        <v>157</v>
      </c>
    </row>
    <row r="220" spans="2:3" s="58" customFormat="1" hidden="1" outlineLevel="2"/>
    <row r="221" spans="2:3" s="58" customFormat="1" hidden="1" outlineLevel="2">
      <c r="C221" s="111" t="str">
        <f ca="1">IF(AND(C180=1,C194&lt;&gt;0),IF(C180&lt;&gt;0,OFFSET(B210,C210,0),""),"")</f>
        <v/>
      </c>
    </row>
    <row r="222" spans="2:3" s="58" customFormat="1" hidden="1" outlineLevel="2"/>
    <row r="223" spans="2:3" s="58" customFormat="1" hidden="1" outlineLevel="2">
      <c r="C223" s="111" t="str">
        <f>IF(C180&lt;&gt;1,IF(OR(C194=2,C194=3,C194=4)," рубля",""),"")</f>
        <v/>
      </c>
    </row>
    <row r="224" spans="2:3" s="58" customFormat="1" hidden="1" outlineLevel="2">
      <c r="C224" s="111" t="str">
        <f>IF(C180&lt;&gt;1,IF(OR(C194=1)," рубль",""),"")</f>
        <v/>
      </c>
    </row>
    <row r="225" spans="2:3" s="58" customFormat="1" hidden="1" outlineLevel="2">
      <c r="C225" s="111" t="str">
        <f>IF(AND(C223="",C224="")," рублей","")</f>
        <v xml:space="preserve"> рублей</v>
      </c>
    </row>
    <row r="226" spans="2:3" s="58" customFormat="1" hidden="1" outlineLevel="2">
      <c r="C226" s="112" t="str">
        <f ca="1">(CONCATENATE(C178,C192,C206,C221,C223,C224,C225))</f>
        <v xml:space="preserve"> рублей</v>
      </c>
    </row>
    <row r="227" spans="2:3" s="58" customFormat="1" hidden="1" outlineLevel="2"/>
    <row r="228" spans="2:3" s="58" customFormat="1" hidden="1" outlineLevel="2">
      <c r="C228" s="58" t="str">
        <f ca="1">TRIM(CONCATENATE(C100,C163,C226))</f>
        <v>рублей</v>
      </c>
    </row>
    <row r="229" spans="2:3" s="58" customFormat="1" hidden="1" outlineLevel="2">
      <c r="C229" s="112" t="str">
        <f ca="1">LEFT(C228,1)</f>
        <v>р</v>
      </c>
    </row>
    <row r="230" spans="2:3" s="58" customFormat="1" hidden="1" outlineLevel="2">
      <c r="C230" s="112" t="str">
        <f ca="1">LOWER(C228)</f>
        <v>рублей</v>
      </c>
    </row>
    <row r="231" spans="2:3" s="58" customFormat="1" hidden="1" outlineLevel="2">
      <c r="C231" s="112" t="str">
        <f ca="1">REPLACE(C230,1,1,"")</f>
        <v>ублей</v>
      </c>
    </row>
    <row r="232" spans="2:3" s="58" customFormat="1" hidden="1" outlineLevel="2">
      <c r="C232" s="112" t="str">
        <f ca="1">CONCATENATE(C229,C231)</f>
        <v>рублей</v>
      </c>
    </row>
    <row r="233" spans="2:3" s="58" customFormat="1" hidden="1" outlineLevel="2"/>
    <row r="234" spans="2:3" s="58" customFormat="1" hidden="1" outlineLevel="2">
      <c r="B234" s="58" t="s">
        <v>173</v>
      </c>
      <c r="C234" s="58">
        <f>ROUND(C37-C38*1000000-C102*1000-C165,2)*100</f>
        <v>0</v>
      </c>
    </row>
    <row r="235" spans="2:3" s="58" customFormat="1" hidden="1" outlineLevel="2">
      <c r="B235" s="58" t="s">
        <v>174</v>
      </c>
      <c r="C235" s="58">
        <f>ROUNDDOWN(C234/10,0)</f>
        <v>0</v>
      </c>
    </row>
    <row r="236" spans="2:3" s="58" customFormat="1" hidden="1" outlineLevel="2">
      <c r="B236" s="58" t="s">
        <v>175</v>
      </c>
      <c r="C236" s="58">
        <f>+C234-C235*10</f>
        <v>0</v>
      </c>
    </row>
    <row r="237" spans="2:3" s="58" customFormat="1" hidden="1" outlineLevel="2">
      <c r="C237" s="58" t="str">
        <f>IF(C234&lt;10,CONCATENATE("0",C234),C234)</f>
        <v>00</v>
      </c>
    </row>
    <row r="238" spans="2:3" s="58" customFormat="1" hidden="1" outlineLevel="2"/>
    <row r="239" spans="2:3" s="58" customFormat="1" hidden="1" outlineLevel="2">
      <c r="C239" s="111" t="str">
        <f>IF(AND(C236=1,C235&lt;&gt;1)," копейка","")</f>
        <v/>
      </c>
    </row>
    <row r="240" spans="2:3" s="58" customFormat="1" hidden="1" outlineLevel="2">
      <c r="C240" s="111" t="str">
        <f>IF(C235&lt;&gt;1,IF(OR(C236=2,C236=3,C236=4)," копейки",""),"")</f>
        <v/>
      </c>
    </row>
    <row r="241" spans="2:15" s="58" customFormat="1" outlineLevel="1" collapsed="1">
      <c r="C241" s="111" t="str">
        <f>IF(AND(C239="",C240="")," копеек","")</f>
        <v xml:space="preserve"> копеек</v>
      </c>
    </row>
    <row r="242" spans="2:15" s="58" customFormat="1" outlineLevel="1"/>
    <row r="243" spans="2:15" s="58" customFormat="1" ht="12" customHeight="1" outlineLevel="1">
      <c r="B243" s="58" t="s">
        <v>176</v>
      </c>
      <c r="C243" s="111" t="str">
        <f ca="1">CONCATENATE(C232," ",C237,C239,C240,C241)</f>
        <v>рублей 00 копеек</v>
      </c>
    </row>
    <row r="244" spans="2:15" s="6" customFormat="1" ht="15.75">
      <c r="M244" s="21"/>
      <c r="N244" s="57"/>
      <c r="O244" s="21"/>
    </row>
    <row r="255" spans="2:15" s="508" customFormat="1" ht="13.5" hidden="1" customHeight="1" outlineLevel="1" thickBot="1">
      <c r="B255" s="509"/>
      <c r="C255" s="512" t="s">
        <v>313</v>
      </c>
      <c r="D255" s="643" t="e">
        <f>#REF!</f>
        <v>#REF!</v>
      </c>
      <c r="E255" s="643"/>
      <c r="F255" s="643"/>
      <c r="G255" s="644"/>
      <c r="H255" s="510"/>
      <c r="I255" s="645" t="e">
        <f>I254*D255</f>
        <v>#REF!</v>
      </c>
      <c r="J255" s="646" t="e">
        <f>I254*D255</f>
        <v>#REF!</v>
      </c>
      <c r="L255" s="511"/>
    </row>
    <row r="256" spans="2:15" collapsed="1"/>
  </sheetData>
  <mergeCells count="12">
    <mergeCell ref="D255:G255"/>
    <mergeCell ref="I255:J255"/>
    <mergeCell ref="B1:J1"/>
    <mergeCell ref="D3:J3"/>
    <mergeCell ref="C5:I5"/>
    <mergeCell ref="B6:J6"/>
    <mergeCell ref="B21:J21"/>
    <mergeCell ref="B22:J22"/>
    <mergeCell ref="B7:J7"/>
    <mergeCell ref="B9:J9"/>
    <mergeCell ref="B10:J10"/>
    <mergeCell ref="B11:J11"/>
  </mergeCells>
  <phoneticPr fontId="11" type="noConversion"/>
  <pageMargins left="1.08" right="0.15748031496062992" top="0.34" bottom="0.98425196850393704" header="0.23" footer="0.51181102362204722"/>
  <pageSetup paperSize="9" scale="89" fitToHeight="2"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dimension ref="A1:W392"/>
  <sheetViews>
    <sheetView view="pageBreakPreview" zoomScaleNormal="100" zoomScaleSheetLayoutView="100" workbookViewId="0">
      <pane ySplit="13" topLeftCell="A23" activePane="bottomLeft" state="frozen"/>
      <selection pane="bottomLeft" activeCell="C30" sqref="C30"/>
    </sheetView>
  </sheetViews>
  <sheetFormatPr defaultColWidth="9.140625" defaultRowHeight="15.75" outlineLevelRow="2" outlineLevelCol="1"/>
  <cols>
    <col min="1" max="1" width="5.5703125" style="213" customWidth="1"/>
    <col min="2" max="2" width="35.5703125" style="213" customWidth="1"/>
    <col min="3" max="3" width="8.140625" style="213" customWidth="1"/>
    <col min="4" max="4" width="7.5703125" style="213" customWidth="1"/>
    <col min="5" max="5" width="9.7109375" style="213" customWidth="1"/>
    <col min="6" max="6" width="16.5703125" style="213" customWidth="1"/>
    <col min="7" max="7" width="0" style="2" hidden="1" customWidth="1" outlineLevel="1"/>
    <col min="8" max="8" width="9.140625" style="2" collapsed="1"/>
    <col min="9" max="9" width="37.85546875" style="2" customWidth="1"/>
    <col min="10" max="12" width="9.140625" style="2"/>
    <col min="13" max="16" width="0" style="2" hidden="1" customWidth="1"/>
    <col min="17" max="19" width="9.140625" style="2" hidden="1" customWidth="1"/>
    <col min="20" max="21" width="0" style="2" hidden="1" customWidth="1"/>
    <col min="22" max="16384" width="9.140625" style="2"/>
  </cols>
  <sheetData>
    <row r="1" spans="1:23" hidden="1" outlineLevel="1">
      <c r="A1" s="656" t="e">
        <f>CONCATENATE(I2," ",#REF!,".",I1," ",I3)</f>
        <v>#REF!</v>
      </c>
      <c r="B1" s="656"/>
      <c r="C1" s="656"/>
      <c r="D1" s="656"/>
      <c r="E1" s="656"/>
      <c r="F1" s="656"/>
      <c r="H1" s="264"/>
      <c r="I1" s="297" t="e">
        <f>#REF!+1</f>
        <v>#REF!</v>
      </c>
      <c r="V1" s="282" t="e">
        <f>#REF!</f>
        <v>#REF!</v>
      </c>
      <c r="W1" s="282" t="e">
        <f>#REF!+1</f>
        <v>#REF!</v>
      </c>
    </row>
    <row r="2" spans="1:23" collapsed="1">
      <c r="A2" s="195"/>
      <c r="B2" s="195"/>
      <c r="C2" s="195"/>
      <c r="D2" s="195"/>
      <c r="E2" s="657"/>
      <c r="F2" s="657"/>
      <c r="H2" s="265"/>
      <c r="I2" s="2" t="e">
        <f>#REF!</f>
        <v>#REF!</v>
      </c>
    </row>
    <row r="3" spans="1:23" ht="14.25" customHeight="1">
      <c r="A3" s="658" t="e">
        <f>CONCATENATE(#REF!," ",V1,".",W1)</f>
        <v>#REF!</v>
      </c>
      <c r="B3" s="658"/>
      <c r="C3" s="658"/>
      <c r="D3" s="658"/>
      <c r="E3" s="658"/>
      <c r="F3" s="658"/>
      <c r="H3" s="266"/>
      <c r="I3" s="2" t="e">
        <f>#REF!</f>
        <v>#REF!</v>
      </c>
    </row>
    <row r="4" spans="1:23" ht="28.5" customHeight="1">
      <c r="A4" s="659" t="s">
        <v>214</v>
      </c>
      <c r="B4" s="659"/>
      <c r="C4" s="659"/>
      <c r="D4" s="659"/>
      <c r="E4" s="659"/>
      <c r="F4" s="659"/>
      <c r="H4" s="298" t="s">
        <v>197</v>
      </c>
      <c r="I4" s="684">
        <v>8.0500000000000007</v>
      </c>
      <c r="J4" s="684"/>
      <c r="K4" s="684"/>
      <c r="L4" s="684"/>
      <c r="M4" s="298"/>
    </row>
    <row r="5" spans="1:23" ht="9" customHeight="1">
      <c r="A5" s="196"/>
      <c r="B5" s="196"/>
      <c r="C5" s="196"/>
      <c r="D5" s="196"/>
      <c r="E5" s="196"/>
      <c r="F5" s="196"/>
      <c r="H5" s="298"/>
      <c r="I5" s="298"/>
      <c r="J5" s="298"/>
      <c r="K5" s="298"/>
      <c r="L5" s="298"/>
      <c r="M5" s="298"/>
    </row>
    <row r="6" spans="1:23" ht="28.5" customHeight="1">
      <c r="A6" s="660" t="e">
        <f>#REF!</f>
        <v>#REF!</v>
      </c>
      <c r="B6" s="660"/>
      <c r="C6" s="660"/>
      <c r="D6" s="660"/>
      <c r="E6" s="660"/>
      <c r="F6" s="660"/>
      <c r="H6" s="298"/>
      <c r="I6" s="298"/>
      <c r="J6" s="298"/>
      <c r="K6" s="298"/>
      <c r="L6" s="298"/>
      <c r="M6" s="298"/>
    </row>
    <row r="7" spans="1:23" ht="12" customHeight="1">
      <c r="A7" s="197"/>
      <c r="B7" s="197"/>
      <c r="C7" s="197"/>
      <c r="D7" s="197"/>
      <c r="E7" s="197"/>
      <c r="F7" s="197"/>
    </row>
    <row r="8" spans="1:23" ht="11.25" customHeight="1">
      <c r="A8" s="661"/>
      <c r="B8" s="661"/>
      <c r="C8" s="661"/>
      <c r="D8" s="661"/>
      <c r="E8" s="661"/>
      <c r="F8" s="661"/>
    </row>
    <row r="9" spans="1:23" ht="16.5" customHeight="1">
      <c r="A9" s="664" t="s">
        <v>310</v>
      </c>
      <c r="B9" s="664"/>
      <c r="C9" s="664"/>
      <c r="D9" s="664" t="e">
        <f>#REF!</f>
        <v>#REF!</v>
      </c>
      <c r="E9" s="664"/>
      <c r="F9" s="664"/>
    </row>
    <row r="10" spans="1:23" ht="16.5" customHeight="1">
      <c r="A10" s="391"/>
      <c r="B10" s="391"/>
      <c r="C10" s="391"/>
      <c r="D10" s="391"/>
      <c r="E10" s="391"/>
      <c r="F10" s="391"/>
    </row>
    <row r="11" spans="1:23" ht="16.5" customHeight="1">
      <c r="A11" s="664" t="s">
        <v>185</v>
      </c>
      <c r="B11" s="664"/>
      <c r="C11" s="664"/>
      <c r="D11" s="664" t="e">
        <f>#REF!</f>
        <v>#REF!</v>
      </c>
      <c r="E11" s="664"/>
      <c r="F11" s="664"/>
    </row>
    <row r="12" spans="1:23" ht="12" customHeight="1">
      <c r="A12" s="665"/>
      <c r="B12" s="665"/>
      <c r="C12" s="665"/>
      <c r="D12" s="665"/>
      <c r="E12" s="665"/>
      <c r="F12" s="665"/>
    </row>
    <row r="13" spans="1:23" ht="65.25" customHeight="1">
      <c r="A13" s="198" t="s">
        <v>212</v>
      </c>
      <c r="B13" s="198" t="s">
        <v>192</v>
      </c>
      <c r="C13" s="198" t="s">
        <v>193</v>
      </c>
      <c r="D13" s="198" t="s">
        <v>194</v>
      </c>
      <c r="E13" s="198" t="s">
        <v>195</v>
      </c>
      <c r="F13" s="198" t="s">
        <v>48</v>
      </c>
    </row>
    <row r="14" spans="1:23" ht="13.5" customHeight="1">
      <c r="A14" s="199">
        <v>1</v>
      </c>
      <c r="B14" s="199">
        <f>A14+1</f>
        <v>2</v>
      </c>
      <c r="C14" s="199">
        <f>B14+1</f>
        <v>3</v>
      </c>
      <c r="D14" s="199">
        <f>C14+1</f>
        <v>4</v>
      </c>
      <c r="E14" s="199">
        <v>5</v>
      </c>
      <c r="F14" s="199">
        <v>6</v>
      </c>
    </row>
    <row r="15" spans="1:23" s="305" customFormat="1" ht="12.75">
      <c r="A15" s="299" t="s">
        <v>234</v>
      </c>
      <c r="B15" s="299"/>
      <c r="C15" s="300"/>
      <c r="D15" s="301"/>
      <c r="E15" s="302"/>
      <c r="F15" s="303"/>
      <c r="G15" s="304"/>
    </row>
    <row r="16" spans="1:23" s="311" customFormat="1" ht="16.5" customHeight="1">
      <c r="A16" s="306" t="s">
        <v>206</v>
      </c>
      <c r="B16" s="307" t="s">
        <v>58</v>
      </c>
      <c r="C16" s="300"/>
      <c r="D16" s="300"/>
      <c r="E16" s="300"/>
      <c r="F16" s="308"/>
      <c r="G16" s="309"/>
      <c r="H16" s="310"/>
      <c r="I16" s="310"/>
      <c r="J16" s="310"/>
      <c r="K16" s="310"/>
    </row>
    <row r="17" spans="1:11" s="311" customFormat="1" ht="51">
      <c r="A17" s="306" t="s">
        <v>59</v>
      </c>
      <c r="B17" s="667" t="s">
        <v>235</v>
      </c>
      <c r="C17" s="668"/>
      <c r="D17" s="312" t="s">
        <v>236</v>
      </c>
      <c r="E17" s="313" t="str">
        <f>CONCATENATE("(668*",C22,"+49)*",C23,"*",C24,"*",C18,"=")</f>
        <v>(668*0,20168+49)*1,59*8,05*1=</v>
      </c>
      <c r="F17" s="405">
        <f>(668*C22+49)*C23*C24*C18</f>
        <v>2351.5528108799999</v>
      </c>
      <c r="G17" s="314"/>
      <c r="H17" s="315"/>
      <c r="I17" s="315"/>
      <c r="J17" s="315"/>
      <c r="K17" s="316"/>
    </row>
    <row r="18" spans="1:11" s="311" customFormat="1" ht="12.75">
      <c r="A18" s="317"/>
      <c r="B18" s="313" t="s">
        <v>237</v>
      </c>
      <c r="C18" s="313">
        <v>1</v>
      </c>
      <c r="D18" s="318" t="s">
        <v>197</v>
      </c>
      <c r="E18" s="313"/>
      <c r="F18" s="319"/>
      <c r="G18" s="314"/>
      <c r="H18" s="315"/>
      <c r="I18" s="315"/>
      <c r="J18" s="315"/>
      <c r="K18" s="316"/>
    </row>
    <row r="19" spans="1:11" s="311" customFormat="1" ht="15" customHeight="1">
      <c r="A19" s="317"/>
      <c r="B19" s="313" t="s">
        <v>238</v>
      </c>
      <c r="C19" s="313">
        <v>1</v>
      </c>
      <c r="D19" s="312"/>
      <c r="E19" s="313"/>
      <c r="F19" s="319"/>
      <c r="G19" s="314"/>
      <c r="H19" s="315"/>
      <c r="I19" s="315"/>
      <c r="J19" s="315"/>
      <c r="K19" s="316"/>
    </row>
    <row r="20" spans="1:11" s="311" customFormat="1" ht="12.75">
      <c r="A20" s="313"/>
      <c r="B20" s="313" t="s">
        <v>239</v>
      </c>
      <c r="C20" s="320">
        <v>1</v>
      </c>
      <c r="D20" s="318"/>
      <c r="E20" s="321"/>
      <c r="F20" s="319"/>
      <c r="G20" s="314"/>
      <c r="H20" s="315"/>
      <c r="I20" s="315"/>
      <c r="J20" s="315"/>
      <c r="K20" s="316"/>
    </row>
    <row r="21" spans="1:11" s="311" customFormat="1" ht="12.75">
      <c r="A21" s="313"/>
      <c r="B21" s="313" t="s">
        <v>240</v>
      </c>
      <c r="C21" s="322">
        <f>4.2/1000</f>
        <v>4.2000000000000006E-3</v>
      </c>
      <c r="D21" s="323"/>
      <c r="E21" s="321"/>
      <c r="F21" s="319"/>
      <c r="G21" s="304"/>
    </row>
    <row r="22" spans="1:11" s="311" customFormat="1" ht="12.75">
      <c r="A22" s="313"/>
      <c r="B22" s="313" t="s">
        <v>241</v>
      </c>
      <c r="C22" s="324">
        <f>1-0.4*(2-C21)</f>
        <v>0.20167999999999997</v>
      </c>
      <c r="D22" s="323"/>
      <c r="E22" s="321"/>
      <c r="F22" s="319"/>
      <c r="G22" s="304"/>
    </row>
    <row r="23" spans="1:11" s="311" customFormat="1" ht="12.75">
      <c r="A23" s="313"/>
      <c r="B23" s="313" t="s">
        <v>242</v>
      </c>
      <c r="C23" s="325">
        <v>1.59</v>
      </c>
      <c r="D23" s="326" t="s">
        <v>243</v>
      </c>
      <c r="E23" s="321"/>
      <c r="F23" s="319"/>
      <c r="G23" s="304"/>
    </row>
    <row r="24" spans="1:11" s="311" customFormat="1" ht="12.75">
      <c r="A24" s="313"/>
      <c r="B24" s="327" t="s">
        <v>244</v>
      </c>
      <c r="C24" s="325">
        <f>$I$4</f>
        <v>8.0500000000000007</v>
      </c>
      <c r="D24" s="325"/>
      <c r="E24" s="321"/>
      <c r="F24" s="319"/>
      <c r="G24" s="304"/>
    </row>
    <row r="25" spans="1:11" s="311" customFormat="1" ht="12.75">
      <c r="A25" s="313"/>
      <c r="B25" s="327"/>
      <c r="C25" s="325"/>
      <c r="D25" s="325"/>
      <c r="E25" s="321"/>
      <c r="F25" s="319"/>
      <c r="G25" s="304"/>
    </row>
    <row r="26" spans="1:11" s="311" customFormat="1" ht="12.75">
      <c r="A26" s="299" t="s">
        <v>60</v>
      </c>
      <c r="B26" s="667" t="s">
        <v>217</v>
      </c>
      <c r="C26" s="669"/>
      <c r="D26" s="669"/>
      <c r="E26" s="669"/>
      <c r="F26" s="668"/>
      <c r="G26" s="304"/>
    </row>
    <row r="27" spans="1:11" s="311" customFormat="1" ht="21.75" customHeight="1">
      <c r="A27" s="313"/>
      <c r="B27" s="313" t="s">
        <v>245</v>
      </c>
      <c r="C27" s="318">
        <v>1</v>
      </c>
      <c r="D27" s="312" t="s">
        <v>246</v>
      </c>
      <c r="E27" s="685" t="str">
        <f>CONCATENATE("(",C30,"*",C31,")*",C32,"*",C33,"*",C27,"*",C29,"=")</f>
        <v>(14*130)*1,59*8,05*1*2=</v>
      </c>
      <c r="F27" s="405">
        <f>(C30*C31)*C32*C33*C27*C29</f>
        <v>46590.180000000008</v>
      </c>
      <c r="G27" s="304">
        <v>4</v>
      </c>
    </row>
    <row r="28" spans="1:11" s="311" customFormat="1" ht="12.75">
      <c r="A28" s="313"/>
      <c r="B28" s="313" t="s">
        <v>247</v>
      </c>
      <c r="C28" s="328">
        <f>C21*1000</f>
        <v>4.2</v>
      </c>
      <c r="D28" s="329"/>
      <c r="E28" s="686"/>
      <c r="F28" s="319"/>
      <c r="G28" s="304"/>
    </row>
    <row r="29" spans="1:11" s="311" customFormat="1" ht="15" customHeight="1">
      <c r="A29" s="313"/>
      <c r="B29" s="327" t="s">
        <v>248</v>
      </c>
      <c r="C29" s="330">
        <v>2</v>
      </c>
      <c r="D29" s="329"/>
      <c r="E29" s="321"/>
      <c r="F29" s="319"/>
      <c r="G29" s="304"/>
    </row>
    <row r="30" spans="1:11" s="311" customFormat="1" ht="15" customHeight="1">
      <c r="A30" s="313"/>
      <c r="B30" s="327" t="s">
        <v>249</v>
      </c>
      <c r="C30" s="330">
        <v>14</v>
      </c>
      <c r="D30" s="329"/>
      <c r="E30" s="321"/>
      <c r="F30" s="319"/>
      <c r="G30" s="304"/>
    </row>
    <row r="31" spans="1:11" s="311" customFormat="1" ht="12.75">
      <c r="A31" s="313"/>
      <c r="B31" s="313" t="s">
        <v>250</v>
      </c>
      <c r="C31" s="330">
        <v>130</v>
      </c>
      <c r="D31" s="329"/>
      <c r="E31" s="321"/>
      <c r="F31" s="319"/>
      <c r="G31" s="304"/>
    </row>
    <row r="32" spans="1:11" s="311" customFormat="1" ht="12.75">
      <c r="A32" s="313"/>
      <c r="B32" s="313" t="s">
        <v>242</v>
      </c>
      <c r="C32" s="331">
        <v>1.59</v>
      </c>
      <c r="D32" s="326" t="s">
        <v>251</v>
      </c>
      <c r="E32" s="313"/>
      <c r="F32" s="319"/>
      <c r="G32" s="304"/>
    </row>
    <row r="33" spans="1:8" s="311" customFormat="1" ht="12.75">
      <c r="A33" s="313"/>
      <c r="B33" s="327" t="s">
        <v>244</v>
      </c>
      <c r="C33" s="325">
        <f>$I$4</f>
        <v>8.0500000000000007</v>
      </c>
      <c r="D33" s="331"/>
      <c r="E33" s="313"/>
      <c r="F33" s="319"/>
      <c r="G33" s="304"/>
    </row>
    <row r="34" spans="1:8" s="311" customFormat="1" ht="12.75">
      <c r="A34" s="313"/>
      <c r="B34" s="675" t="s">
        <v>252</v>
      </c>
      <c r="C34" s="676"/>
      <c r="D34" s="332"/>
      <c r="E34" s="321"/>
      <c r="F34" s="403">
        <f>SUM(F27,F17)</f>
        <v>48941.732810880007</v>
      </c>
      <c r="G34" s="304"/>
    </row>
    <row r="35" spans="1:8" s="311" customFormat="1" ht="12.75">
      <c r="A35" s="313"/>
      <c r="B35" s="334"/>
      <c r="C35" s="335"/>
      <c r="D35" s="332"/>
      <c r="E35" s="321"/>
      <c r="F35" s="336"/>
      <c r="G35" s="304"/>
    </row>
    <row r="36" spans="1:8" s="311" customFormat="1" ht="12.75">
      <c r="A36" s="299" t="s">
        <v>253</v>
      </c>
      <c r="B36" s="299"/>
      <c r="C36" s="335"/>
      <c r="D36" s="332"/>
      <c r="E36" s="321"/>
      <c r="F36" s="333"/>
      <c r="G36" s="304"/>
    </row>
    <row r="37" spans="1:8" s="311" customFormat="1" ht="12.75">
      <c r="A37" s="337" t="s">
        <v>208</v>
      </c>
      <c r="B37" s="670" t="s">
        <v>220</v>
      </c>
      <c r="C37" s="671"/>
      <c r="D37" s="671"/>
      <c r="E37" s="671"/>
      <c r="F37" s="672"/>
      <c r="G37" s="304"/>
      <c r="H37" s="338"/>
    </row>
    <row r="38" spans="1:8" s="311" customFormat="1" ht="25.5" customHeight="1">
      <c r="A38" s="339" t="s">
        <v>61</v>
      </c>
      <c r="B38" s="670" t="s">
        <v>254</v>
      </c>
      <c r="C38" s="672"/>
      <c r="D38" s="318" t="s">
        <v>255</v>
      </c>
      <c r="E38" s="685" t="str">
        <f>CONCATENATE("(2154","*",C41,"*",C43,"*",C46,"+4165","*",C45,")*",C47,"*",C48,"=")</f>
        <v>(2154*1*1*0,10378+4165*0,9)*1,59*8,05=</v>
      </c>
      <c r="F38" s="406">
        <f>(2154*C41*C43*C46+4165*C45)*C47*C48</f>
        <v>50840.153114940003</v>
      </c>
      <c r="G38" s="340"/>
      <c r="H38" s="338"/>
    </row>
    <row r="39" spans="1:8" s="311" customFormat="1" ht="15" customHeight="1">
      <c r="A39" s="321"/>
      <c r="B39" s="313" t="s">
        <v>256</v>
      </c>
      <c r="C39" s="341">
        <f>C21</f>
        <v>4.2000000000000006E-3</v>
      </c>
      <c r="D39" s="318"/>
      <c r="E39" s="686"/>
      <c r="F39" s="342"/>
      <c r="G39" s="343"/>
      <c r="H39" s="338"/>
    </row>
    <row r="40" spans="1:8" s="311" customFormat="1" ht="12.75">
      <c r="A40" s="321"/>
      <c r="B40" s="313" t="s">
        <v>257</v>
      </c>
      <c r="C40" s="318">
        <v>1</v>
      </c>
      <c r="D40" s="318"/>
      <c r="E40" s="318"/>
      <c r="F40" s="344"/>
      <c r="G40" s="343"/>
      <c r="H40" s="338"/>
    </row>
    <row r="41" spans="1:8" s="311" customFormat="1" ht="12.75">
      <c r="A41" s="321"/>
      <c r="B41" s="313" t="s">
        <v>258</v>
      </c>
      <c r="C41" s="345">
        <f>1+0.3*(C42-1)</f>
        <v>1</v>
      </c>
      <c r="D41" s="318"/>
      <c r="E41" s="318"/>
      <c r="F41" s="344"/>
      <c r="G41" s="343"/>
      <c r="H41" s="338"/>
    </row>
    <row r="42" spans="1:8" s="311" customFormat="1" ht="12.75">
      <c r="A42" s="321"/>
      <c r="B42" s="313" t="s">
        <v>259</v>
      </c>
      <c r="C42" s="346">
        <f>C40</f>
        <v>1</v>
      </c>
      <c r="D42" s="318"/>
      <c r="E42" s="318"/>
      <c r="F42" s="344"/>
      <c r="G42" s="343">
        <v>7</v>
      </c>
      <c r="H42" s="347"/>
    </row>
    <row r="43" spans="1:8" s="311" customFormat="1" ht="12.75">
      <c r="A43" s="321"/>
      <c r="B43" s="313" t="s">
        <v>260</v>
      </c>
      <c r="C43" s="345">
        <f>1+0.2*(C44-1)</f>
        <v>1</v>
      </c>
      <c r="D43" s="318"/>
      <c r="E43" s="318"/>
      <c r="F43" s="344"/>
      <c r="G43" s="343"/>
      <c r="H43" s="338"/>
    </row>
    <row r="44" spans="1:8" s="311" customFormat="1" ht="12.75">
      <c r="A44" s="321"/>
      <c r="B44" s="313" t="s">
        <v>261</v>
      </c>
      <c r="C44" s="345">
        <f>C19</f>
        <v>1</v>
      </c>
      <c r="D44" s="318"/>
      <c r="E44" s="318"/>
      <c r="F44" s="344"/>
      <c r="G44" s="343"/>
      <c r="H44" s="338"/>
    </row>
    <row r="45" spans="1:8" s="311" customFormat="1" ht="12.75">
      <c r="A45" s="321"/>
      <c r="B45" s="313" t="s">
        <v>262</v>
      </c>
      <c r="C45" s="348">
        <v>0.9</v>
      </c>
      <c r="D45" s="318"/>
      <c r="E45" s="318"/>
      <c r="F45" s="344"/>
      <c r="G45" s="343"/>
      <c r="H45" s="338"/>
    </row>
    <row r="46" spans="1:8" s="311" customFormat="1" ht="12.75">
      <c r="A46" s="321"/>
      <c r="B46" s="313" t="s">
        <v>263</v>
      </c>
      <c r="C46" s="324">
        <f>1-0.9*(1-C39)</f>
        <v>0.10377999999999998</v>
      </c>
      <c r="D46" s="318"/>
      <c r="E46" s="318"/>
      <c r="F46" s="344"/>
      <c r="G46" s="343"/>
      <c r="H46" s="338"/>
    </row>
    <row r="47" spans="1:8" s="311" customFormat="1" ht="38.25">
      <c r="A47" s="321"/>
      <c r="B47" s="313" t="s">
        <v>242</v>
      </c>
      <c r="C47" s="331">
        <v>1.59</v>
      </c>
      <c r="D47" s="318" t="s">
        <v>251</v>
      </c>
      <c r="E47" s="334"/>
      <c r="F47" s="344"/>
      <c r="G47" s="343"/>
      <c r="H47" s="338"/>
    </row>
    <row r="48" spans="1:8" s="311" customFormat="1" ht="12.75">
      <c r="A48" s="321"/>
      <c r="B48" s="327" t="s">
        <v>244</v>
      </c>
      <c r="C48" s="325">
        <f>$I$4</f>
        <v>8.0500000000000007</v>
      </c>
      <c r="D48" s="318"/>
      <c r="E48" s="334"/>
      <c r="F48" s="344"/>
      <c r="G48" s="343"/>
      <c r="H48" s="338"/>
    </row>
    <row r="49" spans="1:8" s="311" customFormat="1" ht="18" customHeight="1">
      <c r="A49" s="321" t="s">
        <v>62</v>
      </c>
      <c r="B49" s="667" t="s">
        <v>222</v>
      </c>
      <c r="C49" s="669"/>
      <c r="D49" s="669"/>
      <c r="E49" s="669"/>
      <c r="F49" s="668"/>
      <c r="G49" s="343"/>
      <c r="H49" s="338"/>
    </row>
    <row r="50" spans="1:8" s="311" customFormat="1" ht="12.75" customHeight="1">
      <c r="A50" s="321"/>
      <c r="B50" s="313" t="s">
        <v>264</v>
      </c>
      <c r="C50" s="318">
        <f>C20</f>
        <v>1</v>
      </c>
      <c r="D50" s="312" t="s">
        <v>246</v>
      </c>
      <c r="E50" s="673" t="str">
        <f>CONCATENATE("(",C53,"*",C54,")*",C55,"*",C56,"*",C52,"=")</f>
        <v>(10*130)*1,59*8,05*2=</v>
      </c>
      <c r="F50" s="405">
        <f>C53*C54*C55*C56*C52</f>
        <v>33278.700000000004</v>
      </c>
      <c r="G50" s="343">
        <v>1</v>
      </c>
      <c r="H50" s="338"/>
    </row>
    <row r="51" spans="1:8" s="311" customFormat="1" ht="14.25" customHeight="1">
      <c r="A51" s="321"/>
      <c r="B51" s="313" t="s">
        <v>247</v>
      </c>
      <c r="C51" s="349">
        <f>C21*1000</f>
        <v>4.2</v>
      </c>
      <c r="D51" s="329"/>
      <c r="E51" s="674"/>
      <c r="F51" s="333"/>
      <c r="G51" s="343"/>
      <c r="H51" s="338"/>
    </row>
    <row r="52" spans="1:8" s="311" customFormat="1" ht="15" customHeight="1">
      <c r="A52" s="313"/>
      <c r="B52" s="327" t="s">
        <v>248</v>
      </c>
      <c r="C52" s="330">
        <v>2</v>
      </c>
      <c r="D52" s="329"/>
      <c r="E52" s="321"/>
      <c r="F52" s="319"/>
      <c r="G52" s="304"/>
    </row>
    <row r="53" spans="1:8" s="311" customFormat="1" ht="12.75">
      <c r="A53" s="321"/>
      <c r="B53" s="327" t="s">
        <v>249</v>
      </c>
      <c r="C53" s="330">
        <v>10</v>
      </c>
      <c r="D53" s="329"/>
      <c r="E53" s="321"/>
      <c r="F53" s="333"/>
      <c r="G53" s="309"/>
      <c r="H53" s="338"/>
    </row>
    <row r="54" spans="1:8" s="311" customFormat="1" ht="12.75">
      <c r="A54" s="321"/>
      <c r="B54" s="327" t="s">
        <v>250</v>
      </c>
      <c r="C54" s="330">
        <v>130</v>
      </c>
      <c r="D54" s="329"/>
      <c r="E54" s="321"/>
      <c r="F54" s="333"/>
      <c r="G54" s="309"/>
      <c r="H54" s="338"/>
    </row>
    <row r="55" spans="1:8" s="311" customFormat="1" ht="25.5">
      <c r="A55" s="321"/>
      <c r="B55" s="313" t="s">
        <v>265</v>
      </c>
      <c r="C55" s="331">
        <v>1.59</v>
      </c>
      <c r="D55" s="326" t="s">
        <v>251</v>
      </c>
      <c r="E55" s="321"/>
      <c r="F55" s="333"/>
      <c r="G55" s="309"/>
      <c r="H55" s="338"/>
    </row>
    <row r="56" spans="1:8" s="311" customFormat="1" ht="12.75">
      <c r="A56" s="321"/>
      <c r="B56" s="327" t="s">
        <v>244</v>
      </c>
      <c r="C56" s="325">
        <f>$I$4</f>
        <v>8.0500000000000007</v>
      </c>
      <c r="D56" s="329"/>
      <c r="E56" s="321"/>
      <c r="F56" s="333"/>
      <c r="G56" s="309"/>
      <c r="H56" s="338"/>
    </row>
    <row r="57" spans="1:8" s="311" customFormat="1" ht="26.25" customHeight="1">
      <c r="A57" s="337" t="s">
        <v>2</v>
      </c>
      <c r="B57" s="670" t="s">
        <v>223</v>
      </c>
      <c r="C57" s="671"/>
      <c r="D57" s="671"/>
      <c r="E57" s="671"/>
      <c r="F57" s="672"/>
      <c r="G57" s="304"/>
      <c r="H57" s="338"/>
    </row>
    <row r="58" spans="1:8" s="311" customFormat="1" ht="37.5" customHeight="1">
      <c r="A58" s="339" t="s">
        <v>63</v>
      </c>
      <c r="B58" s="670" t="s">
        <v>266</v>
      </c>
      <c r="C58" s="672"/>
      <c r="D58" s="318" t="s">
        <v>267</v>
      </c>
      <c r="E58" s="350" t="str">
        <f>CONCATENATE("(1052","*",C61,"+187",")*",C63,"*",C64,"=")</f>
        <v>(1052*0,46+187)*1,59*8,05=</v>
      </c>
      <c r="F58" s="406">
        <f>(1052*C61+187)*C63*C64</f>
        <v>8587.4405400000014</v>
      </c>
      <c r="G58" s="340"/>
      <c r="H58" s="338"/>
    </row>
    <row r="59" spans="1:8" s="311" customFormat="1" ht="15" customHeight="1">
      <c r="A59" s="321"/>
      <c r="B59" s="313" t="s">
        <v>256</v>
      </c>
      <c r="C59" s="341">
        <f>C21</f>
        <v>4.2000000000000006E-3</v>
      </c>
      <c r="D59" s="318"/>
      <c r="E59" s="351"/>
      <c r="F59" s="342"/>
      <c r="G59" s="343"/>
      <c r="H59" s="338"/>
    </row>
    <row r="60" spans="1:8" s="311" customFormat="1" ht="12.75">
      <c r="A60" s="321"/>
      <c r="B60" s="313" t="s">
        <v>257</v>
      </c>
      <c r="C60" s="318">
        <f>C40</f>
        <v>1</v>
      </c>
      <c r="D60" s="318"/>
      <c r="E60" s="318"/>
      <c r="F60" s="344"/>
      <c r="G60" s="343"/>
      <c r="H60" s="338"/>
    </row>
    <row r="61" spans="1:8" s="311" customFormat="1" ht="12.75">
      <c r="A61" s="321"/>
      <c r="B61" s="313" t="s">
        <v>268</v>
      </c>
      <c r="C61" s="345">
        <f>1-0.06*(10-C62)</f>
        <v>0.45999999999999996</v>
      </c>
      <c r="D61" s="318"/>
      <c r="E61" s="318"/>
      <c r="F61" s="344"/>
      <c r="G61" s="343"/>
      <c r="H61" s="338"/>
    </row>
    <row r="62" spans="1:8" s="311" customFormat="1" ht="12.75">
      <c r="A62" s="321"/>
      <c r="B62" s="313" t="s">
        <v>259</v>
      </c>
      <c r="C62" s="346">
        <f>C60</f>
        <v>1</v>
      </c>
      <c r="D62" s="318"/>
      <c r="E62" s="318"/>
      <c r="F62" s="344"/>
      <c r="G62" s="343">
        <v>7</v>
      </c>
      <c r="H62" s="347"/>
    </row>
    <row r="63" spans="1:8" s="311" customFormat="1" ht="38.25">
      <c r="A63" s="321"/>
      <c r="B63" s="313" t="s">
        <v>242</v>
      </c>
      <c r="C63" s="331">
        <v>1.59</v>
      </c>
      <c r="D63" s="318" t="s">
        <v>251</v>
      </c>
      <c r="E63" s="334"/>
      <c r="F63" s="344"/>
      <c r="G63" s="343"/>
      <c r="H63" s="338"/>
    </row>
    <row r="64" spans="1:8" s="311" customFormat="1" ht="12.75">
      <c r="A64" s="321"/>
      <c r="B64" s="327" t="s">
        <v>244</v>
      </c>
      <c r="C64" s="325">
        <f>$I$4</f>
        <v>8.0500000000000007</v>
      </c>
      <c r="D64" s="318"/>
      <c r="E64" s="334"/>
      <c r="F64" s="344"/>
      <c r="G64" s="343"/>
      <c r="H64" s="338"/>
    </row>
    <row r="65" spans="1:8" s="311" customFormat="1" ht="25.5">
      <c r="A65" s="321" t="s">
        <v>64</v>
      </c>
      <c r="B65" s="667" t="s">
        <v>269</v>
      </c>
      <c r="C65" s="669"/>
      <c r="D65" s="669"/>
      <c r="E65" s="669"/>
      <c r="F65" s="668"/>
      <c r="G65" s="343"/>
      <c r="H65" s="338"/>
    </row>
    <row r="66" spans="1:8" s="311" customFormat="1" ht="12.75" customHeight="1">
      <c r="A66" s="321"/>
      <c r="B66" s="313" t="s">
        <v>264</v>
      </c>
      <c r="C66" s="318">
        <f>C20</f>
        <v>1</v>
      </c>
      <c r="D66" s="312" t="s">
        <v>246</v>
      </c>
      <c r="E66" s="673" t="str">
        <f>CONCATENATE("(",C69,"*",C70,")*",C71,"*",C72,"*",C68,"=")</f>
        <v>(14*130)*1,59*8,05*2=</v>
      </c>
      <c r="F66" s="405">
        <f>C69*C70*C71*C72*C68</f>
        <v>46590.180000000008</v>
      </c>
      <c r="G66" s="343">
        <v>1</v>
      </c>
      <c r="H66" s="338"/>
    </row>
    <row r="67" spans="1:8" s="311" customFormat="1" ht="15.75" customHeight="1">
      <c r="A67" s="321"/>
      <c r="B67" s="313" t="s">
        <v>247</v>
      </c>
      <c r="C67" s="349">
        <f>C21*1000</f>
        <v>4.2</v>
      </c>
      <c r="D67" s="329"/>
      <c r="E67" s="674"/>
      <c r="F67" s="333"/>
      <c r="G67" s="343"/>
      <c r="H67" s="338"/>
    </row>
    <row r="68" spans="1:8" s="311" customFormat="1" ht="15" customHeight="1">
      <c r="A68" s="313"/>
      <c r="B68" s="327" t="s">
        <v>248</v>
      </c>
      <c r="C68" s="330">
        <v>2</v>
      </c>
      <c r="D68" s="329"/>
      <c r="E68" s="321"/>
      <c r="F68" s="319"/>
      <c r="G68" s="304"/>
    </row>
    <row r="69" spans="1:8" s="311" customFormat="1" ht="12.75">
      <c r="A69" s="321"/>
      <c r="B69" s="327" t="s">
        <v>249</v>
      </c>
      <c r="C69" s="330">
        <v>14</v>
      </c>
      <c r="D69" s="329"/>
      <c r="E69" s="321"/>
      <c r="F69" s="333"/>
      <c r="G69" s="309"/>
      <c r="H69" s="338"/>
    </row>
    <row r="70" spans="1:8" s="311" customFormat="1" ht="12.75">
      <c r="A70" s="321"/>
      <c r="B70" s="327" t="s">
        <v>250</v>
      </c>
      <c r="C70" s="330">
        <v>130</v>
      </c>
      <c r="D70" s="329"/>
      <c r="E70" s="321"/>
      <c r="F70" s="333"/>
      <c r="G70" s="309"/>
      <c r="H70" s="338"/>
    </row>
    <row r="71" spans="1:8" s="311" customFormat="1" ht="25.5">
      <c r="A71" s="321"/>
      <c r="B71" s="313" t="s">
        <v>265</v>
      </c>
      <c r="C71" s="331">
        <v>1.59</v>
      </c>
      <c r="D71" s="326" t="s">
        <v>251</v>
      </c>
      <c r="E71" s="321"/>
      <c r="F71" s="333"/>
      <c r="G71" s="309"/>
      <c r="H71" s="338"/>
    </row>
    <row r="72" spans="1:8" s="311" customFormat="1" ht="12.75">
      <c r="A72" s="321"/>
      <c r="B72" s="327" t="s">
        <v>244</v>
      </c>
      <c r="C72" s="325">
        <f>$I$4</f>
        <v>8.0500000000000007</v>
      </c>
      <c r="D72" s="329"/>
      <c r="E72" s="321"/>
      <c r="F72" s="333"/>
      <c r="G72" s="309"/>
      <c r="H72" s="338"/>
    </row>
    <row r="73" spans="1:8" s="352" customFormat="1" ht="12.75">
      <c r="A73" s="321"/>
      <c r="B73" s="675" t="s">
        <v>270</v>
      </c>
      <c r="C73" s="676"/>
      <c r="D73" s="332"/>
      <c r="E73" s="321"/>
      <c r="F73" s="403">
        <f>F38+F50+F58+F66</f>
        <v>139296.47365494003</v>
      </c>
      <c r="G73" s="304"/>
    </row>
    <row r="74" spans="1:8" s="352" customFormat="1" ht="12.75">
      <c r="A74" s="687" t="s">
        <v>271</v>
      </c>
      <c r="B74" s="688"/>
      <c r="C74" s="335"/>
      <c r="D74" s="332"/>
      <c r="E74" s="321"/>
      <c r="F74" s="336"/>
      <c r="G74" s="304"/>
    </row>
    <row r="75" spans="1:8" s="352" customFormat="1" ht="25.5">
      <c r="A75" s="321" t="s">
        <v>209</v>
      </c>
      <c r="B75" s="321" t="s">
        <v>65</v>
      </c>
      <c r="C75" s="331"/>
      <c r="D75" s="353"/>
      <c r="E75" s="313"/>
      <c r="F75" s="319"/>
      <c r="G75" s="304"/>
    </row>
    <row r="76" spans="1:8" s="352" customFormat="1" ht="18" customHeight="1">
      <c r="A76" s="299" t="s">
        <v>66</v>
      </c>
      <c r="B76" s="670" t="s">
        <v>67</v>
      </c>
      <c r="C76" s="671"/>
      <c r="D76" s="671"/>
      <c r="E76" s="671"/>
      <c r="F76" s="672"/>
      <c r="G76" s="304"/>
    </row>
    <row r="77" spans="1:8" s="352" customFormat="1" ht="13.5" customHeight="1">
      <c r="A77" s="299"/>
      <c r="B77" s="313" t="s">
        <v>272</v>
      </c>
      <c r="C77" s="354">
        <f>C40</f>
        <v>1</v>
      </c>
      <c r="D77" s="312" t="s">
        <v>273</v>
      </c>
      <c r="E77" s="673" t="str">
        <f>CONCATENATE("(882*",C79,"*",C77,"+11*",C80,"*",C78,")*",C82,"*",C83,"=")</f>
        <v>(882*0,242*1+11*1,1*2,1)*1,59*8,05=</v>
      </c>
      <c r="F77" s="405">
        <f>(882*C79*C77+11*C80*C78)*C82*C83</f>
        <v>3057.211773</v>
      </c>
      <c r="G77" s="304">
        <v>7</v>
      </c>
    </row>
    <row r="78" spans="1:8" s="311" customFormat="1" ht="13.5" customHeight="1">
      <c r="A78" s="299"/>
      <c r="B78" s="318" t="s">
        <v>274</v>
      </c>
      <c r="C78" s="345">
        <v>2.1</v>
      </c>
      <c r="D78" s="318" t="s">
        <v>197</v>
      </c>
      <c r="E78" s="674"/>
      <c r="F78" s="319"/>
      <c r="G78" s="304"/>
    </row>
    <row r="79" spans="1:8" s="352" customFormat="1" ht="12.75" customHeight="1">
      <c r="A79" s="299"/>
      <c r="B79" s="313" t="s">
        <v>275</v>
      </c>
      <c r="C79" s="324">
        <f>1-0.02*(40-C78)</f>
        <v>0.24199999999999999</v>
      </c>
      <c r="D79" s="355"/>
      <c r="E79" s="330"/>
      <c r="F79" s="319"/>
      <c r="G79" s="304"/>
    </row>
    <row r="80" spans="1:8" s="352" customFormat="1" ht="12.75">
      <c r="A80" s="299"/>
      <c r="B80" s="313" t="s">
        <v>276</v>
      </c>
      <c r="C80" s="345">
        <f>1+0.1*(C81-1)</f>
        <v>1.1000000000000001</v>
      </c>
      <c r="D80" s="355"/>
      <c r="E80" s="330"/>
      <c r="F80" s="319"/>
      <c r="G80" s="304"/>
    </row>
    <row r="81" spans="1:8" s="357" customFormat="1" ht="12.75">
      <c r="A81" s="299"/>
      <c r="B81" s="313" t="s">
        <v>277</v>
      </c>
      <c r="C81" s="346">
        <v>2</v>
      </c>
      <c r="D81" s="355"/>
      <c r="E81" s="330"/>
      <c r="F81" s="319"/>
      <c r="G81" s="356"/>
    </row>
    <row r="82" spans="1:8" s="357" customFormat="1" ht="38.25">
      <c r="A82" s="299"/>
      <c r="B82" s="313" t="s">
        <v>265</v>
      </c>
      <c r="C82" s="331">
        <v>1.59</v>
      </c>
      <c r="D82" s="318" t="s">
        <v>251</v>
      </c>
      <c r="E82" s="326"/>
      <c r="F82" s="319"/>
      <c r="G82" s="356"/>
    </row>
    <row r="83" spans="1:8" s="357" customFormat="1" ht="12.75">
      <c r="A83" s="299"/>
      <c r="B83" s="327" t="s">
        <v>244</v>
      </c>
      <c r="C83" s="325">
        <f>$I$4</f>
        <v>8.0500000000000007</v>
      </c>
      <c r="D83" s="318" t="s">
        <v>197</v>
      </c>
      <c r="E83" s="326"/>
      <c r="F83" s="319"/>
      <c r="G83" s="356"/>
    </row>
    <row r="84" spans="1:8" s="357" customFormat="1" ht="27.75" customHeight="1">
      <c r="A84" s="299" t="s">
        <v>68</v>
      </c>
      <c r="B84" s="670" t="s">
        <v>278</v>
      </c>
      <c r="C84" s="671"/>
      <c r="D84" s="671"/>
      <c r="E84" s="671"/>
      <c r="F84" s="672"/>
      <c r="G84" s="356"/>
    </row>
    <row r="85" spans="1:8" s="357" customFormat="1" ht="24">
      <c r="A85" s="299"/>
      <c r="B85" s="313" t="s">
        <v>279</v>
      </c>
      <c r="C85" s="318">
        <f>C20</f>
        <v>1</v>
      </c>
      <c r="D85" s="312" t="s">
        <v>246</v>
      </c>
      <c r="E85" s="673" t="str">
        <f>CONCATENATE("(",C88,"*",C89,")*",C90,"*",C91,"*",C87,"=")</f>
        <v>(10*130)*1,59*8,05*2=</v>
      </c>
      <c r="F85" s="405">
        <f>(C88*C89)*C90*C91*C87</f>
        <v>33278.700000000004</v>
      </c>
      <c r="G85" s="356"/>
    </row>
    <row r="86" spans="1:8" s="357" customFormat="1" ht="12.75" hidden="1">
      <c r="A86" s="299"/>
      <c r="B86" s="313" t="s">
        <v>247</v>
      </c>
      <c r="C86" s="349">
        <f>C21*1000</f>
        <v>4.2</v>
      </c>
      <c r="D86" s="329"/>
      <c r="E86" s="689"/>
      <c r="F86" s="319"/>
      <c r="G86" s="356"/>
    </row>
    <row r="87" spans="1:8" s="311" customFormat="1" ht="15" customHeight="1">
      <c r="A87" s="313"/>
      <c r="B87" s="327" t="s">
        <v>248</v>
      </c>
      <c r="C87" s="330">
        <v>2</v>
      </c>
      <c r="D87" s="329"/>
      <c r="E87" s="689"/>
      <c r="F87" s="319"/>
      <c r="G87" s="304"/>
    </row>
    <row r="88" spans="1:8" s="357" customFormat="1" ht="12.75">
      <c r="A88" s="299"/>
      <c r="B88" s="327" t="s">
        <v>249</v>
      </c>
      <c r="C88" s="330">
        <v>10</v>
      </c>
      <c r="D88" s="329"/>
      <c r="E88" s="674"/>
      <c r="F88" s="319"/>
      <c r="G88" s="356"/>
      <c r="H88" s="358"/>
    </row>
    <row r="89" spans="1:8" s="357" customFormat="1" ht="12.75">
      <c r="A89" s="299"/>
      <c r="B89" s="327" t="s">
        <v>250</v>
      </c>
      <c r="C89" s="330">
        <v>130</v>
      </c>
      <c r="D89" s="329"/>
      <c r="E89" s="321"/>
      <c r="F89" s="319"/>
      <c r="G89" s="356"/>
    </row>
    <row r="90" spans="1:8" s="357" customFormat="1" ht="25.5">
      <c r="A90" s="299"/>
      <c r="B90" s="313" t="s">
        <v>265</v>
      </c>
      <c r="C90" s="331">
        <v>1.59</v>
      </c>
      <c r="D90" s="326" t="s">
        <v>251</v>
      </c>
      <c r="E90" s="321"/>
      <c r="F90" s="319"/>
      <c r="G90" s="356"/>
    </row>
    <row r="91" spans="1:8" s="360" customFormat="1" ht="15.75" customHeight="1">
      <c r="A91" s="299"/>
      <c r="B91" s="327" t="s">
        <v>244</v>
      </c>
      <c r="C91" s="325">
        <f>$I$4</f>
        <v>8.0500000000000007</v>
      </c>
      <c r="D91" s="329"/>
      <c r="E91" s="321"/>
      <c r="F91" s="319"/>
      <c r="G91" s="359"/>
    </row>
    <row r="92" spans="1:8" s="360" customFormat="1" ht="12.75">
      <c r="A92" s="299"/>
      <c r="B92" s="334" t="s">
        <v>280</v>
      </c>
      <c r="C92" s="335"/>
      <c r="D92" s="329"/>
      <c r="E92" s="321"/>
      <c r="F92" s="403">
        <f>SUM(F77,F85)</f>
        <v>36335.911773000007</v>
      </c>
      <c r="G92" s="359"/>
    </row>
    <row r="93" spans="1:8" s="360" customFormat="1" ht="15.75" customHeight="1">
      <c r="A93" s="687" t="s">
        <v>281</v>
      </c>
      <c r="B93" s="688"/>
      <c r="C93" s="335"/>
      <c r="D93" s="329"/>
      <c r="E93" s="321"/>
      <c r="F93" s="336"/>
      <c r="G93" s="359"/>
    </row>
    <row r="94" spans="1:8" s="360" customFormat="1" ht="14.25" customHeight="1">
      <c r="A94" s="361" t="s">
        <v>210</v>
      </c>
      <c r="B94" s="667" t="s">
        <v>70</v>
      </c>
      <c r="C94" s="669"/>
      <c r="D94" s="669"/>
      <c r="E94" s="669"/>
      <c r="F94" s="668"/>
      <c r="G94" s="359"/>
    </row>
    <row r="95" spans="1:8" s="360" customFormat="1" ht="16.5" customHeight="1">
      <c r="A95" s="361" t="s">
        <v>71</v>
      </c>
      <c r="B95" s="321" t="s">
        <v>72</v>
      </c>
      <c r="C95" s="334"/>
      <c r="D95" s="318"/>
      <c r="E95" s="318"/>
      <c r="F95" s="362"/>
      <c r="G95" s="359"/>
    </row>
    <row r="96" spans="1:8" s="360" customFormat="1" ht="14.25" customHeight="1">
      <c r="A96" s="351"/>
      <c r="B96" s="313" t="s">
        <v>245</v>
      </c>
      <c r="C96" s="318">
        <f>C27</f>
        <v>1</v>
      </c>
      <c r="D96" s="312" t="s">
        <v>246</v>
      </c>
      <c r="E96" s="673" t="str">
        <f>CONCATENATE("(",C98,"*",C99,")*",C100,"*",C101,"=")</f>
        <v>(30*130)*1,59*8,05=</v>
      </c>
      <c r="F96" s="405">
        <f>(C98*C99)*C100*C101*C96</f>
        <v>49918.05</v>
      </c>
      <c r="G96" s="359">
        <v>4</v>
      </c>
    </row>
    <row r="97" spans="1:9" s="360" customFormat="1" ht="14.25" hidden="1" customHeight="1">
      <c r="A97" s="351"/>
      <c r="B97" s="313" t="s">
        <v>247</v>
      </c>
      <c r="C97" s="349">
        <f>C21*1000</f>
        <v>4.2</v>
      </c>
      <c r="D97" s="329"/>
      <c r="E97" s="689"/>
      <c r="F97" s="319"/>
      <c r="G97" s="359"/>
    </row>
    <row r="98" spans="1:9" s="360" customFormat="1" ht="14.25" customHeight="1">
      <c r="A98" s="351"/>
      <c r="B98" s="327" t="s">
        <v>249</v>
      </c>
      <c r="C98" s="330">
        <v>30</v>
      </c>
      <c r="D98" s="329"/>
      <c r="E98" s="674"/>
      <c r="F98" s="319"/>
      <c r="G98" s="359"/>
    </row>
    <row r="99" spans="1:9" s="360" customFormat="1" ht="12.75">
      <c r="A99" s="351"/>
      <c r="B99" s="313" t="s">
        <v>250</v>
      </c>
      <c r="C99" s="330">
        <v>130</v>
      </c>
      <c r="D99" s="329"/>
      <c r="E99" s="321"/>
      <c r="F99" s="319"/>
      <c r="G99" s="359"/>
    </row>
    <row r="100" spans="1:9" s="360" customFormat="1" ht="12.75">
      <c r="A100" s="351"/>
      <c r="B100" s="313" t="s">
        <v>242</v>
      </c>
      <c r="C100" s="331">
        <v>1.59</v>
      </c>
      <c r="D100" s="326" t="s">
        <v>251</v>
      </c>
      <c r="E100" s="313"/>
      <c r="F100" s="319"/>
      <c r="G100" s="359"/>
    </row>
    <row r="101" spans="1:9" s="360" customFormat="1" ht="12.75">
      <c r="A101" s="351"/>
      <c r="B101" s="327" t="s">
        <v>244</v>
      </c>
      <c r="C101" s="325">
        <f>$I$4</f>
        <v>8.0500000000000007</v>
      </c>
      <c r="D101" s="331"/>
      <c r="E101" s="313"/>
      <c r="F101" s="319"/>
      <c r="G101" s="359"/>
    </row>
    <row r="102" spans="1:9" s="360" customFormat="1" ht="29.25" customHeight="1">
      <c r="A102" s="361" t="s">
        <v>73</v>
      </c>
      <c r="B102" s="670" t="s">
        <v>74</v>
      </c>
      <c r="C102" s="690"/>
      <c r="D102" s="690"/>
      <c r="E102" s="690"/>
      <c r="F102" s="691"/>
      <c r="G102" s="359"/>
    </row>
    <row r="103" spans="1:9" s="360" customFormat="1" ht="24">
      <c r="A103" s="351"/>
      <c r="B103" s="313" t="s">
        <v>279</v>
      </c>
      <c r="C103" s="318">
        <f>C20</f>
        <v>1</v>
      </c>
      <c r="D103" s="312" t="s">
        <v>246</v>
      </c>
      <c r="E103" s="673" t="str">
        <f>CONCATENATE("(",C105,"*",C106,")*",C107,"*",C108,"=")</f>
        <v>(15*130)*1,59*8,05=</v>
      </c>
      <c r="F103" s="405">
        <f>(C105*C106)*C107*C108</f>
        <v>24959.025000000001</v>
      </c>
      <c r="G103" s="359">
        <v>7</v>
      </c>
    </row>
    <row r="104" spans="1:9" s="360" customFormat="1" ht="12.75" hidden="1">
      <c r="A104" s="351"/>
      <c r="B104" s="313" t="s">
        <v>247</v>
      </c>
      <c r="C104" s="363">
        <f>C21*1000</f>
        <v>4.2</v>
      </c>
      <c r="D104" s="364"/>
      <c r="E104" s="689"/>
      <c r="F104" s="319"/>
      <c r="G104" s="359"/>
    </row>
    <row r="105" spans="1:9" s="360" customFormat="1" ht="12.75">
      <c r="A105" s="351"/>
      <c r="B105" s="327" t="s">
        <v>249</v>
      </c>
      <c r="C105" s="330">
        <v>15</v>
      </c>
      <c r="D105" s="364"/>
      <c r="E105" s="674"/>
      <c r="F105" s="319"/>
      <c r="G105" s="359"/>
      <c r="H105" s="365"/>
    </row>
    <row r="106" spans="1:9" s="360" customFormat="1" ht="12.75">
      <c r="A106" s="351"/>
      <c r="B106" s="327" t="s">
        <v>250</v>
      </c>
      <c r="C106" s="330">
        <v>130</v>
      </c>
      <c r="D106" s="364"/>
      <c r="E106" s="361"/>
      <c r="F106" s="319"/>
      <c r="G106" s="359"/>
    </row>
    <row r="107" spans="1:9" s="360" customFormat="1" ht="38.25">
      <c r="A107" s="299"/>
      <c r="B107" s="313" t="s">
        <v>265</v>
      </c>
      <c r="C107" s="331">
        <v>1.59</v>
      </c>
      <c r="D107" s="366" t="s">
        <v>243</v>
      </c>
      <c r="E107" s="361"/>
      <c r="F107" s="319"/>
      <c r="G107" s="359"/>
    </row>
    <row r="108" spans="1:9" s="360" customFormat="1" ht="12.75">
      <c r="A108" s="367"/>
      <c r="B108" s="313" t="s">
        <v>282</v>
      </c>
      <c r="C108" s="325">
        <f>$I$4</f>
        <v>8.0500000000000007</v>
      </c>
      <c r="D108" s="364"/>
      <c r="E108" s="361"/>
      <c r="F108" s="319"/>
      <c r="G108" s="368"/>
      <c r="H108" s="369"/>
    </row>
    <row r="109" spans="1:9" s="360" customFormat="1" ht="12.75">
      <c r="A109" s="367"/>
      <c r="B109" s="321" t="s">
        <v>283</v>
      </c>
      <c r="C109" s="370"/>
      <c r="D109" s="364"/>
      <c r="E109" s="361"/>
      <c r="F109" s="403">
        <f>SUM(F103,F96)</f>
        <v>74877.075000000012</v>
      </c>
      <c r="G109" s="368"/>
      <c r="H109" s="369"/>
    </row>
    <row r="110" spans="1:9" s="360" customFormat="1" ht="15.75" customHeight="1">
      <c r="A110" s="687" t="s">
        <v>284</v>
      </c>
      <c r="B110" s="688"/>
      <c r="C110" s="335"/>
      <c r="D110" s="329"/>
      <c r="E110" s="321"/>
      <c r="F110" s="336"/>
      <c r="G110" s="359"/>
    </row>
    <row r="111" spans="1:9" s="352" customFormat="1" ht="27" customHeight="1">
      <c r="A111" s="299" t="s">
        <v>285</v>
      </c>
      <c r="B111" s="667" t="s">
        <v>286</v>
      </c>
      <c r="C111" s="669"/>
      <c r="D111" s="669"/>
      <c r="E111" s="669"/>
      <c r="F111" s="668"/>
      <c r="G111" s="304"/>
      <c r="H111" s="371"/>
      <c r="I111" s="372" t="s">
        <v>197</v>
      </c>
    </row>
    <row r="112" spans="1:9" s="352" customFormat="1" ht="12.75">
      <c r="A112" s="299" t="s">
        <v>287</v>
      </c>
      <c r="B112" s="667" t="s">
        <v>288</v>
      </c>
      <c r="C112" s="692"/>
      <c r="D112" s="692"/>
      <c r="E112" s="692"/>
      <c r="F112" s="693"/>
      <c r="G112" s="304"/>
    </row>
    <row r="113" spans="1:7" s="352" customFormat="1" ht="13.5" customHeight="1">
      <c r="A113" s="321"/>
      <c r="B113" s="313" t="s">
        <v>289</v>
      </c>
      <c r="C113" s="373">
        <f>C21</f>
        <v>4.2000000000000006E-3</v>
      </c>
      <c r="D113" s="330" t="s">
        <v>290</v>
      </c>
      <c r="E113" s="673" t="str">
        <f>CONCATENATE("(355*",C117,"*",C119,"*",C114,"+22*",C116,")*",C120,"*",C121,"=")</f>
        <v>(355*1*0,10189*1+22*0,9)*1,59*8,05=</v>
      </c>
      <c r="F113" s="405">
        <f>(355*C115*C119*C117+22*C116)*C120*C121</f>
        <v>716.40017452499978</v>
      </c>
      <c r="G113" s="304"/>
    </row>
    <row r="114" spans="1:7" s="352" customFormat="1" ht="13.5" customHeight="1">
      <c r="A114" s="321"/>
      <c r="B114" s="313" t="s">
        <v>238</v>
      </c>
      <c r="C114" s="354">
        <f>C19</f>
        <v>1</v>
      </c>
      <c r="D114" s="330" t="s">
        <v>197</v>
      </c>
      <c r="E114" s="689"/>
      <c r="F114" s="374"/>
      <c r="G114" s="304"/>
    </row>
    <row r="115" spans="1:7" s="352" customFormat="1" ht="13.5" customHeight="1">
      <c r="A115" s="321"/>
      <c r="B115" s="313" t="s">
        <v>239</v>
      </c>
      <c r="C115" s="354">
        <f>C50</f>
        <v>1</v>
      </c>
      <c r="D115" s="330"/>
      <c r="E115" s="674"/>
      <c r="F115" s="374"/>
      <c r="G115" s="304">
        <v>7</v>
      </c>
    </row>
    <row r="116" spans="1:7" s="352" customFormat="1" ht="12.75">
      <c r="A116" s="321"/>
      <c r="B116" s="327" t="s">
        <v>291</v>
      </c>
      <c r="C116" s="375">
        <v>0.9</v>
      </c>
      <c r="D116" s="330"/>
      <c r="E116" s="330"/>
      <c r="F116" s="374"/>
      <c r="G116" s="304"/>
    </row>
    <row r="117" spans="1:7" s="352" customFormat="1" ht="14.25" customHeight="1">
      <c r="A117" s="321"/>
      <c r="B117" s="313" t="s">
        <v>292</v>
      </c>
      <c r="C117" s="375">
        <f>1+0.15*(C118-1)</f>
        <v>1</v>
      </c>
      <c r="D117" s="330"/>
      <c r="E117" s="330"/>
      <c r="F117" s="374"/>
      <c r="G117" s="304"/>
    </row>
    <row r="118" spans="1:7" s="352" customFormat="1" ht="12.75">
      <c r="A118" s="321"/>
      <c r="B118" s="313" t="s">
        <v>293</v>
      </c>
      <c r="C118" s="354">
        <f>C115</f>
        <v>1</v>
      </c>
      <c r="D118" s="330"/>
      <c r="E118" s="330"/>
      <c r="F118" s="374"/>
      <c r="G118" s="304">
        <v>7</v>
      </c>
    </row>
    <row r="119" spans="1:7" s="352" customFormat="1" ht="12.75">
      <c r="A119" s="321"/>
      <c r="B119" s="313" t="s">
        <v>294</v>
      </c>
      <c r="C119" s="324">
        <f>1-0.45*(2-C113)</f>
        <v>0.10188999999999993</v>
      </c>
      <c r="D119" s="330"/>
      <c r="E119" s="330"/>
      <c r="F119" s="374"/>
      <c r="G119" s="304"/>
    </row>
    <row r="120" spans="1:7" s="352" customFormat="1" ht="38.25">
      <c r="A120" s="321"/>
      <c r="B120" s="313" t="s">
        <v>242</v>
      </c>
      <c r="C120" s="331">
        <v>1.59</v>
      </c>
      <c r="D120" s="318" t="s">
        <v>251</v>
      </c>
      <c r="E120" s="326"/>
      <c r="F120" s="374"/>
      <c r="G120" s="304"/>
    </row>
    <row r="121" spans="1:7" s="352" customFormat="1" ht="12.75">
      <c r="A121" s="321"/>
      <c r="B121" s="327" t="s">
        <v>244</v>
      </c>
      <c r="C121" s="325">
        <f>$I$4</f>
        <v>8.0500000000000007</v>
      </c>
      <c r="D121" s="318" t="s">
        <v>197</v>
      </c>
      <c r="E121" s="326"/>
      <c r="F121" s="374"/>
      <c r="G121" s="304"/>
    </row>
    <row r="122" spans="1:7" s="352" customFormat="1" ht="25.5" customHeight="1">
      <c r="A122" s="299" t="s">
        <v>295</v>
      </c>
      <c r="B122" s="670" t="s">
        <v>296</v>
      </c>
      <c r="C122" s="671"/>
      <c r="D122" s="671"/>
      <c r="E122" s="671"/>
      <c r="F122" s="672"/>
      <c r="G122" s="304"/>
    </row>
    <row r="123" spans="1:7" s="352" customFormat="1" ht="13.5" customHeight="1">
      <c r="A123" s="299"/>
      <c r="B123" s="313" t="s">
        <v>297</v>
      </c>
      <c r="C123" s="318">
        <f>C18</f>
        <v>1</v>
      </c>
      <c r="D123" s="312" t="s">
        <v>246</v>
      </c>
      <c r="E123" s="673" t="str">
        <f>CONCATENATE("(",C127,"*130)",C129,"*",C130,"*",C126,"=")</f>
        <v>(15*130)1,59*8,05*2=</v>
      </c>
      <c r="F123" s="405">
        <f>(C127*C128)*C129*C130*C126</f>
        <v>49918.05</v>
      </c>
      <c r="G123" s="304"/>
    </row>
    <row r="124" spans="1:7" s="352" customFormat="1" ht="12.75">
      <c r="A124" s="299"/>
      <c r="B124" s="313" t="s">
        <v>272</v>
      </c>
      <c r="C124" s="318">
        <f>C40</f>
        <v>1</v>
      </c>
      <c r="D124" s="312"/>
      <c r="E124" s="674"/>
      <c r="F124" s="319"/>
      <c r="G124" s="304"/>
    </row>
    <row r="125" spans="1:7" s="352" customFormat="1" ht="16.5" hidden="1" customHeight="1">
      <c r="A125" s="299"/>
      <c r="B125" s="313" t="s">
        <v>247</v>
      </c>
      <c r="C125" s="349">
        <f>C21*1000</f>
        <v>4.2</v>
      </c>
      <c r="D125" s="329"/>
      <c r="E125" s="313"/>
      <c r="F125" s="319"/>
      <c r="G125" s="304"/>
    </row>
    <row r="126" spans="1:7" s="311" customFormat="1" ht="15" customHeight="1">
      <c r="A126" s="313"/>
      <c r="B126" s="327" t="s">
        <v>248</v>
      </c>
      <c r="C126" s="330">
        <v>2</v>
      </c>
      <c r="D126" s="329"/>
      <c r="E126" s="313"/>
      <c r="F126" s="319"/>
      <c r="G126" s="304"/>
    </row>
    <row r="127" spans="1:7" s="352" customFormat="1" ht="12.75">
      <c r="A127" s="299"/>
      <c r="B127" s="327" t="s">
        <v>249</v>
      </c>
      <c r="C127" s="330">
        <v>15</v>
      </c>
      <c r="D127" s="329"/>
      <c r="E127" s="321"/>
      <c r="F127" s="319"/>
      <c r="G127" s="304"/>
    </row>
    <row r="128" spans="1:7" s="352" customFormat="1" ht="12.75">
      <c r="A128" s="299"/>
      <c r="B128" s="327" t="s">
        <v>250</v>
      </c>
      <c r="C128" s="330">
        <v>130</v>
      </c>
      <c r="D128" s="329"/>
      <c r="E128" s="321"/>
      <c r="F128" s="319"/>
      <c r="G128" s="304"/>
    </row>
    <row r="129" spans="1:8" s="352" customFormat="1" ht="25.5">
      <c r="A129" s="299"/>
      <c r="B129" s="313" t="s">
        <v>265</v>
      </c>
      <c r="C129" s="331">
        <v>1.59</v>
      </c>
      <c r="D129" s="326" t="s">
        <v>251</v>
      </c>
      <c r="E129" s="321"/>
      <c r="F129" s="319"/>
      <c r="G129" s="304"/>
    </row>
    <row r="130" spans="1:8" s="352" customFormat="1" ht="12.75">
      <c r="A130" s="299"/>
      <c r="B130" s="327" t="s">
        <v>244</v>
      </c>
      <c r="C130" s="325">
        <f>$I$4</f>
        <v>8.0500000000000007</v>
      </c>
      <c r="D130" s="329"/>
      <c r="E130" s="321"/>
      <c r="F130" s="319"/>
      <c r="G130" s="304"/>
    </row>
    <row r="131" spans="1:8" s="352" customFormat="1" ht="12.75">
      <c r="A131" s="321"/>
      <c r="B131" s="675" t="s">
        <v>298</v>
      </c>
      <c r="C131" s="676"/>
      <c r="D131" s="332"/>
      <c r="E131" s="321"/>
      <c r="F131" s="403">
        <f>F113+F123</f>
        <v>50634.450174525002</v>
      </c>
      <c r="G131" s="304"/>
    </row>
    <row r="132" spans="1:8" s="360" customFormat="1" ht="12.75">
      <c r="A132" s="367"/>
      <c r="B132" s="321" t="s">
        <v>299</v>
      </c>
      <c r="C132" s="370"/>
      <c r="D132" s="364"/>
      <c r="E132" s="361"/>
      <c r="F132" s="403">
        <f>ROUND(F34+F73+F92+F109+F131,2)</f>
        <v>350085.64</v>
      </c>
      <c r="G132" s="368"/>
      <c r="H132" s="369"/>
    </row>
    <row r="133" spans="1:8" ht="13.5" customHeight="1">
      <c r="A133" s="666" t="s">
        <v>215</v>
      </c>
      <c r="B133" s="662"/>
      <c r="C133" s="662"/>
      <c r="D133" s="662"/>
      <c r="E133" s="662"/>
      <c r="F133" s="663"/>
    </row>
    <row r="134" spans="1:8" ht="13.5" customHeight="1">
      <c r="A134" s="376" t="s">
        <v>206</v>
      </c>
      <c r="B134" s="662" t="s">
        <v>58</v>
      </c>
      <c r="C134" s="662"/>
      <c r="D134" s="662"/>
      <c r="E134" s="662"/>
      <c r="F134" s="663"/>
    </row>
    <row r="135" spans="1:8" ht="25.5" customHeight="1">
      <c r="A135" s="376" t="s">
        <v>59</v>
      </c>
      <c r="B135" s="662" t="s">
        <v>216</v>
      </c>
      <c r="C135" s="662"/>
      <c r="D135" s="662"/>
      <c r="E135" s="662"/>
      <c r="F135" s="663"/>
    </row>
    <row r="136" spans="1:8" ht="15.75" customHeight="1">
      <c r="A136" s="377">
        <v>1</v>
      </c>
      <c r="B136" s="378" t="s">
        <v>191</v>
      </c>
      <c r="C136" s="377">
        <v>1</v>
      </c>
      <c r="D136" s="379">
        <v>3</v>
      </c>
      <c r="E136" s="380" t="e">
        <f>#REF!</f>
        <v>#REF!</v>
      </c>
      <c r="F136" s="384" t="e">
        <f>E136*D136*C136</f>
        <v>#REF!</v>
      </c>
    </row>
    <row r="137" spans="1:8" ht="15.75" customHeight="1">
      <c r="A137" s="377">
        <f>A136+1</f>
        <v>2</v>
      </c>
      <c r="B137" s="381" t="s">
        <v>196</v>
      </c>
      <c r="C137" s="382">
        <v>1</v>
      </c>
      <c r="D137" s="379">
        <v>11</v>
      </c>
      <c r="E137" s="383" t="e">
        <f>E136</f>
        <v>#REF!</v>
      </c>
      <c r="F137" s="384" t="e">
        <f>E137*D137*C137</f>
        <v>#REF!</v>
      </c>
      <c r="H137" s="2" t="s">
        <v>197</v>
      </c>
    </row>
    <row r="138" spans="1:8" ht="20.25" customHeight="1">
      <c r="A138" s="376" t="s">
        <v>60</v>
      </c>
      <c r="B138" s="662" t="s">
        <v>217</v>
      </c>
      <c r="C138" s="662"/>
      <c r="D138" s="662"/>
      <c r="E138" s="662"/>
      <c r="F138" s="663"/>
    </row>
    <row r="139" spans="1:8" ht="16.5" customHeight="1">
      <c r="A139" s="377">
        <f>A137+1</f>
        <v>3</v>
      </c>
      <c r="B139" s="378" t="s">
        <v>191</v>
      </c>
      <c r="C139" s="377">
        <v>1</v>
      </c>
      <c r="D139" s="384">
        <v>0.25</v>
      </c>
      <c r="E139" s="380" t="e">
        <f>E136</f>
        <v>#REF!</v>
      </c>
      <c r="F139" s="384" t="e">
        <f>E139*D139*C139</f>
        <v>#REF!</v>
      </c>
    </row>
    <row r="140" spans="1:8" ht="17.25" customHeight="1">
      <c r="A140" s="385" t="s">
        <v>197</v>
      </c>
      <c r="B140" s="386" t="s">
        <v>218</v>
      </c>
      <c r="C140" s="387" t="s">
        <v>197</v>
      </c>
      <c r="D140" s="387"/>
      <c r="E140" s="388" t="s">
        <v>197</v>
      </c>
      <c r="F140" s="404" t="e">
        <f>SUM(F136:F137,F139:F139)</f>
        <v>#REF!</v>
      </c>
      <c r="H140" s="2" t="s">
        <v>197</v>
      </c>
    </row>
    <row r="141" spans="1:8" ht="13.5" customHeight="1">
      <c r="A141" s="682" t="s">
        <v>219</v>
      </c>
      <c r="B141" s="683"/>
      <c r="C141" s="683"/>
      <c r="D141" s="683"/>
      <c r="E141" s="683"/>
      <c r="F141" s="663"/>
    </row>
    <row r="142" spans="1:8" ht="16.5" customHeight="1">
      <c r="A142" s="376" t="s">
        <v>208</v>
      </c>
      <c r="B142" s="662" t="s">
        <v>220</v>
      </c>
      <c r="C142" s="662"/>
      <c r="D142" s="662"/>
      <c r="E142" s="662"/>
      <c r="F142" s="663"/>
    </row>
    <row r="143" spans="1:8" ht="16.5" customHeight="1">
      <c r="A143" s="376" t="s">
        <v>61</v>
      </c>
      <c r="B143" s="662" t="s">
        <v>221</v>
      </c>
      <c r="C143" s="662"/>
      <c r="D143" s="662"/>
      <c r="E143" s="662"/>
      <c r="F143" s="663"/>
    </row>
    <row r="144" spans="1:8" ht="16.5" customHeight="1">
      <c r="A144" s="377">
        <v>1</v>
      </c>
      <c r="B144" s="378" t="s">
        <v>191</v>
      </c>
      <c r="C144" s="377">
        <v>1</v>
      </c>
      <c r="D144" s="379">
        <v>3</v>
      </c>
      <c r="E144" s="380" t="e">
        <f>E136</f>
        <v>#REF!</v>
      </c>
      <c r="F144" s="384" t="e">
        <f>E144*D144*C144</f>
        <v>#REF!</v>
      </c>
    </row>
    <row r="145" spans="1:8" ht="16.5" customHeight="1">
      <c r="A145" s="377">
        <f>A144+1</f>
        <v>2</v>
      </c>
      <c r="B145" s="381" t="s">
        <v>196</v>
      </c>
      <c r="C145" s="382">
        <v>1</v>
      </c>
      <c r="D145" s="379">
        <v>11</v>
      </c>
      <c r="E145" s="383" t="e">
        <f>E144</f>
        <v>#REF!</v>
      </c>
      <c r="F145" s="384" t="e">
        <f>E145*D145*C145</f>
        <v>#REF!</v>
      </c>
      <c r="H145" s="2" t="s">
        <v>197</v>
      </c>
    </row>
    <row r="146" spans="1:8" ht="16.5" customHeight="1">
      <c r="A146" s="376" t="s">
        <v>62</v>
      </c>
      <c r="B146" s="662" t="s">
        <v>222</v>
      </c>
      <c r="C146" s="662"/>
      <c r="D146" s="662"/>
      <c r="E146" s="662"/>
      <c r="F146" s="663"/>
    </row>
    <row r="147" spans="1:8" ht="16.5" customHeight="1">
      <c r="A147" s="377">
        <f>A145+1</f>
        <v>3</v>
      </c>
      <c r="B147" s="378" t="s">
        <v>191</v>
      </c>
      <c r="C147" s="377">
        <v>1</v>
      </c>
      <c r="D147" s="384">
        <v>0.25</v>
      </c>
      <c r="E147" s="380" t="e">
        <f>E144</f>
        <v>#REF!</v>
      </c>
      <c r="F147" s="384" t="e">
        <f>E147*D147*C147</f>
        <v>#REF!</v>
      </c>
    </row>
    <row r="148" spans="1:8" ht="40.5" customHeight="1">
      <c r="A148" s="376" t="s">
        <v>2</v>
      </c>
      <c r="B148" s="662" t="s">
        <v>223</v>
      </c>
      <c r="C148" s="662"/>
      <c r="D148" s="662"/>
      <c r="E148" s="662"/>
      <c r="F148" s="663"/>
    </row>
    <row r="149" spans="1:8" ht="30" customHeight="1">
      <c r="A149" s="376" t="s">
        <v>63</v>
      </c>
      <c r="B149" s="662" t="s">
        <v>224</v>
      </c>
      <c r="C149" s="662"/>
      <c r="D149" s="662"/>
      <c r="E149" s="662"/>
      <c r="F149" s="663"/>
    </row>
    <row r="150" spans="1:8" ht="16.5" customHeight="1">
      <c r="A150" s="377">
        <v>1</v>
      </c>
      <c r="B150" s="378" t="s">
        <v>191</v>
      </c>
      <c r="C150" s="377">
        <v>1</v>
      </c>
      <c r="D150" s="379">
        <v>0.5</v>
      </c>
      <c r="E150" s="380" t="e">
        <f>E136</f>
        <v>#REF!</v>
      </c>
      <c r="F150" s="384" t="e">
        <f>E150*D150*C150</f>
        <v>#REF!</v>
      </c>
    </row>
    <row r="151" spans="1:8" ht="16.5" customHeight="1">
      <c r="A151" s="377">
        <f>A150+1</f>
        <v>2</v>
      </c>
      <c r="B151" s="381" t="s">
        <v>196</v>
      </c>
      <c r="C151" s="382">
        <v>1</v>
      </c>
      <c r="D151" s="379">
        <v>0.5</v>
      </c>
      <c r="E151" s="383" t="e">
        <f>E150</f>
        <v>#REF!</v>
      </c>
      <c r="F151" s="384" t="e">
        <f>E151*D151*C151</f>
        <v>#REF!</v>
      </c>
      <c r="H151" s="2" t="s">
        <v>197</v>
      </c>
    </row>
    <row r="152" spans="1:8" ht="44.25" customHeight="1">
      <c r="A152" s="376" t="s">
        <v>64</v>
      </c>
      <c r="B152" s="662" t="s">
        <v>225</v>
      </c>
      <c r="C152" s="662"/>
      <c r="D152" s="662"/>
      <c r="E152" s="662"/>
      <c r="F152" s="663"/>
    </row>
    <row r="153" spans="1:8" ht="16.5" customHeight="1">
      <c r="A153" s="377">
        <f>A151+1</f>
        <v>3</v>
      </c>
      <c r="B153" s="378" t="s">
        <v>191</v>
      </c>
      <c r="C153" s="377">
        <v>1</v>
      </c>
      <c r="D153" s="379">
        <v>0.5</v>
      </c>
      <c r="E153" s="380" t="e">
        <f>E150</f>
        <v>#REF!</v>
      </c>
      <c r="F153" s="384" t="e">
        <f>E153*D153*C153</f>
        <v>#REF!</v>
      </c>
    </row>
    <row r="154" spans="1:8" ht="16.5" customHeight="1">
      <c r="A154" s="382">
        <f>A153+1</f>
        <v>4</v>
      </c>
      <c r="B154" s="381" t="s">
        <v>196</v>
      </c>
      <c r="C154" s="382">
        <v>1</v>
      </c>
      <c r="D154" s="389">
        <v>0.5</v>
      </c>
      <c r="E154" s="380" t="e">
        <f>E151</f>
        <v>#REF!</v>
      </c>
      <c r="F154" s="384" t="e">
        <f>E154*D154*C154</f>
        <v>#REF!</v>
      </c>
      <c r="H154" s="2" t="s">
        <v>197</v>
      </c>
    </row>
    <row r="155" spans="1:8" ht="17.25" customHeight="1">
      <c r="A155" s="385" t="s">
        <v>197</v>
      </c>
      <c r="B155" s="386" t="s">
        <v>226</v>
      </c>
      <c r="C155" s="387" t="s">
        <v>197</v>
      </c>
      <c r="D155" s="387"/>
      <c r="E155" s="388" t="s">
        <v>197</v>
      </c>
      <c r="F155" s="404" t="e">
        <f>SUM(F144:F145,F147:F147,F150:F151,F153:F154)</f>
        <v>#REF!</v>
      </c>
      <c r="H155" s="2" t="s">
        <v>197</v>
      </c>
    </row>
    <row r="156" spans="1:8" ht="13.5" customHeight="1">
      <c r="A156" s="666" t="s">
        <v>227</v>
      </c>
      <c r="B156" s="662"/>
      <c r="C156" s="662"/>
      <c r="D156" s="662"/>
      <c r="E156" s="662"/>
      <c r="F156" s="663"/>
    </row>
    <row r="157" spans="1:8" ht="13.5" customHeight="1">
      <c r="A157" s="376" t="s">
        <v>209</v>
      </c>
      <c r="B157" s="662" t="s">
        <v>65</v>
      </c>
      <c r="C157" s="662"/>
      <c r="D157" s="662"/>
      <c r="E157" s="662"/>
      <c r="F157" s="663"/>
    </row>
    <row r="158" spans="1:8" ht="25.5" customHeight="1">
      <c r="A158" s="376" t="s">
        <v>66</v>
      </c>
      <c r="B158" s="662" t="s">
        <v>67</v>
      </c>
      <c r="C158" s="662"/>
      <c r="D158" s="662"/>
      <c r="E158" s="662"/>
      <c r="F158" s="663"/>
    </row>
    <row r="159" spans="1:8" ht="14.25" customHeight="1">
      <c r="A159" s="377">
        <v>1</v>
      </c>
      <c r="B159" s="378" t="s">
        <v>191</v>
      </c>
      <c r="C159" s="377">
        <v>1</v>
      </c>
      <c r="D159" s="379">
        <v>0.5</v>
      </c>
      <c r="E159" s="380" t="e">
        <f>E153</f>
        <v>#REF!</v>
      </c>
      <c r="F159" s="384" t="e">
        <f>E159*D159*C159</f>
        <v>#REF!</v>
      </c>
    </row>
    <row r="160" spans="1:8" ht="14.25" customHeight="1">
      <c r="A160" s="377">
        <f>A159+1</f>
        <v>2</v>
      </c>
      <c r="B160" s="381" t="s">
        <v>196</v>
      </c>
      <c r="C160" s="382">
        <v>1</v>
      </c>
      <c r="D160" s="379">
        <v>0.5</v>
      </c>
      <c r="E160" s="383" t="e">
        <f>E159</f>
        <v>#REF!</v>
      </c>
      <c r="F160" s="384" t="e">
        <f>E160*D160*C160</f>
        <v>#REF!</v>
      </c>
      <c r="H160" s="2" t="s">
        <v>197</v>
      </c>
    </row>
    <row r="161" spans="1:8" ht="20.25" customHeight="1">
      <c r="A161" s="376" t="s">
        <v>68</v>
      </c>
      <c r="B161" s="662" t="s">
        <v>69</v>
      </c>
      <c r="C161" s="662"/>
      <c r="D161" s="662"/>
      <c r="E161" s="662"/>
      <c r="F161" s="663"/>
    </row>
    <row r="162" spans="1:8" ht="16.5" customHeight="1">
      <c r="A162" s="377">
        <f>A160+1</f>
        <v>3</v>
      </c>
      <c r="B162" s="378" t="s">
        <v>191</v>
      </c>
      <c r="C162" s="377">
        <v>1</v>
      </c>
      <c r="D162" s="384">
        <v>0.25</v>
      </c>
      <c r="E162" s="380" t="e">
        <f>E159</f>
        <v>#REF!</v>
      </c>
      <c r="F162" s="384" t="e">
        <f>E162*D162*C162</f>
        <v>#REF!</v>
      </c>
    </row>
    <row r="163" spans="1:8" ht="17.25" customHeight="1">
      <c r="A163" s="385" t="s">
        <v>197</v>
      </c>
      <c r="B163" s="386" t="s">
        <v>228</v>
      </c>
      <c r="C163" s="387" t="s">
        <v>197</v>
      </c>
      <c r="D163" s="387"/>
      <c r="E163" s="388" t="s">
        <v>197</v>
      </c>
      <c r="F163" s="404" t="e">
        <f>SUM(F159:F160,F162:F162)</f>
        <v>#REF!</v>
      </c>
      <c r="H163" s="2" t="s">
        <v>197</v>
      </c>
    </row>
    <row r="164" spans="1:8" ht="13.5" customHeight="1">
      <c r="A164" s="666" t="s">
        <v>229</v>
      </c>
      <c r="B164" s="662"/>
      <c r="C164" s="662"/>
      <c r="D164" s="662"/>
      <c r="E164" s="662"/>
      <c r="F164" s="663"/>
    </row>
    <row r="165" spans="1:8" ht="13.5" customHeight="1">
      <c r="A165" s="376" t="s">
        <v>210</v>
      </c>
      <c r="B165" s="662" t="s">
        <v>70</v>
      </c>
      <c r="C165" s="662"/>
      <c r="D165" s="662"/>
      <c r="E165" s="662"/>
      <c r="F165" s="663"/>
    </row>
    <row r="166" spans="1:8" ht="15.75" customHeight="1">
      <c r="A166" s="376" t="s">
        <v>71</v>
      </c>
      <c r="B166" s="662" t="s">
        <v>72</v>
      </c>
      <c r="C166" s="662"/>
      <c r="D166" s="662"/>
      <c r="E166" s="662"/>
      <c r="F166" s="663"/>
    </row>
    <row r="167" spans="1:8" ht="15" customHeight="1">
      <c r="A167" s="377">
        <v>1</v>
      </c>
      <c r="B167" s="378" t="s">
        <v>191</v>
      </c>
      <c r="C167" s="377">
        <v>1</v>
      </c>
      <c r="D167" s="379">
        <v>7</v>
      </c>
      <c r="E167" s="380" t="e">
        <f>E159</f>
        <v>#REF!</v>
      </c>
      <c r="F167" s="384" t="e">
        <f>E167*D167*C167</f>
        <v>#REF!</v>
      </c>
    </row>
    <row r="168" spans="1:8" ht="15" customHeight="1">
      <c r="A168" s="377">
        <f>A167+1</f>
        <v>2</v>
      </c>
      <c r="B168" s="381" t="s">
        <v>196</v>
      </c>
      <c r="C168" s="382">
        <v>1</v>
      </c>
      <c r="D168" s="379">
        <v>21</v>
      </c>
      <c r="E168" s="383" t="e">
        <f>E167</f>
        <v>#REF!</v>
      </c>
      <c r="F168" s="384" t="e">
        <f>E168*D168*C168</f>
        <v>#REF!</v>
      </c>
      <c r="H168" s="2" t="s">
        <v>197</v>
      </c>
    </row>
    <row r="169" spans="1:8" ht="28.5" customHeight="1">
      <c r="A169" s="376" t="s">
        <v>73</v>
      </c>
      <c r="B169" s="662" t="s">
        <v>74</v>
      </c>
      <c r="C169" s="662"/>
      <c r="D169" s="662"/>
      <c r="E169" s="662"/>
      <c r="F169" s="663"/>
    </row>
    <row r="170" spans="1:8" ht="16.5" customHeight="1">
      <c r="A170" s="377">
        <f>A168+1</f>
        <v>3</v>
      </c>
      <c r="B170" s="378" t="s">
        <v>191</v>
      </c>
      <c r="C170" s="377">
        <v>1</v>
      </c>
      <c r="D170" s="379">
        <v>3</v>
      </c>
      <c r="E170" s="380" t="e">
        <f>E167</f>
        <v>#REF!</v>
      </c>
      <c r="F170" s="384" t="e">
        <f>E170*D170*C170</f>
        <v>#REF!</v>
      </c>
    </row>
    <row r="171" spans="1:8" ht="16.5" customHeight="1">
      <c r="A171" s="382">
        <f>A170+1</f>
        <v>4</v>
      </c>
      <c r="B171" s="381" t="s">
        <v>196</v>
      </c>
      <c r="C171" s="382">
        <v>1</v>
      </c>
      <c r="D171" s="389">
        <v>7</v>
      </c>
      <c r="E171" s="383" t="e">
        <f>E170</f>
        <v>#REF!</v>
      </c>
      <c r="F171" s="384" t="e">
        <f>E171*D171*C171</f>
        <v>#REF!</v>
      </c>
      <c r="H171" s="2" t="s">
        <v>197</v>
      </c>
    </row>
    <row r="172" spans="1:8" ht="17.25" customHeight="1">
      <c r="A172" s="385" t="s">
        <v>197</v>
      </c>
      <c r="B172" s="386" t="s">
        <v>230</v>
      </c>
      <c r="C172" s="387" t="s">
        <v>197</v>
      </c>
      <c r="D172" s="387"/>
      <c r="E172" s="388" t="s">
        <v>197</v>
      </c>
      <c r="F172" s="404" t="e">
        <f>SUM(F167:F168,F170:F171)</f>
        <v>#REF!</v>
      </c>
      <c r="H172" s="2" t="s">
        <v>197</v>
      </c>
    </row>
    <row r="173" spans="1:8" ht="17.25" customHeight="1">
      <c r="A173" s="385" t="s">
        <v>197</v>
      </c>
      <c r="B173" s="386" t="s">
        <v>231</v>
      </c>
      <c r="C173" s="387" t="s">
        <v>197</v>
      </c>
      <c r="D173" s="387"/>
      <c r="E173" s="388" t="s">
        <v>197</v>
      </c>
      <c r="F173" s="404" t="e">
        <f>ROUND(F140+F155+F163+F172,0)</f>
        <v>#REF!</v>
      </c>
      <c r="H173" s="2" t="s">
        <v>197</v>
      </c>
    </row>
    <row r="174" spans="1:8">
      <c r="A174" s="677" t="str">
        <f ca="1">C391</f>
        <v>Триста пятьдесят тысяч восемьдесят пять рублей 64 копейки</v>
      </c>
      <c r="B174" s="678"/>
      <c r="C174" s="678"/>
      <c r="D174" s="678"/>
      <c r="E174" s="678"/>
      <c r="F174" s="678"/>
    </row>
    <row r="175" spans="1:8">
      <c r="A175" s="679" t="s">
        <v>198</v>
      </c>
      <c r="B175" s="680"/>
      <c r="C175" s="680"/>
      <c r="D175" s="680"/>
      <c r="E175" s="680"/>
      <c r="F175" s="680"/>
    </row>
    <row r="176" spans="1:8" s="3" customFormat="1" hidden="1" outlineLevel="1">
      <c r="A176" s="86"/>
      <c r="B176" s="86"/>
      <c r="C176" s="206"/>
      <c r="D176" s="206"/>
      <c r="E176" s="206"/>
      <c r="F176" s="207"/>
    </row>
    <row r="177" spans="1:18" ht="9.75" hidden="1" customHeight="1" outlineLevel="1">
      <c r="A177" s="119"/>
      <c r="B177" s="119"/>
      <c r="C177" s="119"/>
      <c r="D177" s="119"/>
      <c r="E177" s="119"/>
      <c r="F177" s="119"/>
    </row>
    <row r="178" spans="1:18" s="186" customFormat="1" hidden="1" outlineLevel="1">
      <c r="A178" s="185" t="e">
        <f>#REF!</f>
        <v>#REF!</v>
      </c>
      <c r="B178" s="218"/>
      <c r="C178" s="218"/>
      <c r="D178" s="218"/>
      <c r="E178" s="218"/>
      <c r="F178" s="218"/>
    </row>
    <row r="179" spans="1:18" s="186" customFormat="1" hidden="1" outlineLevel="1">
      <c r="A179" s="187" t="e">
        <f>D9</f>
        <v>#REF!</v>
      </c>
      <c r="B179" s="188"/>
      <c r="C179" s="188"/>
      <c r="D179" s="188"/>
      <c r="E179" s="188"/>
      <c r="F179" s="191" t="e">
        <f>#REF!</f>
        <v>#REF!</v>
      </c>
    </row>
    <row r="180" spans="1:18" hidden="1" outlineLevel="1">
      <c r="A180" s="681"/>
      <c r="B180" s="681"/>
      <c r="C180" s="681"/>
      <c r="D180" s="681"/>
      <c r="E180" s="681"/>
      <c r="F180" s="209"/>
      <c r="G180" s="1"/>
      <c r="H180" s="1"/>
      <c r="I180" s="1"/>
      <c r="J180" s="1"/>
    </row>
    <row r="181" spans="1:18" hidden="1" outlineLevel="1">
      <c r="A181" s="117" t="s">
        <v>199</v>
      </c>
      <c r="B181" s="118"/>
      <c r="C181" s="118"/>
      <c r="D181" s="118"/>
      <c r="E181" s="118"/>
      <c r="F181" s="209"/>
      <c r="G181" s="1"/>
      <c r="H181" s="1"/>
      <c r="I181" s="1"/>
      <c r="J181" s="1"/>
    </row>
    <row r="182" spans="1:18" s="186" customFormat="1" hidden="1" outlineLevel="1">
      <c r="A182" s="189" t="e">
        <f>#REF!</f>
        <v>#REF!</v>
      </c>
      <c r="B182" s="219"/>
      <c r="C182" s="219"/>
      <c r="D182" s="219"/>
      <c r="E182" s="219"/>
      <c r="F182" s="220"/>
      <c r="G182" s="190"/>
      <c r="H182" s="190"/>
      <c r="I182" s="190"/>
      <c r="J182" s="190"/>
    </row>
    <row r="183" spans="1:18" s="186" customFormat="1" hidden="1" outlineLevel="1">
      <c r="A183" s="187" t="e">
        <f>D11</f>
        <v>#REF!</v>
      </c>
      <c r="B183" s="191"/>
      <c r="C183" s="191"/>
      <c r="D183" s="191"/>
      <c r="E183" s="191"/>
      <c r="F183" s="191" t="e">
        <f>#REF!</f>
        <v>#REF!</v>
      </c>
    </row>
    <row r="184" spans="1:18" s="5" customFormat="1" collapsed="1">
      <c r="A184" s="15"/>
      <c r="B184" s="15"/>
      <c r="C184" s="15"/>
      <c r="D184" s="15"/>
      <c r="E184" s="15"/>
      <c r="F184" s="15"/>
      <c r="G184" s="6"/>
      <c r="H184" s="6"/>
      <c r="I184" s="6"/>
      <c r="J184" s="6"/>
      <c r="K184" s="6"/>
      <c r="L184" s="6"/>
      <c r="M184" s="21"/>
      <c r="N184" s="56"/>
      <c r="O184" s="21"/>
      <c r="R184" s="6"/>
    </row>
    <row r="185" spans="1:18" customFormat="1" ht="12.75" outlineLevel="1">
      <c r="A185" s="214"/>
      <c r="B185" s="215" t="s">
        <v>116</v>
      </c>
      <c r="C185" s="475">
        <f>F132</f>
        <v>350085.64</v>
      </c>
      <c r="D185" s="214"/>
      <c r="E185" s="214"/>
      <c r="F185" s="214"/>
    </row>
    <row r="186" spans="1:18" customFormat="1" ht="12.75" hidden="1" outlineLevel="2">
      <c r="A186" s="214"/>
      <c r="B186" s="214" t="s">
        <v>117</v>
      </c>
      <c r="C186" s="214">
        <f>ROUNDDOWN(C185/1000000,0)</f>
        <v>0</v>
      </c>
      <c r="D186" s="214"/>
      <c r="E186" s="214"/>
      <c r="F186" s="214"/>
    </row>
    <row r="187" spans="1:18" customFormat="1" ht="12.75" hidden="1" outlineLevel="2">
      <c r="A187" s="214"/>
      <c r="B187" s="214"/>
      <c r="C187" s="214"/>
      <c r="D187" s="214"/>
      <c r="E187" s="214"/>
      <c r="F187" s="214"/>
    </row>
    <row r="188" spans="1:18" customFormat="1" ht="12.75" hidden="1" outlineLevel="2">
      <c r="A188" s="214"/>
      <c r="B188" s="214" t="s">
        <v>118</v>
      </c>
      <c r="C188" s="214">
        <f>ROUNDDOWN(C186/100,0)</f>
        <v>0</v>
      </c>
      <c r="D188" s="214"/>
      <c r="E188" s="214"/>
      <c r="F188" s="214"/>
    </row>
    <row r="189" spans="1:18" customFormat="1" ht="12.75" hidden="1" outlineLevel="2">
      <c r="A189" s="214"/>
      <c r="B189" s="214"/>
      <c r="C189" s="214"/>
      <c r="D189" s="214"/>
      <c r="E189" s="214"/>
      <c r="F189" s="214"/>
    </row>
    <row r="190" spans="1:18" customFormat="1" ht="12.75" hidden="1" outlineLevel="2">
      <c r="A190" s="214"/>
      <c r="B190" s="214" t="s">
        <v>119</v>
      </c>
      <c r="C190" s="214"/>
      <c r="D190" s="214"/>
      <c r="E190" s="214"/>
      <c r="F190" s="214"/>
    </row>
    <row r="191" spans="1:18" customFormat="1" ht="12.75" hidden="1" outlineLevel="2">
      <c r="A191" s="214"/>
      <c r="B191" s="214" t="s">
        <v>120</v>
      </c>
      <c r="C191" s="214"/>
      <c r="D191" s="214"/>
      <c r="E191" s="214"/>
      <c r="F191" s="214"/>
    </row>
    <row r="192" spans="1:18" customFormat="1" ht="12.75" hidden="1" outlineLevel="2">
      <c r="A192" s="214"/>
      <c r="B192" s="214" t="s">
        <v>121</v>
      </c>
      <c r="C192" s="214"/>
      <c r="D192" s="214"/>
      <c r="E192" s="214"/>
      <c r="F192" s="214"/>
    </row>
    <row r="193" spans="1:6" customFormat="1" ht="12.75" hidden="1" outlineLevel="2">
      <c r="A193" s="214"/>
      <c r="B193" s="214" t="s">
        <v>122</v>
      </c>
      <c r="C193" s="214"/>
      <c r="D193" s="214"/>
      <c r="E193" s="214"/>
      <c r="F193" s="214"/>
    </row>
    <row r="194" spans="1:6" customFormat="1" ht="12.75" hidden="1" outlineLevel="2">
      <c r="A194" s="214"/>
      <c r="B194" s="214" t="s">
        <v>123</v>
      </c>
      <c r="C194" s="214"/>
      <c r="D194" s="214"/>
      <c r="E194" s="214"/>
      <c r="F194" s="214"/>
    </row>
    <row r="195" spans="1:6" customFormat="1" ht="12.75" hidden="1" outlineLevel="2">
      <c r="A195" s="214"/>
      <c r="B195" s="214" t="s">
        <v>124</v>
      </c>
      <c r="C195" s="214"/>
      <c r="D195" s="214"/>
      <c r="E195" s="214"/>
      <c r="F195" s="214"/>
    </row>
    <row r="196" spans="1:6" customFormat="1" ht="12.75" hidden="1" outlineLevel="2">
      <c r="A196" s="214"/>
      <c r="B196" s="214" t="s">
        <v>125</v>
      </c>
      <c r="C196" s="214"/>
      <c r="D196" s="214"/>
      <c r="E196" s="214"/>
      <c r="F196" s="214"/>
    </row>
    <row r="197" spans="1:6" customFormat="1" ht="12.75" hidden="1" outlineLevel="2">
      <c r="A197" s="214"/>
      <c r="B197" s="214" t="s">
        <v>126</v>
      </c>
      <c r="C197" s="214"/>
      <c r="D197" s="214"/>
      <c r="E197" s="214"/>
      <c r="F197" s="214"/>
    </row>
    <row r="198" spans="1:6" customFormat="1" ht="12.75" hidden="1" outlineLevel="2">
      <c r="A198" s="214"/>
      <c r="B198" s="214" t="s">
        <v>127</v>
      </c>
      <c r="C198" s="214"/>
      <c r="D198" s="214"/>
      <c r="E198" s="214"/>
      <c r="F198" s="214"/>
    </row>
    <row r="199" spans="1:6" customFormat="1" ht="12.75" hidden="1" outlineLevel="2">
      <c r="A199" s="214"/>
      <c r="B199" s="214"/>
      <c r="C199" s="214"/>
      <c r="D199" s="214"/>
      <c r="E199" s="214"/>
      <c r="F199" s="214"/>
    </row>
    <row r="200" spans="1:6" customFormat="1" ht="12.75" hidden="1" outlineLevel="2">
      <c r="A200" s="214"/>
      <c r="B200" s="214"/>
      <c r="C200" s="216" t="str">
        <f ca="1">IF(C188&lt;&gt;0,OFFSET(B189,C188,0),"")</f>
        <v/>
      </c>
      <c r="D200" s="214"/>
      <c r="E200" s="214"/>
      <c r="F200" s="214"/>
    </row>
    <row r="201" spans="1:6" customFormat="1" ht="12.75" hidden="1" outlineLevel="2">
      <c r="A201" s="214"/>
      <c r="B201" s="214"/>
      <c r="C201" s="214"/>
      <c r="D201" s="214"/>
      <c r="E201" s="214"/>
      <c r="F201" s="214"/>
    </row>
    <row r="202" spans="1:6" customFormat="1" ht="12.75" hidden="1" outlineLevel="2">
      <c r="A202" s="214"/>
      <c r="B202" s="214" t="s">
        <v>128</v>
      </c>
      <c r="C202" s="214">
        <f>ROUNDDOWN((C185-C188*100000000)/10000000,0)</f>
        <v>0</v>
      </c>
      <c r="D202" s="214"/>
      <c r="E202" s="214"/>
      <c r="F202" s="214"/>
    </row>
    <row r="203" spans="1:6" customFormat="1" ht="12.75" hidden="1" outlineLevel="2">
      <c r="A203" s="214"/>
      <c r="B203" s="214"/>
      <c r="C203" s="214"/>
      <c r="D203" s="214"/>
      <c r="E203" s="214"/>
      <c r="F203" s="214"/>
    </row>
    <row r="204" spans="1:6" customFormat="1" ht="12.75" hidden="1" outlineLevel="2">
      <c r="A204" s="214"/>
      <c r="B204" s="214" t="s">
        <v>129</v>
      </c>
      <c r="C204" s="214"/>
      <c r="D204" s="214"/>
      <c r="E204" s="214"/>
      <c r="F204" s="214"/>
    </row>
    <row r="205" spans="1:6" customFormat="1" ht="12.75" hidden="1" outlineLevel="2">
      <c r="A205" s="214"/>
      <c r="B205" s="214" t="s">
        <v>130</v>
      </c>
      <c r="C205" s="214"/>
      <c r="D205" s="214"/>
      <c r="E205" s="214"/>
      <c r="F205" s="214"/>
    </row>
    <row r="206" spans="1:6" customFormat="1" ht="12.75" hidden="1" outlineLevel="2">
      <c r="A206" s="214"/>
      <c r="B206" s="214" t="s">
        <v>131</v>
      </c>
      <c r="C206" s="214"/>
      <c r="D206" s="214"/>
      <c r="E206" s="214"/>
      <c r="F206" s="214"/>
    </row>
    <row r="207" spans="1:6" customFormat="1" ht="12.75" hidden="1" outlineLevel="2">
      <c r="A207" s="214"/>
      <c r="B207" s="214" t="s">
        <v>132</v>
      </c>
      <c r="C207" s="214"/>
      <c r="D207" s="214"/>
      <c r="E207" s="214"/>
      <c r="F207" s="214"/>
    </row>
    <row r="208" spans="1:6" customFormat="1" ht="12.75" hidden="1" outlineLevel="2">
      <c r="A208" s="214"/>
      <c r="B208" s="214" t="s">
        <v>133</v>
      </c>
      <c r="C208" s="214"/>
      <c r="D208" s="214"/>
      <c r="E208" s="214"/>
      <c r="F208" s="214"/>
    </row>
    <row r="209" spans="1:6" customFormat="1" ht="12.75" hidden="1" outlineLevel="2">
      <c r="A209" s="214"/>
      <c r="B209" s="214" t="s">
        <v>134</v>
      </c>
      <c r="C209" s="214"/>
      <c r="D209" s="214"/>
      <c r="E209" s="214"/>
      <c r="F209" s="214"/>
    </row>
    <row r="210" spans="1:6" customFormat="1" ht="12.75" hidden="1" outlineLevel="2">
      <c r="A210" s="214"/>
      <c r="B210" s="214" t="s">
        <v>135</v>
      </c>
      <c r="C210" s="214"/>
      <c r="D210" s="214"/>
      <c r="E210" s="214"/>
      <c r="F210" s="214"/>
    </row>
    <row r="211" spans="1:6" customFormat="1" ht="12.75" hidden="1" outlineLevel="2">
      <c r="A211" s="214"/>
      <c r="B211" s="214" t="s">
        <v>136</v>
      </c>
      <c r="C211" s="214"/>
      <c r="D211" s="214"/>
      <c r="E211" s="214"/>
      <c r="F211" s="214"/>
    </row>
    <row r="212" spans="1:6" customFormat="1" ht="12.75" hidden="1" outlineLevel="2">
      <c r="A212" s="214"/>
      <c r="B212" s="214" t="s">
        <v>137</v>
      </c>
      <c r="C212" s="214"/>
      <c r="D212" s="214"/>
      <c r="E212" s="214"/>
      <c r="F212" s="214"/>
    </row>
    <row r="213" spans="1:6" customFormat="1" ht="12.75" hidden="1" outlineLevel="2">
      <c r="A213" s="214"/>
      <c r="B213" s="214"/>
      <c r="C213" s="214"/>
      <c r="D213" s="214"/>
      <c r="E213" s="214"/>
      <c r="F213" s="214"/>
    </row>
    <row r="214" spans="1:6" customFormat="1" ht="12.75" hidden="1" outlineLevel="2">
      <c r="A214" s="214"/>
      <c r="B214" s="214"/>
      <c r="C214" s="216" t="str">
        <f ca="1">IF(AND(C202=1,C216&lt;&gt;0),"",IF(C202&lt;&gt;0,OFFSET(B203,C202,0),""))</f>
        <v/>
      </c>
      <c r="D214" s="214"/>
      <c r="E214" s="214"/>
      <c r="F214" s="214"/>
    </row>
    <row r="215" spans="1:6" customFormat="1" ht="12.75" hidden="1" outlineLevel="2">
      <c r="A215" s="214"/>
      <c r="B215" s="214"/>
      <c r="C215" s="214"/>
      <c r="D215" s="214"/>
      <c r="E215" s="214"/>
      <c r="F215" s="214"/>
    </row>
    <row r="216" spans="1:6" customFormat="1" ht="12.75" hidden="1" outlineLevel="2">
      <c r="A216" s="214"/>
      <c r="B216" s="214" t="s">
        <v>138</v>
      </c>
      <c r="C216" s="214">
        <f>ROUNDDOWN((C185-C188*100000000-C202*10000000)/1000000,0)</f>
        <v>0</v>
      </c>
      <c r="D216" s="214"/>
      <c r="E216" s="214"/>
      <c r="F216" s="214"/>
    </row>
    <row r="217" spans="1:6" customFormat="1" ht="12.75" hidden="1" outlineLevel="2">
      <c r="A217" s="214"/>
      <c r="B217" s="214"/>
      <c r="C217" s="214"/>
      <c r="D217" s="214"/>
      <c r="E217" s="214"/>
      <c r="F217" s="214"/>
    </row>
    <row r="218" spans="1:6" customFormat="1" ht="12.75" hidden="1" outlineLevel="2">
      <c r="A218" s="214"/>
      <c r="B218" s="214" t="s">
        <v>139</v>
      </c>
      <c r="C218" s="214"/>
      <c r="D218" s="214"/>
      <c r="E218" s="214"/>
      <c r="F218" s="214"/>
    </row>
    <row r="219" spans="1:6" customFormat="1" ht="12.75" hidden="1" outlineLevel="2">
      <c r="A219" s="214"/>
      <c r="B219" s="214" t="s">
        <v>140</v>
      </c>
      <c r="C219" s="214"/>
      <c r="D219" s="214"/>
      <c r="E219" s="214"/>
      <c r="F219" s="214"/>
    </row>
    <row r="220" spans="1:6" customFormat="1" ht="12.75" hidden="1" outlineLevel="2">
      <c r="A220" s="214"/>
      <c r="B220" s="214" t="s">
        <v>141</v>
      </c>
      <c r="C220" s="214"/>
      <c r="D220" s="214"/>
      <c r="E220" s="214"/>
      <c r="F220" s="214"/>
    </row>
    <row r="221" spans="1:6" customFormat="1" ht="12.75" hidden="1" outlineLevel="2">
      <c r="A221" s="214"/>
      <c r="B221" s="214" t="s">
        <v>142</v>
      </c>
      <c r="C221" s="214"/>
      <c r="D221" s="214"/>
      <c r="E221" s="214"/>
      <c r="F221" s="214"/>
    </row>
    <row r="222" spans="1:6" customFormat="1" ht="12.75" hidden="1" outlineLevel="2">
      <c r="A222" s="214"/>
      <c r="B222" s="214" t="s">
        <v>143</v>
      </c>
      <c r="C222" s="214"/>
      <c r="D222" s="214"/>
      <c r="E222" s="214"/>
      <c r="F222" s="214"/>
    </row>
    <row r="223" spans="1:6" customFormat="1" ht="12.75" hidden="1" outlineLevel="2">
      <c r="A223" s="214"/>
      <c r="B223" s="214" t="s">
        <v>144</v>
      </c>
      <c r="C223" s="214"/>
      <c r="D223" s="214"/>
      <c r="E223" s="214"/>
      <c r="F223" s="214"/>
    </row>
    <row r="224" spans="1:6" customFormat="1" ht="12.75" hidden="1" outlineLevel="2">
      <c r="A224" s="214"/>
      <c r="B224" s="214" t="s">
        <v>145</v>
      </c>
      <c r="C224" s="214"/>
      <c r="D224" s="214"/>
      <c r="E224" s="214"/>
      <c r="F224" s="214"/>
    </row>
    <row r="225" spans="1:6" customFormat="1" ht="12.75" hidden="1" outlineLevel="2">
      <c r="A225" s="214"/>
      <c r="B225" s="214" t="s">
        <v>146</v>
      </c>
      <c r="C225" s="214"/>
      <c r="D225" s="214"/>
      <c r="E225" s="214"/>
      <c r="F225" s="214"/>
    </row>
    <row r="226" spans="1:6" customFormat="1" ht="12.75" hidden="1" outlineLevel="2">
      <c r="A226" s="214"/>
      <c r="B226" s="214" t="s">
        <v>147</v>
      </c>
      <c r="C226" s="214"/>
      <c r="D226" s="214"/>
      <c r="E226" s="214"/>
      <c r="F226" s="214"/>
    </row>
    <row r="227" spans="1:6" customFormat="1" ht="12.75" hidden="1" outlineLevel="2">
      <c r="A227" s="214"/>
      <c r="B227" s="214"/>
      <c r="C227" s="214"/>
      <c r="D227" s="214"/>
      <c r="E227" s="214"/>
      <c r="F227" s="214"/>
    </row>
    <row r="228" spans="1:6" customFormat="1" ht="12.75" hidden="1" outlineLevel="2">
      <c r="A228" s="214"/>
      <c r="B228" s="214"/>
      <c r="C228" s="216" t="str">
        <f ca="1">IF(C202&lt;&gt;1,IF(C216&lt;&gt;0,OFFSET(B217,C216,0),""),"")</f>
        <v/>
      </c>
      <c r="D228" s="214"/>
      <c r="E228" s="214"/>
      <c r="F228" s="214"/>
    </row>
    <row r="229" spans="1:6" customFormat="1" ht="12.75" hidden="1" outlineLevel="2">
      <c r="A229" s="214"/>
      <c r="B229" s="214"/>
      <c r="C229" s="214"/>
      <c r="D229" s="214"/>
      <c r="E229" s="214"/>
      <c r="F229" s="214"/>
    </row>
    <row r="230" spans="1:6" customFormat="1" ht="12.75" hidden="1" outlineLevel="2">
      <c r="A230" s="214"/>
      <c r="B230" s="214" t="s">
        <v>148</v>
      </c>
      <c r="C230" s="214"/>
      <c r="D230" s="214"/>
      <c r="E230" s="214"/>
      <c r="F230" s="214"/>
    </row>
    <row r="231" spans="1:6" customFormat="1" ht="12.75" hidden="1" outlineLevel="2">
      <c r="A231" s="214"/>
      <c r="B231" s="214"/>
      <c r="C231" s="214"/>
      <c r="D231" s="214"/>
      <c r="E231" s="214"/>
      <c r="F231" s="214"/>
    </row>
    <row r="232" spans="1:6" customFormat="1" ht="12.75" hidden="1" outlineLevel="2">
      <c r="A232" s="214"/>
      <c r="B232" s="214"/>
      <c r="C232" s="214">
        <f>+C216</f>
        <v>0</v>
      </c>
      <c r="D232" s="214"/>
      <c r="E232" s="214"/>
      <c r="F232" s="214"/>
    </row>
    <row r="233" spans="1:6" customFormat="1" ht="12.75" hidden="1" outlineLevel="2">
      <c r="A233" s="214"/>
      <c r="B233" s="214" t="s">
        <v>149</v>
      </c>
      <c r="C233" s="214"/>
      <c r="D233" s="214"/>
      <c r="E233" s="214"/>
      <c r="F233" s="214"/>
    </row>
    <row r="234" spans="1:6" customFormat="1" ht="12.75" hidden="1" outlineLevel="2">
      <c r="A234" s="214"/>
      <c r="B234" s="214" t="s">
        <v>150</v>
      </c>
      <c r="C234" s="214"/>
      <c r="D234" s="214"/>
      <c r="E234" s="214"/>
      <c r="F234" s="214"/>
    </row>
    <row r="235" spans="1:6" customFormat="1" ht="12.75" hidden="1" outlineLevel="2">
      <c r="A235" s="214"/>
      <c r="B235" s="214" t="s">
        <v>151</v>
      </c>
      <c r="C235" s="214"/>
      <c r="D235" s="214"/>
      <c r="E235" s="214"/>
      <c r="F235" s="214"/>
    </row>
    <row r="236" spans="1:6" customFormat="1" ht="12.75" hidden="1" outlineLevel="2">
      <c r="A236" s="214"/>
      <c r="B236" s="214" t="s">
        <v>152</v>
      </c>
      <c r="C236" s="214"/>
      <c r="D236" s="214"/>
      <c r="E236" s="214"/>
      <c r="F236" s="214"/>
    </row>
    <row r="237" spans="1:6" customFormat="1" ht="12.75" hidden="1" outlineLevel="2">
      <c r="A237" s="214"/>
      <c r="B237" s="214" t="s">
        <v>153</v>
      </c>
      <c r="C237" s="214"/>
      <c r="D237" s="214"/>
      <c r="E237" s="214"/>
      <c r="F237" s="214"/>
    </row>
    <row r="238" spans="1:6" customFormat="1" ht="12.75" hidden="1" outlineLevel="2">
      <c r="A238" s="214"/>
      <c r="B238" s="214" t="s">
        <v>154</v>
      </c>
      <c r="C238" s="214"/>
      <c r="D238" s="214"/>
      <c r="E238" s="214"/>
      <c r="F238" s="214"/>
    </row>
    <row r="239" spans="1:6" customFormat="1" ht="12.75" hidden="1" outlineLevel="2">
      <c r="A239" s="214"/>
      <c r="B239" s="214" t="s">
        <v>155</v>
      </c>
      <c r="C239" s="214"/>
      <c r="D239" s="214"/>
      <c r="E239" s="214"/>
      <c r="F239" s="214"/>
    </row>
    <row r="240" spans="1:6" customFormat="1" ht="12.75" hidden="1" outlineLevel="2">
      <c r="A240" s="214"/>
      <c r="B240" s="214" t="s">
        <v>156</v>
      </c>
      <c r="C240" s="214"/>
      <c r="D240" s="214"/>
      <c r="E240" s="214"/>
      <c r="F240" s="214"/>
    </row>
    <row r="241" spans="1:6" customFormat="1" ht="12.75" hidden="1" outlineLevel="2">
      <c r="A241" s="214"/>
      <c r="B241" s="214" t="s">
        <v>157</v>
      </c>
      <c r="C241" s="214"/>
      <c r="D241" s="214"/>
      <c r="E241" s="214"/>
      <c r="F241" s="214"/>
    </row>
    <row r="242" spans="1:6" customFormat="1" ht="12.75" hidden="1" outlineLevel="2">
      <c r="A242" s="214"/>
      <c r="B242" s="214"/>
      <c r="C242" s="214"/>
      <c r="D242" s="214"/>
      <c r="E242" s="214"/>
      <c r="F242" s="214"/>
    </row>
    <row r="243" spans="1:6" customFormat="1" ht="12.75" hidden="1" outlineLevel="2">
      <c r="A243" s="214"/>
      <c r="B243" s="214"/>
      <c r="C243" s="216" t="str">
        <f ca="1">IF(AND(C202=1,C216&lt;&gt;0),IF(C202&lt;&gt;0,OFFSET(B232,C232,0),""),"")</f>
        <v/>
      </c>
      <c r="D243" s="214"/>
      <c r="E243" s="214"/>
      <c r="F243" s="214"/>
    </row>
    <row r="244" spans="1:6" customFormat="1" ht="12.75" hidden="1" outlineLevel="2">
      <c r="A244" s="214"/>
      <c r="B244" s="214"/>
      <c r="C244" s="214"/>
      <c r="D244" s="214"/>
      <c r="E244" s="214"/>
      <c r="F244" s="214"/>
    </row>
    <row r="245" spans="1:6" customFormat="1" ht="12.75" hidden="1" outlineLevel="2">
      <c r="A245" s="214"/>
      <c r="B245" s="214"/>
      <c r="C245" s="216" t="str">
        <f>IF(C202&lt;&gt;1,IF(OR(C216=2,C216=3,C216=4)," миллиона",""),"")</f>
        <v/>
      </c>
      <c r="D245" s="214"/>
      <c r="E245" s="214"/>
      <c r="F245" s="214"/>
    </row>
    <row r="246" spans="1:6" customFormat="1" ht="12.75" hidden="1" outlineLevel="2">
      <c r="A246" s="214"/>
      <c r="B246" s="214"/>
      <c r="C246" s="216" t="str">
        <f>IF(C202&lt;&gt;1,IF(OR(C216=1)," миллион",""),"")</f>
        <v/>
      </c>
      <c r="D246" s="214"/>
      <c r="E246" s="214"/>
      <c r="F246" s="214"/>
    </row>
    <row r="247" spans="1:6" customFormat="1" ht="12.75" hidden="1" outlineLevel="2">
      <c r="A247" s="214"/>
      <c r="B247" s="214"/>
      <c r="C247" s="216" t="str">
        <f>IF(C186&lt;&gt;0,IF(AND(C245="",C246="")," миллионов",""),"")</f>
        <v/>
      </c>
      <c r="D247" s="214"/>
      <c r="E247" s="214"/>
      <c r="F247" s="214"/>
    </row>
    <row r="248" spans="1:6" customFormat="1" ht="12.75" hidden="1" outlineLevel="2">
      <c r="A248" s="214"/>
      <c r="B248" s="214"/>
      <c r="C248" s="217" t="str">
        <f ca="1">(CONCATENATE(C200,C214,C228,C243,C245,C246,C247))</f>
        <v/>
      </c>
      <c r="D248" s="214"/>
      <c r="E248" s="214"/>
      <c r="F248" s="214"/>
    </row>
    <row r="249" spans="1:6" customFormat="1" ht="12.75" hidden="1" outlineLevel="2">
      <c r="A249" s="214"/>
      <c r="B249" s="214"/>
      <c r="C249" s="214"/>
      <c r="D249" s="214"/>
      <c r="E249" s="214"/>
      <c r="F249" s="214"/>
    </row>
    <row r="250" spans="1:6" customFormat="1" ht="12.75" hidden="1" outlineLevel="2">
      <c r="A250" s="214"/>
      <c r="B250" s="214" t="s">
        <v>158</v>
      </c>
      <c r="C250" s="214">
        <f>ROUNDDOWN((C185-C186*1000000)/1000,0)</f>
        <v>350</v>
      </c>
      <c r="D250" s="214"/>
      <c r="E250" s="214"/>
      <c r="F250" s="214"/>
    </row>
    <row r="251" spans="1:6" customFormat="1" ht="12.75" hidden="1" outlineLevel="2">
      <c r="A251" s="214"/>
      <c r="B251" s="214" t="s">
        <v>159</v>
      </c>
      <c r="C251" s="214">
        <f>ROUNDDOWN(C250/100,0)</f>
        <v>3</v>
      </c>
      <c r="D251" s="214"/>
      <c r="E251" s="214"/>
      <c r="F251" s="214"/>
    </row>
    <row r="252" spans="1:6" customFormat="1" ht="12.75" hidden="1" outlineLevel="2">
      <c r="A252" s="214"/>
      <c r="B252" s="214"/>
      <c r="C252" s="214"/>
      <c r="D252" s="214"/>
      <c r="E252" s="214"/>
      <c r="F252" s="214"/>
    </row>
    <row r="253" spans="1:6" customFormat="1" ht="12.75" hidden="1" outlineLevel="2">
      <c r="A253" s="214"/>
      <c r="B253" s="214" t="s">
        <v>160</v>
      </c>
      <c r="C253" s="214"/>
      <c r="D253" s="214"/>
      <c r="E253" s="214"/>
      <c r="F253" s="214"/>
    </row>
    <row r="254" spans="1:6" customFormat="1" ht="12.75" hidden="1" outlineLevel="2">
      <c r="A254" s="214"/>
      <c r="B254" s="214" t="s">
        <v>161</v>
      </c>
      <c r="C254" s="214"/>
      <c r="D254" s="214"/>
      <c r="E254" s="214"/>
      <c r="F254" s="214"/>
    </row>
    <row r="255" spans="1:6" customFormat="1" ht="12.75" hidden="1" outlineLevel="2">
      <c r="A255" s="214"/>
      <c r="B255" s="214" t="s">
        <v>162</v>
      </c>
      <c r="C255" s="214"/>
      <c r="D255" s="214"/>
      <c r="E255" s="214"/>
      <c r="F255" s="214"/>
    </row>
    <row r="256" spans="1:6" customFormat="1" ht="12.75" hidden="1" outlineLevel="2">
      <c r="A256" s="214"/>
      <c r="B256" s="214" t="s">
        <v>163</v>
      </c>
      <c r="C256" s="214"/>
      <c r="D256" s="214"/>
      <c r="E256" s="214"/>
      <c r="F256" s="214"/>
    </row>
    <row r="257" spans="1:6" customFormat="1" ht="12.75" hidden="1" outlineLevel="2">
      <c r="A257" s="214"/>
      <c r="B257" s="214" t="s">
        <v>164</v>
      </c>
      <c r="C257" s="214"/>
      <c r="D257" s="214"/>
      <c r="E257" s="214"/>
      <c r="F257" s="214"/>
    </row>
    <row r="258" spans="1:6" customFormat="1" ht="12.75" hidden="1" outlineLevel="2">
      <c r="A258" s="214"/>
      <c r="B258" s="214" t="s">
        <v>165</v>
      </c>
      <c r="C258" s="214"/>
      <c r="D258" s="214"/>
      <c r="E258" s="214"/>
      <c r="F258" s="214"/>
    </row>
    <row r="259" spans="1:6" customFormat="1" ht="12.75" hidden="1" outlineLevel="2">
      <c r="A259" s="214"/>
      <c r="B259" s="214" t="s">
        <v>166</v>
      </c>
      <c r="C259" s="214"/>
      <c r="D259" s="214"/>
      <c r="E259" s="214"/>
      <c r="F259" s="214"/>
    </row>
    <row r="260" spans="1:6" customFormat="1" ht="12.75" hidden="1" outlineLevel="2">
      <c r="A260" s="214"/>
      <c r="B260" s="214" t="s">
        <v>167</v>
      </c>
      <c r="C260" s="214"/>
      <c r="D260" s="214"/>
      <c r="E260" s="214"/>
      <c r="F260" s="214"/>
    </row>
    <row r="261" spans="1:6" customFormat="1" ht="12.75" hidden="1" outlineLevel="2">
      <c r="A261" s="214"/>
      <c r="B261" s="214" t="s">
        <v>168</v>
      </c>
      <c r="C261" s="214"/>
      <c r="D261" s="214"/>
      <c r="E261" s="214"/>
      <c r="F261" s="214"/>
    </row>
    <row r="262" spans="1:6" customFormat="1" ht="12.75" hidden="1" outlineLevel="2">
      <c r="A262" s="214"/>
      <c r="B262" s="214"/>
      <c r="C262" s="214"/>
      <c r="D262" s="214"/>
      <c r="E262" s="214"/>
      <c r="F262" s="214"/>
    </row>
    <row r="263" spans="1:6" customFormat="1" ht="12.75" hidden="1" outlineLevel="2">
      <c r="A263" s="214"/>
      <c r="B263" s="214"/>
      <c r="C263" s="216" t="str">
        <f ca="1">IF(C251&lt;&gt;0,OFFSET(B252,C251,0),"")</f>
        <v xml:space="preserve"> Триста</v>
      </c>
      <c r="D263" s="214"/>
      <c r="E263" s="214"/>
      <c r="F263" s="214"/>
    </row>
    <row r="264" spans="1:6" customFormat="1" ht="12.75" hidden="1" outlineLevel="2">
      <c r="A264" s="214"/>
      <c r="B264" s="214"/>
      <c r="C264" s="214"/>
      <c r="D264" s="214"/>
      <c r="E264" s="214"/>
      <c r="F264" s="214"/>
    </row>
    <row r="265" spans="1:6" customFormat="1" ht="12.75" hidden="1" outlineLevel="2">
      <c r="A265" s="214"/>
      <c r="B265" s="214" t="s">
        <v>169</v>
      </c>
      <c r="C265" s="214">
        <f>ROUNDDOWN((C250-C251*100)/10,0)</f>
        <v>5</v>
      </c>
      <c r="D265" s="214"/>
      <c r="E265" s="214"/>
      <c r="F265" s="214"/>
    </row>
    <row r="266" spans="1:6" customFormat="1" ht="12.75" hidden="1" outlineLevel="2">
      <c r="A266" s="214"/>
      <c r="B266" s="214"/>
      <c r="C266" s="214"/>
      <c r="D266" s="214"/>
      <c r="E266" s="214"/>
      <c r="F266" s="214"/>
    </row>
    <row r="267" spans="1:6" customFormat="1" ht="12.75" hidden="1" outlineLevel="2">
      <c r="A267" s="214"/>
      <c r="B267" s="214" t="s">
        <v>129</v>
      </c>
      <c r="C267" s="214"/>
      <c r="D267" s="214"/>
      <c r="E267" s="214"/>
      <c r="F267" s="214"/>
    </row>
    <row r="268" spans="1:6" customFormat="1" ht="12.75" hidden="1" outlineLevel="2">
      <c r="A268" s="214"/>
      <c r="B268" s="214" t="s">
        <v>130</v>
      </c>
      <c r="C268" s="214"/>
      <c r="D268" s="214"/>
      <c r="E268" s="214"/>
      <c r="F268" s="214"/>
    </row>
    <row r="269" spans="1:6" customFormat="1" ht="12.75" hidden="1" outlineLevel="2">
      <c r="A269" s="214"/>
      <c r="B269" s="214" t="s">
        <v>131</v>
      </c>
      <c r="C269" s="214"/>
      <c r="D269" s="214"/>
      <c r="E269" s="214"/>
      <c r="F269" s="214"/>
    </row>
    <row r="270" spans="1:6" customFormat="1" ht="12.75" hidden="1" outlineLevel="2">
      <c r="A270" s="214"/>
      <c r="B270" s="214" t="s">
        <v>132</v>
      </c>
      <c r="C270" s="214"/>
      <c r="D270" s="214"/>
      <c r="E270" s="214"/>
      <c r="F270" s="214"/>
    </row>
    <row r="271" spans="1:6" customFormat="1" ht="12.75" hidden="1" outlineLevel="2">
      <c r="A271" s="214"/>
      <c r="B271" s="214" t="s">
        <v>133</v>
      </c>
      <c r="C271" s="214"/>
      <c r="D271" s="214"/>
      <c r="E271" s="214"/>
      <c r="F271" s="214"/>
    </row>
    <row r="272" spans="1:6" customFormat="1" ht="12.75" hidden="1" outlineLevel="2">
      <c r="A272" s="214"/>
      <c r="B272" s="214" t="s">
        <v>134</v>
      </c>
      <c r="C272" s="214"/>
      <c r="D272" s="214"/>
      <c r="E272" s="214"/>
      <c r="F272" s="214"/>
    </row>
    <row r="273" spans="1:6" customFormat="1" ht="12.75" hidden="1" outlineLevel="2">
      <c r="A273" s="214"/>
      <c r="B273" s="214" t="s">
        <v>135</v>
      </c>
      <c r="C273" s="214"/>
      <c r="D273" s="214"/>
      <c r="E273" s="214"/>
      <c r="F273" s="214"/>
    </row>
    <row r="274" spans="1:6" customFormat="1" ht="12.75" hidden="1" outlineLevel="2">
      <c r="A274" s="214"/>
      <c r="B274" s="214" t="s">
        <v>136</v>
      </c>
      <c r="C274" s="214"/>
      <c r="D274" s="214"/>
      <c r="E274" s="214"/>
      <c r="F274" s="214"/>
    </row>
    <row r="275" spans="1:6" customFormat="1" ht="12.75" hidden="1" outlineLevel="2">
      <c r="A275" s="214"/>
      <c r="B275" s="214" t="s">
        <v>137</v>
      </c>
      <c r="C275" s="214"/>
      <c r="D275" s="214"/>
      <c r="E275" s="214"/>
      <c r="F275" s="214"/>
    </row>
    <row r="276" spans="1:6" customFormat="1" ht="12.75" hidden="1" outlineLevel="2">
      <c r="A276" s="214"/>
      <c r="B276" s="214"/>
      <c r="C276" s="214"/>
      <c r="D276" s="214"/>
      <c r="E276" s="214"/>
      <c r="F276" s="214"/>
    </row>
    <row r="277" spans="1:6" customFormat="1" ht="12.75" hidden="1" outlineLevel="2">
      <c r="A277" s="214"/>
      <c r="B277" s="214"/>
      <c r="C277" s="216" t="str">
        <f ca="1">IF(AND(C265=1,C279&lt;&gt;0),"",IF(C265&lt;&gt;0,OFFSET(B266,C265,0),""))</f>
        <v xml:space="preserve"> Пятьдесят</v>
      </c>
      <c r="D277" s="214"/>
      <c r="E277" s="214"/>
      <c r="F277" s="214"/>
    </row>
    <row r="278" spans="1:6" customFormat="1" ht="12.75" hidden="1" outlineLevel="2">
      <c r="A278" s="214"/>
      <c r="B278" s="214"/>
      <c r="C278" s="214"/>
      <c r="D278" s="214"/>
      <c r="E278" s="214"/>
      <c r="F278" s="214"/>
    </row>
    <row r="279" spans="1:6" customFormat="1" ht="12.75" hidden="1" outlineLevel="2">
      <c r="A279" s="214"/>
      <c r="B279" s="214" t="s">
        <v>158</v>
      </c>
      <c r="C279" s="214">
        <f>C250-C251*100-C265*10</f>
        <v>0</v>
      </c>
      <c r="D279" s="214"/>
      <c r="E279" s="214"/>
      <c r="F279" s="214"/>
    </row>
    <row r="280" spans="1:6" customFormat="1" ht="12.75" hidden="1" outlineLevel="2">
      <c r="A280" s="214"/>
      <c r="B280" s="214"/>
      <c r="C280" s="214"/>
      <c r="D280" s="214"/>
      <c r="E280" s="214"/>
      <c r="F280" s="214"/>
    </row>
    <row r="281" spans="1:6" customFormat="1" ht="12.75" hidden="1" outlineLevel="2">
      <c r="A281" s="214"/>
      <c r="B281" s="214" t="s">
        <v>170</v>
      </c>
      <c r="C281" s="214"/>
      <c r="D281" s="214"/>
      <c r="E281" s="214"/>
      <c r="F281" s="214"/>
    </row>
    <row r="282" spans="1:6" customFormat="1" ht="12.75" hidden="1" outlineLevel="2">
      <c r="A282" s="214"/>
      <c r="B282" s="214" t="s">
        <v>171</v>
      </c>
      <c r="C282" s="214"/>
      <c r="D282" s="214"/>
      <c r="E282" s="214"/>
      <c r="F282" s="214"/>
    </row>
    <row r="283" spans="1:6" customFormat="1" ht="12.75" hidden="1" outlineLevel="2">
      <c r="A283" s="214"/>
      <c r="B283" s="214" t="s">
        <v>141</v>
      </c>
      <c r="C283" s="214"/>
      <c r="D283" s="214"/>
      <c r="E283" s="214"/>
      <c r="F283" s="214"/>
    </row>
    <row r="284" spans="1:6" customFormat="1" ht="12.75" hidden="1" outlineLevel="2">
      <c r="A284" s="214"/>
      <c r="B284" s="214" t="s">
        <v>142</v>
      </c>
      <c r="C284" s="214"/>
      <c r="D284" s="214"/>
      <c r="E284" s="214"/>
      <c r="F284" s="214"/>
    </row>
    <row r="285" spans="1:6" customFormat="1" ht="12.75" hidden="1" outlineLevel="2">
      <c r="A285" s="214"/>
      <c r="B285" s="214" t="s">
        <v>143</v>
      </c>
      <c r="C285" s="214"/>
      <c r="D285" s="214"/>
      <c r="E285" s="214"/>
      <c r="F285" s="214"/>
    </row>
    <row r="286" spans="1:6" customFormat="1" ht="12.75" hidden="1" outlineLevel="2">
      <c r="A286" s="214"/>
      <c r="B286" s="214" t="s">
        <v>144</v>
      </c>
      <c r="C286" s="214"/>
      <c r="D286" s="214"/>
      <c r="E286" s="214"/>
      <c r="F286" s="214"/>
    </row>
    <row r="287" spans="1:6" customFormat="1" ht="12.75" hidden="1" outlineLevel="2">
      <c r="A287" s="214"/>
      <c r="B287" s="214" t="s">
        <v>145</v>
      </c>
      <c r="C287" s="214"/>
      <c r="D287" s="214"/>
      <c r="E287" s="214"/>
      <c r="F287" s="214"/>
    </row>
    <row r="288" spans="1:6" customFormat="1" ht="12.75" hidden="1" outlineLevel="2">
      <c r="A288" s="214"/>
      <c r="B288" s="214" t="s">
        <v>146</v>
      </c>
      <c r="C288" s="214"/>
      <c r="D288" s="214"/>
      <c r="E288" s="214"/>
      <c r="F288" s="214"/>
    </row>
    <row r="289" spans="1:6" customFormat="1" ht="12.75" hidden="1" outlineLevel="2">
      <c r="A289" s="214"/>
      <c r="B289" s="214" t="s">
        <v>147</v>
      </c>
      <c r="C289" s="214"/>
      <c r="D289" s="214"/>
      <c r="E289" s="214"/>
      <c r="F289" s="214"/>
    </row>
    <row r="290" spans="1:6" customFormat="1" ht="12.75" hidden="1" outlineLevel="2">
      <c r="A290" s="214"/>
      <c r="B290" s="214"/>
      <c r="C290" s="214"/>
      <c r="D290" s="214"/>
      <c r="E290" s="214"/>
      <c r="F290" s="214"/>
    </row>
    <row r="291" spans="1:6" customFormat="1" ht="12.75" hidden="1" outlineLevel="2">
      <c r="A291" s="214"/>
      <c r="B291" s="214"/>
      <c r="C291" s="216" t="str">
        <f ca="1">IF(C265&lt;&gt;1,IF(C279&lt;&gt;0,OFFSET(B280,C279,0),""),"")</f>
        <v/>
      </c>
      <c r="D291" s="214"/>
      <c r="E291" s="214"/>
      <c r="F291" s="214"/>
    </row>
    <row r="292" spans="1:6" customFormat="1" ht="12.75" hidden="1" outlineLevel="2">
      <c r="A292" s="214"/>
      <c r="B292" s="214"/>
      <c r="C292" s="214"/>
      <c r="D292" s="214"/>
      <c r="E292" s="214"/>
      <c r="F292" s="214"/>
    </row>
    <row r="293" spans="1:6" customFormat="1" ht="12.75" hidden="1" outlineLevel="2">
      <c r="A293" s="214"/>
      <c r="B293" s="214" t="s">
        <v>148</v>
      </c>
      <c r="C293" s="214"/>
      <c r="D293" s="214"/>
      <c r="E293" s="214"/>
      <c r="F293" s="214"/>
    </row>
    <row r="294" spans="1:6" customFormat="1" ht="12.75" hidden="1" outlineLevel="2">
      <c r="A294" s="214"/>
      <c r="B294" s="214"/>
      <c r="C294" s="214"/>
      <c r="D294" s="214"/>
      <c r="E294" s="214"/>
      <c r="F294" s="214"/>
    </row>
    <row r="295" spans="1:6" customFormat="1" ht="12.75" hidden="1" outlineLevel="2">
      <c r="A295" s="214"/>
      <c r="B295" s="214"/>
      <c r="C295" s="214">
        <f>+C279</f>
        <v>0</v>
      </c>
      <c r="D295" s="214"/>
      <c r="E295" s="214"/>
      <c r="F295" s="214"/>
    </row>
    <row r="296" spans="1:6" customFormat="1" ht="12.75" hidden="1" outlineLevel="2">
      <c r="A296" s="214"/>
      <c r="B296" s="214" t="s">
        <v>149</v>
      </c>
      <c r="C296" s="214"/>
      <c r="D296" s="214"/>
      <c r="E296" s="214"/>
      <c r="F296" s="214"/>
    </row>
    <row r="297" spans="1:6" customFormat="1" ht="12.75" hidden="1" outlineLevel="2">
      <c r="A297" s="214"/>
      <c r="B297" s="214" t="s">
        <v>150</v>
      </c>
      <c r="C297" s="214"/>
      <c r="D297" s="214"/>
      <c r="E297" s="214"/>
      <c r="F297" s="214"/>
    </row>
    <row r="298" spans="1:6" customFormat="1" ht="12.75" hidden="1" outlineLevel="2">
      <c r="A298" s="214"/>
      <c r="B298" s="214" t="s">
        <v>151</v>
      </c>
      <c r="C298" s="214"/>
      <c r="D298" s="214"/>
      <c r="E298" s="214"/>
      <c r="F298" s="214"/>
    </row>
    <row r="299" spans="1:6" customFormat="1" ht="12.75" hidden="1" outlineLevel="2">
      <c r="A299" s="214"/>
      <c r="B299" s="214" t="s">
        <v>152</v>
      </c>
      <c r="C299" s="214"/>
      <c r="D299" s="214"/>
      <c r="E299" s="214"/>
      <c r="F299" s="214"/>
    </row>
    <row r="300" spans="1:6" customFormat="1" ht="12.75" hidden="1" outlineLevel="2">
      <c r="A300" s="214"/>
      <c r="B300" s="214" t="s">
        <v>153</v>
      </c>
      <c r="C300" s="214"/>
      <c r="D300" s="214"/>
      <c r="E300" s="214"/>
      <c r="F300" s="214"/>
    </row>
    <row r="301" spans="1:6" customFormat="1" ht="12.75" hidden="1" outlineLevel="2">
      <c r="A301" s="214"/>
      <c r="B301" s="214" t="s">
        <v>154</v>
      </c>
      <c r="C301" s="214"/>
      <c r="D301" s="214"/>
      <c r="E301" s="214"/>
      <c r="F301" s="214"/>
    </row>
    <row r="302" spans="1:6" customFormat="1" ht="12.75" hidden="1" outlineLevel="2">
      <c r="A302" s="214"/>
      <c r="B302" s="214" t="s">
        <v>155</v>
      </c>
      <c r="C302" s="214"/>
      <c r="D302" s="214"/>
      <c r="E302" s="214"/>
      <c r="F302" s="214"/>
    </row>
    <row r="303" spans="1:6" customFormat="1" ht="12.75" hidden="1" outlineLevel="2">
      <c r="A303" s="214"/>
      <c r="B303" s="214" t="s">
        <v>156</v>
      </c>
      <c r="C303" s="214"/>
      <c r="D303" s="214"/>
      <c r="E303" s="214"/>
      <c r="F303" s="214"/>
    </row>
    <row r="304" spans="1:6" customFormat="1" ht="12.75" hidden="1" outlineLevel="2">
      <c r="A304" s="214"/>
      <c r="B304" s="214" t="s">
        <v>157</v>
      </c>
      <c r="C304" s="214"/>
      <c r="D304" s="214"/>
      <c r="E304" s="214"/>
      <c r="F304" s="214"/>
    </row>
    <row r="305" spans="1:6" customFormat="1" ht="12.75" hidden="1" outlineLevel="2">
      <c r="A305" s="214"/>
      <c r="B305" s="214"/>
      <c r="C305" s="214"/>
      <c r="D305" s="214"/>
      <c r="E305" s="214"/>
      <c r="F305" s="214"/>
    </row>
    <row r="306" spans="1:6" customFormat="1" ht="12.75" hidden="1" outlineLevel="2">
      <c r="A306" s="214"/>
      <c r="B306" s="214"/>
      <c r="C306" s="216" t="str">
        <f ca="1">IF(AND(C265=1,C279&lt;&gt;0),IF(C265&lt;&gt;0,OFFSET(B295,C295,0),""),"")</f>
        <v/>
      </c>
      <c r="D306" s="214"/>
      <c r="E306" s="214"/>
      <c r="F306" s="214"/>
    </row>
    <row r="307" spans="1:6" customFormat="1" ht="12.75" hidden="1" outlineLevel="2">
      <c r="A307" s="214"/>
      <c r="B307" s="214"/>
      <c r="C307" s="214"/>
      <c r="D307" s="214"/>
      <c r="E307" s="214"/>
      <c r="F307" s="214"/>
    </row>
    <row r="308" spans="1:6" customFormat="1" ht="12.75" hidden="1" outlineLevel="2">
      <c r="A308" s="214"/>
      <c r="B308" s="214"/>
      <c r="C308" s="216" t="str">
        <f>IF(C265&lt;&gt;1,IF(OR(C279=2,C279=3,C279=4)," тысячи",""),"")</f>
        <v/>
      </c>
      <c r="D308" s="214"/>
      <c r="E308" s="214"/>
      <c r="F308" s="214"/>
    </row>
    <row r="309" spans="1:6" customFormat="1" ht="12.75" hidden="1" outlineLevel="2">
      <c r="A309" s="214"/>
      <c r="B309" s="214"/>
      <c r="C309" s="216" t="str">
        <f>IF(C265&lt;&gt;1,IF(OR(C279=1)," тысяча",""),"")</f>
        <v/>
      </c>
      <c r="D309" s="214"/>
      <c r="E309" s="214"/>
      <c r="F309" s="214"/>
    </row>
    <row r="310" spans="1:6" customFormat="1" ht="12.75" hidden="1" outlineLevel="2">
      <c r="A310" s="214"/>
      <c r="B310" s="214"/>
      <c r="C310" s="216" t="str">
        <f>IF(C250&lt;&gt;0,IF(AND(C308="",C309="")," тысяч",""),"")</f>
        <v xml:space="preserve"> тысяч</v>
      </c>
      <c r="D310" s="214"/>
      <c r="E310" s="214"/>
      <c r="F310" s="214"/>
    </row>
    <row r="311" spans="1:6" customFormat="1" ht="12.75" hidden="1" outlineLevel="2">
      <c r="A311" s="214"/>
      <c r="B311" s="214"/>
      <c r="C311" s="217" t="str">
        <f ca="1">(CONCATENATE(C263,C277,C291,C306,C308,C309,C310))</f>
        <v xml:space="preserve"> Триста Пятьдесят тысяч</v>
      </c>
      <c r="D311" s="214"/>
      <c r="E311" s="214"/>
      <c r="F311" s="214"/>
    </row>
    <row r="312" spans="1:6" customFormat="1" ht="12.75" hidden="1" outlineLevel="2">
      <c r="A312" s="214"/>
      <c r="B312" s="214"/>
      <c r="C312" s="214"/>
      <c r="D312" s="214"/>
      <c r="E312" s="214"/>
      <c r="F312" s="214"/>
    </row>
    <row r="313" spans="1:6" customFormat="1" ht="12.75" hidden="1" outlineLevel="2">
      <c r="A313" s="214"/>
      <c r="B313" s="214" t="s">
        <v>172</v>
      </c>
      <c r="C313" s="214">
        <f>ROUNDDOWN(C185-C186*1000000-C250*1000,0)</f>
        <v>85</v>
      </c>
      <c r="D313" s="214"/>
      <c r="E313" s="214"/>
      <c r="F313" s="214"/>
    </row>
    <row r="314" spans="1:6" customFormat="1" ht="12.75" hidden="1" outlineLevel="2">
      <c r="A314" s="214"/>
      <c r="B314" s="214" t="s">
        <v>159</v>
      </c>
      <c r="C314" s="214">
        <f>ROUNDDOWN(C313/100,0)</f>
        <v>0</v>
      </c>
      <c r="D314" s="214"/>
      <c r="E314" s="214"/>
      <c r="F314" s="214"/>
    </row>
    <row r="315" spans="1:6" customFormat="1" ht="12.75" hidden="1" outlineLevel="2">
      <c r="A315" s="214"/>
      <c r="B315" s="214"/>
      <c r="C315" s="214"/>
      <c r="D315" s="214"/>
      <c r="E315" s="214"/>
      <c r="F315" s="214"/>
    </row>
    <row r="316" spans="1:6" customFormat="1" ht="12.75" hidden="1" outlineLevel="2">
      <c r="A316" s="214"/>
      <c r="B316" s="214" t="s">
        <v>160</v>
      </c>
      <c r="C316" s="214"/>
      <c r="D316" s="214"/>
      <c r="E316" s="214"/>
      <c r="F316" s="214"/>
    </row>
    <row r="317" spans="1:6" customFormat="1" ht="12.75" hidden="1" outlineLevel="2">
      <c r="A317" s="214"/>
      <c r="B317" s="214" t="s">
        <v>161</v>
      </c>
      <c r="C317" s="214"/>
      <c r="D317" s="214"/>
      <c r="E317" s="214"/>
      <c r="F317" s="214"/>
    </row>
    <row r="318" spans="1:6" customFormat="1" ht="12.75" hidden="1" outlineLevel="2">
      <c r="A318" s="214"/>
      <c r="B318" s="214" t="s">
        <v>162</v>
      </c>
      <c r="C318" s="214"/>
      <c r="D318" s="214"/>
      <c r="E318" s="214"/>
      <c r="F318" s="214"/>
    </row>
    <row r="319" spans="1:6" customFormat="1" ht="12.75" hidden="1" outlineLevel="2">
      <c r="A319" s="214"/>
      <c r="B319" s="214" t="s">
        <v>163</v>
      </c>
      <c r="C319" s="214"/>
      <c r="D319" s="214"/>
      <c r="E319" s="214"/>
      <c r="F319" s="214"/>
    </row>
    <row r="320" spans="1:6" customFormat="1" ht="12.75" hidden="1" outlineLevel="2">
      <c r="A320" s="214"/>
      <c r="B320" s="214" t="s">
        <v>164</v>
      </c>
      <c r="C320" s="214"/>
      <c r="D320" s="214"/>
      <c r="E320" s="214"/>
      <c r="F320" s="214"/>
    </row>
    <row r="321" spans="1:6" customFormat="1" ht="12.75" hidden="1" outlineLevel="2">
      <c r="A321" s="214"/>
      <c r="B321" s="214" t="s">
        <v>165</v>
      </c>
      <c r="C321" s="214"/>
      <c r="D321" s="214"/>
      <c r="E321" s="214"/>
      <c r="F321" s="214"/>
    </row>
    <row r="322" spans="1:6" customFormat="1" ht="12.75" hidden="1" outlineLevel="2">
      <c r="A322" s="214"/>
      <c r="B322" s="214" t="s">
        <v>166</v>
      </c>
      <c r="C322" s="214"/>
      <c r="D322" s="214"/>
      <c r="E322" s="214"/>
      <c r="F322" s="214"/>
    </row>
    <row r="323" spans="1:6" customFormat="1" ht="12.75" hidden="1" outlineLevel="2">
      <c r="A323" s="214"/>
      <c r="B323" s="214" t="s">
        <v>167</v>
      </c>
      <c r="C323" s="214"/>
      <c r="D323" s="214"/>
      <c r="E323" s="214"/>
      <c r="F323" s="214"/>
    </row>
    <row r="324" spans="1:6" customFormat="1" ht="12.75" hidden="1" outlineLevel="2">
      <c r="A324" s="214"/>
      <c r="B324" s="214" t="s">
        <v>168</v>
      </c>
      <c r="C324" s="214"/>
      <c r="D324" s="214"/>
      <c r="E324" s="214"/>
      <c r="F324" s="214"/>
    </row>
    <row r="325" spans="1:6" customFormat="1" ht="12.75" hidden="1" outlineLevel="2">
      <c r="A325" s="214"/>
      <c r="B325" s="214"/>
      <c r="C325" s="214"/>
      <c r="D325" s="214"/>
      <c r="E325" s="214"/>
      <c r="F325" s="214"/>
    </row>
    <row r="326" spans="1:6" customFormat="1" ht="12.75" hidden="1" outlineLevel="2">
      <c r="A326" s="214"/>
      <c r="B326" s="214"/>
      <c r="C326" s="216" t="str">
        <f ca="1">IF(C314&lt;&gt;0,OFFSET(B315,C314,0),"")</f>
        <v/>
      </c>
      <c r="D326" s="214"/>
      <c r="E326" s="214"/>
      <c r="F326" s="214"/>
    </row>
    <row r="327" spans="1:6" customFormat="1" ht="12.75" hidden="1" outlineLevel="2">
      <c r="A327" s="214"/>
      <c r="B327" s="214"/>
      <c r="C327" s="214"/>
      <c r="D327" s="214"/>
      <c r="E327" s="214"/>
      <c r="F327" s="214"/>
    </row>
    <row r="328" spans="1:6" customFormat="1" ht="12.75" hidden="1" outlineLevel="2">
      <c r="A328" s="214"/>
      <c r="B328" s="214" t="s">
        <v>169</v>
      </c>
      <c r="C328" s="214">
        <f>ROUNDDOWN((C313-C314*100)/10,0)</f>
        <v>8</v>
      </c>
      <c r="D328" s="214"/>
      <c r="E328" s="214"/>
      <c r="F328" s="214"/>
    </row>
    <row r="329" spans="1:6" customFormat="1" ht="12.75" hidden="1" outlineLevel="2">
      <c r="A329" s="214"/>
      <c r="B329" s="214"/>
      <c r="C329" s="214"/>
      <c r="D329" s="214"/>
      <c r="E329" s="214"/>
      <c r="F329" s="214"/>
    </row>
    <row r="330" spans="1:6" customFormat="1" ht="12.75" hidden="1" outlineLevel="2">
      <c r="A330" s="214"/>
      <c r="B330" s="214" t="s">
        <v>129</v>
      </c>
      <c r="C330" s="214"/>
      <c r="D330" s="214"/>
      <c r="E330" s="214"/>
      <c r="F330" s="214"/>
    </row>
    <row r="331" spans="1:6" customFormat="1" ht="12.75" hidden="1" outlineLevel="2">
      <c r="A331" s="214"/>
      <c r="B331" s="214" t="s">
        <v>130</v>
      </c>
      <c r="C331" s="214"/>
      <c r="D331" s="214"/>
      <c r="E331" s="214"/>
      <c r="F331" s="214"/>
    </row>
    <row r="332" spans="1:6" customFormat="1" ht="12.75" hidden="1" outlineLevel="2">
      <c r="A332" s="214"/>
      <c r="B332" s="214" t="s">
        <v>131</v>
      </c>
      <c r="C332" s="214"/>
      <c r="D332" s="214"/>
      <c r="E332" s="214"/>
      <c r="F332" s="214"/>
    </row>
    <row r="333" spans="1:6" customFormat="1" ht="12.75" hidden="1" outlineLevel="2">
      <c r="A333" s="214"/>
      <c r="B333" s="214" t="s">
        <v>132</v>
      </c>
      <c r="C333" s="214"/>
      <c r="D333" s="214"/>
      <c r="E333" s="214"/>
      <c r="F333" s="214"/>
    </row>
    <row r="334" spans="1:6" customFormat="1" ht="12.75" hidden="1" outlineLevel="2">
      <c r="A334" s="214"/>
      <c r="B334" s="214" t="s">
        <v>133</v>
      </c>
      <c r="C334" s="214"/>
      <c r="D334" s="214"/>
      <c r="E334" s="214"/>
      <c r="F334" s="214"/>
    </row>
    <row r="335" spans="1:6" customFormat="1" ht="12.75" hidden="1" outlineLevel="2">
      <c r="A335" s="214"/>
      <c r="B335" s="214" t="s">
        <v>134</v>
      </c>
      <c r="C335" s="214"/>
      <c r="D335" s="214"/>
      <c r="E335" s="214"/>
      <c r="F335" s="214"/>
    </row>
    <row r="336" spans="1:6" customFormat="1" ht="12.75" hidden="1" outlineLevel="2">
      <c r="A336" s="214"/>
      <c r="B336" s="214" t="s">
        <v>135</v>
      </c>
      <c r="C336" s="214"/>
      <c r="D336" s="214"/>
      <c r="E336" s="214"/>
      <c r="F336" s="214"/>
    </row>
    <row r="337" spans="1:6" customFormat="1" ht="12.75" hidden="1" outlineLevel="2">
      <c r="A337" s="214"/>
      <c r="B337" s="214" t="s">
        <v>136</v>
      </c>
      <c r="C337" s="214"/>
      <c r="D337" s="214"/>
      <c r="E337" s="214"/>
      <c r="F337" s="214"/>
    </row>
    <row r="338" spans="1:6" customFormat="1" ht="12.75" hidden="1" outlineLevel="2">
      <c r="A338" s="214"/>
      <c r="B338" s="214" t="s">
        <v>137</v>
      </c>
      <c r="C338" s="214"/>
      <c r="D338" s="214"/>
      <c r="E338" s="214"/>
      <c r="F338" s="214"/>
    </row>
    <row r="339" spans="1:6" customFormat="1" ht="12.75" hidden="1" outlineLevel="2">
      <c r="A339" s="214"/>
      <c r="B339" s="214"/>
      <c r="C339" s="214"/>
      <c r="D339" s="214"/>
      <c r="E339" s="214"/>
      <c r="F339" s="214"/>
    </row>
    <row r="340" spans="1:6" customFormat="1" ht="12.75" hidden="1" outlineLevel="2">
      <c r="A340" s="214"/>
      <c r="B340" s="214"/>
      <c r="C340" s="216" t="str">
        <f ca="1">IF(AND(C328=1,C342&lt;&gt;0),"",IF(C328&lt;&gt;0,OFFSET(B329,C328,0),""))</f>
        <v xml:space="preserve"> Восемьдесят</v>
      </c>
      <c r="D340" s="214"/>
      <c r="E340" s="214"/>
      <c r="F340" s="214"/>
    </row>
    <row r="341" spans="1:6" customFormat="1" ht="12.75" hidden="1" outlineLevel="2">
      <c r="A341" s="214"/>
      <c r="B341" s="214"/>
      <c r="C341" s="214"/>
      <c r="D341" s="214"/>
      <c r="E341" s="214"/>
      <c r="F341" s="214"/>
    </row>
    <row r="342" spans="1:6" customFormat="1" ht="12.75" hidden="1" outlineLevel="2">
      <c r="A342" s="214"/>
      <c r="B342" s="214" t="s">
        <v>158</v>
      </c>
      <c r="C342" s="214">
        <f>C313-C314*100-C328*10</f>
        <v>5</v>
      </c>
      <c r="D342" s="214"/>
      <c r="E342" s="214"/>
      <c r="F342" s="214"/>
    </row>
    <row r="343" spans="1:6" customFormat="1" ht="12.75" hidden="1" outlineLevel="2">
      <c r="A343" s="214"/>
      <c r="B343" s="214"/>
      <c r="C343" s="214"/>
      <c r="D343" s="214"/>
      <c r="E343" s="214"/>
      <c r="F343" s="214"/>
    </row>
    <row r="344" spans="1:6" customFormat="1" ht="12.75" hidden="1" outlineLevel="2">
      <c r="A344" s="214"/>
      <c r="B344" s="214" t="s">
        <v>139</v>
      </c>
      <c r="C344" s="214"/>
      <c r="D344" s="214"/>
      <c r="E344" s="214"/>
      <c r="F344" s="214"/>
    </row>
    <row r="345" spans="1:6" customFormat="1" ht="12.75" hidden="1" outlineLevel="2">
      <c r="A345" s="214"/>
      <c r="B345" s="214" t="s">
        <v>140</v>
      </c>
      <c r="C345" s="214"/>
      <c r="D345" s="214"/>
      <c r="E345" s="214"/>
      <c r="F345" s="214"/>
    </row>
    <row r="346" spans="1:6" customFormat="1" ht="12.75" hidden="1" outlineLevel="2">
      <c r="A346" s="214"/>
      <c r="B346" s="214" t="s">
        <v>141</v>
      </c>
      <c r="C346" s="214"/>
      <c r="D346" s="214"/>
      <c r="E346" s="214"/>
      <c r="F346" s="214"/>
    </row>
    <row r="347" spans="1:6" customFormat="1" ht="12.75" hidden="1" outlineLevel="2">
      <c r="A347" s="214"/>
      <c r="B347" s="214" t="s">
        <v>142</v>
      </c>
      <c r="C347" s="214"/>
      <c r="D347" s="214"/>
      <c r="E347" s="214"/>
      <c r="F347" s="214"/>
    </row>
    <row r="348" spans="1:6" customFormat="1" ht="12.75" hidden="1" outlineLevel="2">
      <c r="A348" s="214"/>
      <c r="B348" s="214" t="s">
        <v>143</v>
      </c>
      <c r="C348" s="214"/>
      <c r="D348" s="214"/>
      <c r="E348" s="214"/>
      <c r="F348" s="214"/>
    </row>
    <row r="349" spans="1:6" customFormat="1" ht="12.75" hidden="1" outlineLevel="2">
      <c r="A349" s="214"/>
      <c r="B349" s="214" t="s">
        <v>144</v>
      </c>
      <c r="C349" s="214"/>
      <c r="D349" s="214"/>
      <c r="E349" s="214"/>
      <c r="F349" s="214"/>
    </row>
    <row r="350" spans="1:6" customFormat="1" ht="12.75" hidden="1" outlineLevel="2">
      <c r="A350" s="214"/>
      <c r="B350" s="214" t="s">
        <v>145</v>
      </c>
      <c r="C350" s="214"/>
      <c r="D350" s="214"/>
      <c r="E350" s="214"/>
      <c r="F350" s="214"/>
    </row>
    <row r="351" spans="1:6" customFormat="1" ht="12.75" hidden="1" outlineLevel="2">
      <c r="A351" s="214"/>
      <c r="B351" s="214" t="s">
        <v>146</v>
      </c>
      <c r="C351" s="214"/>
      <c r="D351" s="214"/>
      <c r="E351" s="214"/>
      <c r="F351" s="214"/>
    </row>
    <row r="352" spans="1:6" customFormat="1" ht="12.75" hidden="1" outlineLevel="2">
      <c r="A352" s="214"/>
      <c r="B352" s="214" t="s">
        <v>147</v>
      </c>
      <c r="C352" s="214"/>
      <c r="D352" s="214"/>
      <c r="E352" s="214"/>
      <c r="F352" s="214"/>
    </row>
    <row r="353" spans="1:6" customFormat="1" ht="12.75" hidden="1" outlineLevel="2">
      <c r="A353" s="214"/>
      <c r="B353" s="214"/>
      <c r="C353" s="214"/>
      <c r="D353" s="214"/>
      <c r="E353" s="214"/>
      <c r="F353" s="214"/>
    </row>
    <row r="354" spans="1:6" customFormat="1" ht="12.75" hidden="1" outlineLevel="2">
      <c r="A354" s="214"/>
      <c r="B354" s="214"/>
      <c r="C354" s="216" t="str">
        <f ca="1">IF(C328&lt;&gt;1,IF(C342&lt;&gt;0,OFFSET(B343,C342,0),""),"")</f>
        <v xml:space="preserve"> Пять</v>
      </c>
      <c r="D354" s="214"/>
      <c r="E354" s="214"/>
      <c r="F354" s="214"/>
    </row>
    <row r="355" spans="1:6" customFormat="1" ht="12.75" hidden="1" outlineLevel="2">
      <c r="A355" s="214"/>
      <c r="B355" s="214"/>
      <c r="C355" s="214"/>
      <c r="D355" s="214"/>
      <c r="E355" s="214"/>
      <c r="F355" s="214"/>
    </row>
    <row r="356" spans="1:6" customFormat="1" ht="12.75" hidden="1" outlineLevel="2">
      <c r="A356" s="214"/>
      <c r="B356" s="214" t="s">
        <v>148</v>
      </c>
      <c r="C356" s="214"/>
      <c r="D356" s="214"/>
      <c r="E356" s="214"/>
      <c r="F356" s="214"/>
    </row>
    <row r="357" spans="1:6" customFormat="1" ht="12.75" hidden="1" outlineLevel="2">
      <c r="A357" s="214"/>
      <c r="B357" s="214"/>
      <c r="C357" s="214"/>
      <c r="D357" s="214"/>
      <c r="E357" s="214"/>
      <c r="F357" s="214"/>
    </row>
    <row r="358" spans="1:6" customFormat="1" ht="12.75" hidden="1" outlineLevel="2">
      <c r="A358" s="214"/>
      <c r="B358" s="214"/>
      <c r="C358" s="214">
        <f>+C342</f>
        <v>5</v>
      </c>
      <c r="D358" s="214"/>
      <c r="E358" s="214"/>
      <c r="F358" s="214"/>
    </row>
    <row r="359" spans="1:6" customFormat="1" ht="12.75" hidden="1" outlineLevel="2">
      <c r="A359" s="214"/>
      <c r="B359" s="214" t="s">
        <v>149</v>
      </c>
      <c r="C359" s="214"/>
      <c r="D359" s="214"/>
      <c r="E359" s="214"/>
      <c r="F359" s="214"/>
    </row>
    <row r="360" spans="1:6" customFormat="1" ht="12.75" hidden="1" outlineLevel="2">
      <c r="A360" s="214"/>
      <c r="B360" s="214" t="s">
        <v>150</v>
      </c>
      <c r="C360" s="214"/>
      <c r="D360" s="214"/>
      <c r="E360" s="214"/>
      <c r="F360" s="214"/>
    </row>
    <row r="361" spans="1:6" customFormat="1" ht="12.75" hidden="1" outlineLevel="2">
      <c r="A361" s="214"/>
      <c r="B361" s="214" t="s">
        <v>151</v>
      </c>
      <c r="C361" s="214"/>
      <c r="D361" s="214"/>
      <c r="E361" s="214"/>
      <c r="F361" s="214"/>
    </row>
    <row r="362" spans="1:6" customFormat="1" ht="12.75" hidden="1" outlineLevel="2">
      <c r="A362" s="214"/>
      <c r="B362" s="214" t="s">
        <v>152</v>
      </c>
      <c r="C362" s="214"/>
      <c r="D362" s="214"/>
      <c r="E362" s="214"/>
      <c r="F362" s="214"/>
    </row>
    <row r="363" spans="1:6" customFormat="1" ht="12.75" hidden="1" outlineLevel="2">
      <c r="A363" s="214"/>
      <c r="B363" s="214" t="s">
        <v>153</v>
      </c>
      <c r="C363" s="214"/>
      <c r="D363" s="214"/>
      <c r="E363" s="214"/>
      <c r="F363" s="214"/>
    </row>
    <row r="364" spans="1:6" customFormat="1" ht="12.75" hidden="1" outlineLevel="2">
      <c r="A364" s="214"/>
      <c r="B364" s="214" t="s">
        <v>154</v>
      </c>
      <c r="C364" s="214"/>
      <c r="D364" s="214"/>
      <c r="E364" s="214"/>
      <c r="F364" s="214"/>
    </row>
    <row r="365" spans="1:6" customFormat="1" ht="12.75" hidden="1" outlineLevel="2">
      <c r="A365" s="214"/>
      <c r="B365" s="214" t="s">
        <v>155</v>
      </c>
      <c r="C365" s="214"/>
      <c r="D365" s="214"/>
      <c r="E365" s="214"/>
      <c r="F365" s="214"/>
    </row>
    <row r="366" spans="1:6" customFormat="1" ht="12.75" hidden="1" outlineLevel="2">
      <c r="A366" s="214"/>
      <c r="B366" s="214" t="s">
        <v>156</v>
      </c>
      <c r="C366" s="214"/>
      <c r="D366" s="214"/>
      <c r="E366" s="214"/>
      <c r="F366" s="214"/>
    </row>
    <row r="367" spans="1:6" customFormat="1" ht="12.75" hidden="1" outlineLevel="2">
      <c r="A367" s="214"/>
      <c r="B367" s="214" t="s">
        <v>157</v>
      </c>
      <c r="C367" s="214"/>
      <c r="D367" s="214"/>
      <c r="E367" s="214"/>
      <c r="F367" s="214"/>
    </row>
    <row r="368" spans="1:6" customFormat="1" ht="12.75" hidden="1" outlineLevel="2">
      <c r="A368" s="214"/>
      <c r="B368" s="214"/>
      <c r="C368" s="214"/>
      <c r="D368" s="214"/>
      <c r="E368" s="214"/>
      <c r="F368" s="214"/>
    </row>
    <row r="369" spans="1:6" customFormat="1" ht="12.75" hidden="1" outlineLevel="2">
      <c r="A369" s="214"/>
      <c r="B369" s="214"/>
      <c r="C369" s="216" t="str">
        <f ca="1">IF(AND(C328=1,C342&lt;&gt;0),IF(C328&lt;&gt;0,OFFSET(B358,C358,0),""),"")</f>
        <v/>
      </c>
      <c r="D369" s="214"/>
      <c r="E369" s="214"/>
      <c r="F369" s="214"/>
    </row>
    <row r="370" spans="1:6" customFormat="1" ht="12.75" hidden="1" outlineLevel="2">
      <c r="A370" s="214"/>
      <c r="B370" s="214"/>
      <c r="C370" s="214"/>
      <c r="D370" s="214"/>
      <c r="E370" s="214"/>
      <c r="F370" s="214"/>
    </row>
    <row r="371" spans="1:6" customFormat="1" ht="12.75" hidden="1" outlineLevel="2">
      <c r="A371" s="214"/>
      <c r="B371" s="214"/>
      <c r="C371" s="216" t="str">
        <f>IF(C328&lt;&gt;1,IF(OR(C342=2,C342=3,C342=4)," рубля",""),"")</f>
        <v/>
      </c>
      <c r="D371" s="214"/>
      <c r="E371" s="214"/>
      <c r="F371" s="214"/>
    </row>
    <row r="372" spans="1:6" customFormat="1" ht="12.75" hidden="1" outlineLevel="2">
      <c r="A372" s="214"/>
      <c r="B372" s="214"/>
      <c r="C372" s="216" t="str">
        <f>IF(C328&lt;&gt;1,IF(OR(C342=1)," рубль",""),"")</f>
        <v/>
      </c>
      <c r="D372" s="214"/>
      <c r="E372" s="214"/>
      <c r="F372" s="214"/>
    </row>
    <row r="373" spans="1:6" customFormat="1" ht="12.75" hidden="1" outlineLevel="2">
      <c r="A373" s="214"/>
      <c r="B373" s="214"/>
      <c r="C373" s="216" t="str">
        <f>IF(AND(C371="",C372="")," рублей","")</f>
        <v xml:space="preserve"> рублей</v>
      </c>
      <c r="D373" s="214"/>
      <c r="E373" s="214"/>
      <c r="F373" s="214"/>
    </row>
    <row r="374" spans="1:6" customFormat="1" ht="12.75" hidden="1" outlineLevel="2">
      <c r="A374" s="214"/>
      <c r="B374" s="214"/>
      <c r="C374" s="217" t="str">
        <f ca="1">(CONCATENATE(C326,C340,C354,C369,C371,C372,C373))</f>
        <v xml:space="preserve"> Восемьдесят Пять рублей</v>
      </c>
      <c r="D374" s="214"/>
      <c r="E374" s="214"/>
      <c r="F374" s="214"/>
    </row>
    <row r="375" spans="1:6" customFormat="1" ht="12.75" hidden="1" outlineLevel="2">
      <c r="A375" s="214"/>
      <c r="B375" s="214"/>
      <c r="C375" s="214"/>
      <c r="D375" s="214"/>
      <c r="E375" s="214"/>
      <c r="F375" s="214"/>
    </row>
    <row r="376" spans="1:6" customFormat="1" ht="12.75" hidden="1" outlineLevel="2">
      <c r="A376" s="214"/>
      <c r="B376" s="214"/>
      <c r="C376" s="214" t="str">
        <f ca="1">TRIM(CONCATENATE(C248,C311,C374))</f>
        <v>Триста Пятьдесят тысяч Восемьдесят Пять рублей</v>
      </c>
      <c r="D376" s="214"/>
      <c r="E376" s="214"/>
      <c r="F376" s="214"/>
    </row>
    <row r="377" spans="1:6" customFormat="1" ht="12.75" hidden="1" outlineLevel="2">
      <c r="A377" s="214"/>
      <c r="B377" s="214"/>
      <c r="C377" s="217" t="str">
        <f ca="1">LEFT(C376,1)</f>
        <v>Т</v>
      </c>
      <c r="D377" s="214"/>
      <c r="E377" s="214"/>
      <c r="F377" s="214"/>
    </row>
    <row r="378" spans="1:6" customFormat="1" ht="12.75" hidden="1" outlineLevel="2">
      <c r="A378" s="214"/>
      <c r="B378" s="214"/>
      <c r="C378" s="217" t="str">
        <f ca="1">LOWER(C376)</f>
        <v>триста пятьдесят тысяч восемьдесят пять рублей</v>
      </c>
      <c r="D378" s="214"/>
      <c r="E378" s="214"/>
      <c r="F378" s="214"/>
    </row>
    <row r="379" spans="1:6" customFormat="1" ht="12.75" hidden="1" outlineLevel="2">
      <c r="A379" s="214"/>
      <c r="B379" s="214"/>
      <c r="C379" s="217" t="str">
        <f ca="1">REPLACE(C378,1,1,"")</f>
        <v>риста пятьдесят тысяч восемьдесят пять рублей</v>
      </c>
      <c r="D379" s="214"/>
      <c r="E379" s="214"/>
      <c r="F379" s="214"/>
    </row>
    <row r="380" spans="1:6" customFormat="1" ht="12.75" hidden="1" outlineLevel="2">
      <c r="A380" s="214"/>
      <c r="B380" s="214"/>
      <c r="C380" s="217" t="str">
        <f ca="1">CONCATENATE(C377,C379)</f>
        <v>Триста пятьдесят тысяч восемьдесят пять рублей</v>
      </c>
      <c r="D380" s="214"/>
      <c r="E380" s="214"/>
      <c r="F380" s="214"/>
    </row>
    <row r="381" spans="1:6" customFormat="1" ht="12.75" hidden="1" outlineLevel="2">
      <c r="A381" s="214"/>
      <c r="B381" s="214"/>
      <c r="C381" s="214"/>
      <c r="D381" s="214"/>
      <c r="E381" s="214"/>
      <c r="F381" s="214"/>
    </row>
    <row r="382" spans="1:6" customFormat="1" ht="12.75" hidden="1" outlineLevel="2">
      <c r="A382" s="214"/>
      <c r="B382" s="214" t="s">
        <v>173</v>
      </c>
      <c r="C382" s="214">
        <f>ROUND(C185-C186*1000000-C250*1000-C313,2)*100</f>
        <v>64</v>
      </c>
      <c r="D382" s="214"/>
      <c r="E382" s="214"/>
      <c r="F382" s="214"/>
    </row>
    <row r="383" spans="1:6" customFormat="1" ht="12.75" hidden="1" outlineLevel="2">
      <c r="A383" s="214"/>
      <c r="B383" s="214" t="s">
        <v>174</v>
      </c>
      <c r="C383" s="214">
        <f>ROUNDDOWN(C382/10,0)</f>
        <v>6</v>
      </c>
      <c r="D383" s="214"/>
      <c r="E383" s="214"/>
      <c r="F383" s="214"/>
    </row>
    <row r="384" spans="1:6" customFormat="1" ht="12.75" hidden="1" outlineLevel="2">
      <c r="A384" s="214"/>
      <c r="B384" s="214" t="s">
        <v>175</v>
      </c>
      <c r="C384" s="214">
        <f>+C382-C383*10</f>
        <v>4</v>
      </c>
      <c r="D384" s="214"/>
      <c r="E384" s="214"/>
      <c r="F384" s="214"/>
    </row>
    <row r="385" spans="1:18" customFormat="1" ht="12.75" hidden="1" outlineLevel="2">
      <c r="A385" s="214"/>
      <c r="B385" s="214"/>
      <c r="C385" s="214">
        <f>IF(C382&lt;10,CONCATENATE("0",C382),C382)</f>
        <v>64</v>
      </c>
      <c r="D385" s="214"/>
      <c r="E385" s="214"/>
      <c r="F385" s="214"/>
    </row>
    <row r="386" spans="1:18" customFormat="1" ht="12.75" hidden="1" outlineLevel="2">
      <c r="A386" s="214"/>
      <c r="B386" s="214"/>
      <c r="C386" s="214"/>
      <c r="D386" s="214"/>
      <c r="E386" s="214"/>
      <c r="F386" s="214"/>
    </row>
    <row r="387" spans="1:18" customFormat="1" ht="12.75" hidden="1" outlineLevel="2">
      <c r="A387" s="214"/>
      <c r="B387" s="214"/>
      <c r="C387" s="216" t="str">
        <f>IF(AND(C384=1,C383&lt;&gt;1)," копейка","")</f>
        <v/>
      </c>
      <c r="D387" s="214"/>
      <c r="E387" s="214"/>
      <c r="F387" s="214"/>
    </row>
    <row r="388" spans="1:18" customFormat="1" ht="12.75" hidden="1" outlineLevel="2">
      <c r="A388" s="214"/>
      <c r="B388" s="214"/>
      <c r="C388" s="216" t="str">
        <f>IF(C383&lt;&gt;1,IF(OR(C384=2,C384=3,C384=4)," копейки",""),"")</f>
        <v xml:space="preserve"> копейки</v>
      </c>
      <c r="D388" s="214"/>
      <c r="E388" s="214"/>
      <c r="F388" s="214"/>
    </row>
    <row r="389" spans="1:18" customFormat="1" ht="12.75" hidden="1" outlineLevel="2">
      <c r="A389" s="214"/>
      <c r="B389" s="214"/>
      <c r="C389" s="216" t="str">
        <f>IF(AND(C387="",C388="")," копеек","")</f>
        <v/>
      </c>
      <c r="D389" s="214"/>
      <c r="E389" s="214"/>
      <c r="F389" s="214"/>
    </row>
    <row r="390" spans="1:18" customFormat="1" ht="12.75" hidden="1" outlineLevel="2">
      <c r="A390" s="214"/>
      <c r="B390" s="214"/>
      <c r="C390" s="214"/>
      <c r="D390" s="214"/>
      <c r="E390" s="214"/>
      <c r="F390" s="214"/>
    </row>
    <row r="391" spans="1:18" customFormat="1" ht="12" customHeight="1" outlineLevel="1" collapsed="1">
      <c r="A391" s="214"/>
      <c r="B391" s="214" t="s">
        <v>176</v>
      </c>
      <c r="C391" s="216" t="str">
        <f ca="1">CONCATENATE(C380," ",C385,C387,C388,C389)</f>
        <v>Триста пятьдесят тысяч восемьдесят пять рублей 64 копейки</v>
      </c>
      <c r="D391" s="214"/>
      <c r="E391" s="214"/>
      <c r="F391" s="214"/>
    </row>
    <row r="392" spans="1:18" s="5" customFormat="1">
      <c r="A392" s="15"/>
      <c r="B392" s="15"/>
      <c r="C392" s="15"/>
      <c r="D392" s="15"/>
      <c r="E392" s="15"/>
      <c r="F392" s="15"/>
      <c r="G392" s="6"/>
      <c r="H392" s="6"/>
      <c r="I392" s="6"/>
      <c r="J392" s="6"/>
      <c r="K392" s="6"/>
      <c r="L392" s="6"/>
      <c r="M392" s="21"/>
      <c r="N392" s="56"/>
      <c r="O392" s="21"/>
      <c r="R392" s="6"/>
    </row>
  </sheetData>
  <mergeCells count="65">
    <mergeCell ref="B112:F112"/>
    <mergeCell ref="E113:E115"/>
    <mergeCell ref="B122:F122"/>
    <mergeCell ref="E123:E124"/>
    <mergeCell ref="B131:C131"/>
    <mergeCell ref="B111:F111"/>
    <mergeCell ref="A74:B74"/>
    <mergeCell ref="B76:F76"/>
    <mergeCell ref="E77:E78"/>
    <mergeCell ref="B84:F84"/>
    <mergeCell ref="E85:E88"/>
    <mergeCell ref="A93:B93"/>
    <mergeCell ref="B94:F94"/>
    <mergeCell ref="E96:E98"/>
    <mergeCell ref="B102:F102"/>
    <mergeCell ref="E103:E105"/>
    <mergeCell ref="A110:B110"/>
    <mergeCell ref="I4:L4"/>
    <mergeCell ref="B157:F157"/>
    <mergeCell ref="B158:F158"/>
    <mergeCell ref="B161:F161"/>
    <mergeCell ref="A164:F164"/>
    <mergeCell ref="B152:F152"/>
    <mergeCell ref="A156:F156"/>
    <mergeCell ref="B143:F143"/>
    <mergeCell ref="B146:F146"/>
    <mergeCell ref="E27:E28"/>
    <mergeCell ref="B34:C34"/>
    <mergeCell ref="B37:F37"/>
    <mergeCell ref="B38:C38"/>
    <mergeCell ref="E38:E39"/>
    <mergeCell ref="B49:F49"/>
    <mergeCell ref="E50:E51"/>
    <mergeCell ref="B169:F169"/>
    <mergeCell ref="A174:F174"/>
    <mergeCell ref="A175:F175"/>
    <mergeCell ref="A180:E180"/>
    <mergeCell ref="B134:F134"/>
    <mergeCell ref="B135:F135"/>
    <mergeCell ref="B138:F138"/>
    <mergeCell ref="A141:F141"/>
    <mergeCell ref="B142:F142"/>
    <mergeCell ref="B166:F166"/>
    <mergeCell ref="B165:F165"/>
    <mergeCell ref="A8:F8"/>
    <mergeCell ref="B148:F148"/>
    <mergeCell ref="B149:F149"/>
    <mergeCell ref="A9:C9"/>
    <mergeCell ref="D9:F9"/>
    <mergeCell ref="A11:C11"/>
    <mergeCell ref="D11:F11"/>
    <mergeCell ref="A12:F12"/>
    <mergeCell ref="A133:F133"/>
    <mergeCell ref="B17:C17"/>
    <mergeCell ref="B26:F26"/>
    <mergeCell ref="B57:F57"/>
    <mergeCell ref="B58:C58"/>
    <mergeCell ref="B65:F65"/>
    <mergeCell ref="E66:E67"/>
    <mergeCell ref="B73:C73"/>
    <mergeCell ref="A1:F1"/>
    <mergeCell ref="E2:F2"/>
    <mergeCell ref="A3:F3"/>
    <mergeCell ref="A4:F4"/>
    <mergeCell ref="A6:F6"/>
  </mergeCells>
  <pageMargins left="0.86614173228346458" right="0.43307086614173229" top="0.39370078740157483" bottom="0.39370078740157483" header="0.51181102362204722" footer="0.51181102362204722"/>
  <pageSetup paperSize="9" scale="106"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9"/>
  <sheetViews>
    <sheetView view="pageBreakPreview" zoomScaleNormal="100" zoomScaleSheetLayoutView="100" workbookViewId="0">
      <pane ySplit="14" topLeftCell="A15" activePane="bottomLeft" state="frozen"/>
      <selection pane="bottomLeft" activeCell="S15" sqref="S15"/>
    </sheetView>
  </sheetViews>
  <sheetFormatPr defaultColWidth="9.140625" defaultRowHeight="15.75" outlineLevelRow="2"/>
  <cols>
    <col min="1" max="1" width="5.5703125" style="213" customWidth="1"/>
    <col min="2" max="2" width="35.5703125" style="213" customWidth="1"/>
    <col min="3" max="4" width="8.140625" style="213" customWidth="1"/>
    <col min="5" max="5" width="9.7109375" style="213" customWidth="1"/>
    <col min="6" max="6" width="16.5703125" style="213" customWidth="1"/>
    <col min="7" max="7" width="11.42578125" style="2" bestFit="1" customWidth="1"/>
    <col min="8" max="8" width="0" style="2" hidden="1" customWidth="1"/>
    <col min="9" max="13" width="9.140625" style="2"/>
    <col min="14" max="18" width="0" style="2" hidden="1" customWidth="1"/>
    <col min="19" max="16384" width="9.140625" style="2"/>
  </cols>
  <sheetData>
    <row r="1" spans="1:23" s="25" customFormat="1" ht="17.25" hidden="1" customHeight="1" outlineLevel="1">
      <c r="A1" s="696" t="e">
        <f>CONCATENATE(H2," ",#REF!,".",H1," ",H3)</f>
        <v>#REF!</v>
      </c>
      <c r="B1" s="696"/>
      <c r="C1" s="696"/>
      <c r="D1" s="696"/>
      <c r="E1" s="696"/>
      <c r="F1" s="696"/>
      <c r="H1" s="264" t="e">
        <f>#REF!+1</f>
        <v>#REF!</v>
      </c>
      <c r="V1" s="282">
        <v>2</v>
      </c>
      <c r="W1" s="282">
        <v>6</v>
      </c>
    </row>
    <row r="2" spans="1:23" ht="12.75" customHeight="1" collapsed="1">
      <c r="A2" s="195"/>
      <c r="B2" s="195"/>
      <c r="C2" s="195"/>
      <c r="D2" s="195"/>
      <c r="E2" s="657"/>
      <c r="F2" s="657"/>
      <c r="H2" s="265" t="e">
        <f>#REF!</f>
        <v>#REF!</v>
      </c>
    </row>
    <row r="3" spans="1:23" ht="14.25" customHeight="1">
      <c r="A3" s="698" t="e">
        <f>CONCATENATE(#REF!," ",V1,".",W1)</f>
        <v>#REF!</v>
      </c>
      <c r="B3" s="698"/>
      <c r="C3" s="698"/>
      <c r="D3" s="698"/>
      <c r="E3" s="698"/>
      <c r="F3" s="698"/>
      <c r="H3" s="266" t="e">
        <f>#REF!</f>
        <v>#REF!</v>
      </c>
    </row>
    <row r="4" spans="1:23" ht="15.75" customHeight="1">
      <c r="A4" s="697" t="e">
        <f>#REF!</f>
        <v>#REF!</v>
      </c>
      <c r="B4" s="697"/>
      <c r="C4" s="697"/>
      <c r="D4" s="697"/>
      <c r="E4" s="697"/>
      <c r="F4" s="697"/>
    </row>
    <row r="5" spans="1:23" ht="9" customHeight="1">
      <c r="A5" s="196"/>
      <c r="B5" s="196"/>
      <c r="C5" s="196"/>
      <c r="D5" s="196"/>
      <c r="E5" s="196"/>
      <c r="F5" s="196"/>
    </row>
    <row r="6" spans="1:23" ht="27" customHeight="1">
      <c r="A6" s="660" t="e">
        <f>#REF!</f>
        <v>#REF!</v>
      </c>
      <c r="B6" s="660"/>
      <c r="C6" s="660"/>
      <c r="D6" s="660"/>
      <c r="E6" s="660"/>
      <c r="F6" s="660"/>
    </row>
    <row r="7" spans="1:23" ht="27" customHeight="1">
      <c r="A7" s="197"/>
      <c r="B7" s="197"/>
      <c r="C7" s="197"/>
      <c r="D7" s="197"/>
      <c r="E7" s="197"/>
      <c r="F7" s="197"/>
    </row>
    <row r="8" spans="1:23" ht="11.25" customHeight="1">
      <c r="A8" s="661"/>
      <c r="B8" s="661"/>
      <c r="C8" s="661"/>
      <c r="D8" s="661"/>
      <c r="E8" s="661"/>
      <c r="F8" s="661"/>
    </row>
    <row r="9" spans="1:23" ht="16.5" customHeight="1">
      <c r="A9" s="664" t="s">
        <v>311</v>
      </c>
      <c r="B9" s="664"/>
      <c r="C9" s="664"/>
      <c r="D9" s="664" t="e">
        <f>#REF!</f>
        <v>#REF!</v>
      </c>
      <c r="E9" s="664"/>
      <c r="F9" s="664"/>
    </row>
    <row r="10" spans="1:23" ht="16.5" customHeight="1">
      <c r="A10" s="391"/>
      <c r="B10" s="391"/>
      <c r="C10" s="391"/>
      <c r="D10" s="391"/>
      <c r="E10" s="391"/>
      <c r="F10" s="391"/>
    </row>
    <row r="11" spans="1:23" ht="16.5" customHeight="1">
      <c r="A11" s="664" t="s">
        <v>202</v>
      </c>
      <c r="B11" s="664"/>
      <c r="C11" s="664"/>
      <c r="D11" s="664" t="e">
        <f>#REF!</f>
        <v>#REF!</v>
      </c>
      <c r="E11" s="664"/>
      <c r="F11" s="664"/>
    </row>
    <row r="12" spans="1:23" ht="18.75" customHeight="1">
      <c r="A12" s="665"/>
      <c r="B12" s="665"/>
      <c r="C12" s="665"/>
      <c r="D12" s="665"/>
      <c r="E12" s="665"/>
      <c r="F12" s="665"/>
    </row>
    <row r="13" spans="1:23" ht="66.75" customHeight="1">
      <c r="A13" s="198" t="s">
        <v>19</v>
      </c>
      <c r="B13" s="198" t="s">
        <v>192</v>
      </c>
      <c r="C13" s="198" t="s">
        <v>193</v>
      </c>
      <c r="D13" s="198" t="s">
        <v>194</v>
      </c>
      <c r="E13" s="198" t="s">
        <v>195</v>
      </c>
      <c r="F13" s="198" t="s">
        <v>48</v>
      </c>
    </row>
    <row r="14" spans="1:23" ht="13.5" customHeight="1">
      <c r="A14" s="199">
        <v>1</v>
      </c>
      <c r="B14" s="199">
        <f>A14+1</f>
        <v>2</v>
      </c>
      <c r="C14" s="199">
        <f>B14+1</f>
        <v>3</v>
      </c>
      <c r="D14" s="199">
        <f>C14+1</f>
        <v>4</v>
      </c>
      <c r="E14" s="199">
        <v>5</v>
      </c>
      <c r="F14" s="199">
        <v>6</v>
      </c>
    </row>
    <row r="15" spans="1:23" ht="48.75" customHeight="1">
      <c r="A15" s="200">
        <v>1</v>
      </c>
      <c r="B15" s="460" t="s">
        <v>323</v>
      </c>
      <c r="C15" s="572">
        <v>2</v>
      </c>
      <c r="D15" s="573">
        <v>5</v>
      </c>
      <c r="E15" s="201" t="e">
        <f>#REF!</f>
        <v>#REF!</v>
      </c>
      <c r="F15" s="402" t="e">
        <f>E15*D15*C15</f>
        <v>#REF!</v>
      </c>
    </row>
    <row r="16" spans="1:23" ht="44.25" customHeight="1">
      <c r="A16" s="200">
        <f>A15+1</f>
        <v>2</v>
      </c>
      <c r="B16" s="460" t="s">
        <v>322</v>
      </c>
      <c r="C16" s="572">
        <v>2</v>
      </c>
      <c r="D16" s="573">
        <v>5</v>
      </c>
      <c r="E16" s="201" t="e">
        <f>E15</f>
        <v>#REF!</v>
      </c>
      <c r="F16" s="402" t="e">
        <f>E16*D16*C16</f>
        <v>#REF!</v>
      </c>
    </row>
    <row r="17" spans="1:18" ht="15" customHeight="1">
      <c r="A17" s="202"/>
      <c r="B17" s="256" t="s">
        <v>205</v>
      </c>
      <c r="C17" s="203"/>
      <c r="D17" s="204"/>
      <c r="E17" s="205"/>
      <c r="F17" s="205" t="e">
        <f>F15+F16</f>
        <v>#REF!</v>
      </c>
      <c r="G17" s="2" t="s">
        <v>197</v>
      </c>
    </row>
    <row r="18" spans="1:18">
      <c r="A18" s="677" t="e">
        <f ca="1">C238</f>
        <v>#REF!</v>
      </c>
      <c r="B18" s="695"/>
      <c r="C18" s="695"/>
      <c r="D18" s="695"/>
      <c r="E18" s="695"/>
      <c r="F18" s="695"/>
    </row>
    <row r="19" spans="1:18">
      <c r="A19" s="679" t="s">
        <v>198</v>
      </c>
      <c r="B19" s="694"/>
      <c r="C19" s="694"/>
      <c r="D19" s="694"/>
      <c r="E19" s="694"/>
      <c r="F19" s="694"/>
    </row>
    <row r="20" spans="1:18" s="3" customFormat="1" hidden="1" outlineLevel="1">
      <c r="A20" s="86"/>
      <c r="B20" s="86"/>
      <c r="C20" s="206"/>
      <c r="D20" s="206"/>
      <c r="E20" s="206"/>
      <c r="F20" s="207"/>
    </row>
    <row r="21" spans="1:18" hidden="1" outlineLevel="1">
      <c r="A21" s="208"/>
      <c r="B21" s="208"/>
      <c r="C21" s="208"/>
      <c r="D21" s="208"/>
      <c r="E21" s="208"/>
      <c r="F21" s="208"/>
    </row>
    <row r="22" spans="1:18" s="3" customFormat="1" hidden="1" outlineLevel="1">
      <c r="A22" s="114" t="e">
        <f>#REF!</f>
        <v>#REF!</v>
      </c>
      <c r="B22" s="114"/>
      <c r="C22" s="206"/>
      <c r="D22" s="206"/>
      <c r="E22" s="206"/>
      <c r="F22" s="207"/>
    </row>
    <row r="23" spans="1:18" hidden="1" outlineLevel="1">
      <c r="A23" s="120" t="e">
        <f>D9</f>
        <v>#REF!</v>
      </c>
      <c r="B23" s="116"/>
      <c r="C23" s="116"/>
      <c r="D23" s="116"/>
      <c r="E23" s="116"/>
      <c r="F23" s="115" t="e">
        <f>#REF!</f>
        <v>#REF!</v>
      </c>
    </row>
    <row r="24" spans="1:18" hidden="1" outlineLevel="1">
      <c r="A24" s="681"/>
      <c r="B24" s="681"/>
      <c r="C24" s="681"/>
      <c r="D24" s="681"/>
      <c r="E24" s="681"/>
      <c r="F24" s="209"/>
      <c r="G24" s="1"/>
      <c r="H24" s="1"/>
      <c r="I24" s="1"/>
      <c r="J24" s="1"/>
    </row>
    <row r="25" spans="1:18" hidden="1" outlineLevel="1">
      <c r="A25" s="117" t="s">
        <v>199</v>
      </c>
      <c r="B25" s="118"/>
      <c r="C25" s="118"/>
      <c r="D25" s="118"/>
      <c r="E25" s="118"/>
      <c r="F25" s="209"/>
      <c r="G25" s="1"/>
      <c r="H25" s="1"/>
      <c r="I25" s="1"/>
      <c r="J25" s="1"/>
    </row>
    <row r="26" spans="1:18" hidden="1" outlineLevel="1">
      <c r="A26" s="119" t="e">
        <f>#REF!</f>
        <v>#REF!</v>
      </c>
      <c r="B26" s="210"/>
      <c r="C26" s="210"/>
      <c r="D26" s="210"/>
      <c r="E26" s="210"/>
      <c r="F26" s="209"/>
      <c r="G26" s="1"/>
      <c r="H26" s="1"/>
      <c r="I26" s="1"/>
      <c r="J26" s="1"/>
    </row>
    <row r="27" spans="1:18" hidden="1" outlineLevel="1">
      <c r="A27" s="120" t="e">
        <f>D11</f>
        <v>#REF!</v>
      </c>
      <c r="B27" s="115"/>
      <c r="C27" s="115"/>
      <c r="D27" s="115"/>
      <c r="E27" s="115"/>
      <c r="F27" s="115" t="e">
        <f>#REF!</f>
        <v>#REF!</v>
      </c>
    </row>
    <row r="28" spans="1:18" collapsed="1"/>
    <row r="31" spans="1:18" s="5" customFormat="1">
      <c r="A31" s="14"/>
      <c r="B31" s="14"/>
      <c r="C31" s="14"/>
      <c r="D31" s="14"/>
      <c r="E31" s="14"/>
      <c r="F31" s="14"/>
      <c r="G31" s="7"/>
      <c r="H31" s="7"/>
      <c r="I31" s="7"/>
      <c r="J31" s="7"/>
      <c r="K31" s="7"/>
      <c r="L31" s="7"/>
      <c r="M31" s="12"/>
      <c r="N31" s="56"/>
      <c r="O31" s="21"/>
      <c r="R31" s="6"/>
    </row>
    <row r="32" spans="1:18" customFormat="1" ht="12.75" outlineLevel="1">
      <c r="A32" s="211"/>
      <c r="B32" s="212" t="s">
        <v>116</v>
      </c>
      <c r="C32" s="473" t="e">
        <f>F17</f>
        <v>#REF!</v>
      </c>
      <c r="D32" s="211"/>
      <c r="E32" s="211"/>
      <c r="F32" s="211"/>
      <c r="G32" s="23"/>
      <c r="H32" s="23"/>
      <c r="I32" s="23"/>
      <c r="J32" s="23"/>
      <c r="K32" s="23"/>
      <c r="L32" s="23"/>
      <c r="M32" s="23"/>
    </row>
    <row r="33" spans="1:13" customFormat="1" ht="12.75" hidden="1" outlineLevel="2">
      <c r="A33" s="211"/>
      <c r="B33" s="211" t="s">
        <v>117</v>
      </c>
      <c r="C33" s="211" t="e">
        <f>ROUNDDOWN(C32/1000000,0)</f>
        <v>#REF!</v>
      </c>
      <c r="D33" s="211"/>
      <c r="E33" s="211"/>
      <c r="F33" s="211"/>
      <c r="G33" s="23"/>
      <c r="H33" s="23"/>
      <c r="I33" s="23"/>
      <c r="J33" s="23"/>
      <c r="K33" s="23"/>
      <c r="L33" s="23"/>
      <c r="M33" s="23"/>
    </row>
    <row r="34" spans="1:13" customFormat="1" ht="12.75" hidden="1" outlineLevel="2">
      <c r="A34" s="211"/>
      <c r="B34" s="211"/>
      <c r="C34" s="211"/>
      <c r="D34" s="211"/>
      <c r="E34" s="211"/>
      <c r="F34" s="211"/>
      <c r="G34" s="23"/>
      <c r="H34" s="23"/>
      <c r="I34" s="23"/>
      <c r="J34" s="23"/>
      <c r="K34" s="23"/>
      <c r="L34" s="23"/>
      <c r="M34" s="23"/>
    </row>
    <row r="35" spans="1:13" customFormat="1" ht="12.75" hidden="1" outlineLevel="2">
      <c r="A35" s="211"/>
      <c r="B35" s="211" t="s">
        <v>118</v>
      </c>
      <c r="C35" s="211" t="e">
        <f>ROUNDDOWN(C33/100,0)</f>
        <v>#REF!</v>
      </c>
      <c r="D35" s="211"/>
      <c r="E35" s="211"/>
      <c r="F35" s="211"/>
      <c r="G35" s="23"/>
      <c r="H35" s="23"/>
      <c r="I35" s="23"/>
      <c r="J35" s="23"/>
      <c r="K35" s="23"/>
      <c r="L35" s="23"/>
      <c r="M35" s="23"/>
    </row>
    <row r="36" spans="1:13" customFormat="1" ht="12.75" hidden="1" outlineLevel="2">
      <c r="A36" s="211"/>
      <c r="B36" s="211"/>
      <c r="C36" s="211"/>
      <c r="D36" s="211"/>
      <c r="E36" s="211"/>
      <c r="F36" s="211"/>
      <c r="G36" s="23"/>
      <c r="H36" s="23"/>
      <c r="I36" s="23"/>
      <c r="J36" s="23"/>
      <c r="K36" s="23"/>
      <c r="L36" s="23"/>
      <c r="M36" s="23"/>
    </row>
    <row r="37" spans="1:13" customFormat="1" ht="12.75" hidden="1" outlineLevel="2">
      <c r="A37" s="211"/>
      <c r="B37" s="211" t="s">
        <v>119</v>
      </c>
      <c r="C37" s="211"/>
      <c r="D37" s="211"/>
      <c r="E37" s="211"/>
      <c r="F37" s="211"/>
      <c r="G37" s="23"/>
      <c r="H37" s="23"/>
      <c r="I37" s="23"/>
      <c r="J37" s="23"/>
      <c r="K37" s="23"/>
      <c r="L37" s="23"/>
      <c r="M37" s="23"/>
    </row>
    <row r="38" spans="1:13" customFormat="1" ht="12.75" hidden="1" outlineLevel="2">
      <c r="A38" s="211"/>
      <c r="B38" s="211" t="s">
        <v>120</v>
      </c>
      <c r="C38" s="211"/>
      <c r="D38" s="211"/>
      <c r="E38" s="211"/>
      <c r="F38" s="211"/>
      <c r="G38" s="23"/>
      <c r="H38" s="23"/>
      <c r="I38" s="23"/>
      <c r="J38" s="23"/>
      <c r="K38" s="23"/>
      <c r="L38" s="23"/>
      <c r="M38" s="23"/>
    </row>
    <row r="39" spans="1:13" customFormat="1" ht="12.75" hidden="1" outlineLevel="2">
      <c r="A39" s="211"/>
      <c r="B39" s="211" t="s">
        <v>121</v>
      </c>
      <c r="C39" s="211"/>
      <c r="D39" s="211"/>
      <c r="E39" s="211"/>
      <c r="F39" s="211"/>
      <c r="G39" s="23"/>
      <c r="H39" s="23"/>
      <c r="I39" s="23"/>
      <c r="J39" s="23"/>
      <c r="K39" s="23"/>
      <c r="L39" s="23"/>
      <c r="M39" s="23"/>
    </row>
    <row r="40" spans="1:13" customFormat="1" ht="12.75" hidden="1" outlineLevel="2">
      <c r="A40" s="211"/>
      <c r="B40" s="211" t="s">
        <v>122</v>
      </c>
      <c r="C40" s="211"/>
      <c r="D40" s="211"/>
      <c r="E40" s="211"/>
      <c r="F40" s="211"/>
      <c r="G40" s="23"/>
      <c r="H40" s="23"/>
      <c r="I40" s="23"/>
      <c r="J40" s="23"/>
      <c r="K40" s="23"/>
      <c r="L40" s="23"/>
      <c r="M40" s="23"/>
    </row>
    <row r="41" spans="1:13" customFormat="1" ht="12.75" hidden="1" outlineLevel="2">
      <c r="A41" s="211"/>
      <c r="B41" s="211" t="s">
        <v>123</v>
      </c>
      <c r="C41" s="211"/>
      <c r="D41" s="211"/>
      <c r="E41" s="211"/>
      <c r="F41" s="211"/>
      <c r="G41" s="23"/>
      <c r="H41" s="23"/>
      <c r="I41" s="23"/>
      <c r="J41" s="23"/>
      <c r="K41" s="23"/>
      <c r="L41" s="23"/>
      <c r="M41" s="23"/>
    </row>
    <row r="42" spans="1:13" customFormat="1" ht="12.75" hidden="1" outlineLevel="2">
      <c r="A42" s="211"/>
      <c r="B42" s="211" t="s">
        <v>124</v>
      </c>
      <c r="C42" s="211"/>
      <c r="D42" s="211"/>
      <c r="E42" s="211"/>
      <c r="F42" s="211"/>
      <c r="G42" s="23"/>
      <c r="H42" s="23"/>
      <c r="I42" s="23"/>
      <c r="J42" s="23"/>
      <c r="K42" s="23"/>
      <c r="L42" s="23"/>
      <c r="M42" s="23"/>
    </row>
    <row r="43" spans="1:13" customFormat="1" ht="12.75" hidden="1" outlineLevel="2">
      <c r="A43" s="211"/>
      <c r="B43" s="211" t="s">
        <v>125</v>
      </c>
      <c r="C43" s="211"/>
      <c r="D43" s="211"/>
      <c r="E43" s="211"/>
      <c r="F43" s="211"/>
      <c r="G43" s="23"/>
      <c r="H43" s="23"/>
      <c r="I43" s="23"/>
      <c r="J43" s="23"/>
      <c r="K43" s="23"/>
      <c r="L43" s="23"/>
      <c r="M43" s="23"/>
    </row>
    <row r="44" spans="1:13" customFormat="1" ht="12.75" hidden="1" outlineLevel="2">
      <c r="A44" s="211"/>
      <c r="B44" s="211" t="s">
        <v>126</v>
      </c>
      <c r="C44" s="211"/>
      <c r="D44" s="211"/>
      <c r="E44" s="211"/>
      <c r="F44" s="211"/>
      <c r="G44" s="23"/>
      <c r="H44" s="23"/>
      <c r="I44" s="23"/>
      <c r="J44" s="23"/>
      <c r="K44" s="23"/>
      <c r="L44" s="23"/>
      <c r="M44" s="23"/>
    </row>
    <row r="45" spans="1:13" customFormat="1" ht="12.75" hidden="1" outlineLevel="2">
      <c r="A45" s="211"/>
      <c r="B45" s="211" t="s">
        <v>127</v>
      </c>
      <c r="C45" s="211"/>
      <c r="D45" s="211"/>
      <c r="E45" s="211"/>
      <c r="F45" s="211"/>
      <c r="G45" s="23"/>
      <c r="H45" s="23"/>
      <c r="I45" s="23"/>
      <c r="J45" s="23"/>
      <c r="K45" s="23"/>
      <c r="L45" s="23"/>
      <c r="M45" s="23"/>
    </row>
    <row r="46" spans="1:13" customFormat="1" ht="12.75" hidden="1" outlineLevel="2">
      <c r="A46" s="211"/>
      <c r="B46" s="211"/>
      <c r="C46" s="211"/>
      <c r="D46" s="211"/>
      <c r="E46" s="211"/>
      <c r="F46" s="211"/>
      <c r="G46" s="23"/>
      <c r="H46" s="23"/>
      <c r="I46" s="23"/>
      <c r="J46" s="23"/>
      <c r="K46" s="23"/>
      <c r="L46" s="23"/>
      <c r="M46" s="23"/>
    </row>
    <row r="47" spans="1:13" customFormat="1" ht="12.75" hidden="1" outlineLevel="2">
      <c r="A47" s="211"/>
      <c r="B47" s="211"/>
      <c r="C47" s="211" t="e">
        <f ca="1">IF(C35&lt;&gt;0,OFFSET(B36,C35,0),"")</f>
        <v>#REF!</v>
      </c>
      <c r="D47" s="211"/>
      <c r="E47" s="211"/>
      <c r="F47" s="211"/>
      <c r="G47" s="23"/>
      <c r="H47" s="23"/>
      <c r="I47" s="23"/>
      <c r="J47" s="23"/>
      <c r="K47" s="23"/>
      <c r="L47" s="23"/>
      <c r="M47" s="23"/>
    </row>
    <row r="48" spans="1:13" customFormat="1" ht="12.75" hidden="1" outlineLevel="2">
      <c r="A48" s="211"/>
      <c r="B48" s="211"/>
      <c r="C48" s="211"/>
      <c r="D48" s="211"/>
      <c r="E48" s="211"/>
      <c r="F48" s="211"/>
      <c r="G48" s="23"/>
      <c r="H48" s="23"/>
      <c r="I48" s="23"/>
      <c r="J48" s="23"/>
      <c r="K48" s="23"/>
      <c r="L48" s="23"/>
      <c r="M48" s="23"/>
    </row>
    <row r="49" spans="1:13" customFormat="1" ht="12.75" hidden="1" outlineLevel="2">
      <c r="A49" s="211"/>
      <c r="B49" s="211" t="s">
        <v>128</v>
      </c>
      <c r="C49" s="211" t="e">
        <f>ROUNDDOWN((C32-C35*100000000)/10000000,0)</f>
        <v>#REF!</v>
      </c>
      <c r="D49" s="211"/>
      <c r="E49" s="211"/>
      <c r="F49" s="211"/>
      <c r="G49" s="23"/>
      <c r="H49" s="23"/>
      <c r="I49" s="23"/>
      <c r="J49" s="23"/>
      <c r="K49" s="23"/>
      <c r="L49" s="23"/>
      <c r="M49" s="23"/>
    </row>
    <row r="50" spans="1:13" customFormat="1" ht="12.75" hidden="1" outlineLevel="2">
      <c r="A50" s="211"/>
      <c r="B50" s="211"/>
      <c r="C50" s="211"/>
      <c r="D50" s="211"/>
      <c r="E50" s="211"/>
      <c r="F50" s="211"/>
      <c r="G50" s="23"/>
      <c r="H50" s="23"/>
      <c r="I50" s="23"/>
      <c r="J50" s="23"/>
      <c r="K50" s="23"/>
      <c r="L50" s="23"/>
      <c r="M50" s="23"/>
    </row>
    <row r="51" spans="1:13" customFormat="1" ht="12.75" hidden="1" outlineLevel="2">
      <c r="A51" s="211"/>
      <c r="B51" s="211" t="s">
        <v>129</v>
      </c>
      <c r="C51" s="211"/>
      <c r="D51" s="211"/>
      <c r="E51" s="211"/>
      <c r="F51" s="211"/>
      <c r="G51" s="23"/>
      <c r="H51" s="23"/>
      <c r="I51" s="23"/>
      <c r="J51" s="23"/>
      <c r="K51" s="23"/>
      <c r="L51" s="23"/>
      <c r="M51" s="23"/>
    </row>
    <row r="52" spans="1:13" customFormat="1" ht="12.75" hidden="1" outlineLevel="2">
      <c r="A52" s="211"/>
      <c r="B52" s="211" t="s">
        <v>130</v>
      </c>
      <c r="C52" s="211"/>
      <c r="D52" s="211"/>
      <c r="E52" s="211"/>
      <c r="F52" s="211"/>
      <c r="G52" s="23"/>
      <c r="H52" s="23"/>
      <c r="I52" s="23"/>
      <c r="J52" s="23"/>
      <c r="K52" s="23"/>
      <c r="L52" s="23"/>
      <c r="M52" s="23"/>
    </row>
    <row r="53" spans="1:13" customFormat="1" ht="12.75" hidden="1" outlineLevel="2">
      <c r="A53" s="211"/>
      <c r="B53" s="211" t="s">
        <v>131</v>
      </c>
      <c r="C53" s="211"/>
      <c r="D53" s="211"/>
      <c r="E53" s="211"/>
      <c r="F53" s="211"/>
      <c r="G53" s="23"/>
      <c r="H53" s="23"/>
      <c r="I53" s="23"/>
      <c r="J53" s="23"/>
      <c r="K53" s="23"/>
      <c r="L53" s="23"/>
      <c r="M53" s="23"/>
    </row>
    <row r="54" spans="1:13" customFormat="1" ht="12.75" hidden="1" outlineLevel="2">
      <c r="A54" s="211"/>
      <c r="B54" s="211" t="s">
        <v>132</v>
      </c>
      <c r="C54" s="211"/>
      <c r="D54" s="211"/>
      <c r="E54" s="211"/>
      <c r="F54" s="211"/>
      <c r="G54" s="23"/>
      <c r="H54" s="23"/>
      <c r="I54" s="23"/>
      <c r="J54" s="23"/>
      <c r="K54" s="23"/>
      <c r="L54" s="23"/>
      <c r="M54" s="23"/>
    </row>
    <row r="55" spans="1:13" customFormat="1" ht="12.75" hidden="1" outlineLevel="2">
      <c r="A55" s="211"/>
      <c r="B55" s="211" t="s">
        <v>133</v>
      </c>
      <c r="C55" s="211"/>
      <c r="D55" s="211"/>
      <c r="E55" s="211"/>
      <c r="F55" s="211"/>
      <c r="G55" s="23"/>
      <c r="H55" s="23"/>
      <c r="I55" s="23"/>
      <c r="J55" s="23"/>
      <c r="K55" s="23"/>
      <c r="L55" s="23"/>
      <c r="M55" s="23"/>
    </row>
    <row r="56" spans="1:13" customFormat="1" ht="12.75" hidden="1" outlineLevel="2">
      <c r="A56" s="211"/>
      <c r="B56" s="211" t="s">
        <v>134</v>
      </c>
      <c r="C56" s="211"/>
      <c r="D56" s="211"/>
      <c r="E56" s="211"/>
      <c r="F56" s="211"/>
      <c r="G56" s="23"/>
      <c r="H56" s="23"/>
      <c r="I56" s="23"/>
      <c r="J56" s="23"/>
      <c r="K56" s="23"/>
      <c r="L56" s="23"/>
      <c r="M56" s="23"/>
    </row>
    <row r="57" spans="1:13" customFormat="1" ht="12.75" hidden="1" outlineLevel="2">
      <c r="A57" s="211"/>
      <c r="B57" s="211" t="s">
        <v>135</v>
      </c>
      <c r="C57" s="211"/>
      <c r="D57" s="211"/>
      <c r="E57" s="211"/>
      <c r="F57" s="211"/>
      <c r="G57" s="23"/>
      <c r="H57" s="23"/>
      <c r="I57" s="23"/>
      <c r="J57" s="23"/>
      <c r="K57" s="23"/>
      <c r="L57" s="23"/>
      <c r="M57" s="23"/>
    </row>
    <row r="58" spans="1:13" customFormat="1" ht="12.75" hidden="1" outlineLevel="2">
      <c r="A58" s="211"/>
      <c r="B58" s="211" t="s">
        <v>136</v>
      </c>
      <c r="C58" s="211"/>
      <c r="D58" s="211"/>
      <c r="E58" s="211"/>
      <c r="F58" s="211"/>
      <c r="G58" s="23"/>
      <c r="H58" s="23"/>
      <c r="I58" s="23"/>
      <c r="J58" s="23"/>
      <c r="K58" s="23"/>
      <c r="L58" s="23"/>
      <c r="M58" s="23"/>
    </row>
    <row r="59" spans="1:13" customFormat="1" ht="12.75" hidden="1" outlineLevel="2">
      <c r="A59" s="211"/>
      <c r="B59" s="211" t="s">
        <v>137</v>
      </c>
      <c r="C59" s="211"/>
      <c r="D59" s="211"/>
      <c r="E59" s="211"/>
      <c r="F59" s="211"/>
      <c r="G59" s="23"/>
      <c r="H59" s="23"/>
      <c r="I59" s="23"/>
      <c r="J59" s="23"/>
      <c r="K59" s="23"/>
      <c r="L59" s="23"/>
      <c r="M59" s="23"/>
    </row>
    <row r="60" spans="1:13" customFormat="1" ht="12.75" hidden="1" outlineLevel="2">
      <c r="A60" s="211"/>
      <c r="B60" s="211"/>
      <c r="C60" s="211"/>
      <c r="D60" s="211"/>
      <c r="E60" s="211"/>
      <c r="F60" s="211"/>
      <c r="G60" s="23"/>
      <c r="H60" s="23"/>
      <c r="I60" s="23"/>
      <c r="J60" s="23"/>
      <c r="K60" s="23"/>
      <c r="L60" s="23"/>
      <c r="M60" s="23"/>
    </row>
    <row r="61" spans="1:13" customFormat="1" ht="12.75" hidden="1" outlineLevel="2">
      <c r="A61" s="211"/>
      <c r="B61" s="211"/>
      <c r="C61" s="211" t="e">
        <f ca="1">IF(AND(C49=1,C63&lt;&gt;0),"",IF(C49&lt;&gt;0,OFFSET(B50,C49,0),""))</f>
        <v>#REF!</v>
      </c>
      <c r="D61" s="211"/>
      <c r="E61" s="211"/>
      <c r="F61" s="211"/>
      <c r="G61" s="23"/>
      <c r="H61" s="23"/>
      <c r="I61" s="23"/>
      <c r="J61" s="23"/>
      <c r="K61" s="23"/>
      <c r="L61" s="23"/>
      <c r="M61" s="23"/>
    </row>
    <row r="62" spans="1:13" customFormat="1" ht="12.75" hidden="1" outlineLevel="2">
      <c r="A62" s="211"/>
      <c r="B62" s="211"/>
      <c r="C62" s="211"/>
      <c r="D62" s="211"/>
      <c r="E62" s="211"/>
      <c r="F62" s="211"/>
      <c r="G62" s="23"/>
      <c r="H62" s="23"/>
      <c r="I62" s="23"/>
      <c r="J62" s="23"/>
      <c r="K62" s="23"/>
      <c r="L62" s="23"/>
      <c r="M62" s="23"/>
    </row>
    <row r="63" spans="1:13" customFormat="1" ht="12.75" hidden="1" outlineLevel="2">
      <c r="A63" s="211"/>
      <c r="B63" s="211" t="s">
        <v>138</v>
      </c>
      <c r="C63" s="211" t="e">
        <f>ROUNDDOWN((C32-C35*100000000-C49*10000000)/1000000,0)</f>
        <v>#REF!</v>
      </c>
      <c r="D63" s="211"/>
      <c r="E63" s="211"/>
      <c r="F63" s="211"/>
      <c r="G63" s="23"/>
      <c r="H63" s="23"/>
      <c r="I63" s="23"/>
      <c r="J63" s="23"/>
      <c r="K63" s="23"/>
      <c r="L63" s="23"/>
      <c r="M63" s="23"/>
    </row>
    <row r="64" spans="1:13" customFormat="1" ht="12.75" hidden="1" outlineLevel="2">
      <c r="A64" s="211"/>
      <c r="B64" s="211"/>
      <c r="C64" s="211"/>
      <c r="D64" s="211"/>
      <c r="E64" s="211"/>
      <c r="F64" s="211"/>
      <c r="G64" s="23"/>
      <c r="H64" s="23"/>
      <c r="I64" s="23"/>
      <c r="J64" s="23"/>
      <c r="K64" s="23"/>
      <c r="L64" s="23"/>
      <c r="M64" s="23"/>
    </row>
    <row r="65" spans="1:13" customFormat="1" ht="12.75" hidden="1" outlineLevel="2">
      <c r="A65" s="211"/>
      <c r="B65" s="211" t="s">
        <v>139</v>
      </c>
      <c r="C65" s="211"/>
      <c r="D65" s="211"/>
      <c r="E65" s="211"/>
      <c r="F65" s="211"/>
      <c r="G65" s="23"/>
      <c r="H65" s="23"/>
      <c r="I65" s="23"/>
      <c r="J65" s="23"/>
      <c r="K65" s="23"/>
      <c r="L65" s="23"/>
      <c r="M65" s="23"/>
    </row>
    <row r="66" spans="1:13" customFormat="1" ht="12.75" hidden="1" outlineLevel="2">
      <c r="A66" s="211"/>
      <c r="B66" s="211" t="s">
        <v>140</v>
      </c>
      <c r="C66" s="211"/>
      <c r="D66" s="211"/>
      <c r="E66" s="211"/>
      <c r="F66" s="211"/>
      <c r="G66" s="23"/>
      <c r="H66" s="23"/>
      <c r="I66" s="23"/>
      <c r="J66" s="23"/>
      <c r="K66" s="23"/>
      <c r="L66" s="23"/>
      <c r="M66" s="23"/>
    </row>
    <row r="67" spans="1:13" customFormat="1" ht="12.75" hidden="1" outlineLevel="2">
      <c r="A67" s="211"/>
      <c r="B67" s="211" t="s">
        <v>141</v>
      </c>
      <c r="C67" s="211"/>
      <c r="D67" s="211"/>
      <c r="E67" s="211"/>
      <c r="F67" s="211"/>
      <c r="G67" s="23"/>
      <c r="H67" s="23"/>
      <c r="I67" s="23"/>
      <c r="J67" s="23"/>
      <c r="K67" s="23"/>
      <c r="L67" s="23"/>
      <c r="M67" s="23"/>
    </row>
    <row r="68" spans="1:13" customFormat="1" ht="12.75" hidden="1" outlineLevel="2">
      <c r="A68" s="211"/>
      <c r="B68" s="211" t="s">
        <v>142</v>
      </c>
      <c r="C68" s="211"/>
      <c r="D68" s="211"/>
      <c r="E68" s="211"/>
      <c r="F68" s="211"/>
      <c r="G68" s="23"/>
      <c r="H68" s="23"/>
      <c r="I68" s="23"/>
      <c r="J68" s="23"/>
      <c r="K68" s="23"/>
      <c r="L68" s="23"/>
      <c r="M68" s="23"/>
    </row>
    <row r="69" spans="1:13" customFormat="1" ht="12.75" hidden="1" outlineLevel="2">
      <c r="A69" s="211"/>
      <c r="B69" s="211" t="s">
        <v>143</v>
      </c>
      <c r="C69" s="211"/>
      <c r="D69" s="211"/>
      <c r="E69" s="211"/>
      <c r="F69" s="211"/>
      <c r="G69" s="23"/>
      <c r="H69" s="23"/>
      <c r="I69" s="23"/>
      <c r="J69" s="23"/>
      <c r="K69" s="23"/>
      <c r="L69" s="23"/>
      <c r="M69" s="23"/>
    </row>
    <row r="70" spans="1:13" customFormat="1" ht="12.75" hidden="1" outlineLevel="2">
      <c r="A70" s="211"/>
      <c r="B70" s="211" t="s">
        <v>144</v>
      </c>
      <c r="C70" s="211"/>
      <c r="D70" s="211"/>
      <c r="E70" s="211"/>
      <c r="F70" s="211"/>
      <c r="G70" s="23"/>
      <c r="H70" s="23"/>
      <c r="I70" s="23"/>
      <c r="J70" s="23"/>
      <c r="K70" s="23"/>
      <c r="L70" s="23"/>
      <c r="M70" s="23"/>
    </row>
    <row r="71" spans="1:13" customFormat="1" ht="12.75" hidden="1" outlineLevel="2">
      <c r="A71" s="211"/>
      <c r="B71" s="211" t="s">
        <v>145</v>
      </c>
      <c r="C71" s="211"/>
      <c r="D71" s="211"/>
      <c r="E71" s="211"/>
      <c r="F71" s="211"/>
      <c r="G71" s="23"/>
      <c r="H71" s="23"/>
      <c r="I71" s="23"/>
      <c r="J71" s="23"/>
      <c r="K71" s="23"/>
      <c r="L71" s="23"/>
      <c r="M71" s="23"/>
    </row>
    <row r="72" spans="1:13" customFormat="1" ht="12.75" hidden="1" outlineLevel="2">
      <c r="A72" s="211"/>
      <c r="B72" s="211" t="s">
        <v>146</v>
      </c>
      <c r="C72" s="211"/>
      <c r="D72" s="211"/>
      <c r="E72" s="211"/>
      <c r="F72" s="211"/>
      <c r="G72" s="23"/>
      <c r="H72" s="23"/>
      <c r="I72" s="23"/>
      <c r="J72" s="23"/>
      <c r="K72" s="23"/>
      <c r="L72" s="23"/>
      <c r="M72" s="23"/>
    </row>
    <row r="73" spans="1:13" customFormat="1" ht="12.75" hidden="1" outlineLevel="2">
      <c r="A73" s="211"/>
      <c r="B73" s="211" t="s">
        <v>147</v>
      </c>
      <c r="C73" s="211"/>
      <c r="D73" s="211"/>
      <c r="E73" s="211"/>
      <c r="F73" s="211"/>
      <c r="G73" s="23"/>
      <c r="H73" s="23"/>
      <c r="I73" s="23"/>
      <c r="J73" s="23"/>
      <c r="K73" s="23"/>
      <c r="L73" s="23"/>
      <c r="M73" s="23"/>
    </row>
    <row r="74" spans="1:13" customFormat="1" ht="12.75" hidden="1" outlineLevel="2">
      <c r="A74" s="211"/>
      <c r="B74" s="211"/>
      <c r="C74" s="211"/>
      <c r="D74" s="211"/>
      <c r="E74" s="211"/>
      <c r="F74" s="211"/>
      <c r="G74" s="23"/>
      <c r="H74" s="23"/>
      <c r="I74" s="23"/>
      <c r="J74" s="23"/>
      <c r="K74" s="23"/>
      <c r="L74" s="23"/>
      <c r="M74" s="23"/>
    </row>
    <row r="75" spans="1:13" customFormat="1" ht="12.75" hidden="1" outlineLevel="2">
      <c r="A75" s="211"/>
      <c r="B75" s="211"/>
      <c r="C75" s="211" t="e">
        <f ca="1">IF(C49&lt;&gt;1,IF(C63&lt;&gt;0,OFFSET(B64,C63,0),""),"")</f>
        <v>#REF!</v>
      </c>
      <c r="D75" s="211"/>
      <c r="E75" s="211"/>
      <c r="F75" s="211"/>
      <c r="G75" s="23"/>
      <c r="H75" s="23"/>
      <c r="I75" s="23"/>
      <c r="J75" s="23"/>
      <c r="K75" s="23"/>
      <c r="L75" s="23"/>
      <c r="M75" s="23"/>
    </row>
    <row r="76" spans="1:13" customFormat="1" ht="12.75" hidden="1" outlineLevel="2">
      <c r="A76" s="211"/>
      <c r="B76" s="211"/>
      <c r="C76" s="211"/>
      <c r="D76" s="211"/>
      <c r="E76" s="211"/>
      <c r="F76" s="211"/>
      <c r="G76" s="23"/>
      <c r="H76" s="23"/>
      <c r="I76" s="23"/>
      <c r="J76" s="23"/>
      <c r="K76" s="23"/>
      <c r="L76" s="23"/>
      <c r="M76" s="23"/>
    </row>
    <row r="77" spans="1:13" customFormat="1" ht="12.75" hidden="1" outlineLevel="2">
      <c r="A77" s="211"/>
      <c r="B77" s="211" t="s">
        <v>148</v>
      </c>
      <c r="C77" s="211"/>
      <c r="D77" s="211"/>
      <c r="E77" s="211"/>
      <c r="F77" s="211"/>
      <c r="G77" s="23"/>
      <c r="H77" s="23"/>
      <c r="I77" s="23"/>
      <c r="J77" s="23"/>
      <c r="K77" s="23"/>
      <c r="L77" s="23"/>
      <c r="M77" s="23"/>
    </row>
    <row r="78" spans="1:13" customFormat="1" ht="12.75" hidden="1" outlineLevel="2">
      <c r="A78" s="211"/>
      <c r="B78" s="211"/>
      <c r="C78" s="211"/>
      <c r="D78" s="211"/>
      <c r="E78" s="211"/>
      <c r="F78" s="211"/>
      <c r="G78" s="23"/>
      <c r="H78" s="23"/>
      <c r="I78" s="23"/>
      <c r="J78" s="23"/>
      <c r="K78" s="23"/>
      <c r="L78" s="23"/>
      <c r="M78" s="23"/>
    </row>
    <row r="79" spans="1:13" customFormat="1" ht="12.75" hidden="1" outlineLevel="2">
      <c r="A79" s="211"/>
      <c r="B79" s="211"/>
      <c r="C79" s="211" t="e">
        <f>+C63</f>
        <v>#REF!</v>
      </c>
      <c r="D79" s="211"/>
      <c r="E79" s="211"/>
      <c r="F79" s="211"/>
      <c r="G79" s="23"/>
      <c r="H79" s="23"/>
      <c r="I79" s="23"/>
      <c r="J79" s="23"/>
      <c r="K79" s="23"/>
      <c r="L79" s="23"/>
      <c r="M79" s="23"/>
    </row>
    <row r="80" spans="1:13" customFormat="1" ht="12.75" hidden="1" outlineLevel="2">
      <c r="A80" s="211"/>
      <c r="B80" s="211" t="s">
        <v>149</v>
      </c>
      <c r="C80" s="211"/>
      <c r="D80" s="211"/>
      <c r="E80" s="211"/>
      <c r="F80" s="211"/>
      <c r="G80" s="23"/>
      <c r="H80" s="23"/>
      <c r="I80" s="23"/>
      <c r="J80" s="23"/>
      <c r="K80" s="23"/>
      <c r="L80" s="23"/>
      <c r="M80" s="23"/>
    </row>
    <row r="81" spans="1:13" customFormat="1" ht="12.75" hidden="1" outlineLevel="2">
      <c r="A81" s="211"/>
      <c r="B81" s="211" t="s">
        <v>150</v>
      </c>
      <c r="C81" s="211"/>
      <c r="D81" s="211"/>
      <c r="E81" s="211"/>
      <c r="F81" s="211"/>
      <c r="G81" s="23"/>
      <c r="H81" s="23"/>
      <c r="I81" s="23"/>
      <c r="J81" s="23"/>
      <c r="K81" s="23"/>
      <c r="L81" s="23"/>
      <c r="M81" s="23"/>
    </row>
    <row r="82" spans="1:13" customFormat="1" ht="12.75" hidden="1" outlineLevel="2">
      <c r="A82" s="211"/>
      <c r="B82" s="211" t="s">
        <v>151</v>
      </c>
      <c r="C82" s="211"/>
      <c r="D82" s="211"/>
      <c r="E82" s="211"/>
      <c r="F82" s="211"/>
      <c r="G82" s="23"/>
      <c r="H82" s="23"/>
      <c r="I82" s="23"/>
      <c r="J82" s="23"/>
      <c r="K82" s="23"/>
      <c r="L82" s="23"/>
      <c r="M82" s="23"/>
    </row>
    <row r="83" spans="1:13" customFormat="1" ht="12.75" hidden="1" outlineLevel="2">
      <c r="A83" s="211"/>
      <c r="B83" s="211" t="s">
        <v>152</v>
      </c>
      <c r="C83" s="211"/>
      <c r="D83" s="211"/>
      <c r="E83" s="211"/>
      <c r="F83" s="211"/>
      <c r="G83" s="23"/>
      <c r="H83" s="23"/>
      <c r="I83" s="23"/>
      <c r="J83" s="23"/>
      <c r="K83" s="23"/>
      <c r="L83" s="23"/>
      <c r="M83" s="23"/>
    </row>
    <row r="84" spans="1:13" customFormat="1" ht="12.75" hidden="1" outlineLevel="2">
      <c r="A84" s="211"/>
      <c r="B84" s="211" t="s">
        <v>153</v>
      </c>
      <c r="C84" s="211"/>
      <c r="D84" s="211"/>
      <c r="E84" s="211"/>
      <c r="F84" s="211"/>
      <c r="G84" s="23"/>
      <c r="H84" s="23"/>
      <c r="I84" s="23"/>
      <c r="J84" s="23"/>
      <c r="K84" s="23"/>
      <c r="L84" s="23"/>
      <c r="M84" s="23"/>
    </row>
    <row r="85" spans="1:13" customFormat="1" ht="12.75" hidden="1" outlineLevel="2">
      <c r="A85" s="211"/>
      <c r="B85" s="211" t="s">
        <v>154</v>
      </c>
      <c r="C85" s="211"/>
      <c r="D85" s="211"/>
      <c r="E85" s="211"/>
      <c r="F85" s="211"/>
      <c r="G85" s="23"/>
      <c r="H85" s="23"/>
      <c r="I85" s="23"/>
      <c r="J85" s="23"/>
      <c r="K85" s="23"/>
      <c r="L85" s="23"/>
      <c r="M85" s="23"/>
    </row>
    <row r="86" spans="1:13" customFormat="1" ht="12.75" hidden="1" outlineLevel="2">
      <c r="A86" s="211"/>
      <c r="B86" s="211" t="s">
        <v>155</v>
      </c>
      <c r="C86" s="211"/>
      <c r="D86" s="211"/>
      <c r="E86" s="211"/>
      <c r="F86" s="211"/>
      <c r="G86" s="23"/>
      <c r="H86" s="23"/>
      <c r="I86" s="23"/>
      <c r="J86" s="23"/>
      <c r="K86" s="23"/>
      <c r="L86" s="23"/>
      <c r="M86" s="23"/>
    </row>
    <row r="87" spans="1:13" customFormat="1" ht="12.75" hidden="1" outlineLevel="2">
      <c r="A87" s="211"/>
      <c r="B87" s="211" t="s">
        <v>156</v>
      </c>
      <c r="C87" s="211"/>
      <c r="D87" s="211"/>
      <c r="E87" s="211"/>
      <c r="F87" s="211"/>
      <c r="G87" s="23"/>
      <c r="H87" s="23"/>
      <c r="I87" s="23"/>
      <c r="J87" s="23"/>
      <c r="K87" s="23"/>
      <c r="L87" s="23"/>
      <c r="M87" s="23"/>
    </row>
    <row r="88" spans="1:13" customFormat="1" ht="12.75" hidden="1" outlineLevel="2">
      <c r="A88" s="211"/>
      <c r="B88" s="211" t="s">
        <v>157</v>
      </c>
      <c r="C88" s="211"/>
      <c r="D88" s="211"/>
      <c r="E88" s="211"/>
      <c r="F88" s="211"/>
      <c r="G88" s="23"/>
      <c r="H88" s="23"/>
      <c r="I88" s="23"/>
      <c r="J88" s="23"/>
      <c r="K88" s="23"/>
      <c r="L88" s="23"/>
      <c r="M88" s="23"/>
    </row>
    <row r="89" spans="1:13" customFormat="1" ht="12.75" hidden="1" outlineLevel="2">
      <c r="A89" s="211"/>
      <c r="B89" s="211"/>
      <c r="C89" s="211"/>
      <c r="D89" s="211"/>
      <c r="E89" s="211"/>
      <c r="F89" s="211"/>
      <c r="G89" s="23"/>
      <c r="H89" s="23"/>
      <c r="I89" s="23"/>
      <c r="J89" s="23"/>
      <c r="K89" s="23"/>
      <c r="L89" s="23"/>
      <c r="M89" s="23"/>
    </row>
    <row r="90" spans="1:13" customFormat="1" ht="12.75" hidden="1" outlineLevel="2">
      <c r="A90" s="211"/>
      <c r="B90" s="211"/>
      <c r="C90" s="211" t="e">
        <f ca="1">IF(AND(C49=1,C63&lt;&gt;0),IF(C49&lt;&gt;0,OFFSET(B79,C79,0),""),"")</f>
        <v>#REF!</v>
      </c>
      <c r="D90" s="211"/>
      <c r="E90" s="211"/>
      <c r="F90" s="211"/>
      <c r="G90" s="23"/>
      <c r="H90" s="23"/>
      <c r="I90" s="23"/>
      <c r="J90" s="23"/>
      <c r="K90" s="23"/>
      <c r="L90" s="23"/>
      <c r="M90" s="23"/>
    </row>
    <row r="91" spans="1:13" customFormat="1" ht="12.75" hidden="1" outlineLevel="2">
      <c r="A91" s="211"/>
      <c r="B91" s="211"/>
      <c r="C91" s="211"/>
      <c r="D91" s="211"/>
      <c r="E91" s="211"/>
      <c r="F91" s="211"/>
      <c r="G91" s="23"/>
      <c r="H91" s="23"/>
      <c r="I91" s="23"/>
      <c r="J91" s="23"/>
      <c r="K91" s="23"/>
      <c r="L91" s="23"/>
      <c r="M91" s="23"/>
    </row>
    <row r="92" spans="1:13" customFormat="1" ht="12.75" hidden="1" outlineLevel="2">
      <c r="A92" s="211"/>
      <c r="B92" s="211"/>
      <c r="C92" s="211" t="e">
        <f>IF(C49&lt;&gt;1,IF(OR(C63=2,C63=3,C63=4)," миллиона",""),"")</f>
        <v>#REF!</v>
      </c>
      <c r="D92" s="211"/>
      <c r="E92" s="211"/>
      <c r="F92" s="211"/>
      <c r="G92" s="23"/>
      <c r="H92" s="23"/>
      <c r="I92" s="23"/>
      <c r="J92" s="23"/>
      <c r="K92" s="23"/>
      <c r="L92" s="23"/>
      <c r="M92" s="23"/>
    </row>
    <row r="93" spans="1:13" customFormat="1" ht="12.75" hidden="1" outlineLevel="2">
      <c r="A93" s="211"/>
      <c r="B93" s="211"/>
      <c r="C93" s="211" t="e">
        <f>IF(C49&lt;&gt;1,IF(OR(C63=1)," миллион",""),"")</f>
        <v>#REF!</v>
      </c>
      <c r="D93" s="211"/>
      <c r="E93" s="211"/>
      <c r="F93" s="211"/>
      <c r="G93" s="23"/>
      <c r="H93" s="23"/>
      <c r="I93" s="23"/>
      <c r="J93" s="23"/>
      <c r="K93" s="23"/>
      <c r="L93" s="23"/>
      <c r="M93" s="23"/>
    </row>
    <row r="94" spans="1:13" customFormat="1" ht="12.75" hidden="1" outlineLevel="2">
      <c r="A94" s="211"/>
      <c r="B94" s="211"/>
      <c r="C94" s="211" t="e">
        <f>IF(C33&lt;&gt;0,IF(AND(C92="",C93="")," миллионов",""),"")</f>
        <v>#REF!</v>
      </c>
      <c r="D94" s="211"/>
      <c r="E94" s="211"/>
      <c r="F94" s="211"/>
      <c r="G94" s="23"/>
      <c r="H94" s="23"/>
      <c r="I94" s="23"/>
      <c r="J94" s="23"/>
      <c r="K94" s="23"/>
      <c r="L94" s="23"/>
      <c r="M94" s="23"/>
    </row>
    <row r="95" spans="1:13" customFormat="1" ht="12.75" hidden="1" outlineLevel="2">
      <c r="A95" s="211"/>
      <c r="B95" s="211"/>
      <c r="C95" s="211" t="e">
        <f ca="1">(CONCATENATE(C47,C61,C75,C90,C92,C93,C94))</f>
        <v>#REF!</v>
      </c>
      <c r="D95" s="211"/>
      <c r="E95" s="211"/>
      <c r="F95" s="211"/>
      <c r="G95" s="23"/>
      <c r="H95" s="23"/>
      <c r="I95" s="23"/>
      <c r="J95" s="23"/>
      <c r="K95" s="23"/>
      <c r="L95" s="23"/>
      <c r="M95" s="23"/>
    </row>
    <row r="96" spans="1:13" customFormat="1" ht="12.75" hidden="1" outlineLevel="2">
      <c r="A96" s="211"/>
      <c r="B96" s="211"/>
      <c r="C96" s="211"/>
      <c r="D96" s="211"/>
      <c r="E96" s="211"/>
      <c r="F96" s="211"/>
      <c r="G96" s="23"/>
      <c r="H96" s="23"/>
      <c r="I96" s="23"/>
      <c r="J96" s="23"/>
      <c r="K96" s="23"/>
      <c r="L96" s="23"/>
      <c r="M96" s="23"/>
    </row>
    <row r="97" spans="1:13" customFormat="1" ht="12.75" hidden="1" outlineLevel="2">
      <c r="A97" s="211"/>
      <c r="B97" s="211" t="s">
        <v>158</v>
      </c>
      <c r="C97" s="211" t="e">
        <f>ROUNDDOWN((C32-C33*1000000)/1000,0)</f>
        <v>#REF!</v>
      </c>
      <c r="D97" s="211"/>
      <c r="E97" s="211"/>
      <c r="F97" s="211"/>
      <c r="G97" s="23"/>
      <c r="H97" s="23"/>
      <c r="I97" s="23"/>
      <c r="J97" s="23"/>
      <c r="K97" s="23"/>
      <c r="L97" s="23"/>
      <c r="M97" s="23"/>
    </row>
    <row r="98" spans="1:13" customFormat="1" ht="12.75" hidden="1" outlineLevel="2">
      <c r="A98" s="211"/>
      <c r="B98" s="211" t="s">
        <v>159</v>
      </c>
      <c r="C98" s="211" t="e">
        <f>ROUNDDOWN(C97/100,0)</f>
        <v>#REF!</v>
      </c>
      <c r="D98" s="211"/>
      <c r="E98" s="211"/>
      <c r="F98" s="211"/>
      <c r="G98" s="23"/>
      <c r="H98" s="23"/>
      <c r="I98" s="23"/>
      <c r="J98" s="23"/>
      <c r="K98" s="23"/>
      <c r="L98" s="23"/>
      <c r="M98" s="23"/>
    </row>
    <row r="99" spans="1:13" customFormat="1" ht="12.75" hidden="1" outlineLevel="2">
      <c r="A99" s="211"/>
      <c r="B99" s="211"/>
      <c r="C99" s="211"/>
      <c r="D99" s="211"/>
      <c r="E99" s="211"/>
      <c r="F99" s="211"/>
      <c r="G99" s="23"/>
      <c r="H99" s="23"/>
      <c r="I99" s="23"/>
      <c r="J99" s="23"/>
      <c r="K99" s="23"/>
      <c r="L99" s="23"/>
      <c r="M99" s="23"/>
    </row>
    <row r="100" spans="1:13" customFormat="1" ht="12.75" hidden="1" outlineLevel="2">
      <c r="A100" s="211"/>
      <c r="B100" s="211" t="s">
        <v>160</v>
      </c>
      <c r="C100" s="211"/>
      <c r="D100" s="211"/>
      <c r="E100" s="211"/>
      <c r="F100" s="211"/>
      <c r="G100" s="23"/>
      <c r="H100" s="23"/>
      <c r="I100" s="23"/>
      <c r="J100" s="23"/>
      <c r="K100" s="23"/>
      <c r="L100" s="23"/>
      <c r="M100" s="23"/>
    </row>
    <row r="101" spans="1:13" customFormat="1" ht="12.75" hidden="1" outlineLevel="2">
      <c r="A101" s="211"/>
      <c r="B101" s="211" t="s">
        <v>161</v>
      </c>
      <c r="C101" s="211"/>
      <c r="D101" s="211"/>
      <c r="E101" s="211"/>
      <c r="F101" s="211"/>
      <c r="G101" s="23"/>
      <c r="H101" s="23"/>
      <c r="I101" s="23"/>
      <c r="J101" s="23"/>
      <c r="K101" s="23"/>
      <c r="L101" s="23"/>
      <c r="M101" s="23"/>
    </row>
    <row r="102" spans="1:13" customFormat="1" ht="12.75" hidden="1" outlineLevel="2">
      <c r="A102" s="211"/>
      <c r="B102" s="211" t="s">
        <v>162</v>
      </c>
      <c r="C102" s="211"/>
      <c r="D102" s="211"/>
      <c r="E102" s="211"/>
      <c r="F102" s="211"/>
      <c r="G102" s="23"/>
      <c r="H102" s="23"/>
      <c r="I102" s="23"/>
      <c r="J102" s="23"/>
      <c r="K102" s="23"/>
      <c r="L102" s="23"/>
      <c r="M102" s="23"/>
    </row>
    <row r="103" spans="1:13" customFormat="1" ht="12.75" hidden="1" outlineLevel="2">
      <c r="A103" s="211"/>
      <c r="B103" s="211" t="s">
        <v>163</v>
      </c>
      <c r="C103" s="211"/>
      <c r="D103" s="211"/>
      <c r="E103" s="211"/>
      <c r="F103" s="211"/>
      <c r="G103" s="23"/>
      <c r="H103" s="23"/>
      <c r="I103" s="23"/>
      <c r="J103" s="23"/>
      <c r="K103" s="23"/>
      <c r="L103" s="23"/>
      <c r="M103" s="23"/>
    </row>
    <row r="104" spans="1:13" customFormat="1" ht="12.75" hidden="1" outlineLevel="2">
      <c r="A104" s="211"/>
      <c r="B104" s="211" t="s">
        <v>164</v>
      </c>
      <c r="C104" s="211"/>
      <c r="D104" s="211"/>
      <c r="E104" s="211"/>
      <c r="F104" s="211"/>
      <c r="G104" s="23"/>
      <c r="H104" s="23"/>
      <c r="I104" s="23"/>
      <c r="J104" s="23"/>
      <c r="K104" s="23"/>
      <c r="L104" s="23"/>
      <c r="M104" s="23"/>
    </row>
    <row r="105" spans="1:13" customFormat="1" ht="12.75" hidden="1" outlineLevel="2">
      <c r="A105" s="211"/>
      <c r="B105" s="211" t="s">
        <v>165</v>
      </c>
      <c r="C105" s="211"/>
      <c r="D105" s="211"/>
      <c r="E105" s="211"/>
      <c r="F105" s="211"/>
      <c r="G105" s="23"/>
      <c r="H105" s="23"/>
      <c r="I105" s="23"/>
      <c r="J105" s="23"/>
      <c r="K105" s="23"/>
      <c r="L105" s="23"/>
      <c r="M105" s="23"/>
    </row>
    <row r="106" spans="1:13" customFormat="1" ht="12.75" hidden="1" outlineLevel="2">
      <c r="A106" s="211"/>
      <c r="B106" s="211" t="s">
        <v>166</v>
      </c>
      <c r="C106" s="211"/>
      <c r="D106" s="211"/>
      <c r="E106" s="211"/>
      <c r="F106" s="211"/>
      <c r="G106" s="23"/>
      <c r="H106" s="23"/>
      <c r="I106" s="23"/>
      <c r="J106" s="23"/>
      <c r="K106" s="23"/>
      <c r="L106" s="23"/>
      <c r="M106" s="23"/>
    </row>
    <row r="107" spans="1:13" customFormat="1" ht="12.75" hidden="1" outlineLevel="2">
      <c r="A107" s="211"/>
      <c r="B107" s="211" t="s">
        <v>167</v>
      </c>
      <c r="C107" s="211"/>
      <c r="D107" s="211"/>
      <c r="E107" s="211"/>
      <c r="F107" s="211"/>
      <c r="G107" s="23"/>
      <c r="H107" s="23"/>
      <c r="I107" s="23"/>
      <c r="J107" s="23"/>
      <c r="K107" s="23"/>
      <c r="L107" s="23"/>
      <c r="M107" s="23"/>
    </row>
    <row r="108" spans="1:13" customFormat="1" ht="12.75" hidden="1" outlineLevel="2">
      <c r="A108" s="211"/>
      <c r="B108" s="211" t="s">
        <v>168</v>
      </c>
      <c r="C108" s="211"/>
      <c r="D108" s="211"/>
      <c r="E108" s="211"/>
      <c r="F108" s="211"/>
      <c r="G108" s="23"/>
      <c r="H108" s="23"/>
      <c r="I108" s="23"/>
      <c r="J108" s="23"/>
      <c r="K108" s="23"/>
      <c r="L108" s="23"/>
      <c r="M108" s="23"/>
    </row>
    <row r="109" spans="1:13" customFormat="1" ht="12.75" hidden="1" outlineLevel="2">
      <c r="A109" s="211"/>
      <c r="B109" s="211"/>
      <c r="C109" s="211"/>
      <c r="D109" s="211"/>
      <c r="E109" s="211"/>
      <c r="F109" s="211"/>
      <c r="G109" s="23"/>
      <c r="H109" s="23"/>
      <c r="I109" s="23"/>
      <c r="J109" s="23"/>
      <c r="K109" s="23"/>
      <c r="L109" s="23"/>
      <c r="M109" s="23"/>
    </row>
    <row r="110" spans="1:13" customFormat="1" ht="12.75" hidden="1" outlineLevel="2">
      <c r="A110" s="211"/>
      <c r="B110" s="211"/>
      <c r="C110" s="211" t="e">
        <f ca="1">IF(C98&lt;&gt;0,OFFSET(B99,C98,0),"")</f>
        <v>#REF!</v>
      </c>
      <c r="D110" s="211"/>
      <c r="E110" s="211"/>
      <c r="F110" s="211"/>
      <c r="G110" s="23"/>
      <c r="H110" s="23"/>
      <c r="I110" s="23"/>
      <c r="J110" s="23"/>
      <c r="K110" s="23"/>
      <c r="L110" s="23"/>
      <c r="M110" s="23"/>
    </row>
    <row r="111" spans="1:13" customFormat="1" ht="12.75" hidden="1" outlineLevel="2">
      <c r="A111" s="211"/>
      <c r="B111" s="211"/>
      <c r="C111" s="211"/>
      <c r="D111" s="211"/>
      <c r="E111" s="211"/>
      <c r="F111" s="211"/>
      <c r="G111" s="23"/>
      <c r="H111" s="23"/>
      <c r="I111" s="23"/>
      <c r="J111" s="23"/>
      <c r="K111" s="23"/>
      <c r="L111" s="23"/>
      <c r="M111" s="23"/>
    </row>
    <row r="112" spans="1:13" customFormat="1" ht="12.75" hidden="1" outlineLevel="2">
      <c r="A112" s="211"/>
      <c r="B112" s="211" t="s">
        <v>169</v>
      </c>
      <c r="C112" s="211" t="e">
        <f>ROUNDDOWN((C97-C98*100)/10,0)</f>
        <v>#REF!</v>
      </c>
      <c r="D112" s="211"/>
      <c r="E112" s="211"/>
      <c r="F112" s="211"/>
      <c r="G112" s="23"/>
      <c r="H112" s="23"/>
      <c r="I112" s="23"/>
      <c r="J112" s="23"/>
      <c r="K112" s="23"/>
      <c r="L112" s="23"/>
      <c r="M112" s="23"/>
    </row>
    <row r="113" spans="1:13" customFormat="1" ht="12.75" hidden="1" outlineLevel="2">
      <c r="A113" s="211"/>
      <c r="B113" s="211"/>
      <c r="C113" s="211"/>
      <c r="D113" s="211"/>
      <c r="E113" s="211"/>
      <c r="F113" s="211"/>
      <c r="G113" s="23"/>
      <c r="H113" s="23"/>
      <c r="I113" s="23"/>
      <c r="J113" s="23"/>
      <c r="K113" s="23"/>
      <c r="L113" s="23"/>
      <c r="M113" s="23"/>
    </row>
    <row r="114" spans="1:13" customFormat="1" ht="12.75" hidden="1" outlineLevel="2">
      <c r="A114" s="211"/>
      <c r="B114" s="211" t="s">
        <v>129</v>
      </c>
      <c r="C114" s="211"/>
      <c r="D114" s="211"/>
      <c r="E114" s="211"/>
      <c r="F114" s="211"/>
      <c r="G114" s="23"/>
      <c r="H114" s="23"/>
      <c r="I114" s="23"/>
      <c r="J114" s="23"/>
      <c r="K114" s="23"/>
      <c r="L114" s="23"/>
      <c r="M114" s="23"/>
    </row>
    <row r="115" spans="1:13" customFormat="1" ht="12.75" hidden="1" outlineLevel="2">
      <c r="A115" s="211"/>
      <c r="B115" s="211" t="s">
        <v>130</v>
      </c>
      <c r="C115" s="211"/>
      <c r="D115" s="211"/>
      <c r="E115" s="211"/>
      <c r="F115" s="211"/>
      <c r="G115" s="23"/>
      <c r="H115" s="23"/>
      <c r="I115" s="23"/>
      <c r="J115" s="23"/>
      <c r="K115" s="23"/>
      <c r="L115" s="23"/>
      <c r="M115" s="23"/>
    </row>
    <row r="116" spans="1:13" customFormat="1" ht="12.75" hidden="1" outlineLevel="2">
      <c r="A116" s="211"/>
      <c r="B116" s="211" t="s">
        <v>131</v>
      </c>
      <c r="C116" s="211"/>
      <c r="D116" s="211"/>
      <c r="E116" s="211"/>
      <c r="F116" s="211"/>
      <c r="G116" s="23"/>
      <c r="H116" s="23"/>
      <c r="I116" s="23"/>
      <c r="J116" s="23"/>
      <c r="K116" s="23"/>
      <c r="L116" s="23"/>
      <c r="M116" s="23"/>
    </row>
    <row r="117" spans="1:13" customFormat="1" ht="12.75" hidden="1" outlineLevel="2">
      <c r="A117" s="211"/>
      <c r="B117" s="211" t="s">
        <v>132</v>
      </c>
      <c r="C117" s="211"/>
      <c r="D117" s="211"/>
      <c r="E117" s="211"/>
      <c r="F117" s="211"/>
      <c r="G117" s="23"/>
      <c r="H117" s="23"/>
      <c r="I117" s="23"/>
      <c r="J117" s="23"/>
      <c r="K117" s="23"/>
      <c r="L117" s="23"/>
      <c r="M117" s="23"/>
    </row>
    <row r="118" spans="1:13" customFormat="1" ht="12.75" hidden="1" outlineLevel="2">
      <c r="A118" s="211"/>
      <c r="B118" s="211" t="s">
        <v>133</v>
      </c>
      <c r="C118" s="211"/>
      <c r="D118" s="211"/>
      <c r="E118" s="211"/>
      <c r="F118" s="211"/>
      <c r="G118" s="23"/>
      <c r="H118" s="23"/>
      <c r="I118" s="23"/>
      <c r="J118" s="23"/>
      <c r="K118" s="23"/>
      <c r="L118" s="23"/>
      <c r="M118" s="23"/>
    </row>
    <row r="119" spans="1:13" customFormat="1" ht="12.75" hidden="1" outlineLevel="2">
      <c r="A119" s="211"/>
      <c r="B119" s="211" t="s">
        <v>134</v>
      </c>
      <c r="C119" s="211"/>
      <c r="D119" s="211"/>
      <c r="E119" s="211"/>
      <c r="F119" s="211"/>
      <c r="G119" s="23"/>
      <c r="H119" s="23"/>
      <c r="I119" s="23"/>
      <c r="J119" s="23"/>
      <c r="K119" s="23"/>
      <c r="L119" s="23"/>
      <c r="M119" s="23"/>
    </row>
    <row r="120" spans="1:13" customFormat="1" ht="12.75" hidden="1" outlineLevel="2">
      <c r="A120" s="211"/>
      <c r="B120" s="211" t="s">
        <v>135</v>
      </c>
      <c r="C120" s="211"/>
      <c r="D120" s="211"/>
      <c r="E120" s="211"/>
      <c r="F120" s="211"/>
      <c r="G120" s="23"/>
      <c r="H120" s="23"/>
      <c r="I120" s="23"/>
      <c r="J120" s="23"/>
      <c r="K120" s="23"/>
      <c r="L120" s="23"/>
      <c r="M120" s="23"/>
    </row>
    <row r="121" spans="1:13" customFormat="1" ht="12.75" hidden="1" outlineLevel="2">
      <c r="A121" s="211"/>
      <c r="B121" s="211" t="s">
        <v>136</v>
      </c>
      <c r="C121" s="211"/>
      <c r="D121" s="211"/>
      <c r="E121" s="211"/>
      <c r="F121" s="211"/>
      <c r="G121" s="23"/>
      <c r="H121" s="23"/>
      <c r="I121" s="23"/>
      <c r="J121" s="23"/>
      <c r="K121" s="23"/>
      <c r="L121" s="23"/>
      <c r="M121" s="23"/>
    </row>
    <row r="122" spans="1:13" customFormat="1" ht="12.75" hidden="1" outlineLevel="2">
      <c r="A122" s="211"/>
      <c r="B122" s="211" t="s">
        <v>137</v>
      </c>
      <c r="C122" s="211"/>
      <c r="D122" s="211"/>
      <c r="E122" s="211"/>
      <c r="F122" s="211"/>
      <c r="G122" s="23"/>
      <c r="H122" s="23"/>
      <c r="I122" s="23"/>
      <c r="J122" s="23"/>
      <c r="K122" s="23"/>
      <c r="L122" s="23"/>
      <c r="M122" s="23"/>
    </row>
    <row r="123" spans="1:13" customFormat="1" ht="12.75" hidden="1" outlineLevel="2">
      <c r="A123" s="211"/>
      <c r="B123" s="211"/>
      <c r="C123" s="211"/>
      <c r="D123" s="211"/>
      <c r="E123" s="211"/>
      <c r="F123" s="211"/>
      <c r="G123" s="23"/>
      <c r="H123" s="23"/>
      <c r="I123" s="23"/>
      <c r="J123" s="23"/>
      <c r="K123" s="23"/>
      <c r="L123" s="23"/>
      <c r="M123" s="23"/>
    </row>
    <row r="124" spans="1:13" customFormat="1" ht="12.75" hidden="1" outlineLevel="2">
      <c r="A124" s="211"/>
      <c r="B124" s="211"/>
      <c r="C124" s="211" t="e">
        <f ca="1">IF(AND(C112=1,C126&lt;&gt;0),"",IF(C112&lt;&gt;0,OFFSET(B113,C112,0),""))</f>
        <v>#REF!</v>
      </c>
      <c r="D124" s="211"/>
      <c r="E124" s="211"/>
      <c r="F124" s="211"/>
      <c r="G124" s="23"/>
      <c r="H124" s="23"/>
      <c r="I124" s="23"/>
      <c r="J124" s="23"/>
      <c r="K124" s="23"/>
      <c r="L124" s="23"/>
      <c r="M124" s="23"/>
    </row>
    <row r="125" spans="1:13" customFormat="1" ht="12.75" hidden="1" outlineLevel="2">
      <c r="A125" s="211"/>
      <c r="B125" s="211"/>
      <c r="C125" s="211"/>
      <c r="D125" s="211"/>
      <c r="E125" s="211"/>
      <c r="F125" s="211"/>
      <c r="G125" s="23"/>
      <c r="H125" s="23"/>
      <c r="I125" s="23"/>
      <c r="J125" s="23"/>
      <c r="K125" s="23"/>
      <c r="L125" s="23"/>
      <c r="M125" s="23"/>
    </row>
    <row r="126" spans="1:13" customFormat="1" ht="12.75" hidden="1" outlineLevel="2">
      <c r="A126" s="211"/>
      <c r="B126" s="211" t="s">
        <v>158</v>
      </c>
      <c r="C126" s="211" t="e">
        <f>C97-C98*100-C112*10</f>
        <v>#REF!</v>
      </c>
      <c r="D126" s="211"/>
      <c r="E126" s="211"/>
      <c r="F126" s="211"/>
      <c r="G126" s="23"/>
      <c r="H126" s="23"/>
      <c r="I126" s="23"/>
      <c r="J126" s="23"/>
      <c r="K126" s="23"/>
      <c r="L126" s="23"/>
      <c r="M126" s="23"/>
    </row>
    <row r="127" spans="1:13" customFormat="1" ht="12.75" hidden="1" outlineLevel="2">
      <c r="A127" s="211"/>
      <c r="B127" s="211"/>
      <c r="C127" s="211"/>
      <c r="D127" s="211"/>
      <c r="E127" s="211"/>
      <c r="F127" s="211"/>
      <c r="G127" s="23"/>
      <c r="H127" s="23"/>
      <c r="I127" s="23"/>
      <c r="J127" s="23"/>
      <c r="K127" s="23"/>
      <c r="L127" s="23"/>
      <c r="M127" s="23"/>
    </row>
    <row r="128" spans="1:13" customFormat="1" ht="12.75" hidden="1" outlineLevel="2">
      <c r="A128" s="211"/>
      <c r="B128" s="211" t="s">
        <v>170</v>
      </c>
      <c r="C128" s="211"/>
      <c r="D128" s="211"/>
      <c r="E128" s="211"/>
      <c r="F128" s="211"/>
      <c r="G128" s="23"/>
      <c r="H128" s="23"/>
      <c r="I128" s="23"/>
      <c r="J128" s="23"/>
      <c r="K128" s="23"/>
      <c r="L128" s="23"/>
      <c r="M128" s="23"/>
    </row>
    <row r="129" spans="1:13" customFormat="1" ht="12.75" hidden="1" outlineLevel="2">
      <c r="A129" s="211"/>
      <c r="B129" s="211" t="s">
        <v>171</v>
      </c>
      <c r="C129" s="211"/>
      <c r="D129" s="211"/>
      <c r="E129" s="211"/>
      <c r="F129" s="211"/>
      <c r="G129" s="23"/>
      <c r="H129" s="23"/>
      <c r="I129" s="23"/>
      <c r="J129" s="23"/>
      <c r="K129" s="23"/>
      <c r="L129" s="23"/>
      <c r="M129" s="23"/>
    </row>
    <row r="130" spans="1:13" customFormat="1" ht="12.75" hidden="1" outlineLevel="2">
      <c r="A130" s="211"/>
      <c r="B130" s="211" t="s">
        <v>141</v>
      </c>
      <c r="C130" s="211"/>
      <c r="D130" s="211"/>
      <c r="E130" s="211"/>
      <c r="F130" s="211"/>
      <c r="G130" s="23"/>
      <c r="H130" s="23"/>
      <c r="I130" s="23"/>
      <c r="J130" s="23"/>
      <c r="K130" s="23"/>
      <c r="L130" s="23"/>
      <c r="M130" s="23"/>
    </row>
    <row r="131" spans="1:13" customFormat="1" ht="12.75" hidden="1" outlineLevel="2">
      <c r="A131" s="211"/>
      <c r="B131" s="211" t="s">
        <v>142</v>
      </c>
      <c r="C131" s="211"/>
      <c r="D131" s="211"/>
      <c r="E131" s="211"/>
      <c r="F131" s="211"/>
      <c r="G131" s="23"/>
      <c r="H131" s="23"/>
      <c r="I131" s="23"/>
      <c r="J131" s="23"/>
      <c r="K131" s="23"/>
      <c r="L131" s="23"/>
      <c r="M131" s="23"/>
    </row>
    <row r="132" spans="1:13" customFormat="1" ht="12.75" hidden="1" outlineLevel="2">
      <c r="A132" s="211"/>
      <c r="B132" s="211" t="s">
        <v>143</v>
      </c>
      <c r="C132" s="211"/>
      <c r="D132" s="211"/>
      <c r="E132" s="211"/>
      <c r="F132" s="211"/>
      <c r="G132" s="23"/>
      <c r="H132" s="23"/>
      <c r="I132" s="23"/>
      <c r="J132" s="23"/>
      <c r="K132" s="23"/>
      <c r="L132" s="23"/>
      <c r="M132" s="23"/>
    </row>
    <row r="133" spans="1:13" customFormat="1" ht="12.75" hidden="1" outlineLevel="2">
      <c r="A133" s="211"/>
      <c r="B133" s="211" t="s">
        <v>144</v>
      </c>
      <c r="C133" s="211"/>
      <c r="D133" s="211"/>
      <c r="E133" s="211"/>
      <c r="F133" s="211"/>
      <c r="G133" s="23"/>
      <c r="H133" s="23"/>
      <c r="I133" s="23"/>
      <c r="J133" s="23"/>
      <c r="K133" s="23"/>
      <c r="L133" s="23"/>
      <c r="M133" s="23"/>
    </row>
    <row r="134" spans="1:13" customFormat="1" ht="12.75" hidden="1" outlineLevel="2">
      <c r="A134" s="211"/>
      <c r="B134" s="211" t="s">
        <v>145</v>
      </c>
      <c r="C134" s="211"/>
      <c r="D134" s="211"/>
      <c r="E134" s="211"/>
      <c r="F134" s="211"/>
      <c r="G134" s="23"/>
      <c r="H134" s="23"/>
      <c r="I134" s="23"/>
      <c r="J134" s="23"/>
      <c r="K134" s="23"/>
      <c r="L134" s="23"/>
      <c r="M134" s="23"/>
    </row>
    <row r="135" spans="1:13" customFormat="1" ht="12.75" hidden="1" outlineLevel="2">
      <c r="A135" s="211"/>
      <c r="B135" s="211" t="s">
        <v>146</v>
      </c>
      <c r="C135" s="211"/>
      <c r="D135" s="211"/>
      <c r="E135" s="211"/>
      <c r="F135" s="211"/>
      <c r="G135" s="23"/>
      <c r="H135" s="23"/>
      <c r="I135" s="23"/>
      <c r="J135" s="23"/>
      <c r="K135" s="23"/>
      <c r="L135" s="23"/>
      <c r="M135" s="23"/>
    </row>
    <row r="136" spans="1:13" customFormat="1" ht="12.75" hidden="1" outlineLevel="2">
      <c r="A136" s="211"/>
      <c r="B136" s="211" t="s">
        <v>147</v>
      </c>
      <c r="C136" s="211"/>
      <c r="D136" s="211"/>
      <c r="E136" s="211"/>
      <c r="F136" s="211"/>
      <c r="G136" s="23"/>
      <c r="H136" s="23"/>
      <c r="I136" s="23"/>
      <c r="J136" s="23"/>
      <c r="K136" s="23"/>
      <c r="L136" s="23"/>
      <c r="M136" s="23"/>
    </row>
    <row r="137" spans="1:13" customFormat="1" ht="12.75" hidden="1" outlineLevel="2">
      <c r="A137" s="211"/>
      <c r="B137" s="211"/>
      <c r="C137" s="211"/>
      <c r="D137" s="211"/>
      <c r="E137" s="211"/>
      <c r="F137" s="211"/>
      <c r="G137" s="23"/>
      <c r="H137" s="23"/>
      <c r="I137" s="23"/>
      <c r="J137" s="23"/>
      <c r="K137" s="23"/>
      <c r="L137" s="23"/>
      <c r="M137" s="23"/>
    </row>
    <row r="138" spans="1:13" customFormat="1" ht="12.75" hidden="1" outlineLevel="2">
      <c r="A138" s="211"/>
      <c r="B138" s="211"/>
      <c r="C138" s="211" t="e">
        <f ca="1">IF(C112&lt;&gt;1,IF(C126&lt;&gt;0,OFFSET(B127,C126,0),""),"")</f>
        <v>#REF!</v>
      </c>
      <c r="D138" s="211"/>
      <c r="E138" s="211"/>
      <c r="F138" s="211"/>
      <c r="G138" s="23"/>
      <c r="H138" s="23"/>
      <c r="I138" s="23"/>
      <c r="J138" s="23"/>
      <c r="K138" s="23"/>
      <c r="L138" s="23"/>
      <c r="M138" s="23"/>
    </row>
    <row r="139" spans="1:13" customFormat="1" ht="12.75" hidden="1" outlineLevel="2">
      <c r="A139" s="211"/>
      <c r="B139" s="211"/>
      <c r="C139" s="211"/>
      <c r="D139" s="211"/>
      <c r="E139" s="211"/>
      <c r="F139" s="211"/>
      <c r="G139" s="23"/>
      <c r="H139" s="23"/>
      <c r="I139" s="23"/>
      <c r="J139" s="23"/>
      <c r="K139" s="23"/>
      <c r="L139" s="23"/>
      <c r="M139" s="23"/>
    </row>
    <row r="140" spans="1:13" customFormat="1" ht="12.75" hidden="1" outlineLevel="2">
      <c r="A140" s="211"/>
      <c r="B140" s="211" t="s">
        <v>148</v>
      </c>
      <c r="C140" s="211"/>
      <c r="D140" s="211"/>
      <c r="E140" s="211"/>
      <c r="F140" s="211"/>
      <c r="G140" s="23"/>
      <c r="H140" s="23"/>
      <c r="I140" s="23"/>
      <c r="J140" s="23"/>
      <c r="K140" s="23"/>
      <c r="L140" s="23"/>
      <c r="M140" s="23"/>
    </row>
    <row r="141" spans="1:13" customFormat="1" ht="12.75" hidden="1" outlineLevel="2">
      <c r="A141" s="211"/>
      <c r="B141" s="211"/>
      <c r="C141" s="211"/>
      <c r="D141" s="211"/>
      <c r="E141" s="211"/>
      <c r="F141" s="211"/>
      <c r="G141" s="23"/>
      <c r="H141" s="23"/>
      <c r="I141" s="23"/>
      <c r="J141" s="23"/>
      <c r="K141" s="23"/>
      <c r="L141" s="23"/>
      <c r="M141" s="23"/>
    </row>
    <row r="142" spans="1:13" customFormat="1" ht="12.75" hidden="1" outlineLevel="2">
      <c r="A142" s="211"/>
      <c r="B142" s="211"/>
      <c r="C142" s="211" t="e">
        <f>+C126</f>
        <v>#REF!</v>
      </c>
      <c r="D142" s="211"/>
      <c r="E142" s="211"/>
      <c r="F142" s="211"/>
      <c r="G142" s="23"/>
      <c r="H142" s="23"/>
      <c r="I142" s="23"/>
      <c r="J142" s="23"/>
      <c r="K142" s="23"/>
      <c r="L142" s="23"/>
      <c r="M142" s="23"/>
    </row>
    <row r="143" spans="1:13" customFormat="1" ht="12.75" hidden="1" outlineLevel="2">
      <c r="A143" s="211"/>
      <c r="B143" s="211" t="s">
        <v>149</v>
      </c>
      <c r="C143" s="211"/>
      <c r="D143" s="211"/>
      <c r="E143" s="211"/>
      <c r="F143" s="211"/>
      <c r="G143" s="23"/>
      <c r="H143" s="23"/>
      <c r="I143" s="23"/>
      <c r="J143" s="23"/>
      <c r="K143" s="23"/>
      <c r="L143" s="23"/>
      <c r="M143" s="23"/>
    </row>
    <row r="144" spans="1:13" customFormat="1" ht="12.75" hidden="1" outlineLevel="2">
      <c r="A144" s="211"/>
      <c r="B144" s="211" t="s">
        <v>150</v>
      </c>
      <c r="C144" s="211"/>
      <c r="D144" s="211"/>
      <c r="E144" s="211"/>
      <c r="F144" s="211"/>
      <c r="G144" s="23"/>
      <c r="H144" s="23"/>
      <c r="I144" s="23"/>
      <c r="J144" s="23"/>
      <c r="K144" s="23"/>
      <c r="L144" s="23"/>
      <c r="M144" s="23"/>
    </row>
    <row r="145" spans="1:13" customFormat="1" ht="12.75" hidden="1" outlineLevel="2">
      <c r="A145" s="211"/>
      <c r="B145" s="211" t="s">
        <v>151</v>
      </c>
      <c r="C145" s="211"/>
      <c r="D145" s="211"/>
      <c r="E145" s="211"/>
      <c r="F145" s="211"/>
      <c r="G145" s="23"/>
      <c r="H145" s="23"/>
      <c r="I145" s="23"/>
      <c r="J145" s="23"/>
      <c r="K145" s="23"/>
      <c r="L145" s="23"/>
      <c r="M145" s="23"/>
    </row>
    <row r="146" spans="1:13" customFormat="1" ht="12.75" hidden="1" outlineLevel="2">
      <c r="A146" s="211"/>
      <c r="B146" s="211" t="s">
        <v>152</v>
      </c>
      <c r="C146" s="211"/>
      <c r="D146" s="211"/>
      <c r="E146" s="211"/>
      <c r="F146" s="211"/>
      <c r="G146" s="23"/>
      <c r="H146" s="23"/>
      <c r="I146" s="23"/>
      <c r="J146" s="23"/>
      <c r="K146" s="23"/>
      <c r="L146" s="23"/>
      <c r="M146" s="23"/>
    </row>
    <row r="147" spans="1:13" customFormat="1" ht="12.75" hidden="1" outlineLevel="2">
      <c r="A147" s="211"/>
      <c r="B147" s="211" t="s">
        <v>153</v>
      </c>
      <c r="C147" s="211"/>
      <c r="D147" s="211"/>
      <c r="E147" s="211"/>
      <c r="F147" s="211"/>
      <c r="G147" s="23"/>
      <c r="H147" s="23"/>
      <c r="I147" s="23"/>
      <c r="J147" s="23"/>
      <c r="K147" s="23"/>
      <c r="L147" s="23"/>
      <c r="M147" s="23"/>
    </row>
    <row r="148" spans="1:13" customFormat="1" ht="12.75" hidden="1" outlineLevel="2">
      <c r="A148" s="211"/>
      <c r="B148" s="211" t="s">
        <v>154</v>
      </c>
      <c r="C148" s="211"/>
      <c r="D148" s="211"/>
      <c r="E148" s="211"/>
      <c r="F148" s="211"/>
      <c r="G148" s="23"/>
      <c r="H148" s="23"/>
      <c r="I148" s="23"/>
      <c r="J148" s="23"/>
      <c r="K148" s="23"/>
      <c r="L148" s="23"/>
      <c r="M148" s="23"/>
    </row>
    <row r="149" spans="1:13" customFormat="1" ht="12.75" hidden="1" outlineLevel="2">
      <c r="A149" s="211"/>
      <c r="B149" s="211" t="s">
        <v>155</v>
      </c>
      <c r="C149" s="211"/>
      <c r="D149" s="211"/>
      <c r="E149" s="211"/>
      <c r="F149" s="211"/>
      <c r="G149" s="23"/>
      <c r="H149" s="23"/>
      <c r="I149" s="23"/>
      <c r="J149" s="23"/>
      <c r="K149" s="23"/>
      <c r="L149" s="23"/>
      <c r="M149" s="23"/>
    </row>
    <row r="150" spans="1:13" customFormat="1" ht="12.75" hidden="1" outlineLevel="2">
      <c r="A150" s="211"/>
      <c r="B150" s="211" t="s">
        <v>156</v>
      </c>
      <c r="C150" s="211"/>
      <c r="D150" s="211"/>
      <c r="E150" s="211"/>
      <c r="F150" s="211"/>
      <c r="G150" s="23"/>
      <c r="H150" s="23"/>
      <c r="I150" s="23"/>
      <c r="J150" s="23"/>
      <c r="K150" s="23"/>
      <c r="L150" s="23"/>
      <c r="M150" s="23"/>
    </row>
    <row r="151" spans="1:13" customFormat="1" ht="12.75" hidden="1" outlineLevel="2">
      <c r="A151" s="211"/>
      <c r="B151" s="211" t="s">
        <v>157</v>
      </c>
      <c r="C151" s="211"/>
      <c r="D151" s="211"/>
      <c r="E151" s="211"/>
      <c r="F151" s="211"/>
      <c r="G151" s="23"/>
      <c r="H151" s="23"/>
      <c r="I151" s="23"/>
      <c r="J151" s="23"/>
      <c r="K151" s="23"/>
      <c r="L151" s="23"/>
      <c r="M151" s="23"/>
    </row>
    <row r="152" spans="1:13" customFormat="1" ht="12.75" hidden="1" outlineLevel="2">
      <c r="A152" s="211"/>
      <c r="B152" s="211"/>
      <c r="C152" s="211"/>
      <c r="D152" s="211"/>
      <c r="E152" s="211"/>
      <c r="F152" s="211"/>
      <c r="G152" s="23"/>
      <c r="H152" s="23"/>
      <c r="I152" s="23"/>
      <c r="J152" s="23"/>
      <c r="K152" s="23"/>
      <c r="L152" s="23"/>
      <c r="M152" s="23"/>
    </row>
    <row r="153" spans="1:13" customFormat="1" ht="12.75" hidden="1" outlineLevel="2">
      <c r="A153" s="211"/>
      <c r="B153" s="211"/>
      <c r="C153" s="211" t="e">
        <f ca="1">IF(AND(C112=1,C126&lt;&gt;0),IF(C112&lt;&gt;0,OFFSET(B142,C142,0),""),"")</f>
        <v>#REF!</v>
      </c>
      <c r="D153" s="211"/>
      <c r="E153" s="211"/>
      <c r="F153" s="211"/>
      <c r="G153" s="23"/>
      <c r="H153" s="23"/>
      <c r="I153" s="23"/>
      <c r="J153" s="23"/>
      <c r="K153" s="23"/>
      <c r="L153" s="23"/>
      <c r="M153" s="23"/>
    </row>
    <row r="154" spans="1:13" customFormat="1" ht="12.75" hidden="1" outlineLevel="2">
      <c r="A154" s="211"/>
      <c r="B154" s="211"/>
      <c r="C154" s="211"/>
      <c r="D154" s="211"/>
      <c r="E154" s="211"/>
      <c r="F154" s="211"/>
      <c r="G154" s="23"/>
      <c r="H154" s="23"/>
      <c r="I154" s="23"/>
      <c r="J154" s="23"/>
      <c r="K154" s="23"/>
      <c r="L154" s="23"/>
      <c r="M154" s="23"/>
    </row>
    <row r="155" spans="1:13" customFormat="1" ht="12.75" hidden="1" outlineLevel="2">
      <c r="A155" s="211"/>
      <c r="B155" s="211"/>
      <c r="C155" s="211" t="e">
        <f>IF(C112&lt;&gt;1,IF(OR(C126=2,C126=3,C126=4)," тысячи",""),"")</f>
        <v>#REF!</v>
      </c>
      <c r="D155" s="211"/>
      <c r="E155" s="211"/>
      <c r="F155" s="211"/>
      <c r="G155" s="23"/>
      <c r="H155" s="23"/>
      <c r="I155" s="23"/>
      <c r="J155" s="23"/>
      <c r="K155" s="23"/>
      <c r="L155" s="23"/>
      <c r="M155" s="23"/>
    </row>
    <row r="156" spans="1:13" customFormat="1" ht="12.75" hidden="1" outlineLevel="2">
      <c r="A156" s="211"/>
      <c r="B156" s="211"/>
      <c r="C156" s="211" t="e">
        <f>IF(C112&lt;&gt;1,IF(OR(C126=1)," тысяча",""),"")</f>
        <v>#REF!</v>
      </c>
      <c r="D156" s="211"/>
      <c r="E156" s="211"/>
      <c r="F156" s="211"/>
      <c r="G156" s="23"/>
      <c r="H156" s="23"/>
      <c r="I156" s="23"/>
      <c r="J156" s="23"/>
      <c r="K156" s="23"/>
      <c r="L156" s="23"/>
      <c r="M156" s="23"/>
    </row>
    <row r="157" spans="1:13" customFormat="1" ht="12.75" hidden="1" outlineLevel="2">
      <c r="A157" s="211"/>
      <c r="B157" s="211"/>
      <c r="C157" s="211" t="e">
        <f>IF(C97&lt;&gt;0,IF(AND(C155="",C156="")," тысяч",""),"")</f>
        <v>#REF!</v>
      </c>
      <c r="D157" s="211"/>
      <c r="E157" s="211"/>
      <c r="F157" s="211"/>
      <c r="G157" s="23"/>
      <c r="H157" s="23"/>
      <c r="I157" s="23"/>
      <c r="J157" s="23"/>
      <c r="K157" s="23"/>
      <c r="L157" s="23"/>
      <c r="M157" s="23"/>
    </row>
    <row r="158" spans="1:13" customFormat="1" ht="12.75" hidden="1" outlineLevel="2">
      <c r="A158" s="211"/>
      <c r="B158" s="211"/>
      <c r="C158" s="211" t="e">
        <f ca="1">(CONCATENATE(C110,C124,C138,C153,C155,C156,C157))</f>
        <v>#REF!</v>
      </c>
      <c r="D158" s="211"/>
      <c r="E158" s="211"/>
      <c r="F158" s="211"/>
      <c r="G158" s="23"/>
      <c r="H158" s="23"/>
      <c r="I158" s="23"/>
      <c r="J158" s="23"/>
      <c r="K158" s="23"/>
      <c r="L158" s="23"/>
      <c r="M158" s="23"/>
    </row>
    <row r="159" spans="1:13" customFormat="1" ht="12.75" hidden="1" outlineLevel="2">
      <c r="A159" s="211"/>
      <c r="B159" s="211"/>
      <c r="C159" s="211"/>
      <c r="D159" s="211"/>
      <c r="E159" s="211"/>
      <c r="F159" s="211"/>
      <c r="G159" s="23"/>
      <c r="H159" s="23"/>
      <c r="I159" s="23"/>
      <c r="J159" s="23"/>
      <c r="K159" s="23"/>
      <c r="L159" s="23"/>
      <c r="M159" s="23"/>
    </row>
    <row r="160" spans="1:13" customFormat="1" ht="12.75" hidden="1" outlineLevel="2">
      <c r="A160" s="211"/>
      <c r="B160" s="211" t="s">
        <v>172</v>
      </c>
      <c r="C160" s="211" t="e">
        <f>ROUNDDOWN(C32-C33*1000000-C97*1000,0)</f>
        <v>#REF!</v>
      </c>
      <c r="D160" s="211"/>
      <c r="E160" s="211"/>
      <c r="F160" s="211"/>
      <c r="G160" s="23"/>
      <c r="H160" s="23"/>
      <c r="I160" s="23"/>
      <c r="J160" s="23"/>
      <c r="K160" s="23"/>
      <c r="L160" s="23"/>
      <c r="M160" s="23"/>
    </row>
    <row r="161" spans="1:13" customFormat="1" ht="12.75" hidden="1" outlineLevel="2">
      <c r="A161" s="211"/>
      <c r="B161" s="211" t="s">
        <v>159</v>
      </c>
      <c r="C161" s="211" t="e">
        <f>ROUNDDOWN(C160/100,0)</f>
        <v>#REF!</v>
      </c>
      <c r="D161" s="211"/>
      <c r="E161" s="211"/>
      <c r="F161" s="211"/>
      <c r="G161" s="23"/>
      <c r="H161" s="23"/>
      <c r="I161" s="23"/>
      <c r="J161" s="23"/>
      <c r="K161" s="23"/>
      <c r="L161" s="23"/>
      <c r="M161" s="23"/>
    </row>
    <row r="162" spans="1:13" customFormat="1" ht="12.75" hidden="1" outlineLevel="2">
      <c r="A162" s="211"/>
      <c r="B162" s="211"/>
      <c r="C162" s="211"/>
      <c r="D162" s="211"/>
      <c r="E162" s="211"/>
      <c r="F162" s="211"/>
      <c r="G162" s="23"/>
      <c r="H162" s="23"/>
      <c r="I162" s="23"/>
      <c r="J162" s="23"/>
      <c r="K162" s="23"/>
      <c r="L162" s="23"/>
      <c r="M162" s="23"/>
    </row>
    <row r="163" spans="1:13" customFormat="1" ht="12.75" hidden="1" outlineLevel="2">
      <c r="A163" s="211"/>
      <c r="B163" s="211" t="s">
        <v>160</v>
      </c>
      <c r="C163" s="211"/>
      <c r="D163" s="211"/>
      <c r="E163" s="211"/>
      <c r="F163" s="211"/>
      <c r="G163" s="23"/>
      <c r="H163" s="23"/>
      <c r="I163" s="23"/>
      <c r="J163" s="23"/>
      <c r="K163" s="23"/>
      <c r="L163" s="23"/>
      <c r="M163" s="23"/>
    </row>
    <row r="164" spans="1:13" customFormat="1" ht="12.75" hidden="1" outlineLevel="2">
      <c r="A164" s="211"/>
      <c r="B164" s="211" t="s">
        <v>161</v>
      </c>
      <c r="C164" s="211"/>
      <c r="D164" s="211"/>
      <c r="E164" s="211"/>
      <c r="F164" s="211"/>
      <c r="G164" s="23"/>
      <c r="H164" s="23"/>
      <c r="I164" s="23"/>
      <c r="J164" s="23"/>
      <c r="K164" s="23"/>
      <c r="L164" s="23"/>
      <c r="M164" s="23"/>
    </row>
    <row r="165" spans="1:13" customFormat="1" ht="12.75" hidden="1" outlineLevel="2">
      <c r="A165" s="211"/>
      <c r="B165" s="211" t="s">
        <v>162</v>
      </c>
      <c r="C165" s="211"/>
      <c r="D165" s="211"/>
      <c r="E165" s="211"/>
      <c r="F165" s="211"/>
      <c r="G165" s="23"/>
      <c r="H165" s="23"/>
      <c r="I165" s="23"/>
      <c r="J165" s="23"/>
      <c r="K165" s="23"/>
      <c r="L165" s="23"/>
      <c r="M165" s="23"/>
    </row>
    <row r="166" spans="1:13" customFormat="1" ht="12.75" hidden="1" outlineLevel="2">
      <c r="A166" s="211"/>
      <c r="B166" s="211" t="s">
        <v>163</v>
      </c>
      <c r="C166" s="211"/>
      <c r="D166" s="211"/>
      <c r="E166" s="211"/>
      <c r="F166" s="211"/>
      <c r="G166" s="23"/>
      <c r="H166" s="23"/>
      <c r="I166" s="23"/>
      <c r="J166" s="23"/>
      <c r="K166" s="23"/>
      <c r="L166" s="23"/>
      <c r="M166" s="23"/>
    </row>
    <row r="167" spans="1:13" customFormat="1" ht="12.75" hidden="1" outlineLevel="2">
      <c r="A167" s="211"/>
      <c r="B167" s="211" t="s">
        <v>164</v>
      </c>
      <c r="C167" s="211"/>
      <c r="D167" s="211"/>
      <c r="E167" s="211"/>
      <c r="F167" s="211"/>
      <c r="G167" s="23"/>
      <c r="H167" s="23"/>
      <c r="I167" s="23"/>
      <c r="J167" s="23"/>
      <c r="K167" s="23"/>
      <c r="L167" s="23"/>
      <c r="M167" s="23"/>
    </row>
    <row r="168" spans="1:13" customFormat="1" ht="12.75" hidden="1" outlineLevel="2">
      <c r="A168" s="211"/>
      <c r="B168" s="211" t="s">
        <v>165</v>
      </c>
      <c r="C168" s="211"/>
      <c r="D168" s="211"/>
      <c r="E168" s="211"/>
      <c r="F168" s="211"/>
      <c r="G168" s="23"/>
      <c r="H168" s="23"/>
      <c r="I168" s="23"/>
      <c r="J168" s="23"/>
      <c r="K168" s="23"/>
      <c r="L168" s="23"/>
      <c r="M168" s="23"/>
    </row>
    <row r="169" spans="1:13" customFormat="1" ht="12.75" hidden="1" outlineLevel="2">
      <c r="A169" s="211"/>
      <c r="B169" s="211" t="s">
        <v>166</v>
      </c>
      <c r="C169" s="211"/>
      <c r="D169" s="211"/>
      <c r="E169" s="211"/>
      <c r="F169" s="211"/>
      <c r="G169" s="23"/>
      <c r="H169" s="23"/>
      <c r="I169" s="23"/>
      <c r="J169" s="23"/>
      <c r="K169" s="23"/>
      <c r="L169" s="23"/>
      <c r="M169" s="23"/>
    </row>
    <row r="170" spans="1:13" customFormat="1" ht="12.75" hidden="1" outlineLevel="2">
      <c r="A170" s="211"/>
      <c r="B170" s="211" t="s">
        <v>167</v>
      </c>
      <c r="C170" s="211"/>
      <c r="D170" s="211"/>
      <c r="E170" s="211"/>
      <c r="F170" s="211"/>
      <c r="G170" s="23"/>
      <c r="H170" s="23"/>
      <c r="I170" s="23"/>
      <c r="J170" s="23"/>
      <c r="K170" s="23"/>
      <c r="L170" s="23"/>
      <c r="M170" s="23"/>
    </row>
    <row r="171" spans="1:13" customFormat="1" ht="12.75" hidden="1" outlineLevel="2">
      <c r="A171" s="211"/>
      <c r="B171" s="211" t="s">
        <v>168</v>
      </c>
      <c r="C171" s="211"/>
      <c r="D171" s="211"/>
      <c r="E171" s="211"/>
      <c r="F171" s="211"/>
      <c r="G171" s="23"/>
      <c r="H171" s="23"/>
      <c r="I171" s="23"/>
      <c r="J171" s="23"/>
      <c r="K171" s="23"/>
      <c r="L171" s="23"/>
      <c r="M171" s="23"/>
    </row>
    <row r="172" spans="1:13" customFormat="1" ht="12.75" hidden="1" outlineLevel="2">
      <c r="A172" s="211"/>
      <c r="B172" s="211"/>
      <c r="C172" s="211"/>
      <c r="D172" s="211"/>
      <c r="E172" s="211"/>
      <c r="F172" s="211"/>
      <c r="G172" s="23"/>
      <c r="H172" s="23"/>
      <c r="I172" s="23"/>
      <c r="J172" s="23"/>
      <c r="K172" s="23"/>
      <c r="L172" s="23"/>
      <c r="M172" s="23"/>
    </row>
    <row r="173" spans="1:13" customFormat="1" ht="12.75" hidden="1" outlineLevel="2">
      <c r="A173" s="211"/>
      <c r="B173" s="211"/>
      <c r="C173" s="211" t="e">
        <f ca="1">IF(C161&lt;&gt;0,OFFSET(B162,C161,0),"")</f>
        <v>#REF!</v>
      </c>
      <c r="D173" s="211"/>
      <c r="E173" s="211"/>
      <c r="F173" s="211"/>
      <c r="G173" s="23"/>
      <c r="H173" s="23"/>
      <c r="I173" s="23"/>
      <c r="J173" s="23"/>
      <c r="K173" s="23"/>
      <c r="L173" s="23"/>
      <c r="M173" s="23"/>
    </row>
    <row r="174" spans="1:13" customFormat="1" ht="12.75" hidden="1" outlineLevel="2">
      <c r="A174" s="211"/>
      <c r="B174" s="211"/>
      <c r="C174" s="211"/>
      <c r="D174" s="211"/>
      <c r="E174" s="211"/>
      <c r="F174" s="211"/>
      <c r="G174" s="23"/>
      <c r="H174" s="23"/>
      <c r="I174" s="23"/>
      <c r="J174" s="23"/>
      <c r="K174" s="23"/>
      <c r="L174" s="23"/>
      <c r="M174" s="23"/>
    </row>
    <row r="175" spans="1:13" customFormat="1" ht="12.75" hidden="1" outlineLevel="2">
      <c r="A175" s="211"/>
      <c r="B175" s="211" t="s">
        <v>169</v>
      </c>
      <c r="C175" s="211" t="e">
        <f>ROUNDDOWN((C160-C161*100)/10,0)</f>
        <v>#REF!</v>
      </c>
      <c r="D175" s="211"/>
      <c r="E175" s="211"/>
      <c r="F175" s="211"/>
      <c r="G175" s="23"/>
      <c r="H175" s="23"/>
      <c r="I175" s="23"/>
      <c r="J175" s="23"/>
      <c r="K175" s="23"/>
      <c r="L175" s="23"/>
      <c r="M175" s="23"/>
    </row>
    <row r="176" spans="1:13" customFormat="1" ht="12.75" hidden="1" outlineLevel="2">
      <c r="A176" s="211"/>
      <c r="B176" s="211"/>
      <c r="C176" s="211"/>
      <c r="D176" s="211"/>
      <c r="E176" s="211"/>
      <c r="F176" s="211"/>
      <c r="G176" s="23"/>
      <c r="H176" s="23"/>
      <c r="I176" s="23"/>
      <c r="J176" s="23"/>
      <c r="K176" s="23"/>
      <c r="L176" s="23"/>
      <c r="M176" s="23"/>
    </row>
    <row r="177" spans="1:13" customFormat="1" ht="12.75" hidden="1" outlineLevel="2">
      <c r="A177" s="211"/>
      <c r="B177" s="211" t="s">
        <v>129</v>
      </c>
      <c r="C177" s="211"/>
      <c r="D177" s="211"/>
      <c r="E177" s="211"/>
      <c r="F177" s="211"/>
      <c r="G177" s="23"/>
      <c r="H177" s="23"/>
      <c r="I177" s="23"/>
      <c r="J177" s="23"/>
      <c r="K177" s="23"/>
      <c r="L177" s="23"/>
      <c r="M177" s="23"/>
    </row>
    <row r="178" spans="1:13" customFormat="1" ht="12.75" hidden="1" outlineLevel="2">
      <c r="A178" s="211"/>
      <c r="B178" s="211" t="s">
        <v>130</v>
      </c>
      <c r="C178" s="211"/>
      <c r="D178" s="211"/>
      <c r="E178" s="211"/>
      <c r="F178" s="211"/>
      <c r="G178" s="23"/>
      <c r="H178" s="23"/>
      <c r="I178" s="23"/>
      <c r="J178" s="23"/>
      <c r="K178" s="23"/>
      <c r="L178" s="23"/>
      <c r="M178" s="23"/>
    </row>
    <row r="179" spans="1:13" customFormat="1" ht="12.75" hidden="1" outlineLevel="2">
      <c r="A179" s="211"/>
      <c r="B179" s="211" t="s">
        <v>131</v>
      </c>
      <c r="C179" s="211"/>
      <c r="D179" s="211"/>
      <c r="E179" s="211"/>
      <c r="F179" s="211"/>
      <c r="G179" s="23"/>
      <c r="H179" s="23"/>
      <c r="I179" s="23"/>
      <c r="J179" s="23"/>
      <c r="K179" s="23"/>
      <c r="L179" s="23"/>
      <c r="M179" s="23"/>
    </row>
    <row r="180" spans="1:13" customFormat="1" ht="12.75" hidden="1" outlineLevel="2">
      <c r="A180" s="211"/>
      <c r="B180" s="211" t="s">
        <v>132</v>
      </c>
      <c r="C180" s="211"/>
      <c r="D180" s="211"/>
      <c r="E180" s="211"/>
      <c r="F180" s="211"/>
      <c r="G180" s="23"/>
      <c r="H180" s="23"/>
      <c r="I180" s="23"/>
      <c r="J180" s="23"/>
      <c r="K180" s="23"/>
      <c r="L180" s="23"/>
      <c r="M180" s="23"/>
    </row>
    <row r="181" spans="1:13" customFormat="1" ht="12.75" hidden="1" outlineLevel="2">
      <c r="A181" s="211"/>
      <c r="B181" s="211" t="s">
        <v>133</v>
      </c>
      <c r="C181" s="211"/>
      <c r="D181" s="211"/>
      <c r="E181" s="211"/>
      <c r="F181" s="211"/>
      <c r="G181" s="23"/>
      <c r="H181" s="23"/>
      <c r="I181" s="23"/>
      <c r="J181" s="23"/>
      <c r="K181" s="23"/>
      <c r="L181" s="23"/>
      <c r="M181" s="23"/>
    </row>
    <row r="182" spans="1:13" customFormat="1" ht="12.75" hidden="1" outlineLevel="2">
      <c r="A182" s="211"/>
      <c r="B182" s="211" t="s">
        <v>134</v>
      </c>
      <c r="C182" s="211"/>
      <c r="D182" s="211"/>
      <c r="E182" s="211"/>
      <c r="F182" s="211"/>
      <c r="G182" s="23"/>
      <c r="H182" s="23"/>
      <c r="I182" s="23"/>
      <c r="J182" s="23"/>
      <c r="K182" s="23"/>
      <c r="L182" s="23"/>
      <c r="M182" s="23"/>
    </row>
    <row r="183" spans="1:13" customFormat="1" ht="12.75" hidden="1" outlineLevel="2">
      <c r="A183" s="211"/>
      <c r="B183" s="211" t="s">
        <v>135</v>
      </c>
      <c r="C183" s="211"/>
      <c r="D183" s="211"/>
      <c r="E183" s="211"/>
      <c r="F183" s="211"/>
      <c r="G183" s="23"/>
      <c r="H183" s="23"/>
      <c r="I183" s="23"/>
      <c r="J183" s="23"/>
      <c r="K183" s="23"/>
      <c r="L183" s="23"/>
      <c r="M183" s="23"/>
    </row>
    <row r="184" spans="1:13" customFormat="1" ht="12.75" hidden="1" outlineLevel="2">
      <c r="A184" s="211"/>
      <c r="B184" s="211" t="s">
        <v>136</v>
      </c>
      <c r="C184" s="211"/>
      <c r="D184" s="211"/>
      <c r="E184" s="211"/>
      <c r="F184" s="211"/>
      <c r="G184" s="23"/>
      <c r="H184" s="23"/>
      <c r="I184" s="23"/>
      <c r="J184" s="23"/>
      <c r="K184" s="23"/>
      <c r="L184" s="23"/>
      <c r="M184" s="23"/>
    </row>
    <row r="185" spans="1:13" customFormat="1" ht="12.75" hidden="1" outlineLevel="2">
      <c r="A185" s="211"/>
      <c r="B185" s="211" t="s">
        <v>137</v>
      </c>
      <c r="C185" s="211"/>
      <c r="D185" s="211"/>
      <c r="E185" s="211"/>
      <c r="F185" s="211"/>
      <c r="G185" s="23"/>
      <c r="H185" s="23"/>
      <c r="I185" s="23"/>
      <c r="J185" s="23"/>
      <c r="K185" s="23"/>
      <c r="L185" s="23"/>
      <c r="M185" s="23"/>
    </row>
    <row r="186" spans="1:13" customFormat="1" ht="12.75" hidden="1" outlineLevel="2">
      <c r="A186" s="211"/>
      <c r="B186" s="211"/>
      <c r="C186" s="211"/>
      <c r="D186" s="211"/>
      <c r="E186" s="211"/>
      <c r="F186" s="211"/>
      <c r="G186" s="23"/>
      <c r="H186" s="23"/>
      <c r="I186" s="23"/>
      <c r="J186" s="23"/>
      <c r="K186" s="23"/>
      <c r="L186" s="23"/>
      <c r="M186" s="23"/>
    </row>
    <row r="187" spans="1:13" customFormat="1" ht="12.75" hidden="1" outlineLevel="2">
      <c r="A187" s="211"/>
      <c r="B187" s="211"/>
      <c r="C187" s="211" t="e">
        <f ca="1">IF(AND(C175=1,C189&lt;&gt;0),"",IF(C175&lt;&gt;0,OFFSET(B176,C175,0),""))</f>
        <v>#REF!</v>
      </c>
      <c r="D187" s="211"/>
      <c r="E187" s="211"/>
      <c r="F187" s="211"/>
      <c r="G187" s="23"/>
      <c r="H187" s="23"/>
      <c r="I187" s="23"/>
      <c r="J187" s="23"/>
      <c r="K187" s="23"/>
      <c r="L187" s="23"/>
      <c r="M187" s="23"/>
    </row>
    <row r="188" spans="1:13" customFormat="1" ht="12.75" hidden="1" outlineLevel="2">
      <c r="A188" s="211"/>
      <c r="B188" s="211"/>
      <c r="C188" s="211"/>
      <c r="D188" s="211"/>
      <c r="E188" s="211"/>
      <c r="F188" s="211"/>
      <c r="G188" s="23"/>
      <c r="H188" s="23"/>
      <c r="I188" s="23"/>
      <c r="J188" s="23"/>
      <c r="K188" s="23"/>
      <c r="L188" s="23"/>
      <c r="M188" s="23"/>
    </row>
    <row r="189" spans="1:13" customFormat="1" ht="12.75" hidden="1" outlineLevel="2">
      <c r="A189" s="211"/>
      <c r="B189" s="211" t="s">
        <v>158</v>
      </c>
      <c r="C189" s="211" t="e">
        <f>C160-C161*100-C175*10</f>
        <v>#REF!</v>
      </c>
      <c r="D189" s="211"/>
      <c r="E189" s="211"/>
      <c r="F189" s="211"/>
      <c r="G189" s="23"/>
      <c r="H189" s="23"/>
      <c r="I189" s="23"/>
      <c r="J189" s="23"/>
      <c r="K189" s="23"/>
      <c r="L189" s="23"/>
      <c r="M189" s="23"/>
    </row>
    <row r="190" spans="1:13" customFormat="1" ht="12.75" hidden="1" outlineLevel="2">
      <c r="A190" s="211"/>
      <c r="B190" s="211"/>
      <c r="C190" s="211"/>
      <c r="D190" s="211"/>
      <c r="E190" s="211"/>
      <c r="F190" s="211"/>
      <c r="G190" s="23"/>
      <c r="H190" s="23"/>
      <c r="I190" s="23"/>
      <c r="J190" s="23"/>
      <c r="K190" s="23"/>
      <c r="L190" s="23"/>
      <c r="M190" s="23"/>
    </row>
    <row r="191" spans="1:13" customFormat="1" ht="12.75" hidden="1" outlineLevel="2">
      <c r="A191" s="211"/>
      <c r="B191" s="211" t="s">
        <v>139</v>
      </c>
      <c r="C191" s="211"/>
      <c r="D191" s="211"/>
      <c r="E191" s="211"/>
      <c r="F191" s="211"/>
      <c r="G191" s="23"/>
      <c r="H191" s="23"/>
      <c r="I191" s="23"/>
      <c r="J191" s="23"/>
      <c r="K191" s="23"/>
      <c r="L191" s="23"/>
      <c r="M191" s="23"/>
    </row>
    <row r="192" spans="1:13" customFormat="1" ht="12.75" hidden="1" outlineLevel="2">
      <c r="A192" s="211"/>
      <c r="B192" s="211" t="s">
        <v>140</v>
      </c>
      <c r="C192" s="211"/>
      <c r="D192" s="211"/>
      <c r="E192" s="211"/>
      <c r="F192" s="211"/>
      <c r="G192" s="23"/>
      <c r="H192" s="23"/>
      <c r="I192" s="23"/>
      <c r="J192" s="23"/>
      <c r="K192" s="23"/>
      <c r="L192" s="23"/>
      <c r="M192" s="23"/>
    </row>
    <row r="193" spans="1:13" customFormat="1" ht="12.75" hidden="1" outlineLevel="2">
      <c r="A193" s="211"/>
      <c r="B193" s="211" t="s">
        <v>141</v>
      </c>
      <c r="C193" s="211"/>
      <c r="D193" s="211"/>
      <c r="E193" s="211"/>
      <c r="F193" s="211"/>
      <c r="G193" s="23"/>
      <c r="H193" s="23"/>
      <c r="I193" s="23"/>
      <c r="J193" s="23"/>
      <c r="K193" s="23"/>
      <c r="L193" s="23"/>
      <c r="M193" s="23"/>
    </row>
    <row r="194" spans="1:13" customFormat="1" ht="12.75" hidden="1" outlineLevel="2">
      <c r="A194" s="211"/>
      <c r="B194" s="211" t="s">
        <v>142</v>
      </c>
      <c r="C194" s="211"/>
      <c r="D194" s="211"/>
      <c r="E194" s="211"/>
      <c r="F194" s="211"/>
      <c r="G194" s="23"/>
      <c r="H194" s="23"/>
      <c r="I194" s="23"/>
      <c r="J194" s="23"/>
      <c r="K194" s="23"/>
      <c r="L194" s="23"/>
      <c r="M194" s="23"/>
    </row>
    <row r="195" spans="1:13" customFormat="1" ht="12.75" hidden="1" outlineLevel="2">
      <c r="A195" s="211"/>
      <c r="B195" s="211" t="s">
        <v>143</v>
      </c>
      <c r="C195" s="211"/>
      <c r="D195" s="211"/>
      <c r="E195" s="211"/>
      <c r="F195" s="211"/>
      <c r="G195" s="23"/>
      <c r="H195" s="23"/>
      <c r="I195" s="23"/>
      <c r="J195" s="23"/>
      <c r="K195" s="23"/>
      <c r="L195" s="23"/>
      <c r="M195" s="23"/>
    </row>
    <row r="196" spans="1:13" customFormat="1" ht="12.75" hidden="1" outlineLevel="2">
      <c r="A196" s="211"/>
      <c r="B196" s="211" t="s">
        <v>144</v>
      </c>
      <c r="C196" s="211"/>
      <c r="D196" s="211"/>
      <c r="E196" s="211"/>
      <c r="F196" s="211"/>
      <c r="G196" s="23"/>
      <c r="H196" s="23"/>
      <c r="I196" s="23"/>
      <c r="J196" s="23"/>
      <c r="K196" s="23"/>
      <c r="L196" s="23"/>
      <c r="M196" s="23"/>
    </row>
    <row r="197" spans="1:13" customFormat="1" ht="12.75" hidden="1" outlineLevel="2">
      <c r="A197" s="211"/>
      <c r="B197" s="211" t="s">
        <v>145</v>
      </c>
      <c r="C197" s="211"/>
      <c r="D197" s="211"/>
      <c r="E197" s="211"/>
      <c r="F197" s="211"/>
      <c r="G197" s="23"/>
      <c r="H197" s="23"/>
      <c r="I197" s="23"/>
      <c r="J197" s="23"/>
      <c r="K197" s="23"/>
      <c r="L197" s="23"/>
      <c r="M197" s="23"/>
    </row>
    <row r="198" spans="1:13" customFormat="1" ht="12.75" hidden="1" outlineLevel="2">
      <c r="A198" s="211"/>
      <c r="B198" s="211" t="s">
        <v>146</v>
      </c>
      <c r="C198" s="211"/>
      <c r="D198" s="211"/>
      <c r="E198" s="211"/>
      <c r="F198" s="211"/>
      <c r="G198" s="23"/>
      <c r="H198" s="23"/>
      <c r="I198" s="23"/>
      <c r="J198" s="23"/>
      <c r="K198" s="23"/>
      <c r="L198" s="23"/>
      <c r="M198" s="23"/>
    </row>
    <row r="199" spans="1:13" customFormat="1" ht="12.75" hidden="1" outlineLevel="2">
      <c r="A199" s="211"/>
      <c r="B199" s="211" t="s">
        <v>147</v>
      </c>
      <c r="C199" s="211"/>
      <c r="D199" s="211"/>
      <c r="E199" s="211"/>
      <c r="F199" s="211"/>
      <c r="G199" s="23"/>
      <c r="H199" s="23"/>
      <c r="I199" s="23"/>
      <c r="J199" s="23"/>
      <c r="K199" s="23"/>
      <c r="L199" s="23"/>
      <c r="M199" s="23"/>
    </row>
    <row r="200" spans="1:13" customFormat="1" ht="12.75" hidden="1" outlineLevel="2">
      <c r="A200" s="211"/>
      <c r="B200" s="211"/>
      <c r="C200" s="211"/>
      <c r="D200" s="211"/>
      <c r="E200" s="211"/>
      <c r="F200" s="211"/>
      <c r="G200" s="23"/>
      <c r="H200" s="23"/>
      <c r="I200" s="23"/>
      <c r="J200" s="23"/>
      <c r="K200" s="23"/>
      <c r="L200" s="23"/>
      <c r="M200" s="23"/>
    </row>
    <row r="201" spans="1:13" customFormat="1" ht="12.75" hidden="1" outlineLevel="2">
      <c r="A201" s="211"/>
      <c r="B201" s="211"/>
      <c r="C201" s="211" t="e">
        <f ca="1">IF(C175&lt;&gt;1,IF(C189&lt;&gt;0,OFFSET(B190,C189,0),""),"")</f>
        <v>#REF!</v>
      </c>
      <c r="D201" s="211"/>
      <c r="E201" s="211"/>
      <c r="F201" s="211"/>
      <c r="G201" s="23"/>
      <c r="H201" s="23"/>
      <c r="I201" s="23"/>
      <c r="J201" s="23"/>
      <c r="K201" s="23"/>
      <c r="L201" s="23"/>
      <c r="M201" s="23"/>
    </row>
    <row r="202" spans="1:13" customFormat="1" ht="12.75" hidden="1" outlineLevel="2">
      <c r="A202" s="211"/>
      <c r="B202" s="211"/>
      <c r="C202" s="211"/>
      <c r="D202" s="211"/>
      <c r="E202" s="211"/>
      <c r="F202" s="211"/>
      <c r="G202" s="23"/>
      <c r="H202" s="23"/>
      <c r="I202" s="23"/>
      <c r="J202" s="23"/>
      <c r="K202" s="23"/>
      <c r="L202" s="23"/>
      <c r="M202" s="23"/>
    </row>
    <row r="203" spans="1:13" customFormat="1" ht="12.75" hidden="1" outlineLevel="2">
      <c r="A203" s="211"/>
      <c r="B203" s="211" t="s">
        <v>148</v>
      </c>
      <c r="C203" s="211"/>
      <c r="D203" s="211"/>
      <c r="E203" s="211"/>
      <c r="F203" s="211"/>
      <c r="G203" s="23"/>
      <c r="H203" s="23"/>
      <c r="I203" s="23"/>
      <c r="J203" s="23"/>
      <c r="K203" s="23"/>
      <c r="L203" s="23"/>
      <c r="M203" s="23"/>
    </row>
    <row r="204" spans="1:13" customFormat="1" ht="12.75" hidden="1" outlineLevel="2">
      <c r="A204" s="211"/>
      <c r="B204" s="211"/>
      <c r="C204" s="211"/>
      <c r="D204" s="211"/>
      <c r="E204" s="211"/>
      <c r="F204" s="211"/>
      <c r="G204" s="23"/>
      <c r="H204" s="23"/>
      <c r="I204" s="23"/>
      <c r="J204" s="23"/>
      <c r="K204" s="23"/>
      <c r="L204" s="23"/>
      <c r="M204" s="23"/>
    </row>
    <row r="205" spans="1:13" customFormat="1" ht="12.75" hidden="1" outlineLevel="2">
      <c r="A205" s="211"/>
      <c r="B205" s="211"/>
      <c r="C205" s="211" t="e">
        <f>+C189</f>
        <v>#REF!</v>
      </c>
      <c r="D205" s="211"/>
      <c r="E205" s="211"/>
      <c r="F205" s="211"/>
      <c r="G205" s="23"/>
      <c r="H205" s="23"/>
      <c r="I205" s="23"/>
      <c r="J205" s="23"/>
      <c r="K205" s="23"/>
      <c r="L205" s="23"/>
      <c r="M205" s="23"/>
    </row>
    <row r="206" spans="1:13" customFormat="1" ht="12.75" hidden="1" outlineLevel="2">
      <c r="A206" s="211"/>
      <c r="B206" s="211" t="s">
        <v>149</v>
      </c>
      <c r="C206" s="211"/>
      <c r="D206" s="211"/>
      <c r="E206" s="211"/>
      <c r="F206" s="211"/>
      <c r="G206" s="23"/>
      <c r="H206" s="23"/>
      <c r="I206" s="23"/>
      <c r="J206" s="23"/>
      <c r="K206" s="23"/>
      <c r="L206" s="23"/>
      <c r="M206" s="23"/>
    </row>
    <row r="207" spans="1:13" customFormat="1" ht="12.75" hidden="1" outlineLevel="2">
      <c r="A207" s="211"/>
      <c r="B207" s="211" t="s">
        <v>150</v>
      </c>
      <c r="C207" s="211"/>
      <c r="D207" s="211"/>
      <c r="E207" s="211"/>
      <c r="F207" s="211"/>
      <c r="G207" s="23"/>
      <c r="H207" s="23"/>
      <c r="I207" s="23"/>
      <c r="J207" s="23"/>
      <c r="K207" s="23"/>
      <c r="L207" s="23"/>
      <c r="M207" s="23"/>
    </row>
    <row r="208" spans="1:13" customFormat="1" ht="12.75" hidden="1" outlineLevel="2">
      <c r="A208" s="211"/>
      <c r="B208" s="211" t="s">
        <v>151</v>
      </c>
      <c r="C208" s="211"/>
      <c r="D208" s="211"/>
      <c r="E208" s="211"/>
      <c r="F208" s="211"/>
      <c r="G208" s="23"/>
      <c r="H208" s="23"/>
      <c r="I208" s="23"/>
      <c r="J208" s="23"/>
      <c r="K208" s="23"/>
      <c r="L208" s="23"/>
      <c r="M208" s="23"/>
    </row>
    <row r="209" spans="1:13" customFormat="1" ht="12.75" hidden="1" outlineLevel="2">
      <c r="A209" s="211"/>
      <c r="B209" s="211" t="s">
        <v>152</v>
      </c>
      <c r="C209" s="211"/>
      <c r="D209" s="211"/>
      <c r="E209" s="211"/>
      <c r="F209" s="211"/>
      <c r="G209" s="23"/>
      <c r="H209" s="23"/>
      <c r="I209" s="23"/>
      <c r="J209" s="23"/>
      <c r="K209" s="23"/>
      <c r="L209" s="23"/>
      <c r="M209" s="23"/>
    </row>
    <row r="210" spans="1:13" customFormat="1" ht="12.75" hidden="1" outlineLevel="2">
      <c r="A210" s="211"/>
      <c r="B210" s="211" t="s">
        <v>153</v>
      </c>
      <c r="C210" s="211"/>
      <c r="D210" s="211"/>
      <c r="E210" s="211"/>
      <c r="F210" s="211"/>
      <c r="G210" s="23"/>
      <c r="H210" s="23"/>
      <c r="I210" s="23"/>
      <c r="J210" s="23"/>
      <c r="K210" s="23"/>
      <c r="L210" s="23"/>
      <c r="M210" s="23"/>
    </row>
    <row r="211" spans="1:13" customFormat="1" ht="12.75" hidden="1" outlineLevel="2">
      <c r="A211" s="211"/>
      <c r="B211" s="211" t="s">
        <v>154</v>
      </c>
      <c r="C211" s="211"/>
      <c r="D211" s="211"/>
      <c r="E211" s="211"/>
      <c r="F211" s="211"/>
      <c r="G211" s="23"/>
      <c r="H211" s="23"/>
      <c r="I211" s="23"/>
      <c r="J211" s="23"/>
      <c r="K211" s="23"/>
      <c r="L211" s="23"/>
      <c r="M211" s="23"/>
    </row>
    <row r="212" spans="1:13" customFormat="1" ht="12.75" hidden="1" outlineLevel="2">
      <c r="A212" s="211"/>
      <c r="B212" s="211" t="s">
        <v>155</v>
      </c>
      <c r="C212" s="211"/>
      <c r="D212" s="211"/>
      <c r="E212" s="211"/>
      <c r="F212" s="211"/>
      <c r="G212" s="23"/>
      <c r="H212" s="23"/>
      <c r="I212" s="23"/>
      <c r="J212" s="23"/>
      <c r="K212" s="23"/>
      <c r="L212" s="23"/>
      <c r="M212" s="23"/>
    </row>
    <row r="213" spans="1:13" customFormat="1" ht="12.75" hidden="1" outlineLevel="2">
      <c r="A213" s="211"/>
      <c r="B213" s="211" t="s">
        <v>156</v>
      </c>
      <c r="C213" s="211"/>
      <c r="D213" s="211"/>
      <c r="E213" s="211"/>
      <c r="F213" s="211"/>
      <c r="G213" s="23"/>
      <c r="H213" s="23"/>
      <c r="I213" s="23"/>
      <c r="J213" s="23"/>
      <c r="K213" s="23"/>
      <c r="L213" s="23"/>
      <c r="M213" s="23"/>
    </row>
    <row r="214" spans="1:13" customFormat="1" ht="12.75" hidden="1" outlineLevel="2">
      <c r="A214" s="211"/>
      <c r="B214" s="211" t="s">
        <v>157</v>
      </c>
      <c r="C214" s="211"/>
      <c r="D214" s="211"/>
      <c r="E214" s="211"/>
      <c r="F214" s="211"/>
      <c r="G214" s="23"/>
      <c r="H214" s="23"/>
      <c r="I214" s="23"/>
      <c r="J214" s="23"/>
      <c r="K214" s="23"/>
      <c r="L214" s="23"/>
      <c r="M214" s="23"/>
    </row>
    <row r="215" spans="1:13" customFormat="1" ht="12.75" hidden="1" outlineLevel="2">
      <c r="A215" s="211"/>
      <c r="B215" s="211"/>
      <c r="C215" s="211"/>
      <c r="D215" s="211"/>
      <c r="E215" s="211"/>
      <c r="F215" s="211"/>
      <c r="G215" s="23"/>
      <c r="H215" s="23"/>
      <c r="I215" s="23"/>
      <c r="J215" s="23"/>
      <c r="K215" s="23"/>
      <c r="L215" s="23"/>
      <c r="M215" s="23"/>
    </row>
    <row r="216" spans="1:13" customFormat="1" ht="12.75" hidden="1" outlineLevel="2">
      <c r="A216" s="211"/>
      <c r="B216" s="211"/>
      <c r="C216" s="211" t="e">
        <f ca="1">IF(AND(C175=1,C189&lt;&gt;0),IF(C175&lt;&gt;0,OFFSET(B205,C205,0),""),"")</f>
        <v>#REF!</v>
      </c>
      <c r="D216" s="211"/>
      <c r="E216" s="211"/>
      <c r="F216" s="211"/>
      <c r="G216" s="23"/>
      <c r="H216" s="23"/>
      <c r="I216" s="23"/>
      <c r="J216" s="23"/>
      <c r="K216" s="23"/>
      <c r="L216" s="23"/>
      <c r="M216" s="23"/>
    </row>
    <row r="217" spans="1:13" customFormat="1" ht="12.75" hidden="1" outlineLevel="2">
      <c r="A217" s="211"/>
      <c r="B217" s="211"/>
      <c r="C217" s="211"/>
      <c r="D217" s="211"/>
      <c r="E217" s="211"/>
      <c r="F217" s="211"/>
      <c r="G217" s="23"/>
      <c r="H217" s="23"/>
      <c r="I217" s="23"/>
      <c r="J217" s="23"/>
      <c r="K217" s="23"/>
      <c r="L217" s="23"/>
      <c r="M217" s="23"/>
    </row>
    <row r="218" spans="1:13" customFormat="1" ht="12.75" hidden="1" outlineLevel="2">
      <c r="A218" s="211"/>
      <c r="B218" s="211"/>
      <c r="C218" s="211" t="e">
        <f>IF(C175&lt;&gt;1,IF(OR(C189=2,C189=3,C189=4)," рубля",""),"")</f>
        <v>#REF!</v>
      </c>
      <c r="D218" s="211"/>
      <c r="E218" s="211"/>
      <c r="F218" s="211"/>
      <c r="G218" s="23"/>
      <c r="H218" s="23"/>
      <c r="I218" s="23"/>
      <c r="J218" s="23"/>
      <c r="K218" s="23"/>
      <c r="L218" s="23"/>
      <c r="M218" s="23"/>
    </row>
    <row r="219" spans="1:13" customFormat="1" ht="12.75" hidden="1" outlineLevel="2">
      <c r="A219" s="211"/>
      <c r="B219" s="211"/>
      <c r="C219" s="211" t="e">
        <f>IF(C175&lt;&gt;1,IF(OR(C189=1)," рубль",""),"")</f>
        <v>#REF!</v>
      </c>
      <c r="D219" s="211"/>
      <c r="E219" s="211"/>
      <c r="F219" s="211"/>
      <c r="G219" s="23"/>
      <c r="H219" s="23"/>
      <c r="I219" s="23"/>
      <c r="J219" s="23"/>
      <c r="K219" s="23"/>
      <c r="L219" s="23"/>
      <c r="M219" s="23"/>
    </row>
    <row r="220" spans="1:13" customFormat="1" ht="12.75" hidden="1" outlineLevel="2">
      <c r="A220" s="211"/>
      <c r="B220" s="211"/>
      <c r="C220" s="211" t="e">
        <f>IF(AND(C218="",C219="")," рублей","")</f>
        <v>#REF!</v>
      </c>
      <c r="D220" s="211"/>
      <c r="E220" s="211"/>
      <c r="F220" s="211"/>
      <c r="G220" s="23"/>
      <c r="H220" s="23"/>
      <c r="I220" s="23"/>
      <c r="J220" s="23"/>
      <c r="K220" s="23"/>
      <c r="L220" s="23"/>
      <c r="M220" s="23"/>
    </row>
    <row r="221" spans="1:13" customFormat="1" ht="12.75" hidden="1" outlineLevel="2">
      <c r="A221" s="211"/>
      <c r="B221" s="211"/>
      <c r="C221" s="211" t="e">
        <f ca="1">(CONCATENATE(C173,C187,C201,C216,C218,C219,C220))</f>
        <v>#REF!</v>
      </c>
      <c r="D221" s="211"/>
      <c r="E221" s="211"/>
      <c r="F221" s="211"/>
      <c r="G221" s="23"/>
      <c r="H221" s="23"/>
      <c r="I221" s="23"/>
      <c r="J221" s="23"/>
      <c r="K221" s="23"/>
      <c r="L221" s="23"/>
      <c r="M221" s="23"/>
    </row>
    <row r="222" spans="1:13" customFormat="1" ht="12.75" hidden="1" outlineLevel="2">
      <c r="A222" s="211"/>
      <c r="B222" s="211"/>
      <c r="C222" s="211"/>
      <c r="D222" s="211"/>
      <c r="E222" s="211"/>
      <c r="F222" s="211"/>
      <c r="G222" s="23"/>
      <c r="H222" s="23"/>
      <c r="I222" s="23"/>
      <c r="J222" s="23"/>
      <c r="K222" s="23"/>
      <c r="L222" s="23"/>
      <c r="M222" s="23"/>
    </row>
    <row r="223" spans="1:13" customFormat="1" ht="12.75" hidden="1" outlineLevel="2">
      <c r="A223" s="211"/>
      <c r="B223" s="211"/>
      <c r="C223" s="211" t="e">
        <f ca="1">TRIM(CONCATENATE(C95,C158,C221))</f>
        <v>#REF!</v>
      </c>
      <c r="D223" s="211"/>
      <c r="E223" s="211"/>
      <c r="F223" s="211"/>
      <c r="G223" s="23"/>
      <c r="H223" s="23"/>
      <c r="I223" s="23"/>
      <c r="J223" s="23"/>
      <c r="K223" s="23"/>
      <c r="L223" s="23"/>
      <c r="M223" s="23"/>
    </row>
    <row r="224" spans="1:13" customFormat="1" ht="12.75" hidden="1" outlineLevel="2">
      <c r="A224" s="211"/>
      <c r="B224" s="211"/>
      <c r="C224" s="211" t="e">
        <f ca="1">LEFT(C223,1)</f>
        <v>#REF!</v>
      </c>
      <c r="D224" s="211"/>
      <c r="E224" s="211"/>
      <c r="F224" s="211"/>
      <c r="G224" s="23"/>
      <c r="H224" s="23"/>
      <c r="I224" s="23"/>
      <c r="J224" s="23"/>
      <c r="K224" s="23"/>
      <c r="L224" s="23"/>
      <c r="M224" s="23"/>
    </row>
    <row r="225" spans="1:18" customFormat="1" ht="12.75" hidden="1" outlineLevel="2">
      <c r="A225" s="211"/>
      <c r="B225" s="211"/>
      <c r="C225" s="211" t="e">
        <f ca="1">LOWER(C223)</f>
        <v>#REF!</v>
      </c>
      <c r="D225" s="211"/>
      <c r="E225" s="211"/>
      <c r="F225" s="211"/>
      <c r="G225" s="23"/>
      <c r="H225" s="23"/>
      <c r="I225" s="23"/>
      <c r="J225" s="23"/>
      <c r="K225" s="23"/>
      <c r="L225" s="23"/>
      <c r="M225" s="23"/>
    </row>
    <row r="226" spans="1:18" customFormat="1" ht="12.75" hidden="1" outlineLevel="2">
      <c r="A226" s="211"/>
      <c r="B226" s="211"/>
      <c r="C226" s="211" t="e">
        <f ca="1">REPLACE(C225,1,1,"")</f>
        <v>#REF!</v>
      </c>
      <c r="D226" s="211"/>
      <c r="E226" s="211"/>
      <c r="F226" s="211"/>
      <c r="G226" s="23"/>
      <c r="H226" s="23"/>
      <c r="I226" s="23"/>
      <c r="J226" s="23"/>
      <c r="K226" s="23"/>
      <c r="L226" s="23"/>
      <c r="M226" s="23"/>
    </row>
    <row r="227" spans="1:18" customFormat="1" ht="12.75" hidden="1" outlineLevel="2">
      <c r="A227" s="211"/>
      <c r="B227" s="211"/>
      <c r="C227" s="211" t="e">
        <f ca="1">CONCATENATE(C224,C226)</f>
        <v>#REF!</v>
      </c>
      <c r="D227" s="211"/>
      <c r="E227" s="211"/>
      <c r="F227" s="211"/>
      <c r="G227" s="23"/>
      <c r="H227" s="23"/>
      <c r="I227" s="23"/>
      <c r="J227" s="23"/>
      <c r="K227" s="23"/>
      <c r="L227" s="23"/>
      <c r="M227" s="23"/>
    </row>
    <row r="228" spans="1:18" customFormat="1" ht="12.75" hidden="1" outlineLevel="2">
      <c r="A228" s="211"/>
      <c r="B228" s="211"/>
      <c r="C228" s="211"/>
      <c r="D228" s="211"/>
      <c r="E228" s="211"/>
      <c r="F228" s="211"/>
      <c r="G228" s="23"/>
      <c r="H228" s="23"/>
      <c r="I228" s="23"/>
      <c r="J228" s="23"/>
      <c r="K228" s="23"/>
      <c r="L228" s="23"/>
      <c r="M228" s="23"/>
    </row>
    <row r="229" spans="1:18" customFormat="1" ht="12.75" hidden="1" outlineLevel="2">
      <c r="A229" s="211"/>
      <c r="B229" s="211" t="s">
        <v>173</v>
      </c>
      <c r="C229" s="211" t="e">
        <f>ROUND(C32-C33*1000000-C97*1000-C160,2)*100</f>
        <v>#REF!</v>
      </c>
      <c r="D229" s="211"/>
      <c r="E229" s="211"/>
      <c r="F229" s="211"/>
      <c r="G229" s="23"/>
      <c r="H229" s="23"/>
      <c r="I229" s="23"/>
      <c r="J229" s="23"/>
      <c r="K229" s="23"/>
      <c r="L229" s="23"/>
      <c r="M229" s="23"/>
    </row>
    <row r="230" spans="1:18" customFormat="1" ht="12.75" hidden="1" outlineLevel="2">
      <c r="A230" s="211"/>
      <c r="B230" s="211" t="s">
        <v>174</v>
      </c>
      <c r="C230" s="211" t="e">
        <f>ROUNDDOWN(C229/10,0)</f>
        <v>#REF!</v>
      </c>
      <c r="D230" s="211"/>
      <c r="E230" s="211"/>
      <c r="F230" s="211"/>
      <c r="G230" s="23"/>
      <c r="H230" s="23"/>
      <c r="I230" s="23"/>
      <c r="J230" s="23"/>
      <c r="K230" s="23"/>
      <c r="L230" s="23"/>
      <c r="M230" s="23"/>
    </row>
    <row r="231" spans="1:18" customFormat="1" ht="12.75" hidden="1" outlineLevel="2">
      <c r="A231" s="211"/>
      <c r="B231" s="211" t="s">
        <v>175</v>
      </c>
      <c r="C231" s="211" t="e">
        <f>+C229-C230*10</f>
        <v>#REF!</v>
      </c>
      <c r="D231" s="211"/>
      <c r="E231" s="211"/>
      <c r="F231" s="211"/>
      <c r="G231" s="23"/>
      <c r="H231" s="23"/>
      <c r="I231" s="23"/>
      <c r="J231" s="23"/>
      <c r="K231" s="23"/>
      <c r="L231" s="23"/>
      <c r="M231" s="23"/>
    </row>
    <row r="232" spans="1:18" customFormat="1" ht="12.75" hidden="1" outlineLevel="2">
      <c r="A232" s="211"/>
      <c r="B232" s="211"/>
      <c r="C232" s="211" t="e">
        <f>IF(C229&lt;10,CONCATENATE("0",C229),C229)</f>
        <v>#REF!</v>
      </c>
      <c r="D232" s="211"/>
      <c r="E232" s="211"/>
      <c r="F232" s="211"/>
      <c r="G232" s="23"/>
      <c r="H232" s="23"/>
      <c r="I232" s="23"/>
      <c r="J232" s="23"/>
      <c r="K232" s="23"/>
      <c r="L232" s="23"/>
      <c r="M232" s="23"/>
    </row>
    <row r="233" spans="1:18" customFormat="1" ht="12.75" hidden="1" outlineLevel="2">
      <c r="A233" s="211"/>
      <c r="B233" s="211"/>
      <c r="C233" s="211"/>
      <c r="D233" s="211"/>
      <c r="E233" s="211"/>
      <c r="F233" s="211"/>
      <c r="G233" s="23"/>
      <c r="H233" s="23"/>
      <c r="I233" s="23"/>
      <c r="J233" s="23"/>
      <c r="K233" s="23"/>
      <c r="L233" s="23"/>
      <c r="M233" s="23"/>
    </row>
    <row r="234" spans="1:18" customFormat="1" ht="12.75" hidden="1" outlineLevel="2">
      <c r="A234" s="211"/>
      <c r="B234" s="211"/>
      <c r="C234" s="211" t="e">
        <f>IF(AND(C231=1,C230&lt;&gt;1)," копейка","")</f>
        <v>#REF!</v>
      </c>
      <c r="D234" s="211"/>
      <c r="E234" s="211"/>
      <c r="F234" s="211"/>
      <c r="G234" s="23"/>
      <c r="H234" s="23"/>
      <c r="I234" s="23"/>
      <c r="J234" s="23"/>
      <c r="K234" s="23"/>
      <c r="L234" s="23"/>
      <c r="M234" s="23"/>
    </row>
    <row r="235" spans="1:18" customFormat="1" ht="12.75" hidden="1" outlineLevel="2">
      <c r="A235" s="211"/>
      <c r="B235" s="211"/>
      <c r="C235" s="211" t="e">
        <f>IF(C230&lt;&gt;1,IF(OR(C231=2,C231=3,C231=4)," копейки",""),"")</f>
        <v>#REF!</v>
      </c>
      <c r="D235" s="211"/>
      <c r="E235" s="211"/>
      <c r="F235" s="211"/>
      <c r="G235" s="23"/>
      <c r="H235" s="23"/>
      <c r="I235" s="23"/>
      <c r="J235" s="23"/>
      <c r="K235" s="23"/>
      <c r="L235" s="23"/>
      <c r="M235" s="23"/>
    </row>
    <row r="236" spans="1:18" customFormat="1" ht="12.75" hidden="1" outlineLevel="2">
      <c r="A236" s="211"/>
      <c r="B236" s="211"/>
      <c r="C236" s="211" t="e">
        <f>IF(AND(C234="",C235="")," копеек","")</f>
        <v>#REF!</v>
      </c>
      <c r="D236" s="211"/>
      <c r="E236" s="211"/>
      <c r="F236" s="211"/>
      <c r="G236" s="23"/>
      <c r="H236" s="23"/>
      <c r="I236" s="23"/>
      <c r="J236" s="23"/>
      <c r="K236" s="23"/>
      <c r="L236" s="23"/>
      <c r="M236" s="23"/>
    </row>
    <row r="237" spans="1:18" customFormat="1" ht="12.75" hidden="1" outlineLevel="2">
      <c r="A237" s="211"/>
      <c r="B237" s="211"/>
      <c r="C237" s="211"/>
      <c r="D237" s="211"/>
      <c r="E237" s="211"/>
      <c r="F237" s="211"/>
      <c r="G237" s="23"/>
      <c r="H237" s="23"/>
      <c r="I237" s="23"/>
      <c r="J237" s="23"/>
      <c r="K237" s="23"/>
      <c r="L237" s="23"/>
      <c r="M237" s="23"/>
    </row>
    <row r="238" spans="1:18" customFormat="1" ht="12" customHeight="1" outlineLevel="1" collapsed="1">
      <c r="A238" s="211"/>
      <c r="B238" s="211" t="s">
        <v>176</v>
      </c>
      <c r="C238" s="211" t="e">
        <f ca="1">CONCATENATE(C227," ",C232,C234,C235,C236)</f>
        <v>#REF!</v>
      </c>
      <c r="D238" s="211"/>
      <c r="E238" s="211"/>
      <c r="F238" s="211"/>
      <c r="G238" s="23"/>
      <c r="H238" s="23"/>
      <c r="I238" s="23"/>
      <c r="J238" s="23"/>
      <c r="K238" s="23"/>
      <c r="L238" s="23"/>
      <c r="M238" s="23"/>
    </row>
    <row r="239" spans="1:18" s="5" customFormat="1">
      <c r="A239" s="14"/>
      <c r="B239" s="14"/>
      <c r="C239" s="14"/>
      <c r="D239" s="14"/>
      <c r="E239" s="14"/>
      <c r="F239" s="14"/>
      <c r="G239" s="7"/>
      <c r="H239" s="7"/>
      <c r="I239" s="7"/>
      <c r="J239" s="7"/>
      <c r="K239" s="7"/>
      <c r="L239" s="7"/>
      <c r="M239" s="12"/>
      <c r="N239" s="56"/>
      <c r="O239" s="21"/>
      <c r="R239" s="6"/>
    </row>
  </sheetData>
  <mergeCells count="14">
    <mergeCell ref="A1:F1"/>
    <mergeCell ref="A8:F8"/>
    <mergeCell ref="A9:C9"/>
    <mergeCell ref="D9:F9"/>
    <mergeCell ref="E2:F2"/>
    <mergeCell ref="A4:F4"/>
    <mergeCell ref="A3:F3"/>
    <mergeCell ref="A6:F6"/>
    <mergeCell ref="A11:C11"/>
    <mergeCell ref="D11:F11"/>
    <mergeCell ref="A24:E24"/>
    <mergeCell ref="A19:F19"/>
    <mergeCell ref="A12:F12"/>
    <mergeCell ref="A18:F18"/>
  </mergeCells>
  <phoneticPr fontId="14" type="noConversion"/>
  <pageMargins left="0.86614173228346458" right="0.43307086614173229" top="0.39370078740157483" bottom="0.39370078740157483" header="0.51181102362204722" footer="0.51181102362204722"/>
  <pageSetup paperSize="9" scale="105"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6"/>
  <sheetViews>
    <sheetView showGridLines="0" view="pageBreakPreview" zoomScaleNormal="130" zoomScaleSheetLayoutView="85" workbookViewId="0">
      <pane ySplit="18" topLeftCell="A19" activePane="bottomLeft" state="frozen"/>
      <selection activeCell="C249" sqref="C249"/>
      <selection pane="bottomLeft" activeCell="C249" sqref="C249"/>
    </sheetView>
  </sheetViews>
  <sheetFormatPr defaultColWidth="9.140625" defaultRowHeight="12.75" outlineLevelRow="2"/>
  <cols>
    <col min="1" max="1" width="0.140625" style="121" customWidth="1"/>
    <col min="2" max="2" width="6.5703125" style="122" customWidth="1"/>
    <col min="3" max="3" width="43.140625" style="121" customWidth="1"/>
    <col min="4" max="4" width="11.5703125" style="121" customWidth="1"/>
    <col min="5" max="6" width="5.5703125" style="121" customWidth="1"/>
    <col min="7" max="7" width="5.5703125" style="132" customWidth="1"/>
    <col min="8" max="10" width="5.5703125" style="121" customWidth="1"/>
    <col min="11" max="11" width="13.140625" style="121" customWidth="1"/>
    <col min="12" max="17" width="9.140625" style="121"/>
    <col min="18" max="20" width="0" style="121" hidden="1" customWidth="1"/>
    <col min="21" max="16384" width="9.140625" style="121"/>
  </cols>
  <sheetData>
    <row r="1" spans="2:23" ht="16.5" hidden="1" customHeight="1" outlineLevel="1">
      <c r="B1" s="647" t="e">
        <f>CONCATENATE(L2," ",#REF!,".",L1," ",L3)</f>
        <v>#REF!</v>
      </c>
      <c r="C1" s="647"/>
      <c r="D1" s="647"/>
      <c r="E1" s="647"/>
      <c r="F1" s="647"/>
      <c r="G1" s="647"/>
      <c r="H1" s="647"/>
      <c r="I1" s="647"/>
      <c r="J1" s="647"/>
      <c r="L1" s="264" t="e">
        <f>#REF!+1</f>
        <v>#REF!</v>
      </c>
      <c r="V1" s="281" t="e">
        <f>#REF!</f>
        <v>#REF!</v>
      </c>
      <c r="W1" s="281" t="e">
        <f>#REF!+1</f>
        <v>#REF!</v>
      </c>
    </row>
    <row r="2" spans="2:23" collapsed="1">
      <c r="D2" s="123" t="s">
        <v>197</v>
      </c>
      <c r="E2" s="123"/>
      <c r="F2" s="123"/>
      <c r="G2" s="123"/>
      <c r="H2" s="123"/>
      <c r="I2" s="123"/>
      <c r="J2" s="123"/>
      <c r="L2" s="265" t="e">
        <f>#REF!</f>
        <v>#REF!</v>
      </c>
    </row>
    <row r="3" spans="2:23">
      <c r="D3" s="648"/>
      <c r="E3" s="648"/>
      <c r="F3" s="648"/>
      <c r="G3" s="648"/>
      <c r="H3" s="648"/>
      <c r="I3" s="648"/>
      <c r="J3" s="648"/>
      <c r="L3" s="266" t="e">
        <f>#REF!</f>
        <v>#REF!</v>
      </c>
    </row>
    <row r="5" spans="2:23" ht="12.75" customHeight="1">
      <c r="C5" s="649" t="e">
        <f>CONCATENATE(#REF!," ",V1,".",W1)</f>
        <v>#REF!</v>
      </c>
      <c r="D5" s="649"/>
      <c r="E5" s="649"/>
      <c r="F5" s="649"/>
      <c r="G5" s="649"/>
      <c r="H5" s="649"/>
      <c r="I5" s="649"/>
    </row>
    <row r="6" spans="2:23" ht="25.5" customHeight="1">
      <c r="B6" s="650" t="e">
        <f>#REF!</f>
        <v>#REF!</v>
      </c>
      <c r="C6" s="650"/>
      <c r="D6" s="650"/>
      <c r="E6" s="650"/>
      <c r="F6" s="650"/>
      <c r="G6" s="650"/>
      <c r="H6" s="650"/>
      <c r="I6" s="650"/>
      <c r="J6" s="650"/>
    </row>
    <row r="7" spans="2:23">
      <c r="B7" s="653" t="s">
        <v>200</v>
      </c>
      <c r="C7" s="653"/>
      <c r="D7" s="653"/>
      <c r="E7" s="653"/>
      <c r="F7" s="653"/>
      <c r="G7" s="653"/>
      <c r="H7" s="653"/>
      <c r="I7" s="653"/>
      <c r="J7" s="653"/>
    </row>
    <row r="8" spans="2:23">
      <c r="B8" s="121"/>
      <c r="G8" s="121"/>
    </row>
    <row r="9" spans="2:23" s="124" customFormat="1" ht="12.75" customHeight="1">
      <c r="B9" s="654" t="s">
        <v>179</v>
      </c>
      <c r="C9" s="654"/>
      <c r="D9" s="654"/>
      <c r="E9" s="654"/>
      <c r="F9" s="654"/>
      <c r="G9" s="654"/>
      <c r="H9" s="654"/>
      <c r="I9" s="654"/>
      <c r="J9" s="654"/>
    </row>
    <row r="10" spans="2:23" s="124" customFormat="1">
      <c r="B10" s="655" t="s">
        <v>180</v>
      </c>
      <c r="C10" s="655"/>
      <c r="D10" s="655"/>
      <c r="E10" s="655"/>
      <c r="F10" s="655"/>
      <c r="G10" s="655"/>
      <c r="H10" s="655"/>
      <c r="I10" s="655"/>
      <c r="J10" s="655"/>
    </row>
    <row r="11" spans="2:23" s="124" customFormat="1">
      <c r="B11" s="655" t="s">
        <v>181</v>
      </c>
      <c r="C11" s="655"/>
      <c r="D11" s="655"/>
      <c r="E11" s="655"/>
      <c r="F11" s="655"/>
      <c r="G11" s="655"/>
      <c r="H11" s="655"/>
      <c r="I11" s="655"/>
      <c r="J11" s="655"/>
    </row>
    <row r="12" spans="2:23" s="124" customFormat="1">
      <c r="B12" s="125"/>
      <c r="C12" s="125"/>
      <c r="D12" s="125"/>
      <c r="E12" s="125"/>
      <c r="F12" s="125"/>
      <c r="G12" s="125"/>
      <c r="H12" s="125"/>
      <c r="I12" s="125"/>
      <c r="J12" s="125"/>
    </row>
    <row r="13" spans="2:23" s="167" customFormat="1">
      <c r="B13" s="164" t="s">
        <v>201</v>
      </c>
      <c r="C13" s="165"/>
      <c r="D13" s="164"/>
      <c r="E13" s="166" t="e">
        <f>#REF!</f>
        <v>#REF!</v>
      </c>
      <c r="F13" s="165"/>
      <c r="G13" s="165"/>
      <c r="H13" s="165"/>
      <c r="I13" s="165"/>
      <c r="J13" s="165"/>
    </row>
    <row r="14" spans="2:23" s="167" customFormat="1">
      <c r="B14" s="165"/>
      <c r="C14" s="165"/>
      <c r="D14" s="164"/>
      <c r="E14" s="164"/>
      <c r="F14" s="165"/>
      <c r="G14" s="165"/>
      <c r="H14" s="165"/>
      <c r="I14" s="165"/>
      <c r="J14" s="165"/>
    </row>
    <row r="15" spans="2:23" s="167" customFormat="1">
      <c r="B15" s="164" t="s">
        <v>202</v>
      </c>
      <c r="C15" s="165"/>
      <c r="D15" s="164"/>
      <c r="E15" s="166" t="e">
        <f>#REF!</f>
        <v>#REF!</v>
      </c>
      <c r="F15" s="168"/>
      <c r="G15" s="169"/>
    </row>
    <row r="16" spans="2:23" s="124" customFormat="1" ht="12">
      <c r="B16" s="126"/>
      <c r="C16" s="127"/>
      <c r="D16" s="128"/>
      <c r="E16" s="128"/>
      <c r="F16" s="127"/>
      <c r="G16" s="129"/>
    </row>
    <row r="17" spans="1:10" s="124" customFormat="1" ht="12">
      <c r="B17" s="126"/>
      <c r="C17" s="127"/>
      <c r="D17" s="127"/>
      <c r="E17" s="127"/>
      <c r="F17" s="127"/>
      <c r="G17" s="129"/>
    </row>
    <row r="18" spans="1:10" s="124" customFormat="1" ht="12">
      <c r="B18" s="126"/>
      <c r="C18" s="127"/>
      <c r="D18" s="127"/>
      <c r="E18" s="127"/>
      <c r="F18" s="127"/>
      <c r="G18" s="129"/>
    </row>
    <row r="19" spans="1:10" s="132" customFormat="1">
      <c r="B19" s="130" t="s">
        <v>182</v>
      </c>
      <c r="C19" s="131"/>
    </row>
    <row r="20" spans="1:10">
      <c r="B20" s="133"/>
      <c r="C20" s="132"/>
      <c r="D20" s="134"/>
      <c r="E20" s="132"/>
      <c r="F20" s="132"/>
      <c r="G20" s="135"/>
      <c r="H20" s="132"/>
      <c r="J20" s="136"/>
    </row>
    <row r="21" spans="1:10">
      <c r="B21" s="699" t="str">
        <f ca="1">C243</f>
        <v>рублей 00 копеек</v>
      </c>
      <c r="C21" s="699"/>
      <c r="D21" s="699"/>
      <c r="E21" s="699"/>
      <c r="F21" s="699"/>
      <c r="G21" s="699"/>
      <c r="H21" s="699"/>
      <c r="I21" s="699"/>
      <c r="J21" s="699"/>
    </row>
    <row r="22" spans="1:10">
      <c r="B22" s="700" t="s">
        <v>183</v>
      </c>
      <c r="C22" s="700"/>
      <c r="D22" s="700"/>
      <c r="E22" s="700"/>
      <c r="F22" s="700"/>
      <c r="G22" s="700"/>
      <c r="H22" s="700"/>
      <c r="I22" s="700"/>
      <c r="J22" s="700"/>
    </row>
    <row r="23" spans="1:10" hidden="1" outlineLevel="1">
      <c r="B23" s="133"/>
      <c r="C23" s="132"/>
      <c r="D23" s="134"/>
      <c r="E23" s="132"/>
      <c r="F23" s="132"/>
      <c r="G23" s="135"/>
      <c r="H23" s="132"/>
    </row>
    <row r="24" spans="1:10" hidden="1" outlineLevel="1">
      <c r="B24" s="133"/>
      <c r="C24" s="137"/>
      <c r="D24" s="134"/>
      <c r="E24" s="132"/>
      <c r="F24" s="132"/>
      <c r="G24" s="135"/>
      <c r="H24" s="132"/>
    </row>
    <row r="25" spans="1:10" ht="15" hidden="1" outlineLevel="1">
      <c r="A25" s="121">
        <f>H14</f>
        <v>0</v>
      </c>
      <c r="B25" s="243" t="e">
        <f>#REF!</f>
        <v>#REF!</v>
      </c>
      <c r="C25" s="244"/>
      <c r="D25" s="244"/>
      <c r="E25" s="244"/>
      <c r="F25" s="244"/>
      <c r="G25" s="245"/>
      <c r="H25" s="244"/>
      <c r="I25" s="246"/>
      <c r="J25" s="246"/>
    </row>
    <row r="26" spans="1:10" ht="15" hidden="1" outlineLevel="1">
      <c r="B26" s="247" t="e">
        <f>E13</f>
        <v>#REF!</v>
      </c>
      <c r="C26" s="248"/>
      <c r="D26" s="248"/>
      <c r="E26" s="248"/>
      <c r="F26" s="248"/>
      <c r="G26" s="249" t="e">
        <f>#REF!</f>
        <v>#REF!</v>
      </c>
      <c r="H26" s="248"/>
      <c r="I26" s="248"/>
      <c r="J26" s="248"/>
    </row>
    <row r="27" spans="1:10" s="132" customFormat="1" ht="15" hidden="1" outlineLevel="1">
      <c r="B27" s="250"/>
      <c r="C27" s="250"/>
      <c r="D27" s="250"/>
      <c r="E27" s="250"/>
      <c r="F27" s="250"/>
      <c r="G27" s="250"/>
      <c r="H27" s="250"/>
      <c r="I27" s="250"/>
      <c r="J27" s="250"/>
    </row>
    <row r="28" spans="1:10" s="132" customFormat="1" ht="15" hidden="1" outlineLevel="1">
      <c r="B28" s="254" t="s">
        <v>199</v>
      </c>
      <c r="C28" s="244"/>
      <c r="D28" s="244"/>
      <c r="E28" s="244"/>
      <c r="F28" s="244"/>
      <c r="G28" s="244"/>
      <c r="H28" s="244"/>
      <c r="I28" s="244"/>
      <c r="J28" s="244"/>
    </row>
    <row r="29" spans="1:10" s="132" customFormat="1" ht="9.75" hidden="1" customHeight="1" outlineLevel="1">
      <c r="A29" s="132">
        <f>H16</f>
        <v>0</v>
      </c>
      <c r="B29" s="251"/>
      <c r="C29" s="244"/>
      <c r="D29" s="244"/>
      <c r="E29" s="244"/>
      <c r="F29" s="244"/>
      <c r="G29" s="244"/>
      <c r="H29" s="244"/>
      <c r="I29" s="244"/>
      <c r="J29" s="244"/>
    </row>
    <row r="30" spans="1:10" s="132" customFormat="1" ht="15" hidden="1" outlineLevel="1">
      <c r="B30" s="252" t="e">
        <f>#REF!</f>
        <v>#REF!</v>
      </c>
      <c r="C30" s="252"/>
      <c r="D30" s="252"/>
      <c r="E30" s="252"/>
      <c r="F30" s="252"/>
      <c r="G30" s="252"/>
      <c r="H30" s="252"/>
      <c r="I30" s="252"/>
      <c r="J30" s="252"/>
    </row>
    <row r="31" spans="1:10" s="132" customFormat="1" ht="15" hidden="1" outlineLevel="1">
      <c r="B31" s="253" t="e">
        <f>E15</f>
        <v>#REF!</v>
      </c>
      <c r="C31" s="248"/>
      <c r="D31" s="248"/>
      <c r="E31" s="248"/>
      <c r="F31" s="248"/>
      <c r="G31" s="248" t="e">
        <f>#REF!</f>
        <v>#REF!</v>
      </c>
      <c r="H31" s="248"/>
      <c r="I31" s="248"/>
      <c r="J31" s="248"/>
    </row>
    <row r="32" spans="1:10" s="132" customFormat="1" collapsed="1">
      <c r="B32" s="138"/>
    </row>
    <row r="36" spans="1:18" s="5" customFormat="1" ht="15.75">
      <c r="A36" s="139"/>
      <c r="B36" s="139"/>
      <c r="C36" s="139"/>
      <c r="D36" s="139"/>
      <c r="E36" s="139"/>
      <c r="F36" s="139"/>
      <c r="G36" s="139"/>
      <c r="H36" s="139"/>
      <c r="I36" s="139"/>
      <c r="J36" s="139"/>
      <c r="K36" s="139"/>
      <c r="L36" s="139"/>
      <c r="M36" s="21"/>
      <c r="N36" s="56"/>
      <c r="O36" s="21"/>
      <c r="R36" s="6"/>
    </row>
    <row r="37" spans="1:18" s="58" customFormat="1" outlineLevel="1">
      <c r="B37" s="194" t="s">
        <v>116</v>
      </c>
      <c r="C37" s="476"/>
    </row>
    <row r="38" spans="1:18" s="58" customFormat="1" outlineLevel="1">
      <c r="B38" s="58" t="s">
        <v>117</v>
      </c>
      <c r="C38" s="58">
        <f>ROUNDDOWN(C37/1000000,0)</f>
        <v>0</v>
      </c>
    </row>
    <row r="39" spans="1:18" s="58" customFormat="1" hidden="1" outlineLevel="2"/>
    <row r="40" spans="1:18" s="58" customFormat="1" hidden="1" outlineLevel="2">
      <c r="B40" s="58" t="s">
        <v>118</v>
      </c>
      <c r="C40" s="58">
        <f>ROUNDDOWN(C38/100,0)</f>
        <v>0</v>
      </c>
    </row>
    <row r="41" spans="1:18" s="58" customFormat="1" hidden="1" outlineLevel="2"/>
    <row r="42" spans="1:18" s="58" customFormat="1" hidden="1" outlineLevel="2">
      <c r="B42" s="58" t="s">
        <v>119</v>
      </c>
    </row>
    <row r="43" spans="1:18" s="58" customFormat="1" hidden="1" outlineLevel="2">
      <c r="B43" s="58" t="s">
        <v>120</v>
      </c>
    </row>
    <row r="44" spans="1:18" s="58" customFormat="1" hidden="1" outlineLevel="2">
      <c r="B44" s="58" t="s">
        <v>121</v>
      </c>
    </row>
    <row r="45" spans="1:18" s="58" customFormat="1" hidden="1" outlineLevel="2">
      <c r="B45" s="58" t="s">
        <v>122</v>
      </c>
    </row>
    <row r="46" spans="1:18" s="58" customFormat="1" hidden="1" outlineLevel="2">
      <c r="B46" s="58" t="s">
        <v>123</v>
      </c>
    </row>
    <row r="47" spans="1:18" s="58" customFormat="1" hidden="1" outlineLevel="2">
      <c r="B47" s="58" t="s">
        <v>124</v>
      </c>
    </row>
    <row r="48" spans="1:18" s="58" customFormat="1" hidden="1" outlineLevel="2">
      <c r="B48" s="58" t="s">
        <v>125</v>
      </c>
    </row>
    <row r="49" spans="2:3" s="58" customFormat="1" hidden="1" outlineLevel="2">
      <c r="B49" s="58" t="s">
        <v>126</v>
      </c>
    </row>
    <row r="50" spans="2:3" s="58" customFormat="1" hidden="1" outlineLevel="2">
      <c r="B50" s="58" t="s">
        <v>127</v>
      </c>
    </row>
    <row r="51" spans="2:3" s="58" customFormat="1" hidden="1" outlineLevel="2"/>
    <row r="52" spans="2:3" s="58" customFormat="1" hidden="1" outlineLevel="2">
      <c r="C52" s="111" t="str">
        <f ca="1">IF(C40&lt;&gt;0,OFFSET(B41,C40,0),"")</f>
        <v/>
      </c>
    </row>
    <row r="53" spans="2:3" s="58" customFormat="1" hidden="1" outlineLevel="2"/>
    <row r="54" spans="2:3" s="58" customFormat="1" hidden="1" outlineLevel="2">
      <c r="B54" s="58" t="s">
        <v>128</v>
      </c>
      <c r="C54" s="58">
        <f>ROUNDDOWN((C37-C40*100000000)/10000000,0)</f>
        <v>0</v>
      </c>
    </row>
    <row r="55" spans="2:3" s="58" customFormat="1" hidden="1" outlineLevel="2"/>
    <row r="56" spans="2:3" s="58" customFormat="1" hidden="1" outlineLevel="2">
      <c r="B56" s="58" t="s">
        <v>129</v>
      </c>
    </row>
    <row r="57" spans="2:3" s="58" customFormat="1" hidden="1" outlineLevel="2">
      <c r="B57" s="58" t="s">
        <v>130</v>
      </c>
    </row>
    <row r="58" spans="2:3" s="58" customFormat="1" hidden="1" outlineLevel="2">
      <c r="B58" s="58" t="s">
        <v>131</v>
      </c>
    </row>
    <row r="59" spans="2:3" s="58" customFormat="1" hidden="1" outlineLevel="2">
      <c r="B59" s="58" t="s">
        <v>132</v>
      </c>
    </row>
    <row r="60" spans="2:3" s="58" customFormat="1" hidden="1" outlineLevel="2">
      <c r="B60" s="58" t="s">
        <v>133</v>
      </c>
    </row>
    <row r="61" spans="2:3" s="58" customFormat="1" hidden="1" outlineLevel="2">
      <c r="B61" s="58" t="s">
        <v>134</v>
      </c>
    </row>
    <row r="62" spans="2:3" s="58" customFormat="1" hidden="1" outlineLevel="2">
      <c r="B62" s="58" t="s">
        <v>135</v>
      </c>
    </row>
    <row r="63" spans="2:3" s="58" customFormat="1" hidden="1" outlineLevel="2">
      <c r="B63" s="58" t="s">
        <v>136</v>
      </c>
    </row>
    <row r="64" spans="2:3" s="58" customFormat="1" hidden="1" outlineLevel="2">
      <c r="B64" s="58" t="s">
        <v>137</v>
      </c>
    </row>
    <row r="65" spans="2:3" s="58" customFormat="1" hidden="1" outlineLevel="2"/>
    <row r="66" spans="2:3" s="58" customFormat="1" hidden="1" outlineLevel="2">
      <c r="C66" s="111" t="str">
        <f ca="1">IF(AND(C54=1,C68&lt;&gt;0),"",IF(C54&lt;&gt;0,OFFSET(B55,C54,0),""))</f>
        <v/>
      </c>
    </row>
    <row r="67" spans="2:3" s="58" customFormat="1" hidden="1" outlineLevel="2"/>
    <row r="68" spans="2:3" s="58" customFormat="1" hidden="1" outlineLevel="2">
      <c r="B68" s="58" t="s">
        <v>138</v>
      </c>
      <c r="C68" s="58">
        <f>ROUNDDOWN((C37-C40*100000000-C54*10000000)/1000000,0)</f>
        <v>0</v>
      </c>
    </row>
    <row r="69" spans="2:3" s="58" customFormat="1" hidden="1" outlineLevel="2"/>
    <row r="70" spans="2:3" s="58" customFormat="1" hidden="1" outlineLevel="2">
      <c r="B70" s="58" t="s">
        <v>139</v>
      </c>
    </row>
    <row r="71" spans="2:3" s="58" customFormat="1" hidden="1" outlineLevel="2">
      <c r="B71" s="58" t="s">
        <v>140</v>
      </c>
    </row>
    <row r="72" spans="2:3" s="58" customFormat="1" hidden="1" outlineLevel="2">
      <c r="B72" s="58" t="s">
        <v>141</v>
      </c>
    </row>
    <row r="73" spans="2:3" s="58" customFormat="1" hidden="1" outlineLevel="2">
      <c r="B73" s="58" t="s">
        <v>142</v>
      </c>
    </row>
    <row r="74" spans="2:3" s="58" customFormat="1" hidden="1" outlineLevel="2">
      <c r="B74" s="58" t="s">
        <v>143</v>
      </c>
    </row>
    <row r="75" spans="2:3" s="58" customFormat="1" hidden="1" outlineLevel="2">
      <c r="B75" s="58" t="s">
        <v>144</v>
      </c>
    </row>
    <row r="76" spans="2:3" s="58" customFormat="1" hidden="1" outlineLevel="2">
      <c r="B76" s="58" t="s">
        <v>145</v>
      </c>
    </row>
    <row r="77" spans="2:3" s="58" customFormat="1" hidden="1" outlineLevel="2">
      <c r="B77" s="58" t="s">
        <v>146</v>
      </c>
    </row>
    <row r="78" spans="2:3" s="58" customFormat="1" hidden="1" outlineLevel="2">
      <c r="B78" s="58" t="s">
        <v>147</v>
      </c>
    </row>
    <row r="79" spans="2:3" s="58" customFormat="1" hidden="1" outlineLevel="2"/>
    <row r="80" spans="2:3" s="58" customFormat="1" hidden="1" outlineLevel="2">
      <c r="C80" s="111" t="str">
        <f ca="1">IF(C54&lt;&gt;1,IF(C68&lt;&gt;0,OFFSET(B69,C68,0),""),"")</f>
        <v/>
      </c>
    </row>
    <row r="81" spans="2:3" s="58" customFormat="1" hidden="1" outlineLevel="2"/>
    <row r="82" spans="2:3" s="58" customFormat="1" hidden="1" outlineLevel="2">
      <c r="B82" s="58" t="s">
        <v>148</v>
      </c>
    </row>
    <row r="83" spans="2:3" s="58" customFormat="1" hidden="1" outlineLevel="2"/>
    <row r="84" spans="2:3" s="58" customFormat="1" hidden="1" outlineLevel="2">
      <c r="C84" s="58">
        <f>+C68</f>
        <v>0</v>
      </c>
    </row>
    <row r="85" spans="2:3" s="58" customFormat="1" hidden="1" outlineLevel="2">
      <c r="B85" s="58" t="s">
        <v>149</v>
      </c>
    </row>
    <row r="86" spans="2:3" s="58" customFormat="1" hidden="1" outlineLevel="2">
      <c r="B86" s="58" t="s">
        <v>150</v>
      </c>
    </row>
    <row r="87" spans="2:3" s="58" customFormat="1" hidden="1" outlineLevel="2">
      <c r="B87" s="58" t="s">
        <v>151</v>
      </c>
    </row>
    <row r="88" spans="2:3" s="58" customFormat="1" hidden="1" outlineLevel="2">
      <c r="B88" s="58" t="s">
        <v>152</v>
      </c>
    </row>
    <row r="89" spans="2:3" s="58" customFormat="1" hidden="1" outlineLevel="2">
      <c r="B89" s="58" t="s">
        <v>153</v>
      </c>
    </row>
    <row r="90" spans="2:3" s="58" customFormat="1" hidden="1" outlineLevel="2">
      <c r="B90" s="58" t="s">
        <v>154</v>
      </c>
    </row>
    <row r="91" spans="2:3" s="58" customFormat="1" hidden="1" outlineLevel="2">
      <c r="B91" s="58" t="s">
        <v>155</v>
      </c>
    </row>
    <row r="92" spans="2:3" s="58" customFormat="1" hidden="1" outlineLevel="2">
      <c r="B92" s="58" t="s">
        <v>156</v>
      </c>
    </row>
    <row r="93" spans="2:3" s="58" customFormat="1" hidden="1" outlineLevel="2">
      <c r="B93" s="58" t="s">
        <v>157</v>
      </c>
    </row>
    <row r="94" spans="2:3" s="58" customFormat="1" hidden="1" outlineLevel="2"/>
    <row r="95" spans="2:3" s="58" customFormat="1" hidden="1" outlineLevel="2">
      <c r="C95" s="111" t="str">
        <f ca="1">IF(AND(C54=1,C68&lt;&gt;0),IF(C54&lt;&gt;0,OFFSET(B84,C84,0),""),"")</f>
        <v/>
      </c>
    </row>
    <row r="96" spans="2:3" s="58" customFormat="1" hidden="1" outlineLevel="2"/>
    <row r="97" spans="2:3" s="58" customFormat="1" hidden="1" outlineLevel="2">
      <c r="C97" s="111" t="str">
        <f>IF(C54&lt;&gt;1,IF(OR(C68=2,C68=3,C68=4)," миллиона",""),"")</f>
        <v/>
      </c>
    </row>
    <row r="98" spans="2:3" s="58" customFormat="1" hidden="1" outlineLevel="2">
      <c r="C98" s="111" t="str">
        <f>IF(C54&lt;&gt;1,IF(OR(C68=1)," миллион",""),"")</f>
        <v/>
      </c>
    </row>
    <row r="99" spans="2:3" s="58" customFormat="1" hidden="1" outlineLevel="2">
      <c r="C99" s="111" t="str">
        <f>IF(C38&lt;&gt;0,IF(AND(C97="",C98="")," миллионов",""),"")</f>
        <v/>
      </c>
    </row>
    <row r="100" spans="2:3" s="58" customFormat="1" hidden="1" outlineLevel="2">
      <c r="C100" s="112" t="str">
        <f ca="1">(CONCATENATE(C52,C66,C80,C95,C97,C98,C99))</f>
        <v/>
      </c>
    </row>
    <row r="101" spans="2:3" s="58" customFormat="1" hidden="1" outlineLevel="2"/>
    <row r="102" spans="2:3" s="58" customFormat="1" hidden="1" outlineLevel="2">
      <c r="B102" s="58" t="s">
        <v>158</v>
      </c>
      <c r="C102" s="58">
        <f>ROUNDDOWN((C37-C38*1000000)/1000,0)</f>
        <v>0</v>
      </c>
    </row>
    <row r="103" spans="2:3" s="58" customFormat="1" hidden="1" outlineLevel="2">
      <c r="B103" s="58" t="s">
        <v>159</v>
      </c>
      <c r="C103" s="58">
        <f>ROUNDDOWN(C102/100,0)</f>
        <v>0</v>
      </c>
    </row>
    <row r="104" spans="2:3" s="58" customFormat="1" hidden="1" outlineLevel="2"/>
    <row r="105" spans="2:3" s="58" customFormat="1" hidden="1" outlineLevel="2">
      <c r="B105" s="58" t="s">
        <v>160</v>
      </c>
    </row>
    <row r="106" spans="2:3" s="58" customFormat="1" hidden="1" outlineLevel="2">
      <c r="B106" s="58" t="s">
        <v>161</v>
      </c>
    </row>
    <row r="107" spans="2:3" s="58" customFormat="1" hidden="1" outlineLevel="2">
      <c r="B107" s="58" t="s">
        <v>162</v>
      </c>
    </row>
    <row r="108" spans="2:3" s="58" customFormat="1" hidden="1" outlineLevel="2">
      <c r="B108" s="58" t="s">
        <v>163</v>
      </c>
    </row>
    <row r="109" spans="2:3" s="58" customFormat="1" hidden="1" outlineLevel="2">
      <c r="B109" s="58" t="s">
        <v>164</v>
      </c>
    </row>
    <row r="110" spans="2:3" s="58" customFormat="1" hidden="1" outlineLevel="2">
      <c r="B110" s="58" t="s">
        <v>165</v>
      </c>
    </row>
    <row r="111" spans="2:3" s="58" customFormat="1" hidden="1" outlineLevel="2">
      <c r="B111" s="58" t="s">
        <v>166</v>
      </c>
    </row>
    <row r="112" spans="2:3" s="58" customFormat="1" hidden="1" outlineLevel="2">
      <c r="B112" s="58" t="s">
        <v>167</v>
      </c>
    </row>
    <row r="113" spans="2:3" s="58" customFormat="1" hidden="1" outlineLevel="2">
      <c r="B113" s="58" t="s">
        <v>168</v>
      </c>
    </row>
    <row r="114" spans="2:3" s="58" customFormat="1" hidden="1" outlineLevel="2"/>
    <row r="115" spans="2:3" s="58" customFormat="1" hidden="1" outlineLevel="2">
      <c r="C115" s="111" t="str">
        <f ca="1">IF(C103&lt;&gt;0,OFFSET(B104,C103,0),"")</f>
        <v/>
      </c>
    </row>
    <row r="116" spans="2:3" s="58" customFormat="1" hidden="1" outlineLevel="2"/>
    <row r="117" spans="2:3" s="58" customFormat="1" hidden="1" outlineLevel="2">
      <c r="B117" s="58" t="s">
        <v>169</v>
      </c>
      <c r="C117" s="58">
        <f>ROUNDDOWN((C102-C103*100)/10,0)</f>
        <v>0</v>
      </c>
    </row>
    <row r="118" spans="2:3" s="58" customFormat="1" hidden="1" outlineLevel="2"/>
    <row r="119" spans="2:3" s="58" customFormat="1" hidden="1" outlineLevel="2">
      <c r="B119" s="58" t="s">
        <v>129</v>
      </c>
    </row>
    <row r="120" spans="2:3" s="58" customFormat="1" hidden="1" outlineLevel="2">
      <c r="B120" s="58" t="s">
        <v>130</v>
      </c>
    </row>
    <row r="121" spans="2:3" s="58" customFormat="1" hidden="1" outlineLevel="2">
      <c r="B121" s="58" t="s">
        <v>131</v>
      </c>
    </row>
    <row r="122" spans="2:3" s="58" customFormat="1" hidden="1" outlineLevel="2">
      <c r="B122" s="58" t="s">
        <v>132</v>
      </c>
    </row>
    <row r="123" spans="2:3" s="58" customFormat="1" hidden="1" outlineLevel="2">
      <c r="B123" s="58" t="s">
        <v>133</v>
      </c>
    </row>
    <row r="124" spans="2:3" s="58" customFormat="1" hidden="1" outlineLevel="2">
      <c r="B124" s="58" t="s">
        <v>134</v>
      </c>
    </row>
    <row r="125" spans="2:3" s="58" customFormat="1" hidden="1" outlineLevel="2">
      <c r="B125" s="58" t="s">
        <v>135</v>
      </c>
    </row>
    <row r="126" spans="2:3" s="58" customFormat="1" hidden="1" outlineLevel="2">
      <c r="B126" s="58" t="s">
        <v>136</v>
      </c>
    </row>
    <row r="127" spans="2:3" s="58" customFormat="1" hidden="1" outlineLevel="2">
      <c r="B127" s="58" t="s">
        <v>137</v>
      </c>
    </row>
    <row r="128" spans="2:3" s="58" customFormat="1" hidden="1" outlineLevel="2"/>
    <row r="129" spans="2:3" s="58" customFormat="1" hidden="1" outlineLevel="2">
      <c r="C129" s="111" t="str">
        <f ca="1">IF(AND(C117=1,C131&lt;&gt;0),"",IF(C117&lt;&gt;0,OFFSET(B118,C117,0),""))</f>
        <v/>
      </c>
    </row>
    <row r="130" spans="2:3" s="58" customFormat="1" hidden="1" outlineLevel="2"/>
    <row r="131" spans="2:3" s="58" customFormat="1" hidden="1" outlineLevel="2">
      <c r="B131" s="58" t="s">
        <v>158</v>
      </c>
      <c r="C131" s="58">
        <f>C102-C103*100-C117*10</f>
        <v>0</v>
      </c>
    </row>
    <row r="132" spans="2:3" s="58" customFormat="1" hidden="1" outlineLevel="2"/>
    <row r="133" spans="2:3" s="58" customFormat="1" hidden="1" outlineLevel="2">
      <c r="B133" s="58" t="s">
        <v>170</v>
      </c>
    </row>
    <row r="134" spans="2:3" s="58" customFormat="1" hidden="1" outlineLevel="2">
      <c r="B134" s="58" t="s">
        <v>171</v>
      </c>
    </row>
    <row r="135" spans="2:3" s="58" customFormat="1" hidden="1" outlineLevel="2">
      <c r="B135" s="58" t="s">
        <v>141</v>
      </c>
    </row>
    <row r="136" spans="2:3" s="58" customFormat="1" hidden="1" outlineLevel="2">
      <c r="B136" s="58" t="s">
        <v>142</v>
      </c>
    </row>
    <row r="137" spans="2:3" s="58" customFormat="1" hidden="1" outlineLevel="2">
      <c r="B137" s="58" t="s">
        <v>143</v>
      </c>
    </row>
    <row r="138" spans="2:3" s="58" customFormat="1" hidden="1" outlineLevel="2">
      <c r="B138" s="58" t="s">
        <v>144</v>
      </c>
    </row>
    <row r="139" spans="2:3" s="58" customFormat="1" hidden="1" outlineLevel="2">
      <c r="B139" s="58" t="s">
        <v>145</v>
      </c>
    </row>
    <row r="140" spans="2:3" s="58" customFormat="1" hidden="1" outlineLevel="2">
      <c r="B140" s="58" t="s">
        <v>146</v>
      </c>
    </row>
    <row r="141" spans="2:3" s="58" customFormat="1" hidden="1" outlineLevel="2">
      <c r="B141" s="58" t="s">
        <v>147</v>
      </c>
    </row>
    <row r="142" spans="2:3" s="58" customFormat="1" hidden="1" outlineLevel="2"/>
    <row r="143" spans="2:3" s="58" customFormat="1" hidden="1" outlineLevel="2">
      <c r="C143" s="111" t="str">
        <f ca="1">IF(C117&lt;&gt;1,IF(C131&lt;&gt;0,OFFSET(B132,C131,0),""),"")</f>
        <v/>
      </c>
    </row>
    <row r="144" spans="2:3" s="58" customFormat="1" hidden="1" outlineLevel="2"/>
    <row r="145" spans="2:3" s="58" customFormat="1" hidden="1" outlineLevel="2">
      <c r="B145" s="58" t="s">
        <v>148</v>
      </c>
    </row>
    <row r="146" spans="2:3" s="58" customFormat="1" hidden="1" outlineLevel="2"/>
    <row r="147" spans="2:3" s="58" customFormat="1" hidden="1" outlineLevel="2">
      <c r="C147" s="58">
        <f>+C131</f>
        <v>0</v>
      </c>
    </row>
    <row r="148" spans="2:3" s="58" customFormat="1" hidden="1" outlineLevel="2">
      <c r="B148" s="58" t="s">
        <v>149</v>
      </c>
    </row>
    <row r="149" spans="2:3" s="58" customFormat="1" hidden="1" outlineLevel="2">
      <c r="B149" s="58" t="s">
        <v>150</v>
      </c>
    </row>
    <row r="150" spans="2:3" s="58" customFormat="1" hidden="1" outlineLevel="2">
      <c r="B150" s="58" t="s">
        <v>151</v>
      </c>
    </row>
    <row r="151" spans="2:3" s="58" customFormat="1" hidden="1" outlineLevel="2">
      <c r="B151" s="58" t="s">
        <v>152</v>
      </c>
    </row>
    <row r="152" spans="2:3" s="58" customFormat="1" hidden="1" outlineLevel="2">
      <c r="B152" s="58" t="s">
        <v>153</v>
      </c>
    </row>
    <row r="153" spans="2:3" s="58" customFormat="1" hidden="1" outlineLevel="2">
      <c r="B153" s="58" t="s">
        <v>154</v>
      </c>
    </row>
    <row r="154" spans="2:3" s="58" customFormat="1" hidden="1" outlineLevel="2">
      <c r="B154" s="58" t="s">
        <v>155</v>
      </c>
    </row>
    <row r="155" spans="2:3" s="58" customFormat="1" hidden="1" outlineLevel="2">
      <c r="B155" s="58" t="s">
        <v>156</v>
      </c>
    </row>
    <row r="156" spans="2:3" s="58" customFormat="1" hidden="1" outlineLevel="2">
      <c r="B156" s="58" t="s">
        <v>157</v>
      </c>
    </row>
    <row r="157" spans="2:3" s="58" customFormat="1" hidden="1" outlineLevel="2"/>
    <row r="158" spans="2:3" s="58" customFormat="1" hidden="1" outlineLevel="2">
      <c r="C158" s="111" t="str">
        <f ca="1">IF(AND(C117=1,C131&lt;&gt;0),IF(C117&lt;&gt;0,OFFSET(B147,C147,0),""),"")</f>
        <v/>
      </c>
    </row>
    <row r="159" spans="2:3" s="58" customFormat="1" hidden="1" outlineLevel="2"/>
    <row r="160" spans="2:3" s="58" customFormat="1" hidden="1" outlineLevel="2">
      <c r="C160" s="111" t="str">
        <f>IF(C117&lt;&gt;1,IF(OR(C131=2,C131=3,C131=4)," тысячи",""),"")</f>
        <v/>
      </c>
    </row>
    <row r="161" spans="2:3" s="58" customFormat="1" hidden="1" outlineLevel="2">
      <c r="C161" s="111" t="str">
        <f>IF(C117&lt;&gt;1,IF(OR(C131=1)," тысяча",""),"")</f>
        <v/>
      </c>
    </row>
    <row r="162" spans="2:3" s="58" customFormat="1" hidden="1" outlineLevel="2">
      <c r="C162" s="111" t="str">
        <f>IF(C102&lt;&gt;0,IF(AND(C160="",C161="")," тысяч",""),"")</f>
        <v/>
      </c>
    </row>
    <row r="163" spans="2:3" s="58" customFormat="1" hidden="1" outlineLevel="2">
      <c r="C163" s="112" t="str">
        <f ca="1">(CONCATENATE(C115,C129,C143,C158,C160,C161,C162))</f>
        <v/>
      </c>
    </row>
    <row r="164" spans="2:3" s="58" customFormat="1" hidden="1" outlineLevel="2"/>
    <row r="165" spans="2:3" s="58" customFormat="1" hidden="1" outlineLevel="2">
      <c r="B165" s="58" t="s">
        <v>172</v>
      </c>
      <c r="C165" s="58">
        <f>ROUNDDOWN(C37-C38*1000000-C102*1000,0)</f>
        <v>0</v>
      </c>
    </row>
    <row r="166" spans="2:3" s="58" customFormat="1" hidden="1" outlineLevel="2">
      <c r="B166" s="58" t="s">
        <v>159</v>
      </c>
      <c r="C166" s="58">
        <f>ROUNDDOWN(C165/100,0)</f>
        <v>0</v>
      </c>
    </row>
    <row r="167" spans="2:3" s="58" customFormat="1" hidden="1" outlineLevel="2"/>
    <row r="168" spans="2:3" s="58" customFormat="1" hidden="1" outlineLevel="2">
      <c r="B168" s="58" t="s">
        <v>160</v>
      </c>
    </row>
    <row r="169" spans="2:3" s="58" customFormat="1" hidden="1" outlineLevel="2">
      <c r="B169" s="58" t="s">
        <v>161</v>
      </c>
    </row>
    <row r="170" spans="2:3" s="58" customFormat="1" hidden="1" outlineLevel="2">
      <c r="B170" s="58" t="s">
        <v>162</v>
      </c>
    </row>
    <row r="171" spans="2:3" s="58" customFormat="1" hidden="1" outlineLevel="2">
      <c r="B171" s="58" t="s">
        <v>163</v>
      </c>
    </row>
    <row r="172" spans="2:3" s="58" customFormat="1" hidden="1" outlineLevel="2">
      <c r="B172" s="58" t="s">
        <v>164</v>
      </c>
    </row>
    <row r="173" spans="2:3" s="58" customFormat="1" hidden="1" outlineLevel="2">
      <c r="B173" s="58" t="s">
        <v>165</v>
      </c>
    </row>
    <row r="174" spans="2:3" s="58" customFormat="1" hidden="1" outlineLevel="2">
      <c r="B174" s="58" t="s">
        <v>166</v>
      </c>
    </row>
    <row r="175" spans="2:3" s="58" customFormat="1" hidden="1" outlineLevel="2">
      <c r="B175" s="58" t="s">
        <v>167</v>
      </c>
    </row>
    <row r="176" spans="2:3" s="58" customFormat="1" hidden="1" outlineLevel="2">
      <c r="B176" s="58" t="s">
        <v>168</v>
      </c>
    </row>
    <row r="177" spans="2:3" s="58" customFormat="1" hidden="1" outlineLevel="2"/>
    <row r="178" spans="2:3" s="58" customFormat="1" hidden="1" outlineLevel="2">
      <c r="C178" s="111" t="str">
        <f ca="1">IF(C166&lt;&gt;0,OFFSET(B167,C166,0),"")</f>
        <v/>
      </c>
    </row>
    <row r="179" spans="2:3" s="58" customFormat="1" hidden="1" outlineLevel="2"/>
    <row r="180" spans="2:3" s="58" customFormat="1" hidden="1" outlineLevel="2">
      <c r="B180" s="58" t="s">
        <v>169</v>
      </c>
      <c r="C180" s="58">
        <f>ROUNDDOWN((C165-C166*100)/10,0)</f>
        <v>0</v>
      </c>
    </row>
    <row r="181" spans="2:3" s="58" customFormat="1" hidden="1" outlineLevel="2"/>
    <row r="182" spans="2:3" s="58" customFormat="1" hidden="1" outlineLevel="2">
      <c r="B182" s="58" t="s">
        <v>129</v>
      </c>
    </row>
    <row r="183" spans="2:3" s="58" customFormat="1" hidden="1" outlineLevel="2">
      <c r="B183" s="58" t="s">
        <v>130</v>
      </c>
    </row>
    <row r="184" spans="2:3" s="58" customFormat="1" hidden="1" outlineLevel="2">
      <c r="B184" s="58" t="s">
        <v>131</v>
      </c>
    </row>
    <row r="185" spans="2:3" s="58" customFormat="1" hidden="1" outlineLevel="2">
      <c r="B185" s="58" t="s">
        <v>132</v>
      </c>
    </row>
    <row r="186" spans="2:3" s="58" customFormat="1" hidden="1" outlineLevel="2">
      <c r="B186" s="58" t="s">
        <v>133</v>
      </c>
    </row>
    <row r="187" spans="2:3" s="58" customFormat="1" hidden="1" outlineLevel="2">
      <c r="B187" s="58" t="s">
        <v>134</v>
      </c>
    </row>
    <row r="188" spans="2:3" s="58" customFormat="1" hidden="1" outlineLevel="2">
      <c r="B188" s="58" t="s">
        <v>135</v>
      </c>
    </row>
    <row r="189" spans="2:3" s="58" customFormat="1" hidden="1" outlineLevel="2">
      <c r="B189" s="58" t="s">
        <v>136</v>
      </c>
    </row>
    <row r="190" spans="2:3" s="58" customFormat="1" hidden="1" outlineLevel="2">
      <c r="B190" s="58" t="s">
        <v>137</v>
      </c>
    </row>
    <row r="191" spans="2:3" s="58" customFormat="1" hidden="1" outlineLevel="2"/>
    <row r="192" spans="2:3" s="58" customFormat="1" hidden="1" outlineLevel="2">
      <c r="C192" s="111" t="str">
        <f ca="1">IF(AND(C180=1,C194&lt;&gt;0),"",IF(C180&lt;&gt;0,OFFSET(B181,C180,0),""))</f>
        <v/>
      </c>
    </row>
    <row r="193" spans="2:3" s="58" customFormat="1" hidden="1" outlineLevel="2"/>
    <row r="194" spans="2:3" s="58" customFormat="1" hidden="1" outlineLevel="2">
      <c r="B194" s="58" t="s">
        <v>158</v>
      </c>
      <c r="C194" s="58">
        <f>C165-C166*100-C180*10</f>
        <v>0</v>
      </c>
    </row>
    <row r="195" spans="2:3" s="58" customFormat="1" hidden="1" outlineLevel="2"/>
    <row r="196" spans="2:3" s="58" customFormat="1" hidden="1" outlineLevel="2">
      <c r="B196" s="58" t="s">
        <v>139</v>
      </c>
    </row>
    <row r="197" spans="2:3" s="58" customFormat="1" hidden="1" outlineLevel="2">
      <c r="B197" s="58" t="s">
        <v>140</v>
      </c>
    </row>
    <row r="198" spans="2:3" s="58" customFormat="1" hidden="1" outlineLevel="2">
      <c r="B198" s="58" t="s">
        <v>141</v>
      </c>
    </row>
    <row r="199" spans="2:3" s="58" customFormat="1" hidden="1" outlineLevel="2">
      <c r="B199" s="58" t="s">
        <v>142</v>
      </c>
    </row>
    <row r="200" spans="2:3" s="58" customFormat="1" hidden="1" outlineLevel="2">
      <c r="B200" s="58" t="s">
        <v>143</v>
      </c>
    </row>
    <row r="201" spans="2:3" s="58" customFormat="1" hidden="1" outlineLevel="2">
      <c r="B201" s="58" t="s">
        <v>144</v>
      </c>
    </row>
    <row r="202" spans="2:3" s="58" customFormat="1" hidden="1" outlineLevel="2">
      <c r="B202" s="58" t="s">
        <v>145</v>
      </c>
    </row>
    <row r="203" spans="2:3" s="58" customFormat="1" hidden="1" outlineLevel="2">
      <c r="B203" s="58" t="s">
        <v>146</v>
      </c>
    </row>
    <row r="204" spans="2:3" s="58" customFormat="1" hidden="1" outlineLevel="2">
      <c r="B204" s="58" t="s">
        <v>147</v>
      </c>
    </row>
    <row r="205" spans="2:3" s="58" customFormat="1" hidden="1" outlineLevel="2"/>
    <row r="206" spans="2:3" s="58" customFormat="1" hidden="1" outlineLevel="2">
      <c r="C206" s="111" t="str">
        <f ca="1">IF(C180&lt;&gt;1,IF(C194&lt;&gt;0,OFFSET(B195,C194,0),""),"")</f>
        <v/>
      </c>
    </row>
    <row r="207" spans="2:3" s="58" customFormat="1" hidden="1" outlineLevel="2"/>
    <row r="208" spans="2:3" s="58" customFormat="1" hidden="1" outlineLevel="2">
      <c r="B208" s="58" t="s">
        <v>148</v>
      </c>
    </row>
    <row r="209" spans="2:3" s="58" customFormat="1" hidden="1" outlineLevel="2"/>
    <row r="210" spans="2:3" s="58" customFormat="1" hidden="1" outlineLevel="2">
      <c r="C210" s="58">
        <f>+C194</f>
        <v>0</v>
      </c>
    </row>
    <row r="211" spans="2:3" s="58" customFormat="1" hidden="1" outlineLevel="2">
      <c r="B211" s="58" t="s">
        <v>149</v>
      </c>
    </row>
    <row r="212" spans="2:3" s="58" customFormat="1" hidden="1" outlineLevel="2">
      <c r="B212" s="58" t="s">
        <v>150</v>
      </c>
    </row>
    <row r="213" spans="2:3" s="58" customFormat="1" hidden="1" outlineLevel="2">
      <c r="B213" s="58" t="s">
        <v>151</v>
      </c>
    </row>
    <row r="214" spans="2:3" s="58" customFormat="1" hidden="1" outlineLevel="2">
      <c r="B214" s="58" t="s">
        <v>152</v>
      </c>
    </row>
    <row r="215" spans="2:3" s="58" customFormat="1" hidden="1" outlineLevel="2">
      <c r="B215" s="58" t="s">
        <v>153</v>
      </c>
    </row>
    <row r="216" spans="2:3" s="58" customFormat="1" hidden="1" outlineLevel="2">
      <c r="B216" s="58" t="s">
        <v>154</v>
      </c>
    </row>
    <row r="217" spans="2:3" s="58" customFormat="1" hidden="1" outlineLevel="2">
      <c r="B217" s="58" t="s">
        <v>155</v>
      </c>
    </row>
    <row r="218" spans="2:3" s="58" customFormat="1" hidden="1" outlineLevel="2">
      <c r="B218" s="58" t="s">
        <v>156</v>
      </c>
    </row>
    <row r="219" spans="2:3" s="58" customFormat="1" hidden="1" outlineLevel="2">
      <c r="B219" s="58" t="s">
        <v>157</v>
      </c>
    </row>
    <row r="220" spans="2:3" s="58" customFormat="1" hidden="1" outlineLevel="2"/>
    <row r="221" spans="2:3" s="58" customFormat="1" hidden="1" outlineLevel="2">
      <c r="C221" s="111" t="str">
        <f ca="1">IF(AND(C180=1,C194&lt;&gt;0),IF(C180&lt;&gt;0,OFFSET(B210,C210,0),""),"")</f>
        <v/>
      </c>
    </row>
    <row r="222" spans="2:3" s="58" customFormat="1" hidden="1" outlineLevel="2"/>
    <row r="223" spans="2:3" s="58" customFormat="1" hidden="1" outlineLevel="2">
      <c r="C223" s="111" t="str">
        <f>IF(C180&lt;&gt;1,IF(OR(C194=2,C194=3,C194=4)," рубля",""),"")</f>
        <v/>
      </c>
    </row>
    <row r="224" spans="2:3" s="58" customFormat="1" hidden="1" outlineLevel="2">
      <c r="C224" s="111" t="str">
        <f>IF(C180&lt;&gt;1,IF(OR(C194=1)," рубль",""),"")</f>
        <v/>
      </c>
    </row>
    <row r="225" spans="2:3" s="58" customFormat="1" hidden="1" outlineLevel="2">
      <c r="C225" s="111" t="str">
        <f>IF(AND(C223="",C224="")," рублей","")</f>
        <v xml:space="preserve"> рублей</v>
      </c>
    </row>
    <row r="226" spans="2:3" s="58" customFormat="1" hidden="1" outlineLevel="2">
      <c r="C226" s="112" t="str">
        <f ca="1">(CONCATENATE(C178,C192,C206,C221,C223,C224,C225))</f>
        <v xml:space="preserve"> рублей</v>
      </c>
    </row>
    <row r="227" spans="2:3" s="58" customFormat="1" hidden="1" outlineLevel="2"/>
    <row r="228" spans="2:3" s="58" customFormat="1" hidden="1" outlineLevel="2">
      <c r="C228" s="58" t="str">
        <f ca="1">TRIM(CONCATENATE(C100,C163,C226))</f>
        <v>рублей</v>
      </c>
    </row>
    <row r="229" spans="2:3" s="58" customFormat="1" hidden="1" outlineLevel="2">
      <c r="C229" s="112" t="str">
        <f ca="1">LEFT(C228,1)</f>
        <v>р</v>
      </c>
    </row>
    <row r="230" spans="2:3" s="58" customFormat="1" hidden="1" outlineLevel="2">
      <c r="C230" s="112" t="str">
        <f ca="1">LOWER(C228)</f>
        <v>рублей</v>
      </c>
    </row>
    <row r="231" spans="2:3" s="58" customFormat="1" hidden="1" outlineLevel="2">
      <c r="C231" s="112" t="str">
        <f ca="1">REPLACE(C230,1,1,"")</f>
        <v>ублей</v>
      </c>
    </row>
    <row r="232" spans="2:3" s="58" customFormat="1" hidden="1" outlineLevel="2">
      <c r="C232" s="112" t="str">
        <f ca="1">CONCATENATE(C229,C231)</f>
        <v>рублей</v>
      </c>
    </row>
    <row r="233" spans="2:3" s="58" customFormat="1" hidden="1" outlineLevel="2"/>
    <row r="234" spans="2:3" s="58" customFormat="1" hidden="1" outlineLevel="2">
      <c r="B234" s="58" t="s">
        <v>173</v>
      </c>
      <c r="C234" s="58">
        <f>ROUND(C37-C38*1000000-C102*1000-C165,2)*100</f>
        <v>0</v>
      </c>
    </row>
    <row r="235" spans="2:3" s="58" customFormat="1" hidden="1" outlineLevel="2">
      <c r="B235" s="58" t="s">
        <v>174</v>
      </c>
      <c r="C235" s="58">
        <f>ROUNDDOWN(C234/10,0)</f>
        <v>0</v>
      </c>
    </row>
    <row r="236" spans="2:3" s="58" customFormat="1" hidden="1" outlineLevel="2">
      <c r="B236" s="58" t="s">
        <v>175</v>
      </c>
      <c r="C236" s="58">
        <f>+C234-C235*10</f>
        <v>0</v>
      </c>
    </row>
    <row r="237" spans="2:3" s="58" customFormat="1" hidden="1" outlineLevel="2">
      <c r="C237" s="58" t="str">
        <f>IF(C234&lt;10,CONCATENATE("0",C234),C234)</f>
        <v>00</v>
      </c>
    </row>
    <row r="238" spans="2:3" s="58" customFormat="1" hidden="1" outlineLevel="2"/>
    <row r="239" spans="2:3" s="58" customFormat="1" hidden="1" outlineLevel="2">
      <c r="C239" s="111" t="str">
        <f>IF(AND(C236=1,C235&lt;&gt;1)," копейка","")</f>
        <v/>
      </c>
    </row>
    <row r="240" spans="2:3" s="58" customFormat="1" hidden="1" outlineLevel="2">
      <c r="C240" s="111" t="str">
        <f>IF(C235&lt;&gt;1,IF(OR(C236=2,C236=3,C236=4)," копейки",""),"")</f>
        <v/>
      </c>
    </row>
    <row r="241" spans="1:18" s="58" customFormat="1" outlineLevel="1" collapsed="1">
      <c r="C241" s="111" t="str">
        <f>IF(AND(C239="",C240="")," копеек","")</f>
        <v xml:space="preserve"> копеек</v>
      </c>
    </row>
    <row r="242" spans="1:18" s="58" customFormat="1" outlineLevel="1"/>
    <row r="243" spans="1:18" s="58" customFormat="1" ht="12" customHeight="1" outlineLevel="1">
      <c r="B243" s="58" t="s">
        <v>176</v>
      </c>
      <c r="C243" s="111" t="str">
        <f ca="1">CONCATENATE(C232," ",C237,C239,C240,C241)</f>
        <v>рублей 00 копеек</v>
      </c>
    </row>
    <row r="244" spans="1:18" s="5" customFormat="1" ht="15.75">
      <c r="A244" s="139"/>
      <c r="B244" s="139"/>
      <c r="C244" s="139"/>
      <c r="D244" s="139"/>
      <c r="E244" s="139"/>
      <c r="F244" s="139"/>
      <c r="G244" s="139"/>
      <c r="H244" s="139"/>
      <c r="I244" s="139"/>
      <c r="J244" s="139"/>
      <c r="K244" s="139"/>
      <c r="L244" s="139"/>
      <c r="M244" s="21"/>
      <c r="N244" s="56"/>
      <c r="O244" s="21"/>
      <c r="R244" s="6"/>
    </row>
    <row r="255" spans="1:18" s="508" customFormat="1" ht="13.5" hidden="1" customHeight="1" outlineLevel="1" thickBot="1">
      <c r="B255" s="509"/>
      <c r="C255" s="512" t="s">
        <v>313</v>
      </c>
      <c r="D255" s="643" t="e">
        <f>#REF!</f>
        <v>#REF!</v>
      </c>
      <c r="E255" s="643"/>
      <c r="F255" s="643"/>
      <c r="G255" s="644"/>
      <c r="H255" s="510"/>
      <c r="I255" s="645" t="e">
        <f>I254*D255</f>
        <v>#REF!</v>
      </c>
      <c r="J255" s="646" t="e">
        <f>I254*D255</f>
        <v>#REF!</v>
      </c>
      <c r="L255" s="511"/>
    </row>
    <row r="256" spans="1:18" collapsed="1"/>
  </sheetData>
  <mergeCells count="12">
    <mergeCell ref="D255:G255"/>
    <mergeCell ref="I255:J255"/>
    <mergeCell ref="B1:J1"/>
    <mergeCell ref="B21:J21"/>
    <mergeCell ref="B22:J22"/>
    <mergeCell ref="D3:J3"/>
    <mergeCell ref="C5:I5"/>
    <mergeCell ref="B6:J6"/>
    <mergeCell ref="B7:J7"/>
    <mergeCell ref="B9:J9"/>
    <mergeCell ref="B10:J10"/>
    <mergeCell ref="B11:J11"/>
  </mergeCells>
  <phoneticPr fontId="11" type="noConversion"/>
  <pageMargins left="1.08" right="0.15748031496062992" top="0.34" bottom="0.98425196850393704" header="0.23" footer="0.51181102362204722"/>
  <pageSetup paperSize="9" scale="89" fitToHeight="2"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244"/>
  <sheetViews>
    <sheetView view="pageBreakPreview" zoomScale="85" zoomScaleNormal="100" workbookViewId="0">
      <pane ySplit="16" topLeftCell="A17" activePane="bottomLeft" state="frozen"/>
      <selection activeCell="C249" sqref="C249"/>
      <selection pane="bottomLeft" activeCell="C249" sqref="C249"/>
    </sheetView>
  </sheetViews>
  <sheetFormatPr defaultColWidth="9.140625" defaultRowHeight="12.75" outlineLevelRow="2" outlineLevelCol="1"/>
  <cols>
    <col min="1" max="2" width="9.140625" style="113"/>
    <col min="3" max="3" width="10.42578125" style="113" bestFit="1" customWidth="1"/>
    <col min="4" max="6" width="9.140625" style="113"/>
    <col min="7" max="7" width="27.42578125" style="113" customWidth="1"/>
    <col min="8" max="8" width="33.28515625" style="113" customWidth="1"/>
    <col min="9" max="9" width="9.140625" style="62" hidden="1" customWidth="1" outlineLevel="1"/>
    <col min="10" max="10" width="9.140625" style="63" collapsed="1"/>
    <col min="11" max="16384" width="9.140625" style="63"/>
  </cols>
  <sheetData>
    <row r="1" spans="1:22" ht="18.75" hidden="1" customHeight="1" outlineLevel="1">
      <c r="A1" s="708" t="e">
        <f>CONCATENATE(K2," ",#REF!,".",K1," ",K3)</f>
        <v>#REF!</v>
      </c>
      <c r="B1" s="708"/>
      <c r="C1" s="708"/>
      <c r="D1" s="708"/>
      <c r="E1" s="708"/>
      <c r="F1" s="708"/>
      <c r="G1" s="708"/>
      <c r="H1" s="708"/>
      <c r="K1" s="264" t="e">
        <f>#REF!+1</f>
        <v>#REF!</v>
      </c>
      <c r="V1" s="283" t="e">
        <f>#REF!+1</f>
        <v>#REF!</v>
      </c>
    </row>
    <row r="2" spans="1:22" ht="15" collapsed="1">
      <c r="A2" s="709"/>
      <c r="B2" s="710"/>
      <c r="C2" s="710"/>
      <c r="D2" s="710"/>
      <c r="E2" s="710"/>
      <c r="F2" s="710"/>
      <c r="G2" s="710"/>
      <c r="H2" s="710"/>
      <c r="K2" s="265" t="e">
        <f>#REF!</f>
        <v>#REF!</v>
      </c>
    </row>
    <row r="3" spans="1:22" ht="15">
      <c r="A3" s="90"/>
      <c r="B3" s="91"/>
      <c r="C3" s="91"/>
      <c r="D3" s="91"/>
      <c r="E3" s="91"/>
      <c r="F3" s="91"/>
      <c r="G3" s="91"/>
      <c r="H3" s="91"/>
      <c r="K3" s="266" t="e">
        <f>#REF!</f>
        <v>#REF!</v>
      </c>
    </row>
    <row r="4" spans="1:22" ht="15.75">
      <c r="A4" s="711" t="e">
        <f>CONCATENATE(#REF!," ",V1)</f>
        <v>#REF!</v>
      </c>
      <c r="B4" s="711"/>
      <c r="C4" s="711"/>
      <c r="D4" s="711"/>
      <c r="E4" s="711"/>
      <c r="F4" s="711"/>
      <c r="G4" s="711"/>
      <c r="H4" s="711"/>
    </row>
    <row r="5" spans="1:22" ht="15">
      <c r="A5" s="92"/>
      <c r="B5" s="92"/>
      <c r="C5" s="92"/>
      <c r="D5" s="92"/>
      <c r="E5" s="92"/>
      <c r="F5" s="92"/>
      <c r="G5" s="92"/>
      <c r="H5" s="92"/>
    </row>
    <row r="6" spans="1:22" ht="15.75">
      <c r="A6" s="711" t="s">
        <v>3</v>
      </c>
      <c r="B6" s="711"/>
      <c r="C6" s="711"/>
      <c r="D6" s="711"/>
      <c r="E6" s="711"/>
      <c r="F6" s="711"/>
      <c r="G6" s="711"/>
      <c r="H6" s="711"/>
    </row>
    <row r="7" spans="1:22" ht="15">
      <c r="A7" s="93"/>
      <c r="B7" s="93"/>
      <c r="C7" s="93"/>
      <c r="D7" s="93"/>
      <c r="E7" s="93"/>
      <c r="F7" s="93"/>
      <c r="G7" s="93"/>
      <c r="H7" s="93"/>
    </row>
    <row r="8" spans="1:22" ht="39" customHeight="1">
      <c r="A8" s="94" t="s">
        <v>184</v>
      </c>
      <c r="B8" s="92"/>
      <c r="C8" s="92"/>
      <c r="D8" s="92"/>
      <c r="E8" s="92"/>
      <c r="F8" s="712" t="e">
        <f>#REF!</f>
        <v>#REF!</v>
      </c>
      <c r="G8" s="713"/>
      <c r="H8" s="713"/>
    </row>
    <row r="9" spans="1:22" ht="14.25" customHeight="1">
      <c r="A9" s="94"/>
      <c r="B9" s="92"/>
      <c r="C9" s="92"/>
      <c r="D9" s="92"/>
      <c r="E9" s="92"/>
      <c r="F9" s="95"/>
      <c r="G9" s="96"/>
      <c r="H9" s="96"/>
    </row>
    <row r="10" spans="1:22" ht="15.75">
      <c r="A10" s="92"/>
      <c r="B10" s="92"/>
      <c r="C10" s="92"/>
      <c r="D10" s="92"/>
      <c r="E10" s="92"/>
      <c r="F10" s="100"/>
      <c r="G10" s="93"/>
      <c r="H10" s="92"/>
    </row>
    <row r="11" spans="1:22" ht="15">
      <c r="A11" s="97" t="s">
        <v>201</v>
      </c>
      <c r="B11" s="92"/>
      <c r="C11" s="92"/>
      <c r="D11" s="92"/>
      <c r="E11" s="92"/>
      <c r="F11" s="92" t="s">
        <v>197</v>
      </c>
      <c r="G11" s="98" t="e">
        <f>#REF!</f>
        <v>#REF!</v>
      </c>
      <c r="H11" s="92"/>
    </row>
    <row r="12" spans="1:22" ht="15">
      <c r="A12" s="97"/>
      <c r="B12" s="92"/>
      <c r="C12" s="92"/>
      <c r="D12" s="92"/>
      <c r="E12" s="92"/>
      <c r="F12" s="92"/>
      <c r="G12" s="93"/>
      <c r="H12" s="92"/>
    </row>
    <row r="13" spans="1:22" ht="15">
      <c r="A13" s="97" t="s">
        <v>202</v>
      </c>
      <c r="B13" s="92"/>
      <c r="C13" s="92"/>
      <c r="D13" s="92"/>
      <c r="E13" s="92"/>
      <c r="F13" s="99" t="s">
        <v>197</v>
      </c>
      <c r="G13" s="98" t="e">
        <f>#REF!</f>
        <v>#REF!</v>
      </c>
      <c r="H13" s="92"/>
    </row>
    <row r="14" spans="1:22" ht="15">
      <c r="A14" s="93"/>
      <c r="B14" s="93"/>
      <c r="C14" s="93"/>
      <c r="D14" s="93"/>
      <c r="E14" s="93"/>
      <c r="F14" s="93"/>
      <c r="G14" s="93"/>
      <c r="H14" s="93"/>
    </row>
    <row r="15" spans="1:22" ht="15">
      <c r="A15" s="92"/>
      <c r="B15" s="92"/>
      <c r="C15" s="92"/>
      <c r="D15" s="92"/>
      <c r="E15" s="92"/>
      <c r="F15" s="92"/>
      <c r="G15" s="92"/>
      <c r="H15" s="92"/>
    </row>
    <row r="16" spans="1:22" ht="31.5" customHeight="1">
      <c r="A16" s="270" t="s">
        <v>20</v>
      </c>
      <c r="B16" s="714" t="s">
        <v>186</v>
      </c>
      <c r="C16" s="715"/>
      <c r="D16" s="715"/>
      <c r="E16" s="715"/>
      <c r="F16" s="715"/>
      <c r="G16" s="716"/>
      <c r="H16" s="257" t="s">
        <v>187</v>
      </c>
    </row>
    <row r="17" spans="1:9" ht="31.5" customHeight="1">
      <c r="A17" s="271" t="s">
        <v>211</v>
      </c>
      <c r="B17" s="701" t="s">
        <v>3</v>
      </c>
      <c r="C17" s="702"/>
      <c r="D17" s="702"/>
      <c r="E17" s="702"/>
      <c r="F17" s="702"/>
      <c r="G17" s="703"/>
      <c r="H17" s="398">
        <f>H18+H22</f>
        <v>23900</v>
      </c>
      <c r="I17" s="64">
        <v>2200</v>
      </c>
    </row>
    <row r="18" spans="1:9" ht="25.5" customHeight="1">
      <c r="A18" s="271" t="s">
        <v>206</v>
      </c>
      <c r="B18" s="701" t="s">
        <v>3</v>
      </c>
      <c r="C18" s="702"/>
      <c r="D18" s="702"/>
      <c r="E18" s="702"/>
      <c r="F18" s="702"/>
      <c r="G18" s="703"/>
      <c r="H18" s="398">
        <f>SUM(H19:H21)</f>
        <v>21900</v>
      </c>
      <c r="I18" s="64">
        <v>2200</v>
      </c>
    </row>
    <row r="19" spans="1:9" ht="53.25" customHeight="1">
      <c r="A19" s="272" t="s">
        <v>59</v>
      </c>
      <c r="B19" s="704" t="s">
        <v>316</v>
      </c>
      <c r="C19" s="705"/>
      <c r="D19" s="705"/>
      <c r="E19" s="705"/>
      <c r="F19" s="705"/>
      <c r="G19" s="706"/>
      <c r="H19" s="399">
        <f>I18*2*I19</f>
        <v>13200</v>
      </c>
      <c r="I19" s="64">
        <v>3</v>
      </c>
    </row>
    <row r="20" spans="1:9" ht="25.5" customHeight="1">
      <c r="A20" s="272" t="s">
        <v>60</v>
      </c>
      <c r="B20" s="704" t="s">
        <v>188</v>
      </c>
      <c r="C20" s="705"/>
      <c r="D20" s="705"/>
      <c r="E20" s="705"/>
      <c r="F20" s="705"/>
      <c r="G20" s="706"/>
      <c r="H20" s="399">
        <f>I20*3</f>
        <v>7800</v>
      </c>
      <c r="I20" s="64">
        <v>2600</v>
      </c>
    </row>
    <row r="21" spans="1:9" ht="30" customHeight="1">
      <c r="A21" s="272" t="s">
        <v>108</v>
      </c>
      <c r="B21" s="704" t="s">
        <v>189</v>
      </c>
      <c r="C21" s="705"/>
      <c r="D21" s="705"/>
      <c r="E21" s="705"/>
      <c r="F21" s="705"/>
      <c r="G21" s="706"/>
      <c r="H21" s="399">
        <f>I21*100</f>
        <v>900</v>
      </c>
      <c r="I21" s="64">
        <v>9</v>
      </c>
    </row>
    <row r="22" spans="1:9" ht="19.5" customHeight="1">
      <c r="A22" s="273" t="s">
        <v>207</v>
      </c>
      <c r="B22" s="722" t="s">
        <v>190</v>
      </c>
      <c r="C22" s="723"/>
      <c r="D22" s="723"/>
      <c r="E22" s="723"/>
      <c r="F22" s="723"/>
      <c r="G22" s="724"/>
      <c r="H22" s="400">
        <v>2000</v>
      </c>
    </row>
    <row r="23" spans="1:9" ht="23.25" customHeight="1">
      <c r="A23" s="258"/>
      <c r="B23" s="720" t="s">
        <v>205</v>
      </c>
      <c r="C23" s="720"/>
      <c r="D23" s="720"/>
      <c r="E23" s="720"/>
      <c r="F23" s="720"/>
      <c r="G23" s="721"/>
      <c r="H23" s="401">
        <f>H17</f>
        <v>23900</v>
      </c>
    </row>
    <row r="24" spans="1:9" ht="18.75" customHeight="1">
      <c r="A24" s="717" t="str">
        <f ca="1">C243</f>
        <v>Двадцать три тысячи девятьсот рублей 00 копеек</v>
      </c>
      <c r="B24" s="717"/>
      <c r="C24" s="717"/>
      <c r="D24" s="717"/>
      <c r="E24" s="717"/>
      <c r="F24" s="717"/>
      <c r="G24" s="717"/>
      <c r="H24" s="718"/>
    </row>
    <row r="25" spans="1:9">
      <c r="A25" s="719" t="s">
        <v>198</v>
      </c>
      <c r="B25" s="719"/>
      <c r="C25" s="719"/>
      <c r="D25" s="719"/>
      <c r="E25" s="719"/>
      <c r="F25" s="719"/>
      <c r="G25" s="719"/>
      <c r="H25" s="719"/>
    </row>
    <row r="26" spans="1:9" ht="15" hidden="1" outlineLevel="1">
      <c r="A26" s="92"/>
      <c r="B26" s="92"/>
      <c r="C26" s="92"/>
      <c r="D26" s="92"/>
      <c r="E26" s="92"/>
      <c r="F26" s="92"/>
      <c r="G26" s="92"/>
      <c r="H26" s="92"/>
    </row>
    <row r="27" spans="1:9" ht="15.75" hidden="1" outlineLevel="1">
      <c r="A27" s="92" t="e">
        <f>#REF!</f>
        <v>#REF!</v>
      </c>
      <c r="B27" s="92"/>
      <c r="C27" s="92"/>
      <c r="D27" s="92"/>
      <c r="E27" s="92"/>
      <c r="F27" s="101"/>
      <c r="G27" s="92"/>
      <c r="H27" s="92"/>
    </row>
    <row r="28" spans="1:9" ht="15" hidden="1" outlineLevel="1">
      <c r="A28" s="102" t="e">
        <f>#REF!</f>
        <v>#REF!</v>
      </c>
      <c r="B28" s="103"/>
      <c r="C28" s="103"/>
      <c r="D28" s="103"/>
      <c r="E28" s="103"/>
      <c r="F28" s="103"/>
      <c r="G28" s="103"/>
      <c r="H28" s="104" t="e">
        <f>#REF!</f>
        <v>#REF!</v>
      </c>
    </row>
    <row r="29" spans="1:9" ht="15.75" hidden="1" outlineLevel="1">
      <c r="A29" s="707"/>
      <c r="B29" s="707"/>
      <c r="C29" s="707"/>
      <c r="D29" s="707"/>
      <c r="E29" s="707"/>
      <c r="F29" s="707"/>
      <c r="G29" s="707"/>
      <c r="H29" s="707"/>
    </row>
    <row r="30" spans="1:9" ht="15.75" hidden="1" outlineLevel="1">
      <c r="A30" s="105" t="s">
        <v>199</v>
      </c>
      <c r="B30" s="97"/>
      <c r="C30" s="97"/>
      <c r="D30" s="97"/>
      <c r="E30" s="97"/>
      <c r="F30" s="97"/>
      <c r="G30" s="97"/>
      <c r="H30" s="97"/>
    </row>
    <row r="31" spans="1:9" ht="15" hidden="1" outlineLevel="1">
      <c r="A31" s="106" t="e">
        <f>#REF!</f>
        <v>#REF!</v>
      </c>
      <c r="B31" s="107"/>
      <c r="C31" s="107"/>
      <c r="D31" s="107"/>
      <c r="E31" s="107"/>
      <c r="F31" s="107"/>
      <c r="G31" s="107"/>
      <c r="H31" s="107"/>
    </row>
    <row r="32" spans="1:9" ht="15" hidden="1" outlineLevel="1">
      <c r="A32" s="109" t="e">
        <f>#REF!</f>
        <v>#REF!</v>
      </c>
      <c r="B32" s="108"/>
      <c r="C32" s="108"/>
      <c r="D32" s="108"/>
      <c r="E32" s="108"/>
      <c r="F32" s="108"/>
      <c r="G32" s="108"/>
      <c r="H32" s="109" t="e">
        <f>#REF!</f>
        <v>#REF!</v>
      </c>
    </row>
    <row r="33" spans="1:18" s="532" customFormat="1" collapsed="1">
      <c r="A33" s="530"/>
      <c r="B33" s="530"/>
      <c r="C33" s="530"/>
      <c r="D33" s="530"/>
      <c r="E33" s="530"/>
      <c r="F33" s="530"/>
      <c r="G33" s="530"/>
      <c r="H33" s="530"/>
      <c r="I33" s="531"/>
    </row>
    <row r="36" spans="1:18" s="5" customFormat="1" ht="15.75">
      <c r="A36" s="6"/>
      <c r="B36" s="6"/>
      <c r="C36" s="6"/>
      <c r="D36" s="6"/>
      <c r="E36" s="6"/>
      <c r="F36" s="6"/>
      <c r="G36" s="6"/>
      <c r="H36" s="6"/>
      <c r="I36" s="6"/>
      <c r="J36" s="6"/>
      <c r="K36" s="6"/>
      <c r="L36" s="59"/>
      <c r="M36" s="21"/>
      <c r="N36" s="56"/>
      <c r="O36" s="21"/>
      <c r="R36" s="6"/>
    </row>
    <row r="37" spans="1:18" customFormat="1" outlineLevel="1">
      <c r="A37" s="58"/>
      <c r="B37" s="110" t="s">
        <v>116</v>
      </c>
      <c r="C37" s="474">
        <f>H23</f>
        <v>23900</v>
      </c>
      <c r="D37" s="58"/>
      <c r="E37" s="58"/>
      <c r="F37" s="58"/>
      <c r="G37" s="58"/>
      <c r="H37" s="58"/>
      <c r="L37" s="65"/>
    </row>
    <row r="38" spans="1:18" customFormat="1" hidden="1" outlineLevel="2">
      <c r="A38" s="58"/>
      <c r="B38" s="58" t="s">
        <v>117</v>
      </c>
      <c r="C38" s="58">
        <f>ROUNDDOWN(C37/1000000,0)</f>
        <v>0</v>
      </c>
      <c r="D38" s="58"/>
      <c r="E38" s="58"/>
      <c r="F38" s="58"/>
      <c r="G38" s="58"/>
      <c r="H38" s="58"/>
      <c r="L38" s="65"/>
    </row>
    <row r="39" spans="1:18" customFormat="1" hidden="1" outlineLevel="2">
      <c r="A39" s="58"/>
      <c r="B39" s="58"/>
      <c r="C39" s="58"/>
      <c r="D39" s="58"/>
      <c r="E39" s="58"/>
      <c r="F39" s="58"/>
      <c r="G39" s="58"/>
      <c r="H39" s="58"/>
      <c r="L39" s="65"/>
    </row>
    <row r="40" spans="1:18" customFormat="1" hidden="1" outlineLevel="2">
      <c r="A40" s="58"/>
      <c r="B40" s="58" t="s">
        <v>118</v>
      </c>
      <c r="C40" s="58">
        <f>ROUNDDOWN(C38/100,0)</f>
        <v>0</v>
      </c>
      <c r="D40" s="58"/>
      <c r="E40" s="58"/>
      <c r="F40" s="58"/>
      <c r="G40" s="58"/>
      <c r="H40" s="58"/>
      <c r="L40" s="65"/>
    </row>
    <row r="41" spans="1:18" customFormat="1" hidden="1" outlineLevel="2">
      <c r="A41" s="58"/>
      <c r="B41" s="58"/>
      <c r="C41" s="58"/>
      <c r="D41" s="58"/>
      <c r="E41" s="58"/>
      <c r="F41" s="58"/>
      <c r="G41" s="58"/>
      <c r="H41" s="58"/>
      <c r="L41" s="65"/>
    </row>
    <row r="42" spans="1:18" customFormat="1" hidden="1" outlineLevel="2">
      <c r="A42" s="58"/>
      <c r="B42" s="58" t="s">
        <v>119</v>
      </c>
      <c r="C42" s="58"/>
      <c r="D42" s="58"/>
      <c r="E42" s="58"/>
      <c r="F42" s="58"/>
      <c r="G42" s="58"/>
      <c r="H42" s="58"/>
      <c r="L42" s="65"/>
    </row>
    <row r="43" spans="1:18" customFormat="1" hidden="1" outlineLevel="2">
      <c r="A43" s="58"/>
      <c r="B43" s="58" t="s">
        <v>120</v>
      </c>
      <c r="C43" s="58"/>
      <c r="D43" s="58"/>
      <c r="E43" s="58"/>
      <c r="F43" s="58"/>
      <c r="G43" s="58"/>
      <c r="H43" s="58"/>
      <c r="L43" s="65"/>
    </row>
    <row r="44" spans="1:18" customFormat="1" hidden="1" outlineLevel="2">
      <c r="A44" s="58"/>
      <c r="B44" s="58" t="s">
        <v>121</v>
      </c>
      <c r="C44" s="58"/>
      <c r="D44" s="58"/>
      <c r="E44" s="58"/>
      <c r="F44" s="58"/>
      <c r="G44" s="58"/>
      <c r="H44" s="58"/>
      <c r="L44" s="65"/>
    </row>
    <row r="45" spans="1:18" customFormat="1" hidden="1" outlineLevel="2">
      <c r="A45" s="58"/>
      <c r="B45" s="58" t="s">
        <v>122</v>
      </c>
      <c r="C45" s="58"/>
      <c r="D45" s="58"/>
      <c r="E45" s="58"/>
      <c r="F45" s="58"/>
      <c r="G45" s="58"/>
      <c r="H45" s="58"/>
      <c r="L45" s="65"/>
    </row>
    <row r="46" spans="1:18" customFormat="1" hidden="1" outlineLevel="2">
      <c r="A46" s="58"/>
      <c r="B46" s="58" t="s">
        <v>123</v>
      </c>
      <c r="C46" s="58"/>
      <c r="D46" s="58"/>
      <c r="E46" s="58"/>
      <c r="F46" s="58"/>
      <c r="G46" s="58"/>
      <c r="H46" s="58"/>
      <c r="L46" s="65"/>
    </row>
    <row r="47" spans="1:18" customFormat="1" hidden="1" outlineLevel="2">
      <c r="A47" s="58"/>
      <c r="B47" s="58" t="s">
        <v>124</v>
      </c>
      <c r="C47" s="58"/>
      <c r="D47" s="58"/>
      <c r="E47" s="58"/>
      <c r="F47" s="58"/>
      <c r="G47" s="58"/>
      <c r="H47" s="58"/>
      <c r="L47" s="65"/>
    </row>
    <row r="48" spans="1:18" customFormat="1" hidden="1" outlineLevel="2">
      <c r="A48" s="58"/>
      <c r="B48" s="58" t="s">
        <v>125</v>
      </c>
      <c r="C48" s="58"/>
      <c r="D48" s="58"/>
      <c r="E48" s="58"/>
      <c r="F48" s="58"/>
      <c r="G48" s="58"/>
      <c r="H48" s="58"/>
      <c r="L48" s="65"/>
    </row>
    <row r="49" spans="1:12" customFormat="1" hidden="1" outlineLevel="2">
      <c r="A49" s="58"/>
      <c r="B49" s="58" t="s">
        <v>126</v>
      </c>
      <c r="C49" s="58"/>
      <c r="D49" s="58"/>
      <c r="E49" s="58"/>
      <c r="F49" s="58"/>
      <c r="G49" s="58"/>
      <c r="H49" s="58"/>
      <c r="L49" s="65"/>
    </row>
    <row r="50" spans="1:12" customFormat="1" hidden="1" outlineLevel="2">
      <c r="A50" s="58"/>
      <c r="B50" s="58" t="s">
        <v>127</v>
      </c>
      <c r="C50" s="58"/>
      <c r="D50" s="58"/>
      <c r="E50" s="58"/>
      <c r="F50" s="58"/>
      <c r="G50" s="58"/>
      <c r="H50" s="58"/>
      <c r="L50" s="65"/>
    </row>
    <row r="51" spans="1:12" customFormat="1" hidden="1" outlineLevel="2">
      <c r="A51" s="58"/>
      <c r="B51" s="58"/>
      <c r="C51" s="58"/>
      <c r="D51" s="58"/>
      <c r="E51" s="58"/>
      <c r="F51" s="58"/>
      <c r="G51" s="58"/>
      <c r="H51" s="58"/>
      <c r="L51" s="65"/>
    </row>
    <row r="52" spans="1:12" customFormat="1" hidden="1" outlineLevel="2">
      <c r="A52" s="58"/>
      <c r="B52" s="58"/>
      <c r="C52" s="111" t="str">
        <f ca="1">IF(C40&lt;&gt;0,OFFSET(B41,C40,0),"")</f>
        <v/>
      </c>
      <c r="D52" s="58"/>
      <c r="E52" s="58"/>
      <c r="F52" s="58"/>
      <c r="G52" s="58"/>
      <c r="H52" s="58"/>
      <c r="L52" s="65"/>
    </row>
    <row r="53" spans="1:12" customFormat="1" hidden="1" outlineLevel="2">
      <c r="A53" s="58"/>
      <c r="B53" s="58"/>
      <c r="C53" s="58"/>
      <c r="D53" s="58"/>
      <c r="E53" s="58"/>
      <c r="F53" s="58"/>
      <c r="G53" s="58"/>
      <c r="H53" s="58"/>
      <c r="L53" s="65"/>
    </row>
    <row r="54" spans="1:12" customFormat="1" hidden="1" outlineLevel="2">
      <c r="A54" s="58"/>
      <c r="B54" s="58" t="s">
        <v>128</v>
      </c>
      <c r="C54" s="58">
        <f>ROUNDDOWN((C37-C40*100000000)/10000000,0)</f>
        <v>0</v>
      </c>
      <c r="D54" s="58"/>
      <c r="E54" s="58"/>
      <c r="F54" s="58"/>
      <c r="G54" s="58"/>
      <c r="H54" s="58"/>
      <c r="L54" s="65"/>
    </row>
    <row r="55" spans="1:12" customFormat="1" hidden="1" outlineLevel="2">
      <c r="A55" s="58"/>
      <c r="B55" s="58"/>
      <c r="C55" s="58"/>
      <c r="D55" s="58"/>
      <c r="E55" s="58"/>
      <c r="F55" s="58"/>
      <c r="G55" s="58"/>
      <c r="H55" s="58"/>
      <c r="L55" s="65"/>
    </row>
    <row r="56" spans="1:12" customFormat="1" hidden="1" outlineLevel="2">
      <c r="A56" s="58"/>
      <c r="B56" s="58" t="s">
        <v>129</v>
      </c>
      <c r="C56" s="58"/>
      <c r="D56" s="58"/>
      <c r="E56" s="58"/>
      <c r="F56" s="58"/>
      <c r="G56" s="58"/>
      <c r="H56" s="58"/>
      <c r="L56" s="65"/>
    </row>
    <row r="57" spans="1:12" customFormat="1" hidden="1" outlineLevel="2">
      <c r="A57" s="58"/>
      <c r="B57" s="58" t="s">
        <v>130</v>
      </c>
      <c r="C57" s="58"/>
      <c r="D57" s="58"/>
      <c r="E57" s="58"/>
      <c r="F57" s="58"/>
      <c r="G57" s="58"/>
      <c r="H57" s="58"/>
      <c r="L57" s="65"/>
    </row>
    <row r="58" spans="1:12" customFormat="1" hidden="1" outlineLevel="2">
      <c r="A58" s="58"/>
      <c r="B58" s="58" t="s">
        <v>131</v>
      </c>
      <c r="C58" s="58"/>
      <c r="D58" s="58"/>
      <c r="E58" s="58"/>
      <c r="F58" s="58"/>
      <c r="G58" s="58"/>
      <c r="H58" s="58"/>
      <c r="L58" s="65"/>
    </row>
    <row r="59" spans="1:12" customFormat="1" hidden="1" outlineLevel="2">
      <c r="A59" s="58"/>
      <c r="B59" s="58" t="s">
        <v>132</v>
      </c>
      <c r="C59" s="58"/>
      <c r="D59" s="58"/>
      <c r="E59" s="58"/>
      <c r="F59" s="58"/>
      <c r="G59" s="58"/>
      <c r="H59" s="58"/>
      <c r="L59" s="65"/>
    </row>
    <row r="60" spans="1:12" customFormat="1" hidden="1" outlineLevel="2">
      <c r="A60" s="58"/>
      <c r="B60" s="58" t="s">
        <v>133</v>
      </c>
      <c r="C60" s="58"/>
      <c r="D60" s="58"/>
      <c r="E60" s="58"/>
      <c r="F60" s="58"/>
      <c r="G60" s="58"/>
      <c r="H60" s="58"/>
      <c r="L60" s="65"/>
    </row>
    <row r="61" spans="1:12" customFormat="1" hidden="1" outlineLevel="2">
      <c r="A61" s="58"/>
      <c r="B61" s="58" t="s">
        <v>134</v>
      </c>
      <c r="C61" s="58"/>
      <c r="D61" s="58"/>
      <c r="E61" s="58"/>
      <c r="F61" s="58"/>
      <c r="G61" s="58"/>
      <c r="H61" s="58"/>
      <c r="L61" s="65"/>
    </row>
    <row r="62" spans="1:12" customFormat="1" hidden="1" outlineLevel="2">
      <c r="A62" s="58"/>
      <c r="B62" s="58" t="s">
        <v>135</v>
      </c>
      <c r="C62" s="58"/>
      <c r="D62" s="58"/>
      <c r="E62" s="58"/>
      <c r="F62" s="58"/>
      <c r="G62" s="58"/>
      <c r="H62" s="58"/>
      <c r="L62" s="65"/>
    </row>
    <row r="63" spans="1:12" customFormat="1" hidden="1" outlineLevel="2">
      <c r="A63" s="58"/>
      <c r="B63" s="58" t="s">
        <v>136</v>
      </c>
      <c r="C63" s="58"/>
      <c r="D63" s="58"/>
      <c r="E63" s="58"/>
      <c r="F63" s="58"/>
      <c r="G63" s="58"/>
      <c r="H63" s="58"/>
      <c r="L63" s="65"/>
    </row>
    <row r="64" spans="1:12" customFormat="1" hidden="1" outlineLevel="2">
      <c r="A64" s="58"/>
      <c r="B64" s="58" t="s">
        <v>137</v>
      </c>
      <c r="C64" s="58"/>
      <c r="D64" s="58"/>
      <c r="E64" s="58"/>
      <c r="F64" s="58"/>
      <c r="G64" s="58"/>
      <c r="H64" s="58"/>
      <c r="L64" s="65"/>
    </row>
    <row r="65" spans="1:12" customFormat="1" hidden="1" outlineLevel="2">
      <c r="A65" s="58"/>
      <c r="B65" s="58"/>
      <c r="C65" s="58"/>
      <c r="D65" s="58"/>
      <c r="E65" s="58"/>
      <c r="F65" s="58"/>
      <c r="G65" s="58"/>
      <c r="H65" s="58"/>
      <c r="L65" s="65"/>
    </row>
    <row r="66" spans="1:12" customFormat="1" hidden="1" outlineLevel="2">
      <c r="A66" s="58"/>
      <c r="B66" s="58"/>
      <c r="C66" s="111" t="str">
        <f ca="1">IF(AND(C54=1,C68&lt;&gt;0),"",IF(C54&lt;&gt;0,OFFSET(B55,C54,0),""))</f>
        <v/>
      </c>
      <c r="D66" s="58"/>
      <c r="E66" s="58"/>
      <c r="F66" s="58"/>
      <c r="G66" s="58"/>
      <c r="H66" s="58"/>
      <c r="L66" s="65"/>
    </row>
    <row r="67" spans="1:12" customFormat="1" hidden="1" outlineLevel="2">
      <c r="A67" s="58"/>
      <c r="B67" s="58"/>
      <c r="C67" s="58"/>
      <c r="D67" s="58"/>
      <c r="E67" s="58"/>
      <c r="F67" s="58"/>
      <c r="G67" s="58"/>
      <c r="H67" s="58"/>
      <c r="L67" s="65"/>
    </row>
    <row r="68" spans="1:12" customFormat="1" hidden="1" outlineLevel="2">
      <c r="A68" s="58"/>
      <c r="B68" s="58" t="s">
        <v>138</v>
      </c>
      <c r="C68" s="58">
        <f>ROUNDDOWN((C37-C40*100000000-C54*10000000)/1000000,0)</f>
        <v>0</v>
      </c>
      <c r="D68" s="58"/>
      <c r="E68" s="58"/>
      <c r="F68" s="58"/>
      <c r="G68" s="58"/>
      <c r="H68" s="58"/>
      <c r="L68" s="65"/>
    </row>
    <row r="69" spans="1:12" customFormat="1" hidden="1" outlineLevel="2">
      <c r="A69" s="58"/>
      <c r="B69" s="58"/>
      <c r="C69" s="58"/>
      <c r="D69" s="58"/>
      <c r="E69" s="58"/>
      <c r="F69" s="58"/>
      <c r="G69" s="58"/>
      <c r="H69" s="58"/>
      <c r="L69" s="65"/>
    </row>
    <row r="70" spans="1:12" customFormat="1" hidden="1" outlineLevel="2">
      <c r="A70" s="58"/>
      <c r="B70" s="58" t="s">
        <v>139</v>
      </c>
      <c r="C70" s="58"/>
      <c r="D70" s="58"/>
      <c r="E70" s="58"/>
      <c r="F70" s="58"/>
      <c r="G70" s="58"/>
      <c r="H70" s="58"/>
      <c r="L70" s="65"/>
    </row>
    <row r="71" spans="1:12" customFormat="1" hidden="1" outlineLevel="2">
      <c r="A71" s="58"/>
      <c r="B71" s="58" t="s">
        <v>140</v>
      </c>
      <c r="C71" s="58"/>
      <c r="D71" s="58"/>
      <c r="E71" s="58"/>
      <c r="F71" s="58"/>
      <c r="G71" s="58"/>
      <c r="H71" s="58"/>
      <c r="L71" s="65"/>
    </row>
    <row r="72" spans="1:12" customFormat="1" hidden="1" outlineLevel="2">
      <c r="A72" s="58"/>
      <c r="B72" s="58" t="s">
        <v>141</v>
      </c>
      <c r="C72" s="58"/>
      <c r="D72" s="58"/>
      <c r="E72" s="58"/>
      <c r="F72" s="58"/>
      <c r="G72" s="58"/>
      <c r="H72" s="58"/>
      <c r="L72" s="65"/>
    </row>
    <row r="73" spans="1:12" customFormat="1" hidden="1" outlineLevel="2">
      <c r="A73" s="58"/>
      <c r="B73" s="58" t="s">
        <v>142</v>
      </c>
      <c r="C73" s="58"/>
      <c r="D73" s="58"/>
      <c r="E73" s="58"/>
      <c r="F73" s="58"/>
      <c r="G73" s="58"/>
      <c r="H73" s="58"/>
      <c r="L73" s="65"/>
    </row>
    <row r="74" spans="1:12" customFormat="1" hidden="1" outlineLevel="2">
      <c r="A74" s="58"/>
      <c r="B74" s="58" t="s">
        <v>143</v>
      </c>
      <c r="C74" s="58"/>
      <c r="D74" s="58"/>
      <c r="E74" s="58"/>
      <c r="F74" s="58"/>
      <c r="G74" s="58"/>
      <c r="H74" s="58"/>
      <c r="L74" s="65"/>
    </row>
    <row r="75" spans="1:12" customFormat="1" hidden="1" outlineLevel="2">
      <c r="A75" s="58"/>
      <c r="B75" s="58" t="s">
        <v>144</v>
      </c>
      <c r="C75" s="58"/>
      <c r="D75" s="58"/>
      <c r="E75" s="58"/>
      <c r="F75" s="58"/>
      <c r="G75" s="58"/>
      <c r="H75" s="58"/>
      <c r="L75" s="65"/>
    </row>
    <row r="76" spans="1:12" customFormat="1" hidden="1" outlineLevel="2">
      <c r="A76" s="58"/>
      <c r="B76" s="58" t="s">
        <v>145</v>
      </c>
      <c r="C76" s="58"/>
      <c r="D76" s="58"/>
      <c r="E76" s="58"/>
      <c r="F76" s="58"/>
      <c r="G76" s="58"/>
      <c r="H76" s="58"/>
      <c r="L76" s="65"/>
    </row>
    <row r="77" spans="1:12" customFormat="1" hidden="1" outlineLevel="2">
      <c r="A77" s="58"/>
      <c r="B77" s="58" t="s">
        <v>146</v>
      </c>
      <c r="C77" s="58"/>
      <c r="D77" s="58"/>
      <c r="E77" s="58"/>
      <c r="F77" s="58"/>
      <c r="G77" s="58"/>
      <c r="H77" s="58"/>
      <c r="L77" s="65"/>
    </row>
    <row r="78" spans="1:12" customFormat="1" hidden="1" outlineLevel="2">
      <c r="A78" s="58"/>
      <c r="B78" s="58" t="s">
        <v>147</v>
      </c>
      <c r="C78" s="58"/>
      <c r="D78" s="58"/>
      <c r="E78" s="58"/>
      <c r="F78" s="58"/>
      <c r="G78" s="58"/>
      <c r="H78" s="58"/>
      <c r="L78" s="65"/>
    </row>
    <row r="79" spans="1:12" customFormat="1" hidden="1" outlineLevel="2">
      <c r="A79" s="58"/>
      <c r="B79" s="58"/>
      <c r="C79" s="58"/>
      <c r="D79" s="58"/>
      <c r="E79" s="58"/>
      <c r="F79" s="58"/>
      <c r="G79" s="58"/>
      <c r="H79" s="58"/>
      <c r="L79" s="65"/>
    </row>
    <row r="80" spans="1:12" customFormat="1" hidden="1" outlineLevel="2">
      <c r="A80" s="58"/>
      <c r="B80" s="58"/>
      <c r="C80" s="111" t="str">
        <f ca="1">IF(C54&lt;&gt;1,IF(C68&lt;&gt;0,OFFSET(B69,C68,0),""),"")</f>
        <v/>
      </c>
      <c r="D80" s="58"/>
      <c r="E80" s="58"/>
      <c r="F80" s="58"/>
      <c r="G80" s="58"/>
      <c r="H80" s="58"/>
      <c r="L80" s="65"/>
    </row>
    <row r="81" spans="1:12" customFormat="1" hidden="1" outlineLevel="2">
      <c r="A81" s="58"/>
      <c r="B81" s="58"/>
      <c r="C81" s="58"/>
      <c r="D81" s="58"/>
      <c r="E81" s="58"/>
      <c r="F81" s="58"/>
      <c r="G81" s="58"/>
      <c r="H81" s="58"/>
      <c r="L81" s="65"/>
    </row>
    <row r="82" spans="1:12" customFormat="1" hidden="1" outlineLevel="2">
      <c r="A82" s="58"/>
      <c r="B82" s="58" t="s">
        <v>148</v>
      </c>
      <c r="C82" s="58"/>
      <c r="D82" s="58"/>
      <c r="E82" s="58"/>
      <c r="F82" s="58"/>
      <c r="G82" s="58"/>
      <c r="H82" s="58"/>
      <c r="L82" s="65"/>
    </row>
    <row r="83" spans="1:12" customFormat="1" hidden="1" outlineLevel="2">
      <c r="A83" s="58"/>
      <c r="B83" s="58"/>
      <c r="C83" s="58"/>
      <c r="D83" s="58"/>
      <c r="E83" s="58"/>
      <c r="F83" s="58"/>
      <c r="G83" s="58"/>
      <c r="H83" s="58"/>
      <c r="L83" s="65"/>
    </row>
    <row r="84" spans="1:12" customFormat="1" hidden="1" outlineLevel="2">
      <c r="A84" s="58"/>
      <c r="B84" s="58"/>
      <c r="C84" s="58">
        <f>+C68</f>
        <v>0</v>
      </c>
      <c r="D84" s="58"/>
      <c r="E84" s="58"/>
      <c r="F84" s="58"/>
      <c r="G84" s="58"/>
      <c r="H84" s="58"/>
      <c r="L84" s="65"/>
    </row>
    <row r="85" spans="1:12" customFormat="1" hidden="1" outlineLevel="2">
      <c r="A85" s="58"/>
      <c r="B85" s="58" t="s">
        <v>149</v>
      </c>
      <c r="C85" s="58"/>
      <c r="D85" s="58"/>
      <c r="E85" s="58"/>
      <c r="F85" s="58"/>
      <c r="G85" s="58"/>
      <c r="H85" s="58"/>
      <c r="L85" s="65"/>
    </row>
    <row r="86" spans="1:12" customFormat="1" hidden="1" outlineLevel="2">
      <c r="A86" s="58"/>
      <c r="B86" s="58" t="s">
        <v>150</v>
      </c>
      <c r="C86" s="58"/>
      <c r="D86" s="58"/>
      <c r="E86" s="58"/>
      <c r="F86" s="58"/>
      <c r="G86" s="58"/>
      <c r="H86" s="58"/>
      <c r="L86" s="65"/>
    </row>
    <row r="87" spans="1:12" customFormat="1" hidden="1" outlineLevel="2">
      <c r="A87" s="58"/>
      <c r="B87" s="58" t="s">
        <v>151</v>
      </c>
      <c r="C87" s="58"/>
      <c r="D87" s="58"/>
      <c r="E87" s="58"/>
      <c r="F87" s="58"/>
      <c r="G87" s="58"/>
      <c r="H87" s="58"/>
      <c r="L87" s="65"/>
    </row>
    <row r="88" spans="1:12" customFormat="1" hidden="1" outlineLevel="2">
      <c r="A88" s="58"/>
      <c r="B88" s="58" t="s">
        <v>152</v>
      </c>
      <c r="C88" s="58"/>
      <c r="D88" s="58"/>
      <c r="E88" s="58"/>
      <c r="F88" s="58"/>
      <c r="G88" s="58"/>
      <c r="H88" s="58"/>
      <c r="L88" s="65"/>
    </row>
    <row r="89" spans="1:12" customFormat="1" hidden="1" outlineLevel="2">
      <c r="A89" s="58"/>
      <c r="B89" s="58" t="s">
        <v>153</v>
      </c>
      <c r="C89" s="58"/>
      <c r="D89" s="58"/>
      <c r="E89" s="58"/>
      <c r="F89" s="58"/>
      <c r="G89" s="58"/>
      <c r="H89" s="58"/>
      <c r="L89" s="65"/>
    </row>
    <row r="90" spans="1:12" customFormat="1" hidden="1" outlineLevel="2">
      <c r="A90" s="58"/>
      <c r="B90" s="58" t="s">
        <v>154</v>
      </c>
      <c r="C90" s="58"/>
      <c r="D90" s="58"/>
      <c r="E90" s="58"/>
      <c r="F90" s="58"/>
      <c r="G90" s="58"/>
      <c r="H90" s="58"/>
      <c r="L90" s="65"/>
    </row>
    <row r="91" spans="1:12" customFormat="1" hidden="1" outlineLevel="2">
      <c r="A91" s="58"/>
      <c r="B91" s="58" t="s">
        <v>155</v>
      </c>
      <c r="C91" s="58"/>
      <c r="D91" s="58"/>
      <c r="E91" s="58"/>
      <c r="F91" s="58"/>
      <c r="G91" s="58"/>
      <c r="H91" s="58"/>
      <c r="L91" s="65"/>
    </row>
    <row r="92" spans="1:12" customFormat="1" hidden="1" outlineLevel="2">
      <c r="A92" s="58"/>
      <c r="B92" s="58" t="s">
        <v>156</v>
      </c>
      <c r="C92" s="58"/>
      <c r="D92" s="58"/>
      <c r="E92" s="58"/>
      <c r="F92" s="58"/>
      <c r="G92" s="58"/>
      <c r="H92" s="58"/>
      <c r="L92" s="65"/>
    </row>
    <row r="93" spans="1:12" customFormat="1" hidden="1" outlineLevel="2">
      <c r="A93" s="58"/>
      <c r="B93" s="58" t="s">
        <v>157</v>
      </c>
      <c r="C93" s="58"/>
      <c r="D93" s="58"/>
      <c r="E93" s="58"/>
      <c r="F93" s="58"/>
      <c r="G93" s="58"/>
      <c r="H93" s="58"/>
      <c r="L93" s="65"/>
    </row>
    <row r="94" spans="1:12" customFormat="1" hidden="1" outlineLevel="2">
      <c r="A94" s="58"/>
      <c r="B94" s="58"/>
      <c r="C94" s="58"/>
      <c r="D94" s="58"/>
      <c r="E94" s="58"/>
      <c r="F94" s="58"/>
      <c r="G94" s="58"/>
      <c r="H94" s="58"/>
      <c r="L94" s="65"/>
    </row>
    <row r="95" spans="1:12" customFormat="1" hidden="1" outlineLevel="2">
      <c r="A95" s="58"/>
      <c r="B95" s="58"/>
      <c r="C95" s="111" t="str">
        <f ca="1">IF(AND(C54=1,C68&lt;&gt;0),IF(C54&lt;&gt;0,OFFSET(B84,C84,0),""),"")</f>
        <v/>
      </c>
      <c r="D95" s="58"/>
      <c r="E95" s="58"/>
      <c r="F95" s="58"/>
      <c r="G95" s="58"/>
      <c r="H95" s="58"/>
      <c r="L95" s="65"/>
    </row>
    <row r="96" spans="1:12" customFormat="1" hidden="1" outlineLevel="2">
      <c r="A96" s="58"/>
      <c r="B96" s="58"/>
      <c r="C96" s="58"/>
      <c r="D96" s="58"/>
      <c r="E96" s="58"/>
      <c r="F96" s="58"/>
      <c r="G96" s="58"/>
      <c r="H96" s="58"/>
      <c r="L96" s="65"/>
    </row>
    <row r="97" spans="1:12" customFormat="1" hidden="1" outlineLevel="2">
      <c r="A97" s="58"/>
      <c r="B97" s="58"/>
      <c r="C97" s="111" t="str">
        <f>IF(C54&lt;&gt;1,IF(OR(C68=2,C68=3,C68=4)," миллиона",""),"")</f>
        <v/>
      </c>
      <c r="D97" s="58"/>
      <c r="E97" s="58"/>
      <c r="F97" s="58"/>
      <c r="G97" s="58"/>
      <c r="H97" s="58"/>
      <c r="L97" s="65"/>
    </row>
    <row r="98" spans="1:12" customFormat="1" hidden="1" outlineLevel="2">
      <c r="A98" s="58"/>
      <c r="B98" s="58"/>
      <c r="C98" s="111" t="str">
        <f>IF(C54&lt;&gt;1,IF(OR(C68=1)," миллион",""),"")</f>
        <v/>
      </c>
      <c r="D98" s="58"/>
      <c r="E98" s="58"/>
      <c r="F98" s="58"/>
      <c r="G98" s="58"/>
      <c r="H98" s="58"/>
      <c r="L98" s="65"/>
    </row>
    <row r="99" spans="1:12" customFormat="1" hidden="1" outlineLevel="2">
      <c r="A99" s="58"/>
      <c r="B99" s="58"/>
      <c r="C99" s="111" t="str">
        <f>IF(C38&lt;&gt;0,IF(AND(C97="",C98="")," миллионов",""),"")</f>
        <v/>
      </c>
      <c r="D99" s="58"/>
      <c r="E99" s="58"/>
      <c r="F99" s="58"/>
      <c r="G99" s="58"/>
      <c r="H99" s="58"/>
      <c r="L99" s="65"/>
    </row>
    <row r="100" spans="1:12" customFormat="1" hidden="1" outlineLevel="2">
      <c r="A100" s="58"/>
      <c r="B100" s="58"/>
      <c r="C100" s="112" t="str">
        <f ca="1">(CONCATENATE(C52,C66,C80,C95,C97,C98,C99))</f>
        <v/>
      </c>
      <c r="D100" s="58"/>
      <c r="E100" s="58"/>
      <c r="F100" s="58"/>
      <c r="G100" s="58"/>
      <c r="H100" s="58"/>
      <c r="L100" s="65"/>
    </row>
    <row r="101" spans="1:12" customFormat="1" hidden="1" outlineLevel="2">
      <c r="A101" s="58"/>
      <c r="B101" s="58"/>
      <c r="C101" s="58"/>
      <c r="D101" s="58"/>
      <c r="E101" s="58"/>
      <c r="F101" s="58"/>
      <c r="G101" s="58"/>
      <c r="H101" s="58"/>
      <c r="L101" s="65"/>
    </row>
    <row r="102" spans="1:12" customFormat="1" hidden="1" outlineLevel="2">
      <c r="A102" s="58"/>
      <c r="B102" s="58" t="s">
        <v>158</v>
      </c>
      <c r="C102" s="58">
        <f>ROUNDDOWN((C37-C38*1000000)/1000,0)</f>
        <v>23</v>
      </c>
      <c r="D102" s="58"/>
      <c r="E102" s="58"/>
      <c r="F102" s="58"/>
      <c r="G102" s="58"/>
      <c r="H102" s="58"/>
      <c r="L102" s="65"/>
    </row>
    <row r="103" spans="1:12" customFormat="1" hidden="1" outlineLevel="2">
      <c r="A103" s="58"/>
      <c r="B103" s="58" t="s">
        <v>159</v>
      </c>
      <c r="C103" s="58">
        <f>ROUNDDOWN(C102/100,0)</f>
        <v>0</v>
      </c>
      <c r="D103" s="58"/>
      <c r="E103" s="58"/>
      <c r="F103" s="58"/>
      <c r="G103" s="58"/>
      <c r="H103" s="58"/>
      <c r="L103" s="65"/>
    </row>
    <row r="104" spans="1:12" customFormat="1" hidden="1" outlineLevel="2">
      <c r="A104" s="58"/>
      <c r="B104" s="58"/>
      <c r="C104" s="58"/>
      <c r="D104" s="58"/>
      <c r="E104" s="58"/>
      <c r="F104" s="58"/>
      <c r="G104" s="58"/>
      <c r="H104" s="58"/>
      <c r="L104" s="65"/>
    </row>
    <row r="105" spans="1:12" customFormat="1" hidden="1" outlineLevel="2">
      <c r="A105" s="58"/>
      <c r="B105" s="58" t="s">
        <v>160</v>
      </c>
      <c r="C105" s="58"/>
      <c r="D105" s="58"/>
      <c r="E105" s="58"/>
      <c r="F105" s="58"/>
      <c r="G105" s="58"/>
      <c r="H105" s="58"/>
      <c r="L105" s="65"/>
    </row>
    <row r="106" spans="1:12" customFormat="1" hidden="1" outlineLevel="2">
      <c r="A106" s="58"/>
      <c r="B106" s="58" t="s">
        <v>161</v>
      </c>
      <c r="C106" s="58"/>
      <c r="D106" s="58"/>
      <c r="E106" s="58"/>
      <c r="F106" s="58"/>
      <c r="G106" s="58"/>
      <c r="H106" s="58"/>
      <c r="L106" s="65"/>
    </row>
    <row r="107" spans="1:12" customFormat="1" hidden="1" outlineLevel="2">
      <c r="A107" s="58"/>
      <c r="B107" s="58" t="s">
        <v>162</v>
      </c>
      <c r="C107" s="58"/>
      <c r="D107" s="58"/>
      <c r="E107" s="58"/>
      <c r="F107" s="58"/>
      <c r="G107" s="58"/>
      <c r="H107" s="58"/>
      <c r="L107" s="65"/>
    </row>
    <row r="108" spans="1:12" customFormat="1" hidden="1" outlineLevel="2">
      <c r="A108" s="58"/>
      <c r="B108" s="58" t="s">
        <v>163</v>
      </c>
      <c r="C108" s="58"/>
      <c r="D108" s="58"/>
      <c r="E108" s="58"/>
      <c r="F108" s="58"/>
      <c r="G108" s="58"/>
      <c r="H108" s="58"/>
      <c r="L108" s="65"/>
    </row>
    <row r="109" spans="1:12" customFormat="1" hidden="1" outlineLevel="2">
      <c r="A109" s="58"/>
      <c r="B109" s="58" t="s">
        <v>164</v>
      </c>
      <c r="C109" s="58"/>
      <c r="D109" s="58"/>
      <c r="E109" s="58"/>
      <c r="F109" s="58"/>
      <c r="G109" s="58"/>
      <c r="H109" s="58"/>
      <c r="L109" s="65"/>
    </row>
    <row r="110" spans="1:12" customFormat="1" hidden="1" outlineLevel="2">
      <c r="A110" s="58"/>
      <c r="B110" s="58" t="s">
        <v>165</v>
      </c>
      <c r="C110" s="58"/>
      <c r="D110" s="58"/>
      <c r="E110" s="58"/>
      <c r="F110" s="58"/>
      <c r="G110" s="58"/>
      <c r="H110" s="58"/>
      <c r="L110" s="65"/>
    </row>
    <row r="111" spans="1:12" customFormat="1" hidden="1" outlineLevel="2">
      <c r="A111" s="58"/>
      <c r="B111" s="58" t="s">
        <v>166</v>
      </c>
      <c r="C111" s="58"/>
      <c r="D111" s="58"/>
      <c r="E111" s="58"/>
      <c r="F111" s="58"/>
      <c r="G111" s="58"/>
      <c r="H111" s="58"/>
      <c r="L111" s="65"/>
    </row>
    <row r="112" spans="1:12" customFormat="1" hidden="1" outlineLevel="2">
      <c r="A112" s="58"/>
      <c r="B112" s="58" t="s">
        <v>167</v>
      </c>
      <c r="C112" s="58"/>
      <c r="D112" s="58"/>
      <c r="E112" s="58"/>
      <c r="F112" s="58"/>
      <c r="G112" s="58"/>
      <c r="H112" s="58"/>
      <c r="L112" s="65"/>
    </row>
    <row r="113" spans="1:12" customFormat="1" hidden="1" outlineLevel="2">
      <c r="A113" s="58"/>
      <c r="B113" s="58" t="s">
        <v>168</v>
      </c>
      <c r="C113" s="58"/>
      <c r="D113" s="58"/>
      <c r="E113" s="58"/>
      <c r="F113" s="58"/>
      <c r="G113" s="58"/>
      <c r="H113" s="58"/>
      <c r="L113" s="65"/>
    </row>
    <row r="114" spans="1:12" customFormat="1" hidden="1" outlineLevel="2">
      <c r="A114" s="58"/>
      <c r="B114" s="58"/>
      <c r="C114" s="58"/>
      <c r="D114" s="58"/>
      <c r="E114" s="58"/>
      <c r="F114" s="58"/>
      <c r="G114" s="58"/>
      <c r="H114" s="58"/>
      <c r="L114" s="65"/>
    </row>
    <row r="115" spans="1:12" customFormat="1" hidden="1" outlineLevel="2">
      <c r="A115" s="58"/>
      <c r="B115" s="58"/>
      <c r="C115" s="111" t="str">
        <f ca="1">IF(C103&lt;&gt;0,OFFSET(B104,C103,0),"")</f>
        <v/>
      </c>
      <c r="D115" s="58"/>
      <c r="E115" s="58"/>
      <c r="F115" s="58"/>
      <c r="G115" s="58"/>
      <c r="H115" s="58"/>
      <c r="L115" s="65"/>
    </row>
    <row r="116" spans="1:12" customFormat="1" hidden="1" outlineLevel="2">
      <c r="A116" s="58"/>
      <c r="B116" s="58"/>
      <c r="C116" s="58"/>
      <c r="D116" s="58"/>
      <c r="E116" s="58"/>
      <c r="F116" s="58"/>
      <c r="G116" s="58"/>
      <c r="H116" s="58"/>
      <c r="L116" s="65"/>
    </row>
    <row r="117" spans="1:12" customFormat="1" hidden="1" outlineLevel="2">
      <c r="A117" s="58"/>
      <c r="B117" s="58" t="s">
        <v>169</v>
      </c>
      <c r="C117" s="58">
        <f>ROUNDDOWN((C102-C103*100)/10,0)</f>
        <v>2</v>
      </c>
      <c r="D117" s="58"/>
      <c r="E117" s="58"/>
      <c r="F117" s="58"/>
      <c r="G117" s="58"/>
      <c r="H117" s="58"/>
      <c r="L117" s="65"/>
    </row>
    <row r="118" spans="1:12" customFormat="1" hidden="1" outlineLevel="2">
      <c r="A118" s="58"/>
      <c r="B118" s="58"/>
      <c r="C118" s="58"/>
      <c r="D118" s="58"/>
      <c r="E118" s="58"/>
      <c r="F118" s="58"/>
      <c r="G118" s="58"/>
      <c r="H118" s="58"/>
      <c r="L118" s="65"/>
    </row>
    <row r="119" spans="1:12" customFormat="1" hidden="1" outlineLevel="2">
      <c r="A119" s="58"/>
      <c r="B119" s="58" t="s">
        <v>129</v>
      </c>
      <c r="C119" s="58"/>
      <c r="D119" s="58"/>
      <c r="E119" s="58"/>
      <c r="F119" s="58"/>
      <c r="G119" s="58"/>
      <c r="H119" s="58"/>
      <c r="L119" s="65"/>
    </row>
    <row r="120" spans="1:12" customFormat="1" hidden="1" outlineLevel="2">
      <c r="A120" s="58"/>
      <c r="B120" s="58" t="s">
        <v>130</v>
      </c>
      <c r="C120" s="58"/>
      <c r="D120" s="58"/>
      <c r="E120" s="58"/>
      <c r="F120" s="58"/>
      <c r="G120" s="58"/>
      <c r="H120" s="58"/>
      <c r="L120" s="65"/>
    </row>
    <row r="121" spans="1:12" customFormat="1" hidden="1" outlineLevel="2">
      <c r="A121" s="58"/>
      <c r="B121" s="58" t="s">
        <v>131</v>
      </c>
      <c r="C121" s="58"/>
      <c r="D121" s="58"/>
      <c r="E121" s="58"/>
      <c r="F121" s="58"/>
      <c r="G121" s="58"/>
      <c r="H121" s="58"/>
      <c r="L121" s="65"/>
    </row>
    <row r="122" spans="1:12" customFormat="1" hidden="1" outlineLevel="2">
      <c r="A122" s="58"/>
      <c r="B122" s="58" t="s">
        <v>132</v>
      </c>
      <c r="C122" s="58"/>
      <c r="D122" s="58"/>
      <c r="E122" s="58"/>
      <c r="F122" s="58"/>
      <c r="G122" s="58"/>
      <c r="H122" s="58"/>
      <c r="L122" s="65"/>
    </row>
    <row r="123" spans="1:12" customFormat="1" hidden="1" outlineLevel="2">
      <c r="A123" s="58"/>
      <c r="B123" s="58" t="s">
        <v>133</v>
      </c>
      <c r="C123" s="58"/>
      <c r="D123" s="58"/>
      <c r="E123" s="58"/>
      <c r="F123" s="58"/>
      <c r="G123" s="58"/>
      <c r="H123" s="58"/>
      <c r="L123" s="65"/>
    </row>
    <row r="124" spans="1:12" customFormat="1" hidden="1" outlineLevel="2">
      <c r="A124" s="58"/>
      <c r="B124" s="58" t="s">
        <v>134</v>
      </c>
      <c r="C124" s="58"/>
      <c r="D124" s="58"/>
      <c r="E124" s="58"/>
      <c r="F124" s="58"/>
      <c r="G124" s="58"/>
      <c r="H124" s="58"/>
      <c r="L124" s="65"/>
    </row>
    <row r="125" spans="1:12" customFormat="1" hidden="1" outlineLevel="2">
      <c r="A125" s="58"/>
      <c r="B125" s="58" t="s">
        <v>135</v>
      </c>
      <c r="C125" s="58"/>
      <c r="D125" s="58"/>
      <c r="E125" s="58"/>
      <c r="F125" s="58"/>
      <c r="G125" s="58"/>
      <c r="H125" s="58"/>
      <c r="L125" s="65"/>
    </row>
    <row r="126" spans="1:12" customFormat="1" hidden="1" outlineLevel="2">
      <c r="A126" s="58"/>
      <c r="B126" s="58" t="s">
        <v>136</v>
      </c>
      <c r="C126" s="58"/>
      <c r="D126" s="58"/>
      <c r="E126" s="58"/>
      <c r="F126" s="58"/>
      <c r="G126" s="58"/>
      <c r="H126" s="58"/>
      <c r="L126" s="65"/>
    </row>
    <row r="127" spans="1:12" customFormat="1" hidden="1" outlineLevel="2">
      <c r="A127" s="58"/>
      <c r="B127" s="58" t="s">
        <v>137</v>
      </c>
      <c r="C127" s="58"/>
      <c r="D127" s="58"/>
      <c r="E127" s="58"/>
      <c r="F127" s="58"/>
      <c r="G127" s="58"/>
      <c r="H127" s="58"/>
      <c r="L127" s="65"/>
    </row>
    <row r="128" spans="1:12" customFormat="1" hidden="1" outlineLevel="2">
      <c r="A128" s="58"/>
      <c r="B128" s="58"/>
      <c r="C128" s="58"/>
      <c r="D128" s="58"/>
      <c r="E128" s="58"/>
      <c r="F128" s="58"/>
      <c r="G128" s="58"/>
      <c r="H128" s="58"/>
      <c r="L128" s="65"/>
    </row>
    <row r="129" spans="1:12" customFormat="1" hidden="1" outlineLevel="2">
      <c r="A129" s="58"/>
      <c r="B129" s="58"/>
      <c r="C129" s="111" t="str">
        <f ca="1">IF(AND(C117=1,C131&lt;&gt;0),"",IF(C117&lt;&gt;0,OFFSET(B118,C117,0),""))</f>
        <v xml:space="preserve"> Двадцать</v>
      </c>
      <c r="D129" s="58"/>
      <c r="E129" s="58"/>
      <c r="F129" s="58"/>
      <c r="G129" s="58"/>
      <c r="H129" s="58"/>
      <c r="L129" s="65"/>
    </row>
    <row r="130" spans="1:12" customFormat="1" hidden="1" outlineLevel="2">
      <c r="A130" s="58"/>
      <c r="B130" s="58"/>
      <c r="C130" s="58"/>
      <c r="D130" s="58"/>
      <c r="E130" s="58"/>
      <c r="F130" s="58"/>
      <c r="G130" s="58"/>
      <c r="H130" s="58"/>
      <c r="L130" s="65"/>
    </row>
    <row r="131" spans="1:12" customFormat="1" hidden="1" outlineLevel="2">
      <c r="A131" s="58"/>
      <c r="B131" s="58" t="s">
        <v>158</v>
      </c>
      <c r="C131" s="58">
        <f>C102-C103*100-C117*10</f>
        <v>3</v>
      </c>
      <c r="D131" s="58"/>
      <c r="E131" s="58"/>
      <c r="F131" s="58"/>
      <c r="G131" s="58"/>
      <c r="H131" s="58"/>
      <c r="L131" s="65"/>
    </row>
    <row r="132" spans="1:12" customFormat="1" hidden="1" outlineLevel="2">
      <c r="A132" s="58"/>
      <c r="B132" s="58"/>
      <c r="C132" s="58"/>
      <c r="D132" s="58"/>
      <c r="E132" s="58"/>
      <c r="F132" s="58"/>
      <c r="G132" s="58"/>
      <c r="H132" s="58"/>
      <c r="L132" s="65"/>
    </row>
    <row r="133" spans="1:12" customFormat="1" hidden="1" outlineLevel="2">
      <c r="A133" s="58"/>
      <c r="B133" s="58" t="s">
        <v>170</v>
      </c>
      <c r="C133" s="58"/>
      <c r="D133" s="58"/>
      <c r="E133" s="58"/>
      <c r="F133" s="58"/>
      <c r="G133" s="58"/>
      <c r="H133" s="58"/>
      <c r="L133" s="65"/>
    </row>
    <row r="134" spans="1:12" customFormat="1" hidden="1" outlineLevel="2">
      <c r="A134" s="58"/>
      <c r="B134" s="58" t="s">
        <v>171</v>
      </c>
      <c r="C134" s="58"/>
      <c r="D134" s="58"/>
      <c r="E134" s="58"/>
      <c r="F134" s="58"/>
      <c r="G134" s="58"/>
      <c r="H134" s="58"/>
      <c r="L134" s="65"/>
    </row>
    <row r="135" spans="1:12" customFormat="1" hidden="1" outlineLevel="2">
      <c r="A135" s="58"/>
      <c r="B135" s="58" t="s">
        <v>141</v>
      </c>
      <c r="C135" s="58"/>
      <c r="D135" s="58"/>
      <c r="E135" s="58"/>
      <c r="F135" s="58"/>
      <c r="G135" s="58"/>
      <c r="H135" s="58"/>
      <c r="L135" s="65"/>
    </row>
    <row r="136" spans="1:12" customFormat="1" hidden="1" outlineLevel="2">
      <c r="A136" s="58"/>
      <c r="B136" s="58" t="s">
        <v>142</v>
      </c>
      <c r="C136" s="58"/>
      <c r="D136" s="58"/>
      <c r="E136" s="58"/>
      <c r="F136" s="58"/>
      <c r="G136" s="58"/>
      <c r="H136" s="58"/>
      <c r="L136" s="65"/>
    </row>
    <row r="137" spans="1:12" customFormat="1" hidden="1" outlineLevel="2">
      <c r="A137" s="58"/>
      <c r="B137" s="58" t="s">
        <v>143</v>
      </c>
      <c r="C137" s="58"/>
      <c r="D137" s="58"/>
      <c r="E137" s="58"/>
      <c r="F137" s="58"/>
      <c r="G137" s="58"/>
      <c r="H137" s="58"/>
      <c r="L137" s="65"/>
    </row>
    <row r="138" spans="1:12" customFormat="1" hidden="1" outlineLevel="2">
      <c r="A138" s="58"/>
      <c r="B138" s="58" t="s">
        <v>144</v>
      </c>
      <c r="C138" s="58"/>
      <c r="D138" s="58"/>
      <c r="E138" s="58"/>
      <c r="F138" s="58"/>
      <c r="G138" s="58"/>
      <c r="H138" s="58"/>
      <c r="L138" s="65"/>
    </row>
    <row r="139" spans="1:12" customFormat="1" hidden="1" outlineLevel="2">
      <c r="A139" s="58"/>
      <c r="B139" s="58" t="s">
        <v>145</v>
      </c>
      <c r="C139" s="58"/>
      <c r="D139" s="58"/>
      <c r="E139" s="58"/>
      <c r="F139" s="58"/>
      <c r="G139" s="58"/>
      <c r="H139" s="58"/>
      <c r="L139" s="65"/>
    </row>
    <row r="140" spans="1:12" customFormat="1" hidden="1" outlineLevel="2">
      <c r="A140" s="58"/>
      <c r="B140" s="58" t="s">
        <v>146</v>
      </c>
      <c r="C140" s="58"/>
      <c r="D140" s="58"/>
      <c r="E140" s="58"/>
      <c r="F140" s="58"/>
      <c r="G140" s="58"/>
      <c r="H140" s="58"/>
      <c r="L140" s="65"/>
    </row>
    <row r="141" spans="1:12" customFormat="1" hidden="1" outlineLevel="2">
      <c r="A141" s="58"/>
      <c r="B141" s="58" t="s">
        <v>147</v>
      </c>
      <c r="C141" s="58"/>
      <c r="D141" s="58"/>
      <c r="E141" s="58"/>
      <c r="F141" s="58"/>
      <c r="G141" s="58"/>
      <c r="H141" s="58"/>
      <c r="L141" s="65"/>
    </row>
    <row r="142" spans="1:12" customFormat="1" hidden="1" outlineLevel="2">
      <c r="A142" s="58"/>
      <c r="B142" s="58"/>
      <c r="C142" s="58"/>
      <c r="D142" s="58"/>
      <c r="E142" s="58"/>
      <c r="F142" s="58"/>
      <c r="G142" s="58"/>
      <c r="H142" s="58"/>
      <c r="L142" s="65"/>
    </row>
    <row r="143" spans="1:12" customFormat="1" hidden="1" outlineLevel="2">
      <c r="A143" s="58"/>
      <c r="B143" s="58"/>
      <c r="C143" s="111" t="str">
        <f ca="1">IF(C117&lt;&gt;1,IF(C131&lt;&gt;0,OFFSET(B132,C131,0),""),"")</f>
        <v xml:space="preserve"> Три</v>
      </c>
      <c r="D143" s="58"/>
      <c r="E143" s="58"/>
      <c r="F143" s="58"/>
      <c r="G143" s="58"/>
      <c r="H143" s="58"/>
      <c r="L143" s="65"/>
    </row>
    <row r="144" spans="1:12" customFormat="1" hidden="1" outlineLevel="2">
      <c r="A144" s="58"/>
      <c r="B144" s="58"/>
      <c r="C144" s="58"/>
      <c r="D144" s="58"/>
      <c r="E144" s="58"/>
      <c r="F144" s="58"/>
      <c r="G144" s="58"/>
      <c r="H144" s="58"/>
      <c r="L144" s="65"/>
    </row>
    <row r="145" spans="1:12" customFormat="1" hidden="1" outlineLevel="2">
      <c r="A145" s="58"/>
      <c r="B145" s="58" t="s">
        <v>148</v>
      </c>
      <c r="C145" s="58"/>
      <c r="D145" s="58"/>
      <c r="E145" s="58"/>
      <c r="F145" s="58"/>
      <c r="G145" s="58"/>
      <c r="H145" s="58"/>
      <c r="L145" s="65"/>
    </row>
    <row r="146" spans="1:12" customFormat="1" hidden="1" outlineLevel="2">
      <c r="A146" s="58"/>
      <c r="B146" s="58"/>
      <c r="C146" s="58"/>
      <c r="D146" s="58"/>
      <c r="E146" s="58"/>
      <c r="F146" s="58"/>
      <c r="G146" s="58"/>
      <c r="H146" s="58"/>
      <c r="L146" s="65"/>
    </row>
    <row r="147" spans="1:12" customFormat="1" hidden="1" outlineLevel="2">
      <c r="A147" s="58"/>
      <c r="B147" s="58"/>
      <c r="C147" s="58">
        <f>+C131</f>
        <v>3</v>
      </c>
      <c r="D147" s="58"/>
      <c r="E147" s="58"/>
      <c r="F147" s="58"/>
      <c r="G147" s="58"/>
      <c r="H147" s="58"/>
      <c r="L147" s="65"/>
    </row>
    <row r="148" spans="1:12" customFormat="1" hidden="1" outlineLevel="2">
      <c r="A148" s="58"/>
      <c r="B148" s="58" t="s">
        <v>149</v>
      </c>
      <c r="C148" s="58"/>
      <c r="D148" s="58"/>
      <c r="E148" s="58"/>
      <c r="F148" s="58"/>
      <c r="G148" s="58"/>
      <c r="H148" s="58"/>
      <c r="L148" s="65"/>
    </row>
    <row r="149" spans="1:12" customFormat="1" hidden="1" outlineLevel="2">
      <c r="A149" s="58"/>
      <c r="B149" s="58" t="s">
        <v>150</v>
      </c>
      <c r="C149" s="58"/>
      <c r="D149" s="58"/>
      <c r="E149" s="58"/>
      <c r="F149" s="58"/>
      <c r="G149" s="58"/>
      <c r="H149" s="58"/>
      <c r="L149" s="65"/>
    </row>
    <row r="150" spans="1:12" customFormat="1" hidden="1" outlineLevel="2">
      <c r="A150" s="58"/>
      <c r="B150" s="58" t="s">
        <v>151</v>
      </c>
      <c r="C150" s="58"/>
      <c r="D150" s="58"/>
      <c r="E150" s="58"/>
      <c r="F150" s="58"/>
      <c r="G150" s="58"/>
      <c r="H150" s="58"/>
      <c r="L150" s="65"/>
    </row>
    <row r="151" spans="1:12" customFormat="1" hidden="1" outlineLevel="2">
      <c r="A151" s="58"/>
      <c r="B151" s="58" t="s">
        <v>152</v>
      </c>
      <c r="C151" s="58"/>
      <c r="D151" s="58"/>
      <c r="E151" s="58"/>
      <c r="F151" s="58"/>
      <c r="G151" s="58"/>
      <c r="H151" s="58"/>
      <c r="L151" s="65"/>
    </row>
    <row r="152" spans="1:12" customFormat="1" hidden="1" outlineLevel="2">
      <c r="A152" s="58"/>
      <c r="B152" s="58" t="s">
        <v>153</v>
      </c>
      <c r="C152" s="58"/>
      <c r="D152" s="58"/>
      <c r="E152" s="58"/>
      <c r="F152" s="58"/>
      <c r="G152" s="58"/>
      <c r="H152" s="58"/>
      <c r="L152" s="65"/>
    </row>
    <row r="153" spans="1:12" customFormat="1" hidden="1" outlineLevel="2">
      <c r="A153" s="58"/>
      <c r="B153" s="58" t="s">
        <v>154</v>
      </c>
      <c r="C153" s="58"/>
      <c r="D153" s="58"/>
      <c r="E153" s="58"/>
      <c r="F153" s="58"/>
      <c r="G153" s="58"/>
      <c r="H153" s="58"/>
      <c r="L153" s="65"/>
    </row>
    <row r="154" spans="1:12" customFormat="1" hidden="1" outlineLevel="2">
      <c r="A154" s="58"/>
      <c r="B154" s="58" t="s">
        <v>155</v>
      </c>
      <c r="C154" s="58"/>
      <c r="D154" s="58"/>
      <c r="E154" s="58"/>
      <c r="F154" s="58"/>
      <c r="G154" s="58"/>
      <c r="H154" s="58"/>
      <c r="L154" s="65"/>
    </row>
    <row r="155" spans="1:12" customFormat="1" hidden="1" outlineLevel="2">
      <c r="A155" s="58"/>
      <c r="B155" s="58" t="s">
        <v>156</v>
      </c>
      <c r="C155" s="58"/>
      <c r="D155" s="58"/>
      <c r="E155" s="58"/>
      <c r="F155" s="58"/>
      <c r="G155" s="58"/>
      <c r="H155" s="58"/>
      <c r="L155" s="65"/>
    </row>
    <row r="156" spans="1:12" customFormat="1" hidden="1" outlineLevel="2">
      <c r="A156" s="58"/>
      <c r="B156" s="58" t="s">
        <v>157</v>
      </c>
      <c r="C156" s="58"/>
      <c r="D156" s="58"/>
      <c r="E156" s="58"/>
      <c r="F156" s="58"/>
      <c r="G156" s="58"/>
      <c r="H156" s="58"/>
      <c r="L156" s="65"/>
    </row>
    <row r="157" spans="1:12" customFormat="1" hidden="1" outlineLevel="2">
      <c r="A157" s="58"/>
      <c r="B157" s="58"/>
      <c r="C157" s="58"/>
      <c r="D157" s="58"/>
      <c r="E157" s="58"/>
      <c r="F157" s="58"/>
      <c r="G157" s="58"/>
      <c r="H157" s="58"/>
      <c r="L157" s="65"/>
    </row>
    <row r="158" spans="1:12" customFormat="1" hidden="1" outlineLevel="2">
      <c r="A158" s="58"/>
      <c r="B158" s="58"/>
      <c r="C158" s="111" t="str">
        <f ca="1">IF(AND(C117=1,C131&lt;&gt;0),IF(C117&lt;&gt;0,OFFSET(B147,C147,0),""),"")</f>
        <v/>
      </c>
      <c r="D158" s="58"/>
      <c r="E158" s="58"/>
      <c r="F158" s="58"/>
      <c r="G158" s="58"/>
      <c r="H158" s="58"/>
      <c r="L158" s="65"/>
    </row>
    <row r="159" spans="1:12" customFormat="1" hidden="1" outlineLevel="2">
      <c r="A159" s="58"/>
      <c r="B159" s="58"/>
      <c r="C159" s="58"/>
      <c r="D159" s="58"/>
      <c r="E159" s="58"/>
      <c r="F159" s="58"/>
      <c r="G159" s="58"/>
      <c r="H159" s="58"/>
      <c r="L159" s="65"/>
    </row>
    <row r="160" spans="1:12" customFormat="1" hidden="1" outlineLevel="2">
      <c r="A160" s="58"/>
      <c r="B160" s="58"/>
      <c r="C160" s="111" t="str">
        <f>IF(C117&lt;&gt;1,IF(OR(C131=2,C131=3,C131=4)," тысячи",""),"")</f>
        <v xml:space="preserve"> тысячи</v>
      </c>
      <c r="D160" s="58"/>
      <c r="E160" s="58"/>
      <c r="F160" s="58"/>
      <c r="G160" s="58"/>
      <c r="H160" s="58"/>
      <c r="L160" s="65"/>
    </row>
    <row r="161" spans="1:12" customFormat="1" hidden="1" outlineLevel="2">
      <c r="A161" s="58"/>
      <c r="B161" s="58"/>
      <c r="C161" s="111" t="str">
        <f>IF(C117&lt;&gt;1,IF(OR(C131=1)," тысяча",""),"")</f>
        <v/>
      </c>
      <c r="D161" s="58"/>
      <c r="E161" s="58"/>
      <c r="F161" s="58"/>
      <c r="G161" s="58"/>
      <c r="H161" s="58"/>
      <c r="L161" s="65"/>
    </row>
    <row r="162" spans="1:12" customFormat="1" hidden="1" outlineLevel="2">
      <c r="A162" s="58"/>
      <c r="B162" s="58"/>
      <c r="C162" s="111" t="str">
        <f>IF(C102&lt;&gt;0,IF(AND(C160="",C161="")," тысяч",""),"")</f>
        <v/>
      </c>
      <c r="D162" s="58"/>
      <c r="E162" s="58"/>
      <c r="F162" s="58"/>
      <c r="G162" s="58"/>
      <c r="H162" s="58"/>
      <c r="L162" s="65"/>
    </row>
    <row r="163" spans="1:12" customFormat="1" hidden="1" outlineLevel="2">
      <c r="A163" s="58"/>
      <c r="B163" s="58"/>
      <c r="C163" s="112" t="str">
        <f ca="1">(CONCATENATE(C115,C129,C143,C158,C160,C161,C162))</f>
        <v xml:space="preserve"> Двадцать Три тысячи</v>
      </c>
      <c r="D163" s="58"/>
      <c r="E163" s="58"/>
      <c r="F163" s="58"/>
      <c r="G163" s="58"/>
      <c r="H163" s="58"/>
      <c r="L163" s="65"/>
    </row>
    <row r="164" spans="1:12" customFormat="1" hidden="1" outlineLevel="2">
      <c r="A164" s="58"/>
      <c r="B164" s="58"/>
      <c r="C164" s="58"/>
      <c r="D164" s="58"/>
      <c r="E164" s="58"/>
      <c r="F164" s="58"/>
      <c r="G164" s="58"/>
      <c r="H164" s="58"/>
      <c r="L164" s="65"/>
    </row>
    <row r="165" spans="1:12" customFormat="1" hidden="1" outlineLevel="2">
      <c r="A165" s="58"/>
      <c r="B165" s="58" t="s">
        <v>172</v>
      </c>
      <c r="C165" s="58">
        <f>ROUNDDOWN(C37-C38*1000000-C102*1000,0)</f>
        <v>900</v>
      </c>
      <c r="D165" s="58"/>
      <c r="E165" s="58"/>
      <c r="F165" s="58"/>
      <c r="G165" s="58"/>
      <c r="H165" s="58"/>
      <c r="L165" s="65"/>
    </row>
    <row r="166" spans="1:12" customFormat="1" hidden="1" outlineLevel="2">
      <c r="A166" s="58"/>
      <c r="B166" s="58" t="s">
        <v>159</v>
      </c>
      <c r="C166" s="58">
        <f>ROUNDDOWN(C165/100,0)</f>
        <v>9</v>
      </c>
      <c r="D166" s="58"/>
      <c r="E166" s="58"/>
      <c r="F166" s="58"/>
      <c r="G166" s="58"/>
      <c r="H166" s="58"/>
      <c r="L166" s="65"/>
    </row>
    <row r="167" spans="1:12" customFormat="1" hidden="1" outlineLevel="2">
      <c r="A167" s="58"/>
      <c r="B167" s="58"/>
      <c r="C167" s="58"/>
      <c r="D167" s="58"/>
      <c r="E167" s="58"/>
      <c r="F167" s="58"/>
      <c r="G167" s="58"/>
      <c r="H167" s="58"/>
      <c r="L167" s="65"/>
    </row>
    <row r="168" spans="1:12" customFormat="1" hidden="1" outlineLevel="2">
      <c r="A168" s="58"/>
      <c r="B168" s="58" t="s">
        <v>160</v>
      </c>
      <c r="C168" s="58"/>
      <c r="D168" s="58"/>
      <c r="E168" s="58"/>
      <c r="F168" s="58"/>
      <c r="G168" s="58"/>
      <c r="H168" s="58"/>
      <c r="L168" s="65"/>
    </row>
    <row r="169" spans="1:12" customFormat="1" hidden="1" outlineLevel="2">
      <c r="A169" s="58"/>
      <c r="B169" s="58" t="s">
        <v>161</v>
      </c>
      <c r="C169" s="58"/>
      <c r="D169" s="58"/>
      <c r="E169" s="58"/>
      <c r="F169" s="58"/>
      <c r="G169" s="58"/>
      <c r="H169" s="58"/>
      <c r="L169" s="65"/>
    </row>
    <row r="170" spans="1:12" customFormat="1" hidden="1" outlineLevel="2">
      <c r="A170" s="58"/>
      <c r="B170" s="58" t="s">
        <v>162</v>
      </c>
      <c r="C170" s="58"/>
      <c r="D170" s="58"/>
      <c r="E170" s="58"/>
      <c r="F170" s="58"/>
      <c r="G170" s="58"/>
      <c r="H170" s="58"/>
      <c r="L170" s="65"/>
    </row>
    <row r="171" spans="1:12" customFormat="1" hidden="1" outlineLevel="2">
      <c r="A171" s="58"/>
      <c r="B171" s="58" t="s">
        <v>163</v>
      </c>
      <c r="C171" s="58"/>
      <c r="D171" s="58"/>
      <c r="E171" s="58"/>
      <c r="F171" s="58"/>
      <c r="G171" s="58"/>
      <c r="H171" s="58"/>
      <c r="L171" s="65"/>
    </row>
    <row r="172" spans="1:12" customFormat="1" hidden="1" outlineLevel="2">
      <c r="A172" s="58"/>
      <c r="B172" s="58" t="s">
        <v>164</v>
      </c>
      <c r="C172" s="58"/>
      <c r="D172" s="58"/>
      <c r="E172" s="58"/>
      <c r="F172" s="58"/>
      <c r="G172" s="58"/>
      <c r="H172" s="58"/>
      <c r="L172" s="65"/>
    </row>
    <row r="173" spans="1:12" customFormat="1" hidden="1" outlineLevel="2">
      <c r="A173" s="58"/>
      <c r="B173" s="58" t="s">
        <v>165</v>
      </c>
      <c r="C173" s="58"/>
      <c r="D173" s="58"/>
      <c r="E173" s="58"/>
      <c r="F173" s="58"/>
      <c r="G173" s="58"/>
      <c r="H173" s="58"/>
      <c r="L173" s="65"/>
    </row>
    <row r="174" spans="1:12" customFormat="1" hidden="1" outlineLevel="2">
      <c r="A174" s="58"/>
      <c r="B174" s="58" t="s">
        <v>166</v>
      </c>
      <c r="C174" s="58"/>
      <c r="D174" s="58"/>
      <c r="E174" s="58"/>
      <c r="F174" s="58"/>
      <c r="G174" s="58"/>
      <c r="H174" s="58"/>
      <c r="L174" s="65"/>
    </row>
    <row r="175" spans="1:12" customFormat="1" hidden="1" outlineLevel="2">
      <c r="A175" s="58"/>
      <c r="B175" s="58" t="s">
        <v>167</v>
      </c>
      <c r="C175" s="58"/>
      <c r="D175" s="58"/>
      <c r="E175" s="58"/>
      <c r="F175" s="58"/>
      <c r="G175" s="58"/>
      <c r="H175" s="58"/>
      <c r="L175" s="65"/>
    </row>
    <row r="176" spans="1:12" customFormat="1" hidden="1" outlineLevel="2">
      <c r="A176" s="58"/>
      <c r="B176" s="58" t="s">
        <v>168</v>
      </c>
      <c r="C176" s="58"/>
      <c r="D176" s="58"/>
      <c r="E176" s="58"/>
      <c r="F176" s="58"/>
      <c r="G176" s="58"/>
      <c r="H176" s="58"/>
      <c r="L176" s="65"/>
    </row>
    <row r="177" spans="1:12" customFormat="1" hidden="1" outlineLevel="2">
      <c r="A177" s="58"/>
      <c r="B177" s="58"/>
      <c r="C177" s="58"/>
      <c r="D177" s="58"/>
      <c r="E177" s="58"/>
      <c r="F177" s="58"/>
      <c r="G177" s="58"/>
      <c r="H177" s="58"/>
      <c r="L177" s="65"/>
    </row>
    <row r="178" spans="1:12" customFormat="1" hidden="1" outlineLevel="2">
      <c r="A178" s="58"/>
      <c r="B178" s="58"/>
      <c r="C178" s="111" t="str">
        <f ca="1">IF(C166&lt;&gt;0,OFFSET(B167,C166,0),"")</f>
        <v xml:space="preserve"> Девятьсот</v>
      </c>
      <c r="D178" s="58"/>
      <c r="E178" s="58"/>
      <c r="F178" s="58"/>
      <c r="G178" s="58"/>
      <c r="H178" s="58"/>
      <c r="L178" s="65"/>
    </row>
    <row r="179" spans="1:12" customFormat="1" hidden="1" outlineLevel="2">
      <c r="A179" s="58"/>
      <c r="B179" s="58"/>
      <c r="C179" s="58"/>
      <c r="D179" s="58"/>
      <c r="E179" s="58"/>
      <c r="F179" s="58"/>
      <c r="G179" s="58"/>
      <c r="H179" s="58"/>
      <c r="L179" s="65"/>
    </row>
    <row r="180" spans="1:12" customFormat="1" hidden="1" outlineLevel="2">
      <c r="A180" s="58"/>
      <c r="B180" s="58" t="s">
        <v>169</v>
      </c>
      <c r="C180" s="58">
        <f>ROUNDDOWN((C165-C166*100)/10,0)</f>
        <v>0</v>
      </c>
      <c r="D180" s="58"/>
      <c r="E180" s="58"/>
      <c r="F180" s="58"/>
      <c r="G180" s="58"/>
      <c r="H180" s="58"/>
      <c r="L180" s="65"/>
    </row>
    <row r="181" spans="1:12" customFormat="1" hidden="1" outlineLevel="2">
      <c r="A181" s="58"/>
      <c r="B181" s="58"/>
      <c r="C181" s="58"/>
      <c r="D181" s="58"/>
      <c r="E181" s="58"/>
      <c r="F181" s="58"/>
      <c r="G181" s="58"/>
      <c r="H181" s="58"/>
      <c r="L181" s="65"/>
    </row>
    <row r="182" spans="1:12" customFormat="1" hidden="1" outlineLevel="2">
      <c r="A182" s="58"/>
      <c r="B182" s="58" t="s">
        <v>129</v>
      </c>
      <c r="C182" s="58"/>
      <c r="D182" s="58"/>
      <c r="E182" s="58"/>
      <c r="F182" s="58"/>
      <c r="G182" s="58"/>
      <c r="H182" s="58"/>
      <c r="L182" s="65"/>
    </row>
    <row r="183" spans="1:12" customFormat="1" hidden="1" outlineLevel="2">
      <c r="A183" s="58"/>
      <c r="B183" s="58" t="s">
        <v>130</v>
      </c>
      <c r="C183" s="58"/>
      <c r="D183" s="58"/>
      <c r="E183" s="58"/>
      <c r="F183" s="58"/>
      <c r="G183" s="58"/>
      <c r="H183" s="58"/>
      <c r="L183" s="65"/>
    </row>
    <row r="184" spans="1:12" customFormat="1" hidden="1" outlineLevel="2">
      <c r="A184" s="58"/>
      <c r="B184" s="58" t="s">
        <v>131</v>
      </c>
      <c r="C184" s="58"/>
      <c r="D184" s="58"/>
      <c r="E184" s="58"/>
      <c r="F184" s="58"/>
      <c r="G184" s="58"/>
      <c r="H184" s="58"/>
      <c r="L184" s="65"/>
    </row>
    <row r="185" spans="1:12" customFormat="1" hidden="1" outlineLevel="2">
      <c r="A185" s="58"/>
      <c r="B185" s="58" t="s">
        <v>132</v>
      </c>
      <c r="C185" s="58"/>
      <c r="D185" s="58"/>
      <c r="E185" s="58"/>
      <c r="F185" s="58"/>
      <c r="G185" s="58"/>
      <c r="H185" s="58"/>
      <c r="L185" s="65"/>
    </row>
    <row r="186" spans="1:12" customFormat="1" hidden="1" outlineLevel="2">
      <c r="A186" s="58"/>
      <c r="B186" s="58" t="s">
        <v>133</v>
      </c>
      <c r="C186" s="58"/>
      <c r="D186" s="58"/>
      <c r="E186" s="58"/>
      <c r="F186" s="58"/>
      <c r="G186" s="58"/>
      <c r="H186" s="58"/>
      <c r="L186" s="65"/>
    </row>
    <row r="187" spans="1:12" customFormat="1" hidden="1" outlineLevel="2">
      <c r="A187" s="58"/>
      <c r="B187" s="58" t="s">
        <v>134</v>
      </c>
      <c r="C187" s="58"/>
      <c r="D187" s="58"/>
      <c r="E187" s="58"/>
      <c r="F187" s="58"/>
      <c r="G187" s="58"/>
      <c r="H187" s="58"/>
      <c r="L187" s="65"/>
    </row>
    <row r="188" spans="1:12" customFormat="1" hidden="1" outlineLevel="2">
      <c r="A188" s="58"/>
      <c r="B188" s="58" t="s">
        <v>135</v>
      </c>
      <c r="C188" s="58"/>
      <c r="D188" s="58"/>
      <c r="E188" s="58"/>
      <c r="F188" s="58"/>
      <c r="G188" s="58"/>
      <c r="H188" s="58"/>
      <c r="L188" s="65"/>
    </row>
    <row r="189" spans="1:12" customFormat="1" hidden="1" outlineLevel="2">
      <c r="A189" s="58"/>
      <c r="B189" s="58" t="s">
        <v>136</v>
      </c>
      <c r="C189" s="58"/>
      <c r="D189" s="58"/>
      <c r="E189" s="58"/>
      <c r="F189" s="58"/>
      <c r="G189" s="58"/>
      <c r="H189" s="58"/>
      <c r="L189" s="65"/>
    </row>
    <row r="190" spans="1:12" customFormat="1" hidden="1" outlineLevel="2">
      <c r="A190" s="58"/>
      <c r="B190" s="58" t="s">
        <v>137</v>
      </c>
      <c r="C190" s="58"/>
      <c r="D190" s="58"/>
      <c r="E190" s="58"/>
      <c r="F190" s="58"/>
      <c r="G190" s="58"/>
      <c r="H190" s="58"/>
      <c r="L190" s="65"/>
    </row>
    <row r="191" spans="1:12" customFormat="1" hidden="1" outlineLevel="2">
      <c r="A191" s="58"/>
      <c r="B191" s="58"/>
      <c r="C191" s="58"/>
      <c r="D191" s="58"/>
      <c r="E191" s="58"/>
      <c r="F191" s="58"/>
      <c r="G191" s="58"/>
      <c r="H191" s="58"/>
      <c r="L191" s="65"/>
    </row>
    <row r="192" spans="1:12" customFormat="1" hidden="1" outlineLevel="2">
      <c r="A192" s="58"/>
      <c r="B192" s="58"/>
      <c r="C192" s="111" t="str">
        <f ca="1">IF(AND(C180=1,C194&lt;&gt;0),"",IF(C180&lt;&gt;0,OFFSET(B181,C180,0),""))</f>
        <v/>
      </c>
      <c r="D192" s="58"/>
      <c r="E192" s="58"/>
      <c r="F192" s="58"/>
      <c r="G192" s="58"/>
      <c r="H192" s="58"/>
      <c r="L192" s="65"/>
    </row>
    <row r="193" spans="1:12" customFormat="1" hidden="1" outlineLevel="2">
      <c r="A193" s="58"/>
      <c r="B193" s="58"/>
      <c r="C193" s="58"/>
      <c r="D193" s="58"/>
      <c r="E193" s="58"/>
      <c r="F193" s="58"/>
      <c r="G193" s="58"/>
      <c r="H193" s="58"/>
      <c r="L193" s="65"/>
    </row>
    <row r="194" spans="1:12" customFormat="1" hidden="1" outlineLevel="2">
      <c r="A194" s="58"/>
      <c r="B194" s="58" t="s">
        <v>158</v>
      </c>
      <c r="C194" s="58">
        <f>C165-C166*100-C180*10</f>
        <v>0</v>
      </c>
      <c r="D194" s="58"/>
      <c r="E194" s="58"/>
      <c r="F194" s="58"/>
      <c r="G194" s="58"/>
      <c r="H194" s="58"/>
      <c r="L194" s="65"/>
    </row>
    <row r="195" spans="1:12" customFormat="1" hidden="1" outlineLevel="2">
      <c r="A195" s="58"/>
      <c r="B195" s="58"/>
      <c r="C195" s="58"/>
      <c r="D195" s="58"/>
      <c r="E195" s="58"/>
      <c r="F195" s="58"/>
      <c r="G195" s="58"/>
      <c r="H195" s="58"/>
      <c r="L195" s="65"/>
    </row>
    <row r="196" spans="1:12" customFormat="1" hidden="1" outlineLevel="2">
      <c r="A196" s="58"/>
      <c r="B196" s="58" t="s">
        <v>139</v>
      </c>
      <c r="C196" s="58"/>
      <c r="D196" s="58"/>
      <c r="E196" s="58"/>
      <c r="F196" s="58"/>
      <c r="G196" s="58"/>
      <c r="H196" s="58"/>
      <c r="L196" s="65"/>
    </row>
    <row r="197" spans="1:12" customFormat="1" hidden="1" outlineLevel="2">
      <c r="A197" s="58"/>
      <c r="B197" s="58" t="s">
        <v>140</v>
      </c>
      <c r="C197" s="58"/>
      <c r="D197" s="58"/>
      <c r="E197" s="58"/>
      <c r="F197" s="58"/>
      <c r="G197" s="58"/>
      <c r="H197" s="58"/>
      <c r="L197" s="65"/>
    </row>
    <row r="198" spans="1:12" customFormat="1" hidden="1" outlineLevel="2">
      <c r="A198" s="58"/>
      <c r="B198" s="58" t="s">
        <v>141</v>
      </c>
      <c r="C198" s="58"/>
      <c r="D198" s="58"/>
      <c r="E198" s="58"/>
      <c r="F198" s="58"/>
      <c r="G198" s="58"/>
      <c r="H198" s="58"/>
      <c r="L198" s="65"/>
    </row>
    <row r="199" spans="1:12" customFormat="1" hidden="1" outlineLevel="2">
      <c r="A199" s="58"/>
      <c r="B199" s="58" t="s">
        <v>142</v>
      </c>
      <c r="C199" s="58"/>
      <c r="D199" s="58"/>
      <c r="E199" s="58"/>
      <c r="F199" s="58"/>
      <c r="G199" s="58"/>
      <c r="H199" s="58"/>
      <c r="L199" s="65"/>
    </row>
    <row r="200" spans="1:12" customFormat="1" hidden="1" outlineLevel="2">
      <c r="A200" s="58"/>
      <c r="B200" s="58" t="s">
        <v>143</v>
      </c>
      <c r="C200" s="58"/>
      <c r="D200" s="58"/>
      <c r="E200" s="58"/>
      <c r="F200" s="58"/>
      <c r="G200" s="58"/>
      <c r="H200" s="58"/>
      <c r="L200" s="65"/>
    </row>
    <row r="201" spans="1:12" customFormat="1" hidden="1" outlineLevel="2">
      <c r="A201" s="58"/>
      <c r="B201" s="58" t="s">
        <v>144</v>
      </c>
      <c r="C201" s="58"/>
      <c r="D201" s="58"/>
      <c r="E201" s="58"/>
      <c r="F201" s="58"/>
      <c r="G201" s="58"/>
      <c r="H201" s="58"/>
      <c r="L201" s="65"/>
    </row>
    <row r="202" spans="1:12" customFormat="1" hidden="1" outlineLevel="2">
      <c r="A202" s="58"/>
      <c r="B202" s="58" t="s">
        <v>145</v>
      </c>
      <c r="C202" s="58"/>
      <c r="D202" s="58"/>
      <c r="E202" s="58"/>
      <c r="F202" s="58"/>
      <c r="G202" s="58"/>
      <c r="H202" s="58"/>
      <c r="L202" s="65"/>
    </row>
    <row r="203" spans="1:12" customFormat="1" hidden="1" outlineLevel="2">
      <c r="A203" s="58"/>
      <c r="B203" s="58" t="s">
        <v>146</v>
      </c>
      <c r="C203" s="58"/>
      <c r="D203" s="58"/>
      <c r="E203" s="58"/>
      <c r="F203" s="58"/>
      <c r="G203" s="58"/>
      <c r="H203" s="58"/>
      <c r="L203" s="65"/>
    </row>
    <row r="204" spans="1:12" customFormat="1" hidden="1" outlineLevel="2">
      <c r="A204" s="58"/>
      <c r="B204" s="58" t="s">
        <v>147</v>
      </c>
      <c r="C204" s="58"/>
      <c r="D204" s="58"/>
      <c r="E204" s="58"/>
      <c r="F204" s="58"/>
      <c r="G204" s="58"/>
      <c r="H204" s="58"/>
      <c r="L204" s="65"/>
    </row>
    <row r="205" spans="1:12" customFormat="1" hidden="1" outlineLevel="2">
      <c r="A205" s="58"/>
      <c r="B205" s="58"/>
      <c r="C205" s="58"/>
      <c r="D205" s="58"/>
      <c r="E205" s="58"/>
      <c r="F205" s="58"/>
      <c r="G205" s="58"/>
      <c r="H205" s="58"/>
      <c r="L205" s="65"/>
    </row>
    <row r="206" spans="1:12" customFormat="1" hidden="1" outlineLevel="2">
      <c r="A206" s="58"/>
      <c r="B206" s="58"/>
      <c r="C206" s="111" t="str">
        <f ca="1">IF(C180&lt;&gt;1,IF(C194&lt;&gt;0,OFFSET(B195,C194,0),""),"")</f>
        <v/>
      </c>
      <c r="D206" s="58"/>
      <c r="E206" s="58"/>
      <c r="F206" s="58"/>
      <c r="G206" s="58"/>
      <c r="H206" s="58"/>
      <c r="L206" s="65"/>
    </row>
    <row r="207" spans="1:12" customFormat="1" hidden="1" outlineLevel="2">
      <c r="A207" s="58"/>
      <c r="B207" s="58"/>
      <c r="C207" s="58"/>
      <c r="D207" s="58"/>
      <c r="E207" s="58"/>
      <c r="F207" s="58"/>
      <c r="G207" s="58"/>
      <c r="H207" s="58"/>
      <c r="L207" s="65"/>
    </row>
    <row r="208" spans="1:12" customFormat="1" hidden="1" outlineLevel="2">
      <c r="A208" s="58"/>
      <c r="B208" s="58" t="s">
        <v>148</v>
      </c>
      <c r="C208" s="58"/>
      <c r="D208" s="58"/>
      <c r="E208" s="58"/>
      <c r="F208" s="58"/>
      <c r="G208" s="58"/>
      <c r="H208" s="58"/>
      <c r="L208" s="65"/>
    </row>
    <row r="209" spans="1:12" customFormat="1" hidden="1" outlineLevel="2">
      <c r="A209" s="58"/>
      <c r="B209" s="58"/>
      <c r="C209" s="58"/>
      <c r="D209" s="58"/>
      <c r="E209" s="58"/>
      <c r="F209" s="58"/>
      <c r="G209" s="58"/>
      <c r="H209" s="58"/>
      <c r="L209" s="65"/>
    </row>
    <row r="210" spans="1:12" customFormat="1" hidden="1" outlineLevel="2">
      <c r="A210" s="58"/>
      <c r="B210" s="58"/>
      <c r="C210" s="58">
        <f>+C194</f>
        <v>0</v>
      </c>
      <c r="D210" s="58"/>
      <c r="E210" s="58"/>
      <c r="F210" s="58"/>
      <c r="G210" s="58"/>
      <c r="H210" s="58"/>
      <c r="L210" s="65"/>
    </row>
    <row r="211" spans="1:12" customFormat="1" hidden="1" outlineLevel="2">
      <c r="A211" s="58"/>
      <c r="B211" s="58" t="s">
        <v>149</v>
      </c>
      <c r="C211" s="58"/>
      <c r="D211" s="58"/>
      <c r="E211" s="58"/>
      <c r="F211" s="58"/>
      <c r="G211" s="58"/>
      <c r="H211" s="58"/>
      <c r="L211" s="65"/>
    </row>
    <row r="212" spans="1:12" customFormat="1" hidden="1" outlineLevel="2">
      <c r="A212" s="58"/>
      <c r="B212" s="58" t="s">
        <v>150</v>
      </c>
      <c r="C212" s="58"/>
      <c r="D212" s="58"/>
      <c r="E212" s="58"/>
      <c r="F212" s="58"/>
      <c r="G212" s="58"/>
      <c r="H212" s="58"/>
      <c r="L212" s="65"/>
    </row>
    <row r="213" spans="1:12" customFormat="1" hidden="1" outlineLevel="2">
      <c r="A213" s="58"/>
      <c r="B213" s="58" t="s">
        <v>151</v>
      </c>
      <c r="C213" s="58"/>
      <c r="D213" s="58"/>
      <c r="E213" s="58"/>
      <c r="F213" s="58"/>
      <c r="G213" s="58"/>
      <c r="H213" s="58"/>
      <c r="L213" s="65"/>
    </row>
    <row r="214" spans="1:12" customFormat="1" hidden="1" outlineLevel="2">
      <c r="A214" s="58"/>
      <c r="B214" s="58" t="s">
        <v>152</v>
      </c>
      <c r="C214" s="58"/>
      <c r="D214" s="58"/>
      <c r="E214" s="58"/>
      <c r="F214" s="58"/>
      <c r="G214" s="58"/>
      <c r="H214" s="58"/>
      <c r="L214" s="65"/>
    </row>
    <row r="215" spans="1:12" customFormat="1" hidden="1" outlineLevel="2">
      <c r="A215" s="58"/>
      <c r="B215" s="58" t="s">
        <v>153</v>
      </c>
      <c r="C215" s="58"/>
      <c r="D215" s="58"/>
      <c r="E215" s="58"/>
      <c r="F215" s="58"/>
      <c r="G215" s="58"/>
      <c r="H215" s="58"/>
      <c r="L215" s="65"/>
    </row>
    <row r="216" spans="1:12" customFormat="1" hidden="1" outlineLevel="2">
      <c r="A216" s="58"/>
      <c r="B216" s="58" t="s">
        <v>154</v>
      </c>
      <c r="C216" s="58"/>
      <c r="D216" s="58"/>
      <c r="E216" s="58"/>
      <c r="F216" s="58"/>
      <c r="G216" s="58"/>
      <c r="H216" s="58"/>
      <c r="L216" s="65"/>
    </row>
    <row r="217" spans="1:12" customFormat="1" hidden="1" outlineLevel="2">
      <c r="A217" s="58"/>
      <c r="B217" s="58" t="s">
        <v>155</v>
      </c>
      <c r="C217" s="58"/>
      <c r="D217" s="58"/>
      <c r="E217" s="58"/>
      <c r="F217" s="58"/>
      <c r="G217" s="58"/>
      <c r="H217" s="58"/>
      <c r="L217" s="65"/>
    </row>
    <row r="218" spans="1:12" customFormat="1" hidden="1" outlineLevel="2">
      <c r="A218" s="58"/>
      <c r="B218" s="58" t="s">
        <v>156</v>
      </c>
      <c r="C218" s="58"/>
      <c r="D218" s="58"/>
      <c r="E218" s="58"/>
      <c r="F218" s="58"/>
      <c r="G218" s="58"/>
      <c r="H218" s="58"/>
      <c r="L218" s="65"/>
    </row>
    <row r="219" spans="1:12" customFormat="1" hidden="1" outlineLevel="2">
      <c r="A219" s="58"/>
      <c r="B219" s="58" t="s">
        <v>157</v>
      </c>
      <c r="C219" s="58"/>
      <c r="D219" s="58"/>
      <c r="E219" s="58"/>
      <c r="F219" s="58"/>
      <c r="G219" s="58"/>
      <c r="H219" s="58"/>
      <c r="L219" s="65"/>
    </row>
    <row r="220" spans="1:12" customFormat="1" hidden="1" outlineLevel="2">
      <c r="A220" s="58"/>
      <c r="B220" s="58"/>
      <c r="C220" s="58"/>
      <c r="D220" s="58"/>
      <c r="E220" s="58"/>
      <c r="F220" s="58"/>
      <c r="G220" s="58"/>
      <c r="H220" s="58"/>
      <c r="L220" s="65"/>
    </row>
    <row r="221" spans="1:12" customFormat="1" hidden="1" outlineLevel="2">
      <c r="A221" s="58"/>
      <c r="B221" s="58"/>
      <c r="C221" s="111" t="str">
        <f ca="1">IF(AND(C180=1,C194&lt;&gt;0),IF(C180&lt;&gt;0,OFFSET(B210,C210,0),""),"")</f>
        <v/>
      </c>
      <c r="D221" s="58"/>
      <c r="E221" s="58"/>
      <c r="F221" s="58"/>
      <c r="G221" s="58"/>
      <c r="H221" s="58"/>
      <c r="L221" s="65"/>
    </row>
    <row r="222" spans="1:12" customFormat="1" hidden="1" outlineLevel="2">
      <c r="A222" s="58"/>
      <c r="B222" s="58"/>
      <c r="C222" s="58"/>
      <c r="D222" s="58"/>
      <c r="E222" s="58"/>
      <c r="F222" s="58"/>
      <c r="G222" s="58"/>
      <c r="H222" s="58"/>
      <c r="L222" s="65"/>
    </row>
    <row r="223" spans="1:12" customFormat="1" hidden="1" outlineLevel="2">
      <c r="A223" s="58"/>
      <c r="B223" s="58"/>
      <c r="C223" s="111" t="str">
        <f>IF(C180&lt;&gt;1,IF(OR(C194=2,C194=3,C194=4)," рубля",""),"")</f>
        <v/>
      </c>
      <c r="D223" s="58"/>
      <c r="E223" s="58"/>
      <c r="F223" s="58"/>
      <c r="G223" s="58"/>
      <c r="H223" s="58"/>
      <c r="L223" s="65"/>
    </row>
    <row r="224" spans="1:12" customFormat="1" hidden="1" outlineLevel="2">
      <c r="A224" s="58"/>
      <c r="B224" s="58"/>
      <c r="C224" s="111" t="str">
        <f>IF(C180&lt;&gt;1,IF(OR(C194=1)," рубль",""),"")</f>
        <v/>
      </c>
      <c r="D224" s="58"/>
      <c r="E224" s="58"/>
      <c r="F224" s="58"/>
      <c r="G224" s="58"/>
      <c r="H224" s="58"/>
      <c r="L224" s="65"/>
    </row>
    <row r="225" spans="1:12" customFormat="1" hidden="1" outlineLevel="2">
      <c r="A225" s="58"/>
      <c r="B225" s="58"/>
      <c r="C225" s="111" t="str">
        <f>IF(AND(C223="",C224="")," рублей","")</f>
        <v xml:space="preserve"> рублей</v>
      </c>
      <c r="D225" s="58"/>
      <c r="E225" s="58"/>
      <c r="F225" s="58"/>
      <c r="G225" s="58"/>
      <c r="H225" s="58"/>
      <c r="L225" s="65"/>
    </row>
    <row r="226" spans="1:12" customFormat="1" hidden="1" outlineLevel="2">
      <c r="A226" s="58"/>
      <c r="B226" s="58"/>
      <c r="C226" s="112" t="str">
        <f ca="1">(CONCATENATE(C178,C192,C206,C221,C223,C224,C225))</f>
        <v xml:space="preserve"> Девятьсот рублей</v>
      </c>
      <c r="D226" s="58"/>
      <c r="E226" s="58"/>
      <c r="F226" s="58"/>
      <c r="G226" s="58"/>
      <c r="H226" s="58"/>
      <c r="L226" s="65"/>
    </row>
    <row r="227" spans="1:12" customFormat="1" hidden="1" outlineLevel="2">
      <c r="A227" s="58"/>
      <c r="B227" s="58"/>
      <c r="C227" s="58"/>
      <c r="D227" s="58"/>
      <c r="E227" s="58"/>
      <c r="F227" s="58"/>
      <c r="G227" s="58"/>
      <c r="H227" s="58"/>
      <c r="L227" s="65"/>
    </row>
    <row r="228" spans="1:12" customFormat="1" hidden="1" outlineLevel="2">
      <c r="A228" s="58"/>
      <c r="B228" s="58"/>
      <c r="C228" s="58" t="str">
        <f ca="1">TRIM(CONCATENATE(C100,C163,C226))</f>
        <v>Двадцать Три тысячи Девятьсот рублей</v>
      </c>
      <c r="D228" s="58"/>
      <c r="E228" s="58"/>
      <c r="F228" s="58"/>
      <c r="G228" s="58"/>
      <c r="H228" s="58"/>
      <c r="L228" s="65"/>
    </row>
    <row r="229" spans="1:12" customFormat="1" hidden="1" outlineLevel="2">
      <c r="A229" s="58"/>
      <c r="B229" s="58"/>
      <c r="C229" s="112" t="str">
        <f ca="1">LEFT(C228,1)</f>
        <v>Д</v>
      </c>
      <c r="D229" s="58"/>
      <c r="E229" s="58"/>
      <c r="F229" s="58"/>
      <c r="G229" s="58"/>
      <c r="H229" s="58"/>
      <c r="L229" s="65"/>
    </row>
    <row r="230" spans="1:12" customFormat="1" hidden="1" outlineLevel="2">
      <c r="A230" s="58"/>
      <c r="B230" s="58"/>
      <c r="C230" s="112" t="str">
        <f ca="1">LOWER(C228)</f>
        <v>двадцать три тысячи девятьсот рублей</v>
      </c>
      <c r="D230" s="58"/>
      <c r="E230" s="58"/>
      <c r="F230" s="58"/>
      <c r="G230" s="58"/>
      <c r="H230" s="58"/>
      <c r="L230" s="65"/>
    </row>
    <row r="231" spans="1:12" customFormat="1" hidden="1" outlineLevel="2">
      <c r="A231" s="58"/>
      <c r="B231" s="58"/>
      <c r="C231" s="112" t="str">
        <f ca="1">REPLACE(C230,1,1,"")</f>
        <v>вадцать три тысячи девятьсот рублей</v>
      </c>
      <c r="D231" s="58"/>
      <c r="E231" s="58"/>
      <c r="F231" s="58"/>
      <c r="G231" s="58"/>
      <c r="H231" s="58"/>
      <c r="L231" s="65"/>
    </row>
    <row r="232" spans="1:12" customFormat="1" hidden="1" outlineLevel="2">
      <c r="A232" s="58"/>
      <c r="B232" s="58"/>
      <c r="C232" s="112" t="str">
        <f ca="1">CONCATENATE(C229,C231)</f>
        <v>Двадцать три тысячи девятьсот рублей</v>
      </c>
      <c r="D232" s="58"/>
      <c r="E232" s="58"/>
      <c r="F232" s="58"/>
      <c r="G232" s="58"/>
      <c r="H232" s="58"/>
      <c r="L232" s="65"/>
    </row>
    <row r="233" spans="1:12" customFormat="1" hidden="1" outlineLevel="2">
      <c r="A233" s="58"/>
      <c r="B233" s="58"/>
      <c r="C233" s="58"/>
      <c r="D233" s="58"/>
      <c r="E233" s="58"/>
      <c r="F233" s="58"/>
      <c r="G233" s="58"/>
      <c r="H233" s="58"/>
      <c r="L233" s="65"/>
    </row>
    <row r="234" spans="1:12" customFormat="1" hidden="1" outlineLevel="2">
      <c r="A234" s="58"/>
      <c r="B234" s="58" t="s">
        <v>173</v>
      </c>
      <c r="C234" s="58">
        <f>ROUND(C37-C38*1000000-C102*1000-C165,2)*100</f>
        <v>0</v>
      </c>
      <c r="D234" s="58"/>
      <c r="E234" s="58"/>
      <c r="F234" s="58"/>
      <c r="G234" s="58"/>
      <c r="H234" s="58"/>
      <c r="L234" s="65"/>
    </row>
    <row r="235" spans="1:12" customFormat="1" hidden="1" outlineLevel="2">
      <c r="A235" s="58"/>
      <c r="B235" s="58" t="s">
        <v>174</v>
      </c>
      <c r="C235" s="58">
        <f>ROUNDDOWN(C234/10,0)</f>
        <v>0</v>
      </c>
      <c r="D235" s="58"/>
      <c r="E235" s="58"/>
      <c r="F235" s="58"/>
      <c r="G235" s="58"/>
      <c r="H235" s="58"/>
      <c r="L235" s="65"/>
    </row>
    <row r="236" spans="1:12" customFormat="1" hidden="1" outlineLevel="2">
      <c r="A236" s="58"/>
      <c r="B236" s="58" t="s">
        <v>175</v>
      </c>
      <c r="C236" s="58">
        <f>+C234-C235*10</f>
        <v>0</v>
      </c>
      <c r="D236" s="58"/>
      <c r="E236" s="58"/>
      <c r="F236" s="58"/>
      <c r="G236" s="58"/>
      <c r="H236" s="58"/>
      <c r="L236" s="65"/>
    </row>
    <row r="237" spans="1:12" customFormat="1" hidden="1" outlineLevel="2">
      <c r="A237" s="58"/>
      <c r="B237" s="58"/>
      <c r="C237" s="58" t="str">
        <f>IF(C234&lt;10,CONCATENATE("0",C234),C234)</f>
        <v>00</v>
      </c>
      <c r="D237" s="58"/>
      <c r="E237" s="58"/>
      <c r="F237" s="58"/>
      <c r="G237" s="58"/>
      <c r="H237" s="58"/>
      <c r="L237" s="65"/>
    </row>
    <row r="238" spans="1:12" customFormat="1" hidden="1" outlineLevel="2">
      <c r="A238" s="58"/>
      <c r="B238" s="58"/>
      <c r="C238" s="58"/>
      <c r="D238" s="58"/>
      <c r="E238" s="58"/>
      <c r="F238" s="58"/>
      <c r="G238" s="58"/>
      <c r="H238" s="58"/>
      <c r="L238" s="65"/>
    </row>
    <row r="239" spans="1:12" customFormat="1" hidden="1" outlineLevel="2">
      <c r="A239" s="58"/>
      <c r="B239" s="58"/>
      <c r="C239" s="111" t="str">
        <f>IF(AND(C236=1,C235&lt;&gt;1)," копейка","")</f>
        <v/>
      </c>
      <c r="D239" s="58"/>
      <c r="E239" s="58"/>
      <c r="F239" s="58"/>
      <c r="G239" s="58"/>
      <c r="H239" s="58"/>
      <c r="L239" s="65"/>
    </row>
    <row r="240" spans="1:12" customFormat="1" hidden="1" outlineLevel="2">
      <c r="A240" s="58"/>
      <c r="B240" s="58"/>
      <c r="C240" s="111" t="str">
        <f>IF(C235&lt;&gt;1,IF(OR(C236=2,C236=3,C236=4)," копейки",""),"")</f>
        <v/>
      </c>
      <c r="D240" s="58"/>
      <c r="E240" s="58"/>
      <c r="F240" s="58"/>
      <c r="G240" s="58"/>
      <c r="H240" s="58"/>
      <c r="L240" s="65"/>
    </row>
    <row r="241" spans="1:18" customFormat="1" hidden="1" outlineLevel="2">
      <c r="A241" s="58"/>
      <c r="B241" s="58"/>
      <c r="C241" s="111" t="str">
        <f>IF(AND(C239="",C240="")," копеек","")</f>
        <v xml:space="preserve"> копеек</v>
      </c>
      <c r="D241" s="58"/>
      <c r="E241" s="58"/>
      <c r="F241" s="58"/>
      <c r="G241" s="58"/>
      <c r="H241" s="58"/>
      <c r="L241" s="65"/>
    </row>
    <row r="242" spans="1:18" customFormat="1" hidden="1" outlineLevel="2">
      <c r="A242" s="58"/>
      <c r="B242" s="58"/>
      <c r="C242" s="58"/>
      <c r="D242" s="58"/>
      <c r="E242" s="58"/>
      <c r="F242" s="58"/>
      <c r="G242" s="58"/>
      <c r="H242" s="58"/>
      <c r="L242" s="65"/>
    </row>
    <row r="243" spans="1:18" customFormat="1" ht="12" customHeight="1" outlineLevel="1" collapsed="1">
      <c r="A243" s="58"/>
      <c r="B243" s="58" t="s">
        <v>176</v>
      </c>
      <c r="C243" s="111" t="str">
        <f ca="1">CONCATENATE(C232," ",C237,C239,C240,C241)</f>
        <v>Двадцать три тысячи девятьсот рублей 00 копеек</v>
      </c>
      <c r="D243" s="58"/>
      <c r="E243" s="58"/>
      <c r="F243" s="58"/>
      <c r="G243" s="58"/>
      <c r="H243" s="58"/>
      <c r="L243" s="65"/>
    </row>
    <row r="244" spans="1:18" s="5" customFormat="1" ht="15.75">
      <c r="A244" s="6"/>
      <c r="B244" s="6"/>
      <c r="C244" s="6"/>
      <c r="D244" s="6"/>
      <c r="E244" s="6"/>
      <c r="F244" s="6"/>
      <c r="G244" s="6"/>
      <c r="H244" s="6"/>
      <c r="I244" s="6"/>
      <c r="J244" s="6"/>
      <c r="K244" s="6"/>
      <c r="L244" s="59"/>
      <c r="M244" s="21"/>
      <c r="N244" s="56"/>
      <c r="O244" s="21"/>
      <c r="R244" s="6"/>
    </row>
  </sheetData>
  <mergeCells count="16">
    <mergeCell ref="B18:G18"/>
    <mergeCell ref="B19:G19"/>
    <mergeCell ref="A29:H29"/>
    <mergeCell ref="A1:H1"/>
    <mergeCell ref="A2:H2"/>
    <mergeCell ref="A4:H4"/>
    <mergeCell ref="A6:H6"/>
    <mergeCell ref="F8:H8"/>
    <mergeCell ref="B16:G16"/>
    <mergeCell ref="A24:H24"/>
    <mergeCell ref="A25:H25"/>
    <mergeCell ref="B23:G23"/>
    <mergeCell ref="B20:G20"/>
    <mergeCell ref="B21:G21"/>
    <mergeCell ref="B22:G22"/>
    <mergeCell ref="B17:G17"/>
  </mergeCells>
  <phoneticPr fontId="41" type="noConversion"/>
  <pageMargins left="0.74803149606299213" right="0.35433070866141736" top="0.39370078740157483" bottom="0.39370078740157483" header="0.51181102362204722" footer="0.51181102362204722"/>
  <pageSetup paperSize="9" scale="78"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R255"/>
  <sheetViews>
    <sheetView view="pageBreakPreview" zoomScaleNormal="100" workbookViewId="0">
      <pane ySplit="18" topLeftCell="A19" activePane="bottomLeft" state="frozen"/>
      <selection activeCell="C249" sqref="C249"/>
      <selection pane="bottomLeft" activeCell="C249" sqref="C249"/>
    </sheetView>
  </sheetViews>
  <sheetFormatPr defaultColWidth="9.140625" defaultRowHeight="12.75" outlineLevelRow="2" outlineLevelCol="1"/>
  <cols>
    <col min="1" max="1" width="5.85546875" style="89" customWidth="1"/>
    <col min="2" max="2" width="47.140625" style="89" customWidth="1"/>
    <col min="3" max="3" width="8.85546875" style="89" customWidth="1"/>
    <col min="4" max="4" width="10.42578125" style="89" customWidth="1"/>
    <col min="5" max="5" width="15.42578125" style="89" bestFit="1" customWidth="1"/>
    <col min="6" max="7" width="9.140625" style="32"/>
    <col min="8" max="8" width="9.140625" style="39"/>
    <col min="9" max="9" width="20" style="37" hidden="1" customWidth="1" outlineLevel="1"/>
    <col min="10" max="10" width="15.42578125" style="37" hidden="1" customWidth="1" outlineLevel="1"/>
    <col min="11" max="11" width="9.140625" style="38" hidden="1" customWidth="1" outlineLevel="1"/>
    <col min="12" max="12" width="9.140625" style="32" collapsed="1"/>
    <col min="13" max="16384" width="9.140625" style="32"/>
  </cols>
  <sheetData>
    <row r="1" spans="1:13" s="27" customFormat="1" ht="15.75" hidden="1" customHeight="1" outlineLevel="1">
      <c r="A1" s="731" t="s">
        <v>197</v>
      </c>
      <c r="B1" s="731"/>
      <c r="C1" s="731"/>
      <c r="D1" s="731"/>
      <c r="E1" s="731"/>
      <c r="H1" s="28"/>
      <c r="I1" s="29"/>
      <c r="J1" s="30"/>
      <c r="K1" s="28"/>
    </row>
    <row r="2" spans="1:13" collapsed="1">
      <c r="A2" s="69"/>
      <c r="B2" s="70"/>
      <c r="C2" s="70" t="s">
        <v>197</v>
      </c>
      <c r="D2" s="71" t="s">
        <v>197</v>
      </c>
      <c r="E2" s="70"/>
      <c r="H2" s="33"/>
      <c r="I2" s="34"/>
      <c r="J2" s="35"/>
      <c r="K2" s="28"/>
    </row>
    <row r="3" spans="1:13">
      <c r="A3" s="69"/>
      <c r="B3" s="69"/>
      <c r="C3" s="69"/>
      <c r="D3" s="69"/>
      <c r="E3" s="69"/>
      <c r="H3" s="33"/>
      <c r="I3" s="34"/>
      <c r="J3" s="36"/>
      <c r="K3" s="28"/>
    </row>
    <row r="4" spans="1:13">
      <c r="A4" s="727" t="s">
        <v>302</v>
      </c>
      <c r="B4" s="727"/>
      <c r="C4" s="727"/>
      <c r="D4" s="727"/>
      <c r="E4" s="727"/>
      <c r="F4" s="732"/>
      <c r="G4" s="732"/>
      <c r="H4" s="732"/>
      <c r="I4" s="732"/>
    </row>
    <row r="5" spans="1:13" ht="17.25" customHeight="1">
      <c r="A5" s="733" t="s">
        <v>75</v>
      </c>
      <c r="B5" s="733"/>
      <c r="C5" s="733"/>
      <c r="D5" s="733"/>
      <c r="E5" s="733"/>
    </row>
    <row r="6" spans="1:13" ht="28.5" customHeight="1">
      <c r="A6" s="727" t="e">
        <f>#REF!</f>
        <v>#REF!</v>
      </c>
      <c r="B6" s="727"/>
      <c r="C6" s="727"/>
      <c r="D6" s="727"/>
      <c r="E6" s="727"/>
      <c r="K6" s="40" t="s">
        <v>197</v>
      </c>
    </row>
    <row r="7" spans="1:13" ht="15.75" customHeight="1">
      <c r="A7" s="72"/>
      <c r="B7" s="72"/>
      <c r="C7" s="72"/>
      <c r="D7" s="72"/>
      <c r="E7" s="72"/>
      <c r="K7" s="40"/>
    </row>
    <row r="8" spans="1:13" s="2" customFormat="1" ht="9" customHeight="1">
      <c r="A8" s="73"/>
      <c r="B8" s="73"/>
      <c r="C8" s="73"/>
      <c r="D8" s="73"/>
      <c r="E8" s="73"/>
      <c r="F8" s="24"/>
      <c r="H8" s="41"/>
      <c r="I8" s="42"/>
      <c r="J8" s="42"/>
      <c r="K8" s="41"/>
    </row>
    <row r="9" spans="1:13" s="2" customFormat="1" ht="16.5" customHeight="1">
      <c r="A9" s="664" t="s">
        <v>201</v>
      </c>
      <c r="B9" s="664"/>
      <c r="C9" s="664" t="e">
        <f>#REF!</f>
        <v>#REF!</v>
      </c>
      <c r="D9" s="664"/>
      <c r="E9" s="664"/>
      <c r="F9" s="61"/>
      <c r="H9" s="41"/>
      <c r="I9" s="42"/>
      <c r="J9" s="42"/>
      <c r="K9" s="41"/>
    </row>
    <row r="10" spans="1:13" s="2" customFormat="1" ht="12" customHeight="1">
      <c r="A10" s="664" t="s">
        <v>197</v>
      </c>
      <c r="B10" s="664"/>
      <c r="C10" s="664" t="s">
        <v>197</v>
      </c>
      <c r="D10" s="664" t="s">
        <v>197</v>
      </c>
      <c r="E10" s="664"/>
      <c r="F10" s="60"/>
      <c r="H10" s="41"/>
      <c r="I10" s="42"/>
      <c r="J10" s="42"/>
      <c r="K10" s="41"/>
    </row>
    <row r="11" spans="1:13" s="2" customFormat="1" ht="16.5" customHeight="1">
      <c r="A11" s="664" t="s">
        <v>202</v>
      </c>
      <c r="B11" s="664"/>
      <c r="C11" s="664" t="e">
        <f>#REF!</f>
        <v>#REF!</v>
      </c>
      <c r="D11" s="664" t="s">
        <v>197</v>
      </c>
      <c r="E11" s="664"/>
      <c r="F11" s="60"/>
      <c r="H11" s="41"/>
      <c r="I11" s="42"/>
      <c r="J11" s="42"/>
      <c r="K11" s="41"/>
    </row>
    <row r="12" spans="1:13">
      <c r="A12" s="69"/>
      <c r="B12" s="69"/>
      <c r="C12" s="69"/>
      <c r="D12" s="69"/>
      <c r="E12" s="69"/>
      <c r="F12" s="31"/>
    </row>
    <row r="13" spans="1:13" ht="28.5" customHeight="1">
      <c r="A13" s="259" t="s">
        <v>18</v>
      </c>
      <c r="B13" s="260" t="s">
        <v>76</v>
      </c>
      <c r="C13" s="260" t="s">
        <v>77</v>
      </c>
      <c r="D13" s="260" t="s">
        <v>78</v>
      </c>
      <c r="E13" s="259" t="s">
        <v>49</v>
      </c>
      <c r="I13" s="725" t="s">
        <v>79</v>
      </c>
      <c r="J13" s="725" t="s">
        <v>80</v>
      </c>
    </row>
    <row r="14" spans="1:13">
      <c r="A14" s="261">
        <v>1</v>
      </c>
      <c r="B14" s="261">
        <v>2</v>
      </c>
      <c r="C14" s="261">
        <v>3</v>
      </c>
      <c r="D14" s="261">
        <v>4</v>
      </c>
      <c r="E14" s="261">
        <v>5</v>
      </c>
      <c r="I14" s="725"/>
      <c r="J14" s="726"/>
      <c r="K14" s="28"/>
    </row>
    <row r="15" spans="1:13" s="37" customFormat="1" ht="17.25" customHeight="1">
      <c r="A15" s="74" t="s">
        <v>211</v>
      </c>
      <c r="B15" s="728" t="s">
        <v>81</v>
      </c>
      <c r="C15" s="729"/>
      <c r="D15" s="729"/>
      <c r="E15" s="730"/>
      <c r="G15" s="35"/>
      <c r="H15" s="34" t="s">
        <v>197</v>
      </c>
      <c r="I15" s="725"/>
      <c r="J15" s="726"/>
      <c r="K15" s="28"/>
      <c r="L15" s="33"/>
      <c r="M15" s="35"/>
    </row>
    <row r="16" spans="1:13" s="37" customFormat="1" ht="28.5" customHeight="1">
      <c r="A16" s="74" t="s">
        <v>206</v>
      </c>
      <c r="B16" s="142" t="s">
        <v>301</v>
      </c>
      <c r="C16" s="75" t="s">
        <v>203</v>
      </c>
      <c r="D16" s="76" t="s">
        <v>204</v>
      </c>
      <c r="E16" s="393" t="e">
        <f>SUM(#REF!,#REF!,#REF!,#REF!)</f>
        <v>#REF!</v>
      </c>
      <c r="G16" s="35"/>
      <c r="H16" s="43"/>
      <c r="I16" s="44" t="s">
        <v>82</v>
      </c>
      <c r="J16" s="44">
        <v>33.75</v>
      </c>
      <c r="K16" s="28" t="e">
        <f>IF((150001-E17)&gt;0,J16,"0")</f>
        <v>#REF!</v>
      </c>
      <c r="L16" s="33"/>
      <c r="M16" s="35"/>
    </row>
    <row r="17" spans="1:13" ht="17.25" customHeight="1">
      <c r="A17" s="74" t="s">
        <v>207</v>
      </c>
      <c r="B17" s="77" t="s">
        <v>83</v>
      </c>
      <c r="C17" s="75" t="s">
        <v>203</v>
      </c>
      <c r="D17" s="76" t="s">
        <v>204</v>
      </c>
      <c r="E17" s="393" t="e">
        <f>SUM(#REF!)</f>
        <v>#REF!</v>
      </c>
      <c r="G17" s="45"/>
      <c r="H17" s="43"/>
      <c r="I17" s="46" t="s">
        <v>84</v>
      </c>
      <c r="J17" s="46">
        <v>29.25</v>
      </c>
      <c r="K17" s="28" t="e">
        <f>IF(SUM(K16:K16)&gt;0,"0",IF((250001-E17)&gt;0,J17,"0"))</f>
        <v>#REF!</v>
      </c>
      <c r="L17" s="33"/>
      <c r="M17" s="45"/>
    </row>
    <row r="18" spans="1:13" ht="25.5" customHeight="1">
      <c r="A18" s="74" t="s">
        <v>1</v>
      </c>
      <c r="B18" s="78" t="s">
        <v>312</v>
      </c>
      <c r="C18" s="79" t="s">
        <v>85</v>
      </c>
      <c r="D18" s="80" t="e">
        <f>SUM(K16:K255)</f>
        <v>#REF!</v>
      </c>
      <c r="E18" s="394" t="e">
        <f>E17*D18/100</f>
        <v>#REF!</v>
      </c>
      <c r="G18" s="45"/>
      <c r="H18" s="43"/>
      <c r="I18" s="46" t="s">
        <v>86</v>
      </c>
      <c r="J18" s="46">
        <v>27.3</v>
      </c>
      <c r="K18" s="28" t="e">
        <f>IF(SUM(K16:K17)&gt;0,"0",IF((500001-E17)&gt;0,J18,"0"))</f>
        <v>#REF!</v>
      </c>
      <c r="L18" s="45"/>
      <c r="M18" s="45"/>
    </row>
    <row r="19" spans="1:13" ht="15" customHeight="1">
      <c r="A19" s="74" t="s">
        <v>87</v>
      </c>
      <c r="B19" s="78" t="s">
        <v>88</v>
      </c>
      <c r="C19" s="478"/>
      <c r="D19" s="479">
        <v>3.73</v>
      </c>
      <c r="E19" s="395" t="e">
        <f>E18*D19</f>
        <v>#REF!</v>
      </c>
      <c r="G19" s="45"/>
      <c r="H19" s="43"/>
      <c r="I19" s="46" t="s">
        <v>89</v>
      </c>
      <c r="J19" s="46">
        <v>20.22</v>
      </c>
      <c r="K19" s="29" t="e">
        <f>IF(SUM(K16:K18)&gt;0,"0",IF((750001-E17)&gt;0,J19,"0"))</f>
        <v>#REF!</v>
      </c>
      <c r="L19" s="45"/>
      <c r="M19" s="45"/>
    </row>
    <row r="20" spans="1:13" ht="16.5" hidden="1" customHeight="1">
      <c r="A20" s="184" t="s">
        <v>197</v>
      </c>
      <c r="B20" s="81" t="s">
        <v>90</v>
      </c>
      <c r="C20" s="82"/>
      <c r="D20" s="83" t="s">
        <v>197</v>
      </c>
      <c r="E20" s="396" t="e">
        <f>E19</f>
        <v>#REF!</v>
      </c>
      <c r="G20" s="45"/>
      <c r="H20" s="43"/>
      <c r="I20" s="46" t="s">
        <v>91</v>
      </c>
      <c r="J20" s="46">
        <v>16.649999999999999</v>
      </c>
      <c r="K20" s="28" t="e">
        <f>IF(SUM(K16:K19)&gt;0,"0",IF((1000001-E17)&gt;0,J20,"0"))</f>
        <v>#REF!</v>
      </c>
      <c r="L20" s="45"/>
      <c r="M20" s="45"/>
    </row>
    <row r="21" spans="1:13" ht="14.25" customHeight="1">
      <c r="A21" s="180" t="s">
        <v>197</v>
      </c>
      <c r="B21" s="181" t="s">
        <v>92</v>
      </c>
      <c r="C21" s="182"/>
      <c r="D21" s="183"/>
      <c r="E21" s="397" t="e">
        <f>ROUND(E20,2)</f>
        <v>#REF!</v>
      </c>
      <c r="H21" s="47"/>
      <c r="I21" s="46" t="s">
        <v>93</v>
      </c>
      <c r="J21" s="46">
        <v>12.69</v>
      </c>
      <c r="K21" s="38" t="e">
        <f>IF(SUM(K16:K20)&gt;0,"0",IF((1500001-E17)&gt;0,J21,"0"))</f>
        <v>#REF!</v>
      </c>
    </row>
    <row r="22" spans="1:13">
      <c r="A22" s="735" t="e">
        <f ca="1">C249</f>
        <v>#REF!</v>
      </c>
      <c r="B22" s="736"/>
      <c r="C22" s="736"/>
      <c r="D22" s="736"/>
      <c r="E22" s="737"/>
      <c r="H22" s="47"/>
      <c r="I22" s="46" t="s">
        <v>94</v>
      </c>
      <c r="J22" s="46">
        <v>11.88</v>
      </c>
      <c r="K22" s="38" t="e">
        <f>IF(SUM(K16:K21)&gt;0,"0",IF((3000001-E17)&gt;0,J22,"0"))</f>
        <v>#REF!</v>
      </c>
    </row>
    <row r="23" spans="1:13">
      <c r="A23" s="738" t="s">
        <v>198</v>
      </c>
      <c r="B23" s="738"/>
      <c r="C23" s="738"/>
      <c r="D23" s="738"/>
      <c r="E23" s="738"/>
      <c r="H23" s="47"/>
      <c r="I23" s="46" t="s">
        <v>95</v>
      </c>
      <c r="J23" s="46">
        <v>10.98</v>
      </c>
      <c r="K23" s="38" t="e">
        <f>IF(SUM(K16:K22)&gt;0,"0",IF((4000001-E17)&gt;0,J23,"0"))</f>
        <v>#REF!</v>
      </c>
    </row>
    <row r="24" spans="1:13">
      <c r="A24" s="84"/>
      <c r="B24" s="84"/>
      <c r="C24" s="84"/>
      <c r="D24" s="84"/>
      <c r="E24" s="84"/>
      <c r="H24" s="47"/>
      <c r="I24" s="46"/>
      <c r="J24" s="46"/>
    </row>
    <row r="25" spans="1:13">
      <c r="A25" s="85" t="s">
        <v>96</v>
      </c>
      <c r="B25" s="69"/>
      <c r="C25" s="69"/>
      <c r="D25" s="69"/>
      <c r="E25" s="69"/>
      <c r="H25" s="48" t="s">
        <v>197</v>
      </c>
      <c r="I25" s="46" t="s">
        <v>97</v>
      </c>
      <c r="J25" s="46">
        <v>8.77</v>
      </c>
      <c r="K25" s="38" t="e">
        <f>IF(SUM(K16:K23)&gt;0,"0",IF((6000001-E17)&gt;0,J25,"0"))</f>
        <v>#REF!</v>
      </c>
    </row>
    <row r="26" spans="1:13">
      <c r="A26" s="69"/>
      <c r="B26" s="69"/>
      <c r="C26" s="69"/>
      <c r="D26" s="69"/>
      <c r="E26" s="69"/>
      <c r="H26" s="47"/>
      <c r="I26" s="46" t="s">
        <v>98</v>
      </c>
      <c r="J26" s="46">
        <v>7.07</v>
      </c>
      <c r="K26" s="38" t="e">
        <f>IF(SUM(K16:K25)&gt;0,"0",IF((8000001-E17)&gt;0,J26,"0"))</f>
        <v>#REF!</v>
      </c>
    </row>
    <row r="27" spans="1:13" hidden="1" outlineLevel="1">
      <c r="A27" s="69"/>
      <c r="B27" s="69"/>
      <c r="C27" s="69"/>
      <c r="D27" s="69"/>
      <c r="E27" s="69"/>
      <c r="H27" s="47"/>
      <c r="I27" s="46" t="s">
        <v>232</v>
      </c>
      <c r="J27" s="46">
        <v>6.15</v>
      </c>
      <c r="K27" s="38" t="e">
        <f>IF(SUM(K16:K26)&gt;0,"0",IF((12000001-E17)&gt;0,J27,"0"))</f>
        <v>#REF!</v>
      </c>
    </row>
    <row r="28" spans="1:13" hidden="1" outlineLevel="1">
      <c r="A28" s="69"/>
      <c r="B28" s="69"/>
      <c r="C28" s="69"/>
      <c r="D28" s="69"/>
      <c r="E28" s="69"/>
      <c r="H28" s="47"/>
      <c r="I28" s="46" t="s">
        <v>233</v>
      </c>
      <c r="J28" s="46">
        <v>4.76</v>
      </c>
      <c r="K28" s="38" t="e">
        <f>IF(SUM(K16:K27)&gt;0,"0",IF((18000001-E17)&gt;0,J28,"0"))</f>
        <v>#REF!</v>
      </c>
    </row>
    <row r="29" spans="1:13" s="3" customFormat="1" ht="15.75" hidden="1" outlineLevel="1">
      <c r="A29" s="170" t="e">
        <f>#REF!</f>
        <v>#REF!</v>
      </c>
      <c r="B29" s="170"/>
      <c r="C29" s="171"/>
      <c r="D29" s="171"/>
      <c r="E29" s="171"/>
      <c r="F29" s="22"/>
      <c r="H29" s="50"/>
      <c r="I29" s="46" t="s">
        <v>99</v>
      </c>
      <c r="J29" s="46">
        <v>4.13</v>
      </c>
      <c r="K29" s="51" t="e">
        <f>IF(SUM(K16:K28)&gt;0,"0",IF((24000001-E17)&gt;0,J29,"0"))</f>
        <v>#REF!</v>
      </c>
    </row>
    <row r="30" spans="1:13" s="2" customFormat="1" ht="15.75" hidden="1" outlineLevel="1">
      <c r="A30" s="172" t="e">
        <f>#REF!</f>
        <v>#REF!</v>
      </c>
      <c r="B30" s="173"/>
      <c r="C30" s="173"/>
      <c r="D30" s="173"/>
      <c r="E30" s="173" t="e">
        <f>#REF!</f>
        <v>#REF!</v>
      </c>
      <c r="F30" s="52"/>
      <c r="H30" s="49"/>
      <c r="I30" s="46" t="s">
        <v>100</v>
      </c>
      <c r="J30" s="46">
        <v>3.52</v>
      </c>
      <c r="K30" s="41" t="e">
        <f>IF(SUM(K16:K29)&gt;0,"0",IF((30000001-E17)&gt;0,J30,"0"))</f>
        <v>#REF!</v>
      </c>
    </row>
    <row r="31" spans="1:13" s="2" customFormat="1" ht="15.75" hidden="1" outlineLevel="1">
      <c r="A31" s="734"/>
      <c r="B31" s="734"/>
      <c r="C31" s="734"/>
      <c r="D31" s="734"/>
      <c r="E31" s="734"/>
      <c r="F31" s="53"/>
      <c r="G31" s="1"/>
      <c r="H31" s="54"/>
      <c r="I31" s="46" t="s">
        <v>101</v>
      </c>
      <c r="J31" s="46">
        <v>3.06</v>
      </c>
      <c r="K31" s="41" t="e">
        <f>IF(SUM(K16:K30)&gt;0,"0",IF((36000001-E17)&gt;0,J31,"0"))</f>
        <v>#REF!</v>
      </c>
    </row>
    <row r="32" spans="1:13" s="2" customFormat="1" ht="15.75" hidden="1" outlineLevel="1">
      <c r="A32" s="175" t="s">
        <v>199</v>
      </c>
      <c r="B32" s="176"/>
      <c r="C32" s="176"/>
      <c r="D32" s="176"/>
      <c r="E32" s="176"/>
      <c r="F32" s="53"/>
      <c r="G32" s="1"/>
      <c r="H32" s="54"/>
      <c r="I32" s="46" t="s">
        <v>102</v>
      </c>
      <c r="J32" s="46">
        <v>2.62</v>
      </c>
      <c r="K32" s="41" t="e">
        <f>IF(SUM(K16:K31)&gt;0,"0",IF((45000001-E17)&gt;0,J32,"0"))</f>
        <v>#REF!</v>
      </c>
    </row>
    <row r="33" spans="1:18" s="2" customFormat="1" ht="15.75" hidden="1" outlineLevel="1">
      <c r="A33" s="177" t="e">
        <f>#REF!</f>
        <v>#REF!</v>
      </c>
      <c r="B33" s="178"/>
      <c r="C33" s="178"/>
      <c r="D33" s="178"/>
      <c r="E33" s="178"/>
      <c r="F33" s="53"/>
      <c r="G33" s="1"/>
      <c r="H33" s="54"/>
      <c r="I33" s="46" t="s">
        <v>103</v>
      </c>
      <c r="J33" s="46">
        <v>2.33</v>
      </c>
      <c r="K33" s="41" t="e">
        <f>IF(SUM(K16:K32)&gt;0,"0",IF((52500001-E17)&gt;0,J33,"0"))</f>
        <v>#REF!</v>
      </c>
    </row>
    <row r="34" spans="1:18" s="2" customFormat="1" ht="15.75" hidden="1" outlineLevel="1">
      <c r="A34" s="179" t="e">
        <f>#REF!</f>
        <v>#REF!</v>
      </c>
      <c r="B34" s="174"/>
      <c r="C34" s="174"/>
      <c r="D34" s="174"/>
      <c r="E34" s="179" t="e">
        <f>#REF!</f>
        <v>#REF!</v>
      </c>
      <c r="F34" s="4"/>
      <c r="H34" s="49"/>
      <c r="I34" s="46" t="s">
        <v>104</v>
      </c>
      <c r="J34" s="46">
        <v>2.0099999999999998</v>
      </c>
      <c r="K34" s="41" t="e">
        <f>IF(SUM(K16:K33)&gt;0,"0",IF((60000001-E17)&gt;0,J34,"0"))</f>
        <v>#REF!</v>
      </c>
    </row>
    <row r="35" spans="1:18" collapsed="1">
      <c r="A35" s="85"/>
      <c r="B35" s="85"/>
      <c r="C35" s="85"/>
      <c r="D35" s="85"/>
      <c r="E35" s="85"/>
      <c r="F35" s="45"/>
      <c r="H35" s="47"/>
      <c r="I35" s="46" t="s">
        <v>105</v>
      </c>
      <c r="J35" s="46">
        <v>1.68</v>
      </c>
      <c r="K35" s="38" t="e">
        <f>IF(SUM(K16:K34)&gt;0,"0",IF((70000001-E17)&gt;0,J35,"0"))</f>
        <v>#REF!</v>
      </c>
    </row>
    <row r="36" spans="1:18">
      <c r="H36" s="47"/>
      <c r="I36" s="46" t="s">
        <v>106</v>
      </c>
      <c r="J36" s="46">
        <v>1.56</v>
      </c>
      <c r="K36" s="38" t="e">
        <f>IF(SUM(K16:K35)&gt;0,"0",IF((80000001-E17)&gt;0,J36,"0"))</f>
        <v>#REF!</v>
      </c>
    </row>
    <row r="37" spans="1:18">
      <c r="H37" s="47"/>
      <c r="I37" s="46" t="s">
        <v>107</v>
      </c>
      <c r="J37" s="46">
        <v>1.22</v>
      </c>
      <c r="K37" s="38" t="e">
        <f>IF(SUM(K16:K36)&gt;0,"0",IF((100000001-E17)&gt;0,J37,"0"))</f>
        <v>#REF!</v>
      </c>
    </row>
    <row r="38" spans="1:18">
      <c r="H38" s="47"/>
      <c r="I38" s="46" t="s">
        <v>109</v>
      </c>
      <c r="J38" s="46">
        <v>1.04</v>
      </c>
      <c r="K38" s="38" t="e">
        <f>IF(SUM(K16:K37)&gt;0,"0",IF((120000001-E17)&gt;0,J38,"0"))</f>
        <v>#REF!</v>
      </c>
    </row>
    <row r="39" spans="1:18">
      <c r="H39" s="47"/>
      <c r="I39" s="46" t="s">
        <v>110</v>
      </c>
      <c r="J39" s="46">
        <v>0.9</v>
      </c>
      <c r="K39" s="38" t="e">
        <f>IF(SUM(K16:K38)&gt;0,"0",IF((140000001-E17)&gt;0,J39,"0"))</f>
        <v>#REF!</v>
      </c>
    </row>
    <row r="40" spans="1:18">
      <c r="H40" s="47"/>
      <c r="I40" s="66"/>
      <c r="J40" s="66"/>
    </row>
    <row r="41" spans="1:18">
      <c r="H41" s="47"/>
      <c r="I41" s="66"/>
      <c r="J41" s="66"/>
    </row>
    <row r="42" spans="1:18" s="5" customFormat="1" ht="15.75">
      <c r="A42" s="7"/>
      <c r="B42" s="7"/>
      <c r="C42" s="7"/>
      <c r="D42" s="7"/>
      <c r="E42" s="7"/>
      <c r="F42" s="7"/>
      <c r="G42" s="7"/>
      <c r="H42" s="7"/>
      <c r="I42" s="7"/>
      <c r="J42" s="7"/>
      <c r="K42" s="7"/>
      <c r="L42" s="7"/>
      <c r="M42" s="12"/>
      <c r="N42" s="56"/>
      <c r="O42" s="21"/>
      <c r="R42" s="6"/>
    </row>
    <row r="43" spans="1:18" customFormat="1" outlineLevel="1">
      <c r="A43" s="87"/>
      <c r="B43" s="88" t="s">
        <v>116</v>
      </c>
      <c r="C43" s="477" t="e">
        <f>E21</f>
        <v>#REF!</v>
      </c>
      <c r="D43" s="87"/>
      <c r="E43" s="87"/>
      <c r="F43" s="23"/>
      <c r="G43" s="23"/>
      <c r="H43" s="23"/>
      <c r="I43" s="23"/>
      <c r="J43" s="23"/>
      <c r="K43" s="23"/>
      <c r="L43" s="23"/>
      <c r="M43" s="23"/>
    </row>
    <row r="44" spans="1:18" customFormat="1" hidden="1" outlineLevel="2">
      <c r="A44" s="87"/>
      <c r="B44" s="87" t="s">
        <v>117</v>
      </c>
      <c r="C44" s="87" t="e">
        <f>ROUNDDOWN(C43/1000000,0)</f>
        <v>#REF!</v>
      </c>
      <c r="D44" s="87"/>
      <c r="E44" s="87"/>
      <c r="F44" s="23"/>
      <c r="G44" s="23"/>
      <c r="H44" s="23"/>
      <c r="I44" s="23"/>
      <c r="J44" s="23"/>
      <c r="K44" s="23"/>
      <c r="L44" s="23"/>
      <c r="M44" s="23"/>
    </row>
    <row r="45" spans="1:18" customFormat="1" hidden="1" outlineLevel="2">
      <c r="A45" s="87"/>
      <c r="B45" s="87"/>
      <c r="C45" s="87"/>
      <c r="D45" s="87"/>
      <c r="E45" s="87"/>
      <c r="F45" s="23"/>
      <c r="G45" s="23"/>
      <c r="H45" s="23"/>
      <c r="I45" s="23"/>
      <c r="J45" s="23"/>
      <c r="K45" s="23"/>
      <c r="L45" s="23"/>
      <c r="M45" s="23"/>
    </row>
    <row r="46" spans="1:18" customFormat="1" hidden="1" outlineLevel="2">
      <c r="A46" s="87"/>
      <c r="B46" s="87" t="s">
        <v>118</v>
      </c>
      <c r="C46" s="87" t="e">
        <f>ROUNDDOWN(C44/100,0)</f>
        <v>#REF!</v>
      </c>
      <c r="D46" s="87"/>
      <c r="E46" s="87"/>
      <c r="F46" s="23"/>
      <c r="G46" s="23"/>
      <c r="H46" s="23"/>
      <c r="I46" s="23"/>
      <c r="J46" s="23"/>
      <c r="K46" s="23"/>
      <c r="L46" s="23"/>
      <c r="M46" s="23"/>
    </row>
    <row r="47" spans="1:18" customFormat="1" hidden="1" outlineLevel="2">
      <c r="A47" s="87"/>
      <c r="B47" s="87"/>
      <c r="C47" s="87"/>
      <c r="D47" s="87"/>
      <c r="E47" s="87"/>
      <c r="F47" s="23"/>
      <c r="G47" s="23"/>
      <c r="H47" s="23"/>
      <c r="I47" s="23"/>
      <c r="J47" s="23"/>
      <c r="K47" s="23"/>
      <c r="L47" s="23"/>
      <c r="M47" s="23"/>
    </row>
    <row r="48" spans="1:18" customFormat="1" hidden="1" outlineLevel="2">
      <c r="A48" s="87"/>
      <c r="B48" s="87" t="s">
        <v>119</v>
      </c>
      <c r="C48" s="87"/>
      <c r="D48" s="87"/>
      <c r="E48" s="87"/>
      <c r="F48" s="23"/>
      <c r="G48" s="23"/>
      <c r="H48" s="23"/>
      <c r="I48" s="23"/>
      <c r="J48" s="23"/>
      <c r="K48" s="23"/>
      <c r="L48" s="23"/>
      <c r="M48" s="23"/>
    </row>
    <row r="49" spans="1:13" customFormat="1" hidden="1" outlineLevel="2">
      <c r="A49" s="87"/>
      <c r="B49" s="87" t="s">
        <v>120</v>
      </c>
      <c r="C49" s="87"/>
      <c r="D49" s="87"/>
      <c r="E49" s="87"/>
      <c r="F49" s="23"/>
      <c r="G49" s="23"/>
      <c r="H49" s="23"/>
      <c r="I49" s="23"/>
      <c r="J49" s="23"/>
      <c r="K49" s="23"/>
      <c r="L49" s="23"/>
      <c r="M49" s="23"/>
    </row>
    <row r="50" spans="1:13" customFormat="1" hidden="1" outlineLevel="2">
      <c r="A50" s="87"/>
      <c r="B50" s="87" t="s">
        <v>121</v>
      </c>
      <c r="C50" s="87"/>
      <c r="D50" s="87"/>
      <c r="E50" s="87"/>
      <c r="F50" s="23"/>
      <c r="G50" s="23"/>
      <c r="H50" s="23"/>
      <c r="I50" s="23"/>
      <c r="J50" s="23"/>
      <c r="K50" s="23"/>
      <c r="L50" s="23"/>
      <c r="M50" s="23"/>
    </row>
    <row r="51" spans="1:13" customFormat="1" hidden="1" outlineLevel="2">
      <c r="A51" s="87"/>
      <c r="B51" s="87" t="s">
        <v>122</v>
      </c>
      <c r="C51" s="87"/>
      <c r="D51" s="87"/>
      <c r="E51" s="87"/>
      <c r="F51" s="23"/>
      <c r="G51" s="23"/>
      <c r="H51" s="23"/>
      <c r="I51" s="23"/>
      <c r="J51" s="23"/>
      <c r="K51" s="23"/>
      <c r="L51" s="23"/>
      <c r="M51" s="23"/>
    </row>
    <row r="52" spans="1:13" customFormat="1" hidden="1" outlineLevel="2">
      <c r="A52" s="87"/>
      <c r="B52" s="87" t="s">
        <v>123</v>
      </c>
      <c r="C52" s="87"/>
      <c r="D52" s="87"/>
      <c r="E52" s="87"/>
      <c r="F52" s="23"/>
      <c r="G52" s="23"/>
      <c r="H52" s="23"/>
      <c r="I52" s="23"/>
      <c r="J52" s="23"/>
      <c r="K52" s="23"/>
      <c r="L52" s="23"/>
      <c r="M52" s="23"/>
    </row>
    <row r="53" spans="1:13" customFormat="1" hidden="1" outlineLevel="2">
      <c r="A53" s="87"/>
      <c r="B53" s="87" t="s">
        <v>124</v>
      </c>
      <c r="C53" s="87"/>
      <c r="D53" s="87"/>
      <c r="E53" s="87"/>
      <c r="F53" s="23"/>
      <c r="G53" s="23"/>
      <c r="H53" s="23"/>
      <c r="I53" s="23"/>
      <c r="J53" s="23"/>
      <c r="K53" s="23"/>
      <c r="L53" s="23"/>
      <c r="M53" s="23"/>
    </row>
    <row r="54" spans="1:13" customFormat="1" hidden="1" outlineLevel="2">
      <c r="A54" s="87"/>
      <c r="B54" s="87" t="s">
        <v>125</v>
      </c>
      <c r="C54" s="87"/>
      <c r="D54" s="87"/>
      <c r="E54" s="87"/>
      <c r="F54" s="23"/>
      <c r="G54" s="23"/>
      <c r="H54" s="23"/>
      <c r="I54" s="23"/>
      <c r="J54" s="23"/>
      <c r="K54" s="23"/>
      <c r="L54" s="23"/>
      <c r="M54" s="23"/>
    </row>
    <row r="55" spans="1:13" customFormat="1" hidden="1" outlineLevel="2">
      <c r="A55" s="87"/>
      <c r="B55" s="87" t="s">
        <v>126</v>
      </c>
      <c r="C55" s="87"/>
      <c r="D55" s="87"/>
      <c r="E55" s="87"/>
      <c r="F55" s="23"/>
      <c r="G55" s="23"/>
      <c r="H55" s="23"/>
      <c r="I55" s="23"/>
      <c r="J55" s="23"/>
      <c r="K55" s="23"/>
      <c r="L55" s="23"/>
      <c r="M55" s="23"/>
    </row>
    <row r="56" spans="1:13" customFormat="1" hidden="1" outlineLevel="2">
      <c r="A56" s="87"/>
      <c r="B56" s="87" t="s">
        <v>127</v>
      </c>
      <c r="C56" s="87"/>
      <c r="D56" s="87"/>
      <c r="E56" s="87"/>
      <c r="F56" s="23"/>
      <c r="G56" s="23"/>
      <c r="H56" s="23"/>
      <c r="I56" s="23"/>
      <c r="J56" s="23"/>
      <c r="K56" s="23"/>
      <c r="L56" s="23"/>
      <c r="M56" s="23"/>
    </row>
    <row r="57" spans="1:13" customFormat="1" hidden="1" outlineLevel="2">
      <c r="A57" s="87"/>
      <c r="B57" s="87"/>
      <c r="C57" s="87"/>
      <c r="D57" s="87"/>
      <c r="E57" s="87"/>
      <c r="F57" s="23"/>
      <c r="G57" s="23"/>
      <c r="H57" s="23"/>
      <c r="I57" s="23"/>
      <c r="J57" s="23"/>
      <c r="K57" s="23"/>
      <c r="L57" s="23"/>
      <c r="M57" s="23"/>
    </row>
    <row r="58" spans="1:13" customFormat="1" hidden="1" outlineLevel="2">
      <c r="A58" s="87"/>
      <c r="B58" s="87"/>
      <c r="C58" s="87" t="e">
        <f ca="1">IF(C46&lt;&gt;0,OFFSET(B47,C46,0),"")</f>
        <v>#REF!</v>
      </c>
      <c r="D58" s="87"/>
      <c r="E58" s="87"/>
      <c r="F58" s="23"/>
      <c r="G58" s="23"/>
      <c r="H58" s="23"/>
      <c r="I58" s="23"/>
      <c r="J58" s="23"/>
      <c r="K58" s="23"/>
      <c r="L58" s="23"/>
      <c r="M58" s="23"/>
    </row>
    <row r="59" spans="1:13" customFormat="1" hidden="1" outlineLevel="2">
      <c r="A59" s="87"/>
      <c r="B59" s="87"/>
      <c r="C59" s="87"/>
      <c r="D59" s="87"/>
      <c r="E59" s="87"/>
      <c r="F59" s="23"/>
      <c r="G59" s="23"/>
      <c r="H59" s="23"/>
      <c r="I59" s="23"/>
      <c r="J59" s="23"/>
      <c r="K59" s="23"/>
      <c r="L59" s="23"/>
      <c r="M59" s="23"/>
    </row>
    <row r="60" spans="1:13" customFormat="1" hidden="1" outlineLevel="2">
      <c r="A60" s="87"/>
      <c r="B60" s="87" t="s">
        <v>128</v>
      </c>
      <c r="C60" s="87" t="e">
        <f>ROUNDDOWN((C43-C46*100000000)/10000000,0)</f>
        <v>#REF!</v>
      </c>
      <c r="D60" s="87"/>
      <c r="E60" s="87"/>
      <c r="F60" s="23"/>
      <c r="G60" s="23"/>
      <c r="H60" s="23"/>
      <c r="I60" s="23"/>
      <c r="J60" s="23"/>
      <c r="K60" s="23"/>
      <c r="L60" s="23"/>
      <c r="M60" s="23"/>
    </row>
    <row r="61" spans="1:13" customFormat="1" hidden="1" outlineLevel="2">
      <c r="A61" s="87"/>
      <c r="B61" s="87"/>
      <c r="C61" s="87"/>
      <c r="D61" s="87"/>
      <c r="E61" s="87"/>
      <c r="F61" s="23"/>
      <c r="G61" s="23"/>
      <c r="H61" s="23"/>
      <c r="I61" s="23"/>
      <c r="J61" s="23"/>
      <c r="K61" s="23"/>
      <c r="L61" s="23"/>
      <c r="M61" s="23"/>
    </row>
    <row r="62" spans="1:13" customFormat="1" hidden="1" outlineLevel="2">
      <c r="A62" s="87"/>
      <c r="B62" s="87" t="s">
        <v>129</v>
      </c>
      <c r="C62" s="87"/>
      <c r="D62" s="87"/>
      <c r="E62" s="87"/>
      <c r="F62" s="23"/>
      <c r="G62" s="23"/>
      <c r="H62" s="23"/>
      <c r="I62" s="23"/>
      <c r="J62" s="23"/>
      <c r="K62" s="23"/>
      <c r="L62" s="23"/>
      <c r="M62" s="23"/>
    </row>
    <row r="63" spans="1:13" customFormat="1" hidden="1" outlineLevel="2">
      <c r="A63" s="87"/>
      <c r="B63" s="87" t="s">
        <v>130</v>
      </c>
      <c r="C63" s="87"/>
      <c r="D63" s="87"/>
      <c r="E63" s="87"/>
      <c r="F63" s="23"/>
      <c r="G63" s="23"/>
      <c r="H63" s="23"/>
      <c r="I63" s="23"/>
      <c r="J63" s="23"/>
      <c r="K63" s="23"/>
      <c r="L63" s="23"/>
      <c r="M63" s="23"/>
    </row>
    <row r="64" spans="1:13" customFormat="1" hidden="1" outlineLevel="2">
      <c r="A64" s="87"/>
      <c r="B64" s="87" t="s">
        <v>131</v>
      </c>
      <c r="C64" s="87"/>
      <c r="D64" s="87"/>
      <c r="E64" s="87"/>
      <c r="F64" s="23"/>
      <c r="G64" s="23"/>
      <c r="H64" s="23"/>
      <c r="I64" s="23"/>
      <c r="J64" s="23"/>
      <c r="K64" s="23"/>
      <c r="L64" s="23"/>
      <c r="M64" s="23"/>
    </row>
    <row r="65" spans="1:13" customFormat="1" hidden="1" outlineLevel="2">
      <c r="A65" s="87"/>
      <c r="B65" s="87" t="s">
        <v>132</v>
      </c>
      <c r="C65" s="87"/>
      <c r="D65" s="87"/>
      <c r="E65" s="87"/>
      <c r="F65" s="23"/>
      <c r="G65" s="23"/>
      <c r="H65" s="23"/>
      <c r="I65" s="23"/>
      <c r="J65" s="23"/>
      <c r="K65" s="23"/>
      <c r="L65" s="23"/>
      <c r="M65" s="23"/>
    </row>
    <row r="66" spans="1:13" customFormat="1" hidden="1" outlineLevel="2">
      <c r="A66" s="87"/>
      <c r="B66" s="87" t="s">
        <v>133</v>
      </c>
      <c r="C66" s="87"/>
      <c r="D66" s="87"/>
      <c r="E66" s="87"/>
      <c r="F66" s="23"/>
      <c r="G66" s="23"/>
      <c r="H66" s="23"/>
      <c r="I66" s="23"/>
      <c r="J66" s="23"/>
      <c r="K66" s="23"/>
      <c r="L66" s="23"/>
      <c r="M66" s="23"/>
    </row>
    <row r="67" spans="1:13" customFormat="1" hidden="1" outlineLevel="2">
      <c r="A67" s="87"/>
      <c r="B67" s="87" t="s">
        <v>134</v>
      </c>
      <c r="C67" s="87"/>
      <c r="D67" s="87"/>
      <c r="E67" s="87"/>
      <c r="F67" s="23"/>
      <c r="G67" s="23"/>
      <c r="H67" s="23"/>
      <c r="I67" s="23"/>
      <c r="J67" s="23"/>
      <c r="K67" s="23"/>
      <c r="L67" s="23"/>
      <c r="M67" s="23"/>
    </row>
    <row r="68" spans="1:13" customFormat="1" hidden="1" outlineLevel="2">
      <c r="A68" s="87"/>
      <c r="B68" s="87" t="s">
        <v>135</v>
      </c>
      <c r="C68" s="87"/>
      <c r="D68" s="87"/>
      <c r="E68" s="87"/>
      <c r="F68" s="23"/>
      <c r="G68" s="23"/>
      <c r="H68" s="23"/>
      <c r="I68" s="23"/>
      <c r="J68" s="23"/>
      <c r="K68" s="23"/>
      <c r="L68" s="23"/>
      <c r="M68" s="23"/>
    </row>
    <row r="69" spans="1:13" customFormat="1" hidden="1" outlineLevel="2">
      <c r="A69" s="87"/>
      <c r="B69" s="87" t="s">
        <v>136</v>
      </c>
      <c r="C69" s="87"/>
      <c r="D69" s="87"/>
      <c r="E69" s="87"/>
      <c r="F69" s="23"/>
      <c r="G69" s="23"/>
      <c r="H69" s="23"/>
      <c r="I69" s="23"/>
      <c r="J69" s="23"/>
      <c r="K69" s="23"/>
      <c r="L69" s="23"/>
      <c r="M69" s="23"/>
    </row>
    <row r="70" spans="1:13" customFormat="1" hidden="1" outlineLevel="2">
      <c r="A70" s="87"/>
      <c r="B70" s="87" t="s">
        <v>137</v>
      </c>
      <c r="C70" s="87"/>
      <c r="D70" s="87"/>
      <c r="E70" s="87"/>
      <c r="F70" s="23"/>
      <c r="G70" s="23"/>
      <c r="H70" s="23"/>
      <c r="I70" s="23"/>
      <c r="J70" s="23"/>
      <c r="K70" s="23"/>
      <c r="L70" s="23"/>
      <c r="M70" s="23"/>
    </row>
    <row r="71" spans="1:13" customFormat="1" hidden="1" outlineLevel="2">
      <c r="A71" s="87"/>
      <c r="B71" s="87"/>
      <c r="C71" s="87"/>
      <c r="D71" s="87"/>
      <c r="E71" s="87"/>
      <c r="F71" s="23"/>
      <c r="G71" s="23"/>
      <c r="H71" s="23"/>
      <c r="I71" s="23"/>
      <c r="J71" s="23"/>
      <c r="K71" s="23"/>
      <c r="L71" s="23"/>
      <c r="M71" s="23"/>
    </row>
    <row r="72" spans="1:13" customFormat="1" hidden="1" outlineLevel="2">
      <c r="A72" s="87"/>
      <c r="B72" s="87"/>
      <c r="C72" s="87" t="e">
        <f ca="1">IF(AND(C60=1,C74&lt;&gt;0),"",IF(C60&lt;&gt;0,OFFSET(B61,C60,0),""))</f>
        <v>#REF!</v>
      </c>
      <c r="D72" s="87"/>
      <c r="E72" s="87"/>
      <c r="F72" s="23"/>
      <c r="G72" s="23"/>
      <c r="H72" s="23"/>
      <c r="I72" s="23"/>
      <c r="J72" s="23"/>
      <c r="K72" s="23"/>
      <c r="L72" s="23"/>
      <c r="M72" s="23"/>
    </row>
    <row r="73" spans="1:13" customFormat="1" hidden="1" outlineLevel="2">
      <c r="A73" s="87"/>
      <c r="B73" s="87"/>
      <c r="C73" s="87"/>
      <c r="D73" s="87"/>
      <c r="E73" s="87"/>
      <c r="F73" s="23"/>
      <c r="G73" s="23"/>
      <c r="H73" s="23"/>
      <c r="I73" s="23"/>
      <c r="J73" s="23"/>
      <c r="K73" s="23"/>
      <c r="L73" s="23"/>
      <c r="M73" s="23"/>
    </row>
    <row r="74" spans="1:13" customFormat="1" hidden="1" outlineLevel="2">
      <c r="A74" s="87"/>
      <c r="B74" s="87" t="s">
        <v>138</v>
      </c>
      <c r="C74" s="87" t="e">
        <f>ROUNDDOWN((C43-C46*100000000-C60*10000000)/1000000,0)</f>
        <v>#REF!</v>
      </c>
      <c r="D74" s="87"/>
      <c r="E74" s="87"/>
      <c r="F74" s="23"/>
      <c r="G74" s="23"/>
      <c r="H74" s="23"/>
      <c r="I74" s="23"/>
      <c r="J74" s="23"/>
      <c r="K74" s="23"/>
      <c r="L74" s="23"/>
      <c r="M74" s="23"/>
    </row>
    <row r="75" spans="1:13" customFormat="1" hidden="1" outlineLevel="2">
      <c r="A75" s="87"/>
      <c r="B75" s="87"/>
      <c r="C75" s="87"/>
      <c r="D75" s="87"/>
      <c r="E75" s="87"/>
      <c r="F75" s="23"/>
      <c r="G75" s="23"/>
      <c r="H75" s="23"/>
      <c r="I75" s="23"/>
      <c r="J75" s="23"/>
      <c r="K75" s="23"/>
      <c r="L75" s="23"/>
      <c r="M75" s="23"/>
    </row>
    <row r="76" spans="1:13" customFormat="1" hidden="1" outlineLevel="2">
      <c r="A76" s="87"/>
      <c r="B76" s="87" t="s">
        <v>139</v>
      </c>
      <c r="C76" s="87"/>
      <c r="D76" s="87"/>
      <c r="E76" s="87"/>
      <c r="F76" s="23"/>
      <c r="G76" s="23"/>
      <c r="H76" s="23"/>
      <c r="I76" s="23"/>
      <c r="J76" s="23"/>
      <c r="K76" s="23"/>
      <c r="L76" s="23"/>
      <c r="M76" s="23"/>
    </row>
    <row r="77" spans="1:13" customFormat="1" hidden="1" outlineLevel="2">
      <c r="A77" s="87"/>
      <c r="B77" s="87" t="s">
        <v>140</v>
      </c>
      <c r="C77" s="87"/>
      <c r="D77" s="87"/>
      <c r="E77" s="87"/>
      <c r="F77" s="23"/>
      <c r="G77" s="23"/>
      <c r="H77" s="23"/>
      <c r="I77" s="23"/>
      <c r="J77" s="23"/>
      <c r="K77" s="23"/>
      <c r="L77" s="23"/>
      <c r="M77" s="23"/>
    </row>
    <row r="78" spans="1:13" customFormat="1" hidden="1" outlineLevel="2">
      <c r="A78" s="87"/>
      <c r="B78" s="87" t="s">
        <v>141</v>
      </c>
      <c r="C78" s="87"/>
      <c r="D78" s="87"/>
      <c r="E78" s="87"/>
      <c r="F78" s="23"/>
      <c r="G78" s="23"/>
      <c r="H78" s="23"/>
      <c r="I78" s="23"/>
      <c r="J78" s="23"/>
      <c r="K78" s="23"/>
      <c r="L78" s="23"/>
      <c r="M78" s="23"/>
    </row>
    <row r="79" spans="1:13" customFormat="1" hidden="1" outlineLevel="2">
      <c r="A79" s="87"/>
      <c r="B79" s="87" t="s">
        <v>142</v>
      </c>
      <c r="C79" s="87"/>
      <c r="D79" s="87"/>
      <c r="E79" s="87"/>
      <c r="F79" s="23"/>
      <c r="G79" s="23"/>
      <c r="H79" s="23"/>
      <c r="I79" s="23"/>
      <c r="J79" s="23"/>
      <c r="K79" s="23"/>
      <c r="L79" s="23"/>
      <c r="M79" s="23"/>
    </row>
    <row r="80" spans="1:13" customFormat="1" hidden="1" outlineLevel="2">
      <c r="A80" s="87"/>
      <c r="B80" s="87" t="s">
        <v>143</v>
      </c>
      <c r="C80" s="87"/>
      <c r="D80" s="87"/>
      <c r="E80" s="87"/>
      <c r="F80" s="23"/>
      <c r="G80" s="23"/>
      <c r="H80" s="23"/>
      <c r="I80" s="23"/>
      <c r="J80" s="23"/>
      <c r="K80" s="23"/>
      <c r="L80" s="23"/>
      <c r="M80" s="23"/>
    </row>
    <row r="81" spans="1:13" customFormat="1" hidden="1" outlineLevel="2">
      <c r="A81" s="87"/>
      <c r="B81" s="87" t="s">
        <v>144</v>
      </c>
      <c r="C81" s="87"/>
      <c r="D81" s="87"/>
      <c r="E81" s="87"/>
      <c r="F81" s="23"/>
      <c r="G81" s="23"/>
      <c r="H81" s="23"/>
      <c r="I81" s="23"/>
      <c r="J81" s="23"/>
      <c r="K81" s="23"/>
      <c r="L81" s="23"/>
      <c r="M81" s="23"/>
    </row>
    <row r="82" spans="1:13" customFormat="1" hidden="1" outlineLevel="2">
      <c r="A82" s="87"/>
      <c r="B82" s="87" t="s">
        <v>145</v>
      </c>
      <c r="C82" s="87"/>
      <c r="D82" s="87"/>
      <c r="E82" s="87"/>
      <c r="F82" s="23"/>
      <c r="G82" s="23"/>
      <c r="H82" s="23"/>
      <c r="I82" s="23"/>
      <c r="J82" s="23"/>
      <c r="K82" s="23"/>
      <c r="L82" s="23"/>
      <c r="M82" s="23"/>
    </row>
    <row r="83" spans="1:13" customFormat="1" hidden="1" outlineLevel="2">
      <c r="A83" s="87"/>
      <c r="B83" s="87" t="s">
        <v>146</v>
      </c>
      <c r="C83" s="87"/>
      <c r="D83" s="87"/>
      <c r="E83" s="87"/>
      <c r="F83" s="23"/>
      <c r="G83" s="23"/>
      <c r="H83" s="23"/>
      <c r="I83" s="23"/>
      <c r="J83" s="23"/>
      <c r="K83" s="23"/>
      <c r="L83" s="23"/>
      <c r="M83" s="23"/>
    </row>
    <row r="84" spans="1:13" customFormat="1" hidden="1" outlineLevel="2">
      <c r="A84" s="87"/>
      <c r="B84" s="87" t="s">
        <v>147</v>
      </c>
      <c r="C84" s="87"/>
      <c r="D84" s="87"/>
      <c r="E84" s="87"/>
      <c r="F84" s="23"/>
      <c r="G84" s="23"/>
      <c r="H84" s="23"/>
      <c r="I84" s="23"/>
      <c r="J84" s="23"/>
      <c r="K84" s="23"/>
      <c r="L84" s="23"/>
      <c r="M84" s="23"/>
    </row>
    <row r="85" spans="1:13" customFormat="1" hidden="1" outlineLevel="2">
      <c r="A85" s="87"/>
      <c r="B85" s="87"/>
      <c r="C85" s="87"/>
      <c r="D85" s="87"/>
      <c r="E85" s="87"/>
      <c r="F85" s="23"/>
      <c r="G85" s="23"/>
      <c r="H85" s="23"/>
      <c r="I85" s="23"/>
      <c r="J85" s="23"/>
      <c r="K85" s="23"/>
      <c r="L85" s="23"/>
      <c r="M85" s="23"/>
    </row>
    <row r="86" spans="1:13" customFormat="1" hidden="1" outlineLevel="2">
      <c r="A86" s="87"/>
      <c r="B86" s="87"/>
      <c r="C86" s="87" t="e">
        <f ca="1">IF(C60&lt;&gt;1,IF(C74&lt;&gt;0,OFFSET(B75,C74,0),""),"")</f>
        <v>#REF!</v>
      </c>
      <c r="D86" s="87"/>
      <c r="E86" s="87"/>
      <c r="F86" s="23"/>
      <c r="G86" s="23"/>
      <c r="H86" s="23"/>
      <c r="I86" s="23"/>
      <c r="J86" s="23"/>
      <c r="K86" s="23"/>
      <c r="L86" s="23"/>
      <c r="M86" s="23"/>
    </row>
    <row r="87" spans="1:13" customFormat="1" hidden="1" outlineLevel="2">
      <c r="A87" s="87"/>
      <c r="B87" s="87"/>
      <c r="C87" s="87"/>
      <c r="D87" s="87"/>
      <c r="E87" s="87"/>
      <c r="F87" s="23"/>
      <c r="G87" s="23"/>
      <c r="H87" s="23"/>
      <c r="I87" s="23"/>
      <c r="J87" s="23"/>
      <c r="K87" s="23"/>
      <c r="L87" s="23"/>
      <c r="M87" s="23"/>
    </row>
    <row r="88" spans="1:13" customFormat="1" hidden="1" outlineLevel="2">
      <c r="A88" s="87"/>
      <c r="B88" s="87" t="s">
        <v>148</v>
      </c>
      <c r="C88" s="87"/>
      <c r="D88" s="87"/>
      <c r="E88" s="87"/>
      <c r="F88" s="23"/>
      <c r="G88" s="23"/>
      <c r="H88" s="23"/>
      <c r="I88" s="23"/>
      <c r="J88" s="23"/>
      <c r="K88" s="23"/>
      <c r="L88" s="23"/>
      <c r="M88" s="23"/>
    </row>
    <row r="89" spans="1:13" customFormat="1" hidden="1" outlineLevel="2">
      <c r="A89" s="87"/>
      <c r="B89" s="87"/>
      <c r="C89" s="87"/>
      <c r="D89" s="87"/>
      <c r="E89" s="87"/>
      <c r="F89" s="23"/>
      <c r="G89" s="23"/>
      <c r="H89" s="23"/>
      <c r="I89" s="23"/>
      <c r="J89" s="23"/>
      <c r="K89" s="23"/>
      <c r="L89" s="23"/>
      <c r="M89" s="23"/>
    </row>
    <row r="90" spans="1:13" customFormat="1" hidden="1" outlineLevel="2">
      <c r="A90" s="87"/>
      <c r="B90" s="87"/>
      <c r="C90" s="87" t="e">
        <f>+C74</f>
        <v>#REF!</v>
      </c>
      <c r="D90" s="87"/>
      <c r="E90" s="87"/>
      <c r="F90" s="23"/>
      <c r="G90" s="23"/>
      <c r="H90" s="23"/>
      <c r="I90" s="23"/>
      <c r="J90" s="23"/>
      <c r="K90" s="23"/>
      <c r="L90" s="23"/>
      <c r="M90" s="23"/>
    </row>
    <row r="91" spans="1:13" customFormat="1" hidden="1" outlineLevel="2">
      <c r="A91" s="87"/>
      <c r="B91" s="87" t="s">
        <v>149</v>
      </c>
      <c r="C91" s="87"/>
      <c r="D91" s="87"/>
      <c r="E91" s="87"/>
      <c r="F91" s="23"/>
      <c r="G91" s="23"/>
      <c r="H91" s="23"/>
      <c r="I91" s="23"/>
      <c r="J91" s="23"/>
      <c r="K91" s="23"/>
      <c r="L91" s="23"/>
      <c r="M91" s="23"/>
    </row>
    <row r="92" spans="1:13" customFormat="1" hidden="1" outlineLevel="2">
      <c r="A92" s="87"/>
      <c r="B92" s="87" t="s">
        <v>150</v>
      </c>
      <c r="C92" s="87"/>
      <c r="D92" s="87"/>
      <c r="E92" s="87"/>
      <c r="F92" s="23"/>
      <c r="G92" s="23"/>
      <c r="H92" s="23"/>
      <c r="I92" s="23"/>
      <c r="J92" s="23"/>
      <c r="K92" s="23"/>
      <c r="L92" s="23"/>
      <c r="M92" s="23"/>
    </row>
    <row r="93" spans="1:13" customFormat="1" hidden="1" outlineLevel="2">
      <c r="A93" s="87"/>
      <c r="B93" s="87" t="s">
        <v>151</v>
      </c>
      <c r="C93" s="87"/>
      <c r="D93" s="87"/>
      <c r="E93" s="87"/>
      <c r="F93" s="23"/>
      <c r="G93" s="23"/>
      <c r="H93" s="23"/>
      <c r="I93" s="23"/>
      <c r="J93" s="23"/>
      <c r="K93" s="23"/>
      <c r="L93" s="23"/>
      <c r="M93" s="23"/>
    </row>
    <row r="94" spans="1:13" customFormat="1" hidden="1" outlineLevel="2">
      <c r="A94" s="87"/>
      <c r="B94" s="87" t="s">
        <v>152</v>
      </c>
      <c r="C94" s="87"/>
      <c r="D94" s="87"/>
      <c r="E94" s="87"/>
      <c r="F94" s="23"/>
      <c r="G94" s="23"/>
      <c r="H94" s="23"/>
      <c r="I94" s="23"/>
      <c r="J94" s="23"/>
      <c r="K94" s="23"/>
      <c r="L94" s="23"/>
      <c r="M94" s="23"/>
    </row>
    <row r="95" spans="1:13" customFormat="1" hidden="1" outlineLevel="2">
      <c r="A95" s="87"/>
      <c r="B95" s="87" t="s">
        <v>153</v>
      </c>
      <c r="C95" s="87"/>
      <c r="D95" s="87"/>
      <c r="E95" s="87"/>
      <c r="F95" s="23"/>
      <c r="G95" s="23"/>
      <c r="H95" s="23"/>
      <c r="I95" s="23"/>
      <c r="J95" s="23"/>
      <c r="K95" s="23"/>
      <c r="L95" s="23"/>
      <c r="M95" s="23"/>
    </row>
    <row r="96" spans="1:13" customFormat="1" hidden="1" outlineLevel="2">
      <c r="A96" s="87"/>
      <c r="B96" s="87" t="s">
        <v>154</v>
      </c>
      <c r="C96" s="87"/>
      <c r="D96" s="87"/>
      <c r="E96" s="87"/>
      <c r="F96" s="23"/>
      <c r="G96" s="23"/>
      <c r="H96" s="23"/>
      <c r="I96" s="23"/>
      <c r="J96" s="23"/>
      <c r="K96" s="23"/>
      <c r="L96" s="23"/>
      <c r="M96" s="23"/>
    </row>
    <row r="97" spans="1:13" customFormat="1" hidden="1" outlineLevel="2">
      <c r="A97" s="87"/>
      <c r="B97" s="87" t="s">
        <v>155</v>
      </c>
      <c r="C97" s="87"/>
      <c r="D97" s="87"/>
      <c r="E97" s="87"/>
      <c r="F97" s="23"/>
      <c r="G97" s="23"/>
      <c r="H97" s="23"/>
      <c r="I97" s="23"/>
      <c r="J97" s="23"/>
      <c r="K97" s="23"/>
      <c r="L97" s="23"/>
      <c r="M97" s="23"/>
    </row>
    <row r="98" spans="1:13" customFormat="1" hidden="1" outlineLevel="2">
      <c r="A98" s="87"/>
      <c r="B98" s="87" t="s">
        <v>156</v>
      </c>
      <c r="C98" s="87"/>
      <c r="D98" s="87"/>
      <c r="E98" s="87"/>
      <c r="F98" s="23"/>
      <c r="G98" s="23"/>
      <c r="H98" s="23"/>
      <c r="I98" s="23"/>
      <c r="J98" s="23"/>
      <c r="K98" s="23"/>
      <c r="L98" s="23"/>
      <c r="M98" s="23"/>
    </row>
    <row r="99" spans="1:13" customFormat="1" hidden="1" outlineLevel="2">
      <c r="A99" s="87"/>
      <c r="B99" s="87" t="s">
        <v>157</v>
      </c>
      <c r="C99" s="87"/>
      <c r="D99" s="87"/>
      <c r="E99" s="87"/>
      <c r="F99" s="23"/>
      <c r="G99" s="23"/>
      <c r="H99" s="23"/>
      <c r="I99" s="23"/>
      <c r="J99" s="23"/>
      <c r="K99" s="23"/>
      <c r="L99" s="23"/>
      <c r="M99" s="23"/>
    </row>
    <row r="100" spans="1:13" customFormat="1" hidden="1" outlineLevel="2">
      <c r="A100" s="87"/>
      <c r="B100" s="87"/>
      <c r="C100" s="87"/>
      <c r="D100" s="87"/>
      <c r="E100" s="87"/>
      <c r="F100" s="23"/>
      <c r="G100" s="23"/>
      <c r="H100" s="23"/>
      <c r="I100" s="23"/>
      <c r="J100" s="23"/>
      <c r="K100" s="23"/>
      <c r="L100" s="23"/>
      <c r="M100" s="23"/>
    </row>
    <row r="101" spans="1:13" customFormat="1" hidden="1" outlineLevel="2">
      <c r="A101" s="87"/>
      <c r="B101" s="87"/>
      <c r="C101" s="87" t="e">
        <f ca="1">IF(AND(C60=1,C74&lt;&gt;0),IF(C60&lt;&gt;0,OFFSET(B90,C90,0),""),"")</f>
        <v>#REF!</v>
      </c>
      <c r="D101" s="87"/>
      <c r="E101" s="87"/>
      <c r="F101" s="23"/>
      <c r="G101" s="23"/>
      <c r="H101" s="23"/>
      <c r="I101" s="23"/>
      <c r="J101" s="23"/>
      <c r="K101" s="23"/>
      <c r="L101" s="23"/>
      <c r="M101" s="23"/>
    </row>
    <row r="102" spans="1:13" customFormat="1" hidden="1" outlineLevel="2">
      <c r="A102" s="87"/>
      <c r="B102" s="87"/>
      <c r="C102" s="87"/>
      <c r="D102" s="87"/>
      <c r="E102" s="87"/>
      <c r="F102" s="23"/>
      <c r="G102" s="23"/>
      <c r="H102" s="23"/>
      <c r="I102" s="23"/>
      <c r="J102" s="23"/>
      <c r="K102" s="23"/>
      <c r="L102" s="23"/>
      <c r="M102" s="23"/>
    </row>
    <row r="103" spans="1:13" customFormat="1" hidden="1" outlineLevel="2">
      <c r="A103" s="87"/>
      <c r="B103" s="87"/>
      <c r="C103" s="87" t="e">
        <f>IF(C60&lt;&gt;1,IF(OR(C74=2,C74=3,C74=4)," миллиона",""),"")</f>
        <v>#REF!</v>
      </c>
      <c r="D103" s="87"/>
      <c r="E103" s="87"/>
      <c r="F103" s="23"/>
      <c r="G103" s="23"/>
      <c r="H103" s="23"/>
      <c r="I103" s="23"/>
      <c r="J103" s="23"/>
      <c r="K103" s="23"/>
      <c r="L103" s="23"/>
      <c r="M103" s="23"/>
    </row>
    <row r="104" spans="1:13" customFormat="1" hidden="1" outlineLevel="2">
      <c r="A104" s="87"/>
      <c r="B104" s="87"/>
      <c r="C104" s="87" t="e">
        <f>IF(C60&lt;&gt;1,IF(OR(C74=1)," миллион",""),"")</f>
        <v>#REF!</v>
      </c>
      <c r="D104" s="87"/>
      <c r="E104" s="87"/>
      <c r="F104" s="23"/>
      <c r="G104" s="23"/>
      <c r="H104" s="23"/>
      <c r="I104" s="23"/>
      <c r="J104" s="23"/>
      <c r="K104" s="23"/>
      <c r="L104" s="23"/>
      <c r="M104" s="23"/>
    </row>
    <row r="105" spans="1:13" customFormat="1" hidden="1" outlineLevel="2">
      <c r="A105" s="87"/>
      <c r="B105" s="87"/>
      <c r="C105" s="87" t="e">
        <f>IF(C44&lt;&gt;0,IF(AND(C103="",C104="")," миллионов",""),"")</f>
        <v>#REF!</v>
      </c>
      <c r="D105" s="87"/>
      <c r="E105" s="87"/>
      <c r="F105" s="23"/>
      <c r="G105" s="23"/>
      <c r="H105" s="23"/>
      <c r="I105" s="23"/>
      <c r="J105" s="23"/>
      <c r="K105" s="23"/>
      <c r="L105" s="23"/>
      <c r="M105" s="23"/>
    </row>
    <row r="106" spans="1:13" customFormat="1" hidden="1" outlineLevel="2">
      <c r="A106" s="87"/>
      <c r="B106" s="87"/>
      <c r="C106" s="87" t="e">
        <f ca="1">(CONCATENATE(C58,C72,C86,C101,C103,C104,C105))</f>
        <v>#REF!</v>
      </c>
      <c r="D106" s="87"/>
      <c r="E106" s="87"/>
      <c r="F106" s="23"/>
      <c r="G106" s="23"/>
      <c r="H106" s="23"/>
      <c r="I106" s="23"/>
      <c r="J106" s="23"/>
      <c r="K106" s="23"/>
      <c r="L106" s="23"/>
      <c r="M106" s="23"/>
    </row>
    <row r="107" spans="1:13" customFormat="1" hidden="1" outlineLevel="2">
      <c r="A107" s="87"/>
      <c r="B107" s="87"/>
      <c r="C107" s="87"/>
      <c r="D107" s="87"/>
      <c r="E107" s="87"/>
      <c r="F107" s="23"/>
      <c r="G107" s="23"/>
      <c r="H107" s="23"/>
      <c r="I107" s="23"/>
      <c r="J107" s="23"/>
      <c r="K107" s="23"/>
      <c r="L107" s="23"/>
      <c r="M107" s="23"/>
    </row>
    <row r="108" spans="1:13" customFormat="1" hidden="1" outlineLevel="2">
      <c r="A108" s="87"/>
      <c r="B108" s="87" t="s">
        <v>158</v>
      </c>
      <c r="C108" s="87" t="e">
        <f>ROUNDDOWN((C43-C44*1000000)/1000,0)</f>
        <v>#REF!</v>
      </c>
      <c r="D108" s="87"/>
      <c r="E108" s="87"/>
      <c r="F108" s="23"/>
      <c r="G108" s="23"/>
      <c r="H108" s="23"/>
      <c r="I108" s="23"/>
      <c r="J108" s="23"/>
      <c r="K108" s="23"/>
      <c r="L108" s="23"/>
      <c r="M108" s="23"/>
    </row>
    <row r="109" spans="1:13" customFormat="1" hidden="1" outlineLevel="2">
      <c r="A109" s="87"/>
      <c r="B109" s="87" t="s">
        <v>159</v>
      </c>
      <c r="C109" s="87" t="e">
        <f>ROUNDDOWN(C108/100,0)</f>
        <v>#REF!</v>
      </c>
      <c r="D109" s="87"/>
      <c r="E109" s="87"/>
      <c r="F109" s="23"/>
      <c r="G109" s="23"/>
      <c r="H109" s="23"/>
      <c r="I109" s="23"/>
      <c r="J109" s="23"/>
      <c r="K109" s="23"/>
      <c r="L109" s="23"/>
      <c r="M109" s="23"/>
    </row>
    <row r="110" spans="1:13" customFormat="1" hidden="1" outlineLevel="2">
      <c r="A110" s="87"/>
      <c r="B110" s="87"/>
      <c r="C110" s="87"/>
      <c r="D110" s="87"/>
      <c r="E110" s="87"/>
      <c r="F110" s="23"/>
      <c r="G110" s="23"/>
      <c r="H110" s="23"/>
      <c r="I110" s="23"/>
      <c r="J110" s="23"/>
      <c r="K110" s="23"/>
      <c r="L110" s="23"/>
      <c r="M110" s="23"/>
    </row>
    <row r="111" spans="1:13" customFormat="1" hidden="1" outlineLevel="2">
      <c r="A111" s="87"/>
      <c r="B111" s="87" t="s">
        <v>160</v>
      </c>
      <c r="C111" s="87"/>
      <c r="D111" s="87"/>
      <c r="E111" s="87"/>
      <c r="F111" s="23"/>
      <c r="G111" s="23"/>
      <c r="H111" s="23"/>
      <c r="I111" s="23"/>
      <c r="J111" s="23"/>
      <c r="K111" s="23"/>
      <c r="L111" s="23"/>
      <c r="M111" s="23"/>
    </row>
    <row r="112" spans="1:13" customFormat="1" hidden="1" outlineLevel="2">
      <c r="A112" s="87"/>
      <c r="B112" s="87" t="s">
        <v>161</v>
      </c>
      <c r="C112" s="87"/>
      <c r="D112" s="87"/>
      <c r="E112" s="87"/>
      <c r="F112" s="23"/>
      <c r="G112" s="23"/>
      <c r="H112" s="23"/>
      <c r="I112" s="23"/>
      <c r="J112" s="23"/>
      <c r="K112" s="23"/>
      <c r="L112" s="23"/>
      <c r="M112" s="23"/>
    </row>
    <row r="113" spans="1:13" customFormat="1" hidden="1" outlineLevel="2">
      <c r="A113" s="87"/>
      <c r="B113" s="87" t="s">
        <v>162</v>
      </c>
      <c r="C113" s="87"/>
      <c r="D113" s="87"/>
      <c r="E113" s="87"/>
      <c r="F113" s="23"/>
      <c r="G113" s="23"/>
      <c r="H113" s="23"/>
      <c r="I113" s="23"/>
      <c r="J113" s="23"/>
      <c r="K113" s="23"/>
      <c r="L113" s="23"/>
      <c r="M113" s="23"/>
    </row>
    <row r="114" spans="1:13" customFormat="1" hidden="1" outlineLevel="2">
      <c r="A114" s="87"/>
      <c r="B114" s="87" t="s">
        <v>163</v>
      </c>
      <c r="C114" s="87"/>
      <c r="D114" s="87"/>
      <c r="E114" s="87"/>
      <c r="F114" s="23"/>
      <c r="G114" s="23"/>
      <c r="H114" s="23"/>
      <c r="I114" s="23"/>
      <c r="J114" s="23"/>
      <c r="K114" s="23"/>
      <c r="L114" s="23"/>
      <c r="M114" s="23"/>
    </row>
    <row r="115" spans="1:13" customFormat="1" hidden="1" outlineLevel="2">
      <c r="A115" s="87"/>
      <c r="B115" s="87" t="s">
        <v>164</v>
      </c>
      <c r="C115" s="87"/>
      <c r="D115" s="87"/>
      <c r="E115" s="87"/>
      <c r="F115" s="23"/>
      <c r="G115" s="23"/>
      <c r="H115" s="23"/>
      <c r="I115" s="23"/>
      <c r="J115" s="23"/>
      <c r="K115" s="23"/>
      <c r="L115" s="23"/>
      <c r="M115" s="23"/>
    </row>
    <row r="116" spans="1:13" customFormat="1" hidden="1" outlineLevel="2">
      <c r="A116" s="87"/>
      <c r="B116" s="87" t="s">
        <v>165</v>
      </c>
      <c r="C116" s="87"/>
      <c r="D116" s="87"/>
      <c r="E116" s="87"/>
      <c r="F116" s="23"/>
      <c r="G116" s="23"/>
      <c r="H116" s="23"/>
      <c r="I116" s="23"/>
      <c r="J116" s="23"/>
      <c r="K116" s="23"/>
      <c r="L116" s="23"/>
      <c r="M116" s="23"/>
    </row>
    <row r="117" spans="1:13" customFormat="1" hidden="1" outlineLevel="2">
      <c r="A117" s="87"/>
      <c r="B117" s="87" t="s">
        <v>166</v>
      </c>
      <c r="C117" s="87"/>
      <c r="D117" s="87"/>
      <c r="E117" s="87"/>
      <c r="F117" s="23"/>
      <c r="G117" s="23"/>
      <c r="H117" s="23"/>
      <c r="I117" s="23"/>
      <c r="J117" s="23"/>
      <c r="K117" s="23"/>
      <c r="L117" s="23"/>
      <c r="M117" s="23"/>
    </row>
    <row r="118" spans="1:13" customFormat="1" hidden="1" outlineLevel="2">
      <c r="A118" s="87"/>
      <c r="B118" s="87" t="s">
        <v>167</v>
      </c>
      <c r="C118" s="87"/>
      <c r="D118" s="87"/>
      <c r="E118" s="87"/>
      <c r="F118" s="23"/>
      <c r="G118" s="23"/>
      <c r="H118" s="23"/>
      <c r="I118" s="23"/>
      <c r="J118" s="23"/>
      <c r="K118" s="23"/>
      <c r="L118" s="23"/>
      <c r="M118" s="23"/>
    </row>
    <row r="119" spans="1:13" customFormat="1" hidden="1" outlineLevel="2">
      <c r="A119" s="87"/>
      <c r="B119" s="87" t="s">
        <v>168</v>
      </c>
      <c r="C119" s="87"/>
      <c r="D119" s="87"/>
      <c r="E119" s="87"/>
      <c r="F119" s="23"/>
      <c r="G119" s="23"/>
      <c r="H119" s="23"/>
      <c r="I119" s="23"/>
      <c r="J119" s="23"/>
      <c r="K119" s="23"/>
      <c r="L119" s="23"/>
      <c r="M119" s="23"/>
    </row>
    <row r="120" spans="1:13" customFormat="1" hidden="1" outlineLevel="2">
      <c r="A120" s="87"/>
      <c r="B120" s="87"/>
      <c r="C120" s="87"/>
      <c r="D120" s="87"/>
      <c r="E120" s="87"/>
      <c r="F120" s="23"/>
      <c r="G120" s="23"/>
      <c r="H120" s="23"/>
      <c r="I120" s="23"/>
      <c r="J120" s="23"/>
      <c r="K120" s="23"/>
      <c r="L120" s="23"/>
      <c r="M120" s="23"/>
    </row>
    <row r="121" spans="1:13" customFormat="1" hidden="1" outlineLevel="2">
      <c r="A121" s="87"/>
      <c r="B121" s="87"/>
      <c r="C121" s="87" t="e">
        <f ca="1">IF(C109&lt;&gt;0,OFFSET(B110,C109,0),"")</f>
        <v>#REF!</v>
      </c>
      <c r="D121" s="87"/>
      <c r="E121" s="87"/>
      <c r="F121" s="23"/>
      <c r="G121" s="23"/>
      <c r="H121" s="23"/>
      <c r="I121" s="23"/>
      <c r="J121" s="23"/>
      <c r="K121" s="23"/>
      <c r="L121" s="23"/>
      <c r="M121" s="23"/>
    </row>
    <row r="122" spans="1:13" customFormat="1" hidden="1" outlineLevel="2">
      <c r="A122" s="87"/>
      <c r="B122" s="87"/>
      <c r="C122" s="87"/>
      <c r="D122" s="87"/>
      <c r="E122" s="87"/>
      <c r="F122" s="23"/>
      <c r="G122" s="23"/>
      <c r="H122" s="23"/>
      <c r="I122" s="23"/>
      <c r="J122" s="23"/>
      <c r="K122" s="23"/>
      <c r="L122" s="23"/>
      <c r="M122" s="23"/>
    </row>
    <row r="123" spans="1:13" customFormat="1" hidden="1" outlineLevel="2">
      <c r="A123" s="87"/>
      <c r="B123" s="87" t="s">
        <v>169</v>
      </c>
      <c r="C123" s="87" t="e">
        <f>ROUNDDOWN((C108-C109*100)/10,0)</f>
        <v>#REF!</v>
      </c>
      <c r="D123" s="87"/>
      <c r="E123" s="87"/>
      <c r="F123" s="23"/>
      <c r="G123" s="23"/>
      <c r="H123" s="23"/>
      <c r="I123" s="23"/>
      <c r="J123" s="23"/>
      <c r="K123" s="23"/>
      <c r="L123" s="23"/>
      <c r="M123" s="23"/>
    </row>
    <row r="124" spans="1:13" customFormat="1" hidden="1" outlineLevel="2">
      <c r="A124" s="87"/>
      <c r="B124" s="87"/>
      <c r="C124" s="87"/>
      <c r="D124" s="87"/>
      <c r="E124" s="87"/>
      <c r="F124" s="23"/>
      <c r="G124" s="23"/>
      <c r="H124" s="23"/>
      <c r="I124" s="23"/>
      <c r="J124" s="23"/>
      <c r="K124" s="23"/>
      <c r="L124" s="23"/>
      <c r="M124" s="23"/>
    </row>
    <row r="125" spans="1:13" customFormat="1" hidden="1" outlineLevel="2">
      <c r="A125" s="87"/>
      <c r="B125" s="87" t="s">
        <v>129</v>
      </c>
      <c r="C125" s="87"/>
      <c r="D125" s="87"/>
      <c r="E125" s="87"/>
      <c r="F125" s="23"/>
      <c r="G125" s="23"/>
      <c r="H125" s="23"/>
      <c r="I125" s="23"/>
      <c r="J125" s="23"/>
      <c r="K125" s="23"/>
      <c r="L125" s="23"/>
      <c r="M125" s="23"/>
    </row>
    <row r="126" spans="1:13" customFormat="1" hidden="1" outlineLevel="2">
      <c r="A126" s="87"/>
      <c r="B126" s="87" t="s">
        <v>130</v>
      </c>
      <c r="C126" s="87"/>
      <c r="D126" s="87"/>
      <c r="E126" s="87"/>
      <c r="F126" s="23"/>
      <c r="G126" s="23"/>
      <c r="H126" s="23"/>
      <c r="I126" s="23"/>
      <c r="J126" s="23"/>
      <c r="K126" s="23"/>
      <c r="L126" s="23"/>
      <c r="M126" s="23"/>
    </row>
    <row r="127" spans="1:13" customFormat="1" hidden="1" outlineLevel="2">
      <c r="A127" s="87"/>
      <c r="B127" s="87" t="s">
        <v>131</v>
      </c>
      <c r="C127" s="87"/>
      <c r="D127" s="87"/>
      <c r="E127" s="87"/>
      <c r="F127" s="23"/>
      <c r="G127" s="23"/>
      <c r="H127" s="23"/>
      <c r="I127" s="23"/>
      <c r="J127" s="23"/>
      <c r="K127" s="23"/>
      <c r="L127" s="23"/>
      <c r="M127" s="23"/>
    </row>
    <row r="128" spans="1:13" customFormat="1" hidden="1" outlineLevel="2">
      <c r="A128" s="87"/>
      <c r="B128" s="87" t="s">
        <v>132</v>
      </c>
      <c r="C128" s="87"/>
      <c r="D128" s="87"/>
      <c r="E128" s="87"/>
      <c r="F128" s="23"/>
      <c r="G128" s="23"/>
      <c r="H128" s="23"/>
      <c r="I128" s="23"/>
      <c r="J128" s="23"/>
      <c r="K128" s="23"/>
      <c r="L128" s="23"/>
      <c r="M128" s="23"/>
    </row>
    <row r="129" spans="1:13" customFormat="1" hidden="1" outlineLevel="2">
      <c r="A129" s="87"/>
      <c r="B129" s="87" t="s">
        <v>133</v>
      </c>
      <c r="C129" s="87"/>
      <c r="D129" s="87"/>
      <c r="E129" s="87"/>
      <c r="F129" s="23"/>
      <c r="G129" s="23"/>
      <c r="H129" s="23"/>
      <c r="I129" s="23"/>
      <c r="J129" s="23"/>
      <c r="K129" s="23"/>
      <c r="L129" s="23"/>
      <c r="M129" s="23"/>
    </row>
    <row r="130" spans="1:13" customFormat="1" hidden="1" outlineLevel="2">
      <c r="A130" s="87"/>
      <c r="B130" s="87" t="s">
        <v>134</v>
      </c>
      <c r="C130" s="87"/>
      <c r="D130" s="87"/>
      <c r="E130" s="87"/>
      <c r="F130" s="23"/>
      <c r="G130" s="23"/>
      <c r="H130" s="23"/>
      <c r="I130" s="23"/>
      <c r="J130" s="23"/>
      <c r="K130" s="23"/>
      <c r="L130" s="23"/>
      <c r="M130" s="23"/>
    </row>
    <row r="131" spans="1:13" customFormat="1" hidden="1" outlineLevel="2">
      <c r="A131" s="87"/>
      <c r="B131" s="87" t="s">
        <v>135</v>
      </c>
      <c r="C131" s="87"/>
      <c r="D131" s="87"/>
      <c r="E131" s="87"/>
      <c r="F131" s="23"/>
      <c r="G131" s="23"/>
      <c r="H131" s="23"/>
      <c r="I131" s="23"/>
      <c r="J131" s="23"/>
      <c r="K131" s="23"/>
      <c r="L131" s="23"/>
      <c r="M131" s="23"/>
    </row>
    <row r="132" spans="1:13" customFormat="1" hidden="1" outlineLevel="2">
      <c r="A132" s="87"/>
      <c r="B132" s="87" t="s">
        <v>136</v>
      </c>
      <c r="C132" s="87"/>
      <c r="D132" s="87"/>
      <c r="E132" s="87"/>
      <c r="F132" s="23"/>
      <c r="G132" s="23"/>
      <c r="H132" s="23"/>
      <c r="I132" s="23"/>
      <c r="J132" s="23"/>
      <c r="K132" s="23"/>
      <c r="L132" s="23"/>
      <c r="M132" s="23"/>
    </row>
    <row r="133" spans="1:13" customFormat="1" hidden="1" outlineLevel="2">
      <c r="A133" s="87"/>
      <c r="B133" s="87" t="s">
        <v>137</v>
      </c>
      <c r="C133" s="87"/>
      <c r="D133" s="87"/>
      <c r="E133" s="87"/>
      <c r="F133" s="23"/>
      <c r="G133" s="23"/>
      <c r="H133" s="23"/>
      <c r="I133" s="23"/>
      <c r="J133" s="23"/>
      <c r="K133" s="23"/>
      <c r="L133" s="23"/>
      <c r="M133" s="23"/>
    </row>
    <row r="134" spans="1:13" customFormat="1" hidden="1" outlineLevel="2">
      <c r="A134" s="87"/>
      <c r="B134" s="87"/>
      <c r="C134" s="87"/>
      <c r="D134" s="87"/>
      <c r="E134" s="87"/>
      <c r="F134" s="23"/>
      <c r="G134" s="23"/>
      <c r="H134" s="23"/>
      <c r="I134" s="23"/>
      <c r="J134" s="23"/>
      <c r="K134" s="23"/>
      <c r="L134" s="23"/>
      <c r="M134" s="23"/>
    </row>
    <row r="135" spans="1:13" customFormat="1" hidden="1" outlineLevel="2">
      <c r="A135" s="87"/>
      <c r="B135" s="87"/>
      <c r="C135" s="87" t="e">
        <f ca="1">IF(AND(C123=1,C137&lt;&gt;0),"",IF(C123&lt;&gt;0,OFFSET(B124,C123,0),""))</f>
        <v>#REF!</v>
      </c>
      <c r="D135" s="87"/>
      <c r="E135" s="87"/>
      <c r="F135" s="23"/>
      <c r="G135" s="23"/>
      <c r="H135" s="23"/>
      <c r="I135" s="23"/>
      <c r="J135" s="23"/>
      <c r="K135" s="23"/>
      <c r="L135" s="23"/>
      <c r="M135" s="23"/>
    </row>
    <row r="136" spans="1:13" customFormat="1" hidden="1" outlineLevel="2">
      <c r="A136" s="87"/>
      <c r="B136" s="87"/>
      <c r="C136" s="87"/>
      <c r="D136" s="87"/>
      <c r="E136" s="87"/>
      <c r="F136" s="23"/>
      <c r="G136" s="23"/>
      <c r="H136" s="23"/>
      <c r="I136" s="23"/>
      <c r="J136" s="23"/>
      <c r="K136" s="23"/>
      <c r="L136" s="23"/>
      <c r="M136" s="23"/>
    </row>
    <row r="137" spans="1:13" customFormat="1" hidden="1" outlineLevel="2">
      <c r="A137" s="87"/>
      <c r="B137" s="87" t="s">
        <v>158</v>
      </c>
      <c r="C137" s="87" t="e">
        <f>C108-C109*100-C123*10</f>
        <v>#REF!</v>
      </c>
      <c r="D137" s="87"/>
      <c r="E137" s="87"/>
      <c r="F137" s="23"/>
      <c r="G137" s="23"/>
      <c r="H137" s="23"/>
      <c r="I137" s="23"/>
      <c r="J137" s="23"/>
      <c r="K137" s="23"/>
      <c r="L137" s="23"/>
      <c r="M137" s="23"/>
    </row>
    <row r="138" spans="1:13" customFormat="1" hidden="1" outlineLevel="2">
      <c r="A138" s="87"/>
      <c r="B138" s="87"/>
      <c r="C138" s="87"/>
      <c r="D138" s="87"/>
      <c r="E138" s="87"/>
      <c r="F138" s="23"/>
      <c r="G138" s="23"/>
      <c r="H138" s="23"/>
      <c r="I138" s="23"/>
      <c r="J138" s="23"/>
      <c r="K138" s="23"/>
      <c r="L138" s="23"/>
      <c r="M138" s="23"/>
    </row>
    <row r="139" spans="1:13" customFormat="1" hidden="1" outlineLevel="2">
      <c r="A139" s="87"/>
      <c r="B139" s="87" t="s">
        <v>170</v>
      </c>
      <c r="C139" s="87"/>
      <c r="D139" s="87"/>
      <c r="E139" s="87"/>
      <c r="F139" s="23"/>
      <c r="G139" s="23"/>
      <c r="H139" s="23"/>
      <c r="I139" s="23"/>
      <c r="J139" s="23"/>
      <c r="K139" s="23"/>
      <c r="L139" s="23"/>
      <c r="M139" s="23"/>
    </row>
    <row r="140" spans="1:13" customFormat="1" hidden="1" outlineLevel="2">
      <c r="A140" s="87"/>
      <c r="B140" s="87" t="s">
        <v>171</v>
      </c>
      <c r="C140" s="87"/>
      <c r="D140" s="87"/>
      <c r="E140" s="87"/>
      <c r="F140" s="23"/>
      <c r="G140" s="23"/>
      <c r="H140" s="23"/>
      <c r="I140" s="23"/>
      <c r="J140" s="23"/>
      <c r="K140" s="23"/>
      <c r="L140" s="23"/>
      <c r="M140" s="23"/>
    </row>
    <row r="141" spans="1:13" customFormat="1" hidden="1" outlineLevel="2">
      <c r="A141" s="87"/>
      <c r="B141" s="87" t="s">
        <v>141</v>
      </c>
      <c r="C141" s="87"/>
      <c r="D141" s="87"/>
      <c r="E141" s="87"/>
      <c r="F141" s="23"/>
      <c r="G141" s="23"/>
      <c r="H141" s="23"/>
      <c r="I141" s="23"/>
      <c r="J141" s="23"/>
      <c r="K141" s="23"/>
      <c r="L141" s="23"/>
      <c r="M141" s="23"/>
    </row>
    <row r="142" spans="1:13" customFormat="1" hidden="1" outlineLevel="2">
      <c r="A142" s="87"/>
      <c r="B142" s="87" t="s">
        <v>142</v>
      </c>
      <c r="C142" s="87"/>
      <c r="D142" s="87"/>
      <c r="E142" s="87"/>
      <c r="F142" s="23"/>
      <c r="G142" s="23"/>
      <c r="H142" s="23"/>
      <c r="I142" s="23"/>
      <c r="J142" s="23"/>
      <c r="K142" s="23"/>
      <c r="L142" s="23"/>
      <c r="M142" s="23"/>
    </row>
    <row r="143" spans="1:13" customFormat="1" hidden="1" outlineLevel="2">
      <c r="A143" s="87"/>
      <c r="B143" s="87" t="s">
        <v>143</v>
      </c>
      <c r="C143" s="87"/>
      <c r="D143" s="87"/>
      <c r="E143" s="87"/>
      <c r="F143" s="23"/>
      <c r="G143" s="23"/>
      <c r="H143" s="23"/>
      <c r="I143" s="23"/>
      <c r="J143" s="23"/>
      <c r="K143" s="23"/>
      <c r="L143" s="23"/>
      <c r="M143" s="23"/>
    </row>
    <row r="144" spans="1:13" customFormat="1" hidden="1" outlineLevel="2">
      <c r="A144" s="87"/>
      <c r="B144" s="87" t="s">
        <v>144</v>
      </c>
      <c r="C144" s="87"/>
      <c r="D144" s="87"/>
      <c r="E144" s="87"/>
      <c r="F144" s="23"/>
      <c r="G144" s="23"/>
      <c r="H144" s="23"/>
      <c r="I144" s="23"/>
      <c r="J144" s="23"/>
      <c r="K144" s="23"/>
      <c r="L144" s="23"/>
      <c r="M144" s="23"/>
    </row>
    <row r="145" spans="1:13" customFormat="1" hidden="1" outlineLevel="2">
      <c r="A145" s="87"/>
      <c r="B145" s="87" t="s">
        <v>145</v>
      </c>
      <c r="C145" s="87"/>
      <c r="D145" s="87"/>
      <c r="E145" s="87"/>
      <c r="F145" s="23"/>
      <c r="G145" s="23"/>
      <c r="H145" s="23"/>
      <c r="I145" s="23"/>
      <c r="J145" s="23"/>
      <c r="K145" s="23"/>
      <c r="L145" s="23"/>
      <c r="M145" s="23"/>
    </row>
    <row r="146" spans="1:13" customFormat="1" hidden="1" outlineLevel="2">
      <c r="A146" s="87"/>
      <c r="B146" s="87" t="s">
        <v>146</v>
      </c>
      <c r="C146" s="87"/>
      <c r="D146" s="87"/>
      <c r="E146" s="87"/>
      <c r="F146" s="23"/>
      <c r="G146" s="23"/>
      <c r="H146" s="23"/>
      <c r="I146" s="23"/>
      <c r="J146" s="23"/>
      <c r="K146" s="23"/>
      <c r="L146" s="23"/>
      <c r="M146" s="23"/>
    </row>
    <row r="147" spans="1:13" customFormat="1" hidden="1" outlineLevel="2">
      <c r="A147" s="87"/>
      <c r="B147" s="87" t="s">
        <v>147</v>
      </c>
      <c r="C147" s="87"/>
      <c r="D147" s="87"/>
      <c r="E147" s="87"/>
      <c r="F147" s="23"/>
      <c r="G147" s="23"/>
      <c r="H147" s="23"/>
      <c r="I147" s="23"/>
      <c r="J147" s="23"/>
      <c r="K147" s="23"/>
      <c r="L147" s="23"/>
      <c r="M147" s="23"/>
    </row>
    <row r="148" spans="1:13" customFormat="1" hidden="1" outlineLevel="2">
      <c r="A148" s="87"/>
      <c r="B148" s="87"/>
      <c r="C148" s="87"/>
      <c r="D148" s="87"/>
      <c r="E148" s="87"/>
      <c r="F148" s="23"/>
      <c r="G148" s="23"/>
      <c r="H148" s="23"/>
      <c r="I148" s="23"/>
      <c r="J148" s="23"/>
      <c r="K148" s="23"/>
      <c r="L148" s="23"/>
      <c r="M148" s="23"/>
    </row>
    <row r="149" spans="1:13" customFormat="1" hidden="1" outlineLevel="2">
      <c r="A149" s="87"/>
      <c r="B149" s="87"/>
      <c r="C149" s="87" t="e">
        <f ca="1">IF(C123&lt;&gt;1,IF(C137&lt;&gt;0,OFFSET(B138,C137,0),""),"")</f>
        <v>#REF!</v>
      </c>
      <c r="D149" s="87"/>
      <c r="E149" s="87"/>
      <c r="F149" s="23"/>
      <c r="G149" s="23"/>
      <c r="H149" s="23"/>
      <c r="I149" s="23"/>
      <c r="J149" s="23"/>
      <c r="K149" s="23"/>
      <c r="L149" s="23"/>
      <c r="M149" s="23"/>
    </row>
    <row r="150" spans="1:13" customFormat="1" hidden="1" outlineLevel="2">
      <c r="A150" s="87"/>
      <c r="B150" s="87"/>
      <c r="C150" s="87"/>
      <c r="D150" s="87"/>
      <c r="E150" s="87"/>
      <c r="F150" s="23"/>
      <c r="G150" s="23"/>
      <c r="H150" s="23"/>
      <c r="I150" s="23"/>
      <c r="J150" s="23"/>
      <c r="K150" s="23"/>
      <c r="L150" s="23"/>
      <c r="M150" s="23"/>
    </row>
    <row r="151" spans="1:13" customFormat="1" hidden="1" outlineLevel="2">
      <c r="A151" s="87"/>
      <c r="B151" s="87" t="s">
        <v>148</v>
      </c>
      <c r="C151" s="87"/>
      <c r="D151" s="87"/>
      <c r="E151" s="87"/>
      <c r="F151" s="23"/>
      <c r="G151" s="23"/>
      <c r="H151" s="23"/>
      <c r="I151" s="23"/>
      <c r="J151" s="23"/>
      <c r="K151" s="23"/>
      <c r="L151" s="23"/>
      <c r="M151" s="23"/>
    </row>
    <row r="152" spans="1:13" customFormat="1" hidden="1" outlineLevel="2">
      <c r="A152" s="87"/>
      <c r="B152" s="87"/>
      <c r="C152" s="87"/>
      <c r="D152" s="87"/>
      <c r="E152" s="87"/>
      <c r="F152" s="23"/>
      <c r="G152" s="23"/>
      <c r="H152" s="23"/>
      <c r="I152" s="23"/>
      <c r="J152" s="23"/>
      <c r="K152" s="23"/>
      <c r="L152" s="23"/>
      <c r="M152" s="23"/>
    </row>
    <row r="153" spans="1:13" customFormat="1" hidden="1" outlineLevel="2">
      <c r="A153" s="87"/>
      <c r="B153" s="87"/>
      <c r="C153" s="87" t="e">
        <f>+C137</f>
        <v>#REF!</v>
      </c>
      <c r="D153" s="87"/>
      <c r="E153" s="87"/>
      <c r="F153" s="23"/>
      <c r="G153" s="23"/>
      <c r="H153" s="23"/>
      <c r="I153" s="23"/>
      <c r="J153" s="23"/>
      <c r="K153" s="23"/>
      <c r="L153" s="23"/>
      <c r="M153" s="23"/>
    </row>
    <row r="154" spans="1:13" customFormat="1" hidden="1" outlineLevel="2">
      <c r="A154" s="87"/>
      <c r="B154" s="87" t="s">
        <v>149</v>
      </c>
      <c r="C154" s="87"/>
      <c r="D154" s="87"/>
      <c r="E154" s="87"/>
      <c r="F154" s="23"/>
      <c r="G154" s="23"/>
      <c r="H154" s="23"/>
      <c r="I154" s="23"/>
      <c r="J154" s="23"/>
      <c r="K154" s="23"/>
      <c r="L154" s="23"/>
      <c r="M154" s="23"/>
    </row>
    <row r="155" spans="1:13" customFormat="1" hidden="1" outlineLevel="2">
      <c r="A155" s="87"/>
      <c r="B155" s="87" t="s">
        <v>150</v>
      </c>
      <c r="C155" s="87"/>
      <c r="D155" s="87"/>
      <c r="E155" s="87"/>
      <c r="F155" s="23"/>
      <c r="G155" s="23"/>
      <c r="H155" s="23"/>
      <c r="I155" s="23"/>
      <c r="J155" s="23"/>
      <c r="K155" s="23"/>
      <c r="L155" s="23"/>
      <c r="M155" s="23"/>
    </row>
    <row r="156" spans="1:13" customFormat="1" hidden="1" outlineLevel="2">
      <c r="A156" s="87"/>
      <c r="B156" s="87" t="s">
        <v>151</v>
      </c>
      <c r="C156" s="87"/>
      <c r="D156" s="87"/>
      <c r="E156" s="87"/>
      <c r="F156" s="23"/>
      <c r="G156" s="23"/>
      <c r="H156" s="23"/>
      <c r="I156" s="23"/>
      <c r="J156" s="23"/>
      <c r="K156" s="23"/>
      <c r="L156" s="23"/>
      <c r="M156" s="23"/>
    </row>
    <row r="157" spans="1:13" customFormat="1" hidden="1" outlineLevel="2">
      <c r="A157" s="87"/>
      <c r="B157" s="87" t="s">
        <v>152</v>
      </c>
      <c r="C157" s="87"/>
      <c r="D157" s="87"/>
      <c r="E157" s="87"/>
      <c r="F157" s="23"/>
      <c r="G157" s="23"/>
      <c r="H157" s="23"/>
      <c r="I157" s="23"/>
      <c r="J157" s="23"/>
      <c r="K157" s="23"/>
      <c r="L157" s="23"/>
      <c r="M157" s="23"/>
    </row>
    <row r="158" spans="1:13" customFormat="1" hidden="1" outlineLevel="2">
      <c r="A158" s="87"/>
      <c r="B158" s="87" t="s">
        <v>153</v>
      </c>
      <c r="C158" s="87"/>
      <c r="D158" s="87"/>
      <c r="E158" s="87"/>
      <c r="F158" s="23"/>
      <c r="G158" s="23"/>
      <c r="H158" s="23"/>
      <c r="I158" s="23"/>
      <c r="J158" s="23"/>
      <c r="K158" s="23"/>
      <c r="L158" s="23"/>
      <c r="M158" s="23"/>
    </row>
    <row r="159" spans="1:13" customFormat="1" hidden="1" outlineLevel="2">
      <c r="A159" s="87"/>
      <c r="B159" s="87" t="s">
        <v>154</v>
      </c>
      <c r="C159" s="87"/>
      <c r="D159" s="87"/>
      <c r="E159" s="87"/>
      <c r="F159" s="23"/>
      <c r="G159" s="23"/>
      <c r="H159" s="23"/>
      <c r="I159" s="23"/>
      <c r="J159" s="23"/>
      <c r="K159" s="23"/>
      <c r="L159" s="23"/>
      <c r="M159" s="23"/>
    </row>
    <row r="160" spans="1:13" customFormat="1" hidden="1" outlineLevel="2">
      <c r="A160" s="87"/>
      <c r="B160" s="87" t="s">
        <v>155</v>
      </c>
      <c r="C160" s="87"/>
      <c r="D160" s="87"/>
      <c r="E160" s="87"/>
      <c r="F160" s="23"/>
      <c r="G160" s="23"/>
      <c r="H160" s="23"/>
      <c r="I160" s="23"/>
      <c r="J160" s="23"/>
      <c r="K160" s="23"/>
      <c r="L160" s="23"/>
      <c r="M160" s="23"/>
    </row>
    <row r="161" spans="1:13" customFormat="1" hidden="1" outlineLevel="2">
      <c r="A161" s="87"/>
      <c r="B161" s="87" t="s">
        <v>156</v>
      </c>
      <c r="C161" s="87"/>
      <c r="D161" s="87"/>
      <c r="E161" s="87"/>
      <c r="F161" s="23"/>
      <c r="G161" s="23"/>
      <c r="H161" s="23"/>
      <c r="I161" s="23"/>
      <c r="J161" s="23"/>
      <c r="K161" s="23"/>
      <c r="L161" s="23"/>
      <c r="M161" s="23"/>
    </row>
    <row r="162" spans="1:13" customFormat="1" hidden="1" outlineLevel="2">
      <c r="A162" s="87"/>
      <c r="B162" s="87" t="s">
        <v>157</v>
      </c>
      <c r="C162" s="87"/>
      <c r="D162" s="87"/>
      <c r="E162" s="87"/>
      <c r="F162" s="23"/>
      <c r="G162" s="23"/>
      <c r="H162" s="23"/>
      <c r="I162" s="23"/>
      <c r="J162" s="23"/>
      <c r="K162" s="23"/>
      <c r="L162" s="23"/>
      <c r="M162" s="23"/>
    </row>
    <row r="163" spans="1:13" customFormat="1" hidden="1" outlineLevel="2">
      <c r="A163" s="87"/>
      <c r="B163" s="87"/>
      <c r="C163" s="87"/>
      <c r="D163" s="87"/>
      <c r="E163" s="87"/>
      <c r="F163" s="23"/>
      <c r="G163" s="23"/>
      <c r="H163" s="23"/>
      <c r="I163" s="23"/>
      <c r="J163" s="23"/>
      <c r="K163" s="23"/>
      <c r="L163" s="23"/>
      <c r="M163" s="23"/>
    </row>
    <row r="164" spans="1:13" customFormat="1" hidden="1" outlineLevel="2">
      <c r="A164" s="87"/>
      <c r="B164" s="87"/>
      <c r="C164" s="87" t="e">
        <f ca="1">IF(AND(C123=1,C137&lt;&gt;0),IF(C123&lt;&gt;0,OFFSET(B153,C153,0),""),"")</f>
        <v>#REF!</v>
      </c>
      <c r="D164" s="87"/>
      <c r="E164" s="87"/>
      <c r="F164" s="23"/>
      <c r="G164" s="23"/>
      <c r="H164" s="23"/>
      <c r="I164" s="23"/>
      <c r="J164" s="23"/>
      <c r="K164" s="23"/>
      <c r="L164" s="23"/>
      <c r="M164" s="23"/>
    </row>
    <row r="165" spans="1:13" customFormat="1" hidden="1" outlineLevel="2">
      <c r="A165" s="87"/>
      <c r="B165" s="87"/>
      <c r="C165" s="87"/>
      <c r="D165" s="87"/>
      <c r="E165" s="87"/>
      <c r="F165" s="23"/>
      <c r="G165" s="23"/>
      <c r="H165" s="23"/>
      <c r="I165" s="23"/>
      <c r="J165" s="23"/>
      <c r="K165" s="23"/>
      <c r="L165" s="23"/>
      <c r="M165" s="23"/>
    </row>
    <row r="166" spans="1:13" customFormat="1" hidden="1" outlineLevel="2">
      <c r="A166" s="87"/>
      <c r="B166" s="87"/>
      <c r="C166" s="87" t="e">
        <f>IF(C123&lt;&gt;1,IF(OR(C137=2,C137=3,C137=4)," тысячи",""),"")</f>
        <v>#REF!</v>
      </c>
      <c r="D166" s="87"/>
      <c r="E166" s="87"/>
      <c r="F166" s="23"/>
      <c r="G166" s="23"/>
      <c r="H166" s="23"/>
      <c r="I166" s="23"/>
      <c r="J166" s="23"/>
      <c r="K166" s="23"/>
      <c r="L166" s="23"/>
      <c r="M166" s="23"/>
    </row>
    <row r="167" spans="1:13" customFormat="1" hidden="1" outlineLevel="2">
      <c r="A167" s="87"/>
      <c r="B167" s="87"/>
      <c r="C167" s="87" t="e">
        <f>IF(C123&lt;&gt;1,IF(OR(C137=1)," тысяча",""),"")</f>
        <v>#REF!</v>
      </c>
      <c r="D167" s="87"/>
      <c r="E167" s="87"/>
      <c r="F167" s="23"/>
      <c r="G167" s="23"/>
      <c r="H167" s="23"/>
      <c r="I167" s="23"/>
      <c r="J167" s="23"/>
      <c r="K167" s="23"/>
      <c r="L167" s="23"/>
      <c r="M167" s="23"/>
    </row>
    <row r="168" spans="1:13" customFormat="1" hidden="1" outlineLevel="2">
      <c r="A168" s="87"/>
      <c r="B168" s="87"/>
      <c r="C168" s="87" t="e">
        <f>IF(C108&lt;&gt;0,IF(AND(C166="",C167="")," тысяч",""),"")</f>
        <v>#REF!</v>
      </c>
      <c r="D168" s="87"/>
      <c r="E168" s="87"/>
      <c r="F168" s="23"/>
      <c r="G168" s="23"/>
      <c r="H168" s="23"/>
      <c r="I168" s="23"/>
      <c r="J168" s="23"/>
      <c r="K168" s="23"/>
      <c r="L168" s="23"/>
      <c r="M168" s="23"/>
    </row>
    <row r="169" spans="1:13" customFormat="1" hidden="1" outlineLevel="2">
      <c r="A169" s="87"/>
      <c r="B169" s="87"/>
      <c r="C169" s="87" t="e">
        <f ca="1">(CONCATENATE(C121,C135,C149,C164,C166,C167,C168))</f>
        <v>#REF!</v>
      </c>
      <c r="D169" s="87"/>
      <c r="E169" s="87"/>
      <c r="F169" s="23"/>
      <c r="G169" s="23"/>
      <c r="H169" s="23"/>
      <c r="I169" s="23"/>
      <c r="J169" s="23"/>
      <c r="K169" s="23"/>
      <c r="L169" s="23"/>
      <c r="M169" s="23"/>
    </row>
    <row r="170" spans="1:13" customFormat="1" hidden="1" outlineLevel="2">
      <c r="A170" s="87"/>
      <c r="B170" s="87"/>
      <c r="C170" s="87"/>
      <c r="D170" s="87"/>
      <c r="E170" s="87"/>
      <c r="F170" s="23"/>
      <c r="G170" s="23"/>
      <c r="H170" s="23"/>
      <c r="I170" s="23"/>
      <c r="J170" s="23"/>
      <c r="K170" s="23"/>
      <c r="L170" s="23"/>
      <c r="M170" s="23"/>
    </row>
    <row r="171" spans="1:13" customFormat="1" hidden="1" outlineLevel="2">
      <c r="A171" s="87"/>
      <c r="B171" s="87" t="s">
        <v>172</v>
      </c>
      <c r="C171" s="87" t="e">
        <f>ROUNDDOWN(C43-C44*1000000-C108*1000,0)</f>
        <v>#REF!</v>
      </c>
      <c r="D171" s="87"/>
      <c r="E171" s="87"/>
      <c r="F171" s="23"/>
      <c r="G171" s="23"/>
      <c r="H171" s="23"/>
      <c r="I171" s="23"/>
      <c r="J171" s="23"/>
      <c r="K171" s="23"/>
      <c r="L171" s="23"/>
      <c r="M171" s="23"/>
    </row>
    <row r="172" spans="1:13" customFormat="1" hidden="1" outlineLevel="2">
      <c r="A172" s="87"/>
      <c r="B172" s="87" t="s">
        <v>159</v>
      </c>
      <c r="C172" s="87" t="e">
        <f>ROUNDDOWN(C171/100,0)</f>
        <v>#REF!</v>
      </c>
      <c r="D172" s="87"/>
      <c r="E172" s="87"/>
      <c r="F172" s="23"/>
      <c r="G172" s="23"/>
      <c r="H172" s="23"/>
      <c r="I172" s="23"/>
      <c r="J172" s="23"/>
      <c r="K172" s="23"/>
      <c r="L172" s="23"/>
      <c r="M172" s="23"/>
    </row>
    <row r="173" spans="1:13" customFormat="1" hidden="1" outlineLevel="2">
      <c r="A173" s="87"/>
      <c r="B173" s="87"/>
      <c r="C173" s="87"/>
      <c r="D173" s="87"/>
      <c r="E173" s="87"/>
      <c r="F173" s="23"/>
      <c r="G173" s="23"/>
      <c r="H173" s="23"/>
      <c r="I173" s="23"/>
      <c r="J173" s="23"/>
      <c r="K173" s="23"/>
      <c r="L173" s="23"/>
      <c r="M173" s="23"/>
    </row>
    <row r="174" spans="1:13" customFormat="1" hidden="1" outlineLevel="2">
      <c r="A174" s="87"/>
      <c r="B174" s="87" t="s">
        <v>160</v>
      </c>
      <c r="C174" s="87"/>
      <c r="D174" s="87"/>
      <c r="E174" s="87"/>
      <c r="F174" s="23"/>
      <c r="G174" s="23"/>
      <c r="H174" s="23"/>
      <c r="I174" s="23"/>
      <c r="J174" s="23"/>
      <c r="K174" s="23"/>
      <c r="L174" s="23"/>
      <c r="M174" s="23"/>
    </row>
    <row r="175" spans="1:13" customFormat="1" hidden="1" outlineLevel="2">
      <c r="A175" s="87"/>
      <c r="B175" s="87" t="s">
        <v>161</v>
      </c>
      <c r="C175" s="87"/>
      <c r="D175" s="87"/>
      <c r="E175" s="87"/>
      <c r="F175" s="23"/>
      <c r="G175" s="23"/>
      <c r="H175" s="23"/>
      <c r="I175" s="23"/>
      <c r="J175" s="23"/>
      <c r="K175" s="23"/>
      <c r="L175" s="23"/>
      <c r="M175" s="23"/>
    </row>
    <row r="176" spans="1:13" customFormat="1" hidden="1" outlineLevel="2">
      <c r="A176" s="87"/>
      <c r="B176" s="87" t="s">
        <v>162</v>
      </c>
      <c r="C176" s="87"/>
      <c r="D176" s="87"/>
      <c r="E176" s="87"/>
      <c r="F176" s="23"/>
      <c r="G176" s="23"/>
      <c r="H176" s="23"/>
      <c r="I176" s="23"/>
      <c r="J176" s="23"/>
      <c r="K176" s="23"/>
      <c r="L176" s="23"/>
      <c r="M176" s="23"/>
    </row>
    <row r="177" spans="1:13" customFormat="1" hidden="1" outlineLevel="2">
      <c r="A177" s="87"/>
      <c r="B177" s="87" t="s">
        <v>163</v>
      </c>
      <c r="C177" s="87"/>
      <c r="D177" s="87"/>
      <c r="E177" s="87"/>
      <c r="F177" s="23"/>
      <c r="G177" s="23"/>
      <c r="H177" s="23"/>
      <c r="I177" s="23"/>
      <c r="J177" s="23"/>
      <c r="K177" s="23"/>
      <c r="L177" s="23"/>
      <c r="M177" s="23"/>
    </row>
    <row r="178" spans="1:13" customFormat="1" hidden="1" outlineLevel="2">
      <c r="A178" s="87"/>
      <c r="B178" s="87" t="s">
        <v>164</v>
      </c>
      <c r="C178" s="87"/>
      <c r="D178" s="87"/>
      <c r="E178" s="87"/>
      <c r="F178" s="23"/>
      <c r="G178" s="23"/>
      <c r="H178" s="23"/>
      <c r="I178" s="23"/>
      <c r="J178" s="23"/>
      <c r="K178" s="23"/>
      <c r="L178" s="23"/>
      <c r="M178" s="23"/>
    </row>
    <row r="179" spans="1:13" customFormat="1" hidden="1" outlineLevel="2">
      <c r="A179" s="87"/>
      <c r="B179" s="87" t="s">
        <v>165</v>
      </c>
      <c r="C179" s="87"/>
      <c r="D179" s="87"/>
      <c r="E179" s="87"/>
      <c r="F179" s="23"/>
      <c r="G179" s="23"/>
      <c r="H179" s="23"/>
      <c r="I179" s="23"/>
      <c r="J179" s="23"/>
      <c r="K179" s="23"/>
      <c r="L179" s="23"/>
      <c r="M179" s="23"/>
    </row>
    <row r="180" spans="1:13" customFormat="1" hidden="1" outlineLevel="2">
      <c r="A180" s="87"/>
      <c r="B180" s="87" t="s">
        <v>166</v>
      </c>
      <c r="C180" s="87"/>
      <c r="D180" s="87"/>
      <c r="E180" s="87"/>
      <c r="F180" s="23"/>
      <c r="G180" s="23"/>
      <c r="H180" s="23"/>
      <c r="I180" s="23"/>
      <c r="J180" s="23"/>
      <c r="K180" s="23"/>
      <c r="L180" s="23"/>
      <c r="M180" s="23"/>
    </row>
    <row r="181" spans="1:13" customFormat="1" hidden="1" outlineLevel="2">
      <c r="A181" s="87"/>
      <c r="B181" s="87" t="s">
        <v>167</v>
      </c>
      <c r="C181" s="87"/>
      <c r="D181" s="87"/>
      <c r="E181" s="87"/>
      <c r="F181" s="23"/>
      <c r="G181" s="23"/>
      <c r="H181" s="23"/>
      <c r="I181" s="23"/>
      <c r="J181" s="23"/>
      <c r="K181" s="23"/>
      <c r="L181" s="23"/>
      <c r="M181" s="23"/>
    </row>
    <row r="182" spans="1:13" customFormat="1" hidden="1" outlineLevel="2">
      <c r="A182" s="87"/>
      <c r="B182" s="87" t="s">
        <v>168</v>
      </c>
      <c r="C182" s="87"/>
      <c r="D182" s="87"/>
      <c r="E182" s="87"/>
      <c r="F182" s="23"/>
      <c r="G182" s="23"/>
      <c r="H182" s="23"/>
      <c r="I182" s="23"/>
      <c r="J182" s="23"/>
      <c r="K182" s="23"/>
      <c r="L182" s="23"/>
      <c r="M182" s="23"/>
    </row>
    <row r="183" spans="1:13" customFormat="1" hidden="1" outlineLevel="2">
      <c r="A183" s="87"/>
      <c r="B183" s="87"/>
      <c r="C183" s="87"/>
      <c r="D183" s="87"/>
      <c r="E183" s="87"/>
      <c r="F183" s="23"/>
      <c r="G183" s="23"/>
      <c r="H183" s="23"/>
      <c r="I183" s="23"/>
      <c r="J183" s="23"/>
      <c r="K183" s="23"/>
      <c r="L183" s="23"/>
      <c r="M183" s="23"/>
    </row>
    <row r="184" spans="1:13" customFormat="1" hidden="1" outlineLevel="2">
      <c r="A184" s="87"/>
      <c r="B184" s="87"/>
      <c r="C184" s="87" t="e">
        <f ca="1">IF(C172&lt;&gt;0,OFFSET(B173,C172,0),"")</f>
        <v>#REF!</v>
      </c>
      <c r="D184" s="87"/>
      <c r="E184" s="87"/>
      <c r="F184" s="23"/>
      <c r="G184" s="23"/>
      <c r="H184" s="23"/>
      <c r="I184" s="23"/>
      <c r="J184" s="23"/>
      <c r="K184" s="23"/>
      <c r="L184" s="23"/>
      <c r="M184" s="23"/>
    </row>
    <row r="185" spans="1:13" customFormat="1" hidden="1" outlineLevel="2">
      <c r="A185" s="87"/>
      <c r="B185" s="87"/>
      <c r="C185" s="87"/>
      <c r="D185" s="87"/>
      <c r="E185" s="87"/>
      <c r="F185" s="23"/>
      <c r="G185" s="23"/>
      <c r="H185" s="23"/>
      <c r="I185" s="23"/>
      <c r="J185" s="23"/>
      <c r="K185" s="23"/>
      <c r="L185" s="23"/>
      <c r="M185" s="23"/>
    </row>
    <row r="186" spans="1:13" customFormat="1" hidden="1" outlineLevel="2">
      <c r="A186" s="87"/>
      <c r="B186" s="87" t="s">
        <v>169</v>
      </c>
      <c r="C186" s="87" t="e">
        <f>ROUNDDOWN((C171-C172*100)/10,0)</f>
        <v>#REF!</v>
      </c>
      <c r="D186" s="87"/>
      <c r="E186" s="87"/>
      <c r="F186" s="23"/>
      <c r="G186" s="23"/>
      <c r="H186" s="23"/>
      <c r="I186" s="23"/>
      <c r="J186" s="23"/>
      <c r="K186" s="23"/>
      <c r="L186" s="23"/>
      <c r="M186" s="23"/>
    </row>
    <row r="187" spans="1:13" customFormat="1" hidden="1" outlineLevel="2">
      <c r="A187" s="87"/>
      <c r="B187" s="87"/>
      <c r="C187" s="87"/>
      <c r="D187" s="87"/>
      <c r="E187" s="87"/>
      <c r="F187" s="23"/>
      <c r="G187" s="23"/>
      <c r="H187" s="23"/>
      <c r="I187" s="23"/>
      <c r="J187" s="23"/>
      <c r="K187" s="23"/>
      <c r="L187" s="23"/>
      <c r="M187" s="23"/>
    </row>
    <row r="188" spans="1:13" customFormat="1" hidden="1" outlineLevel="2">
      <c r="A188" s="87"/>
      <c r="B188" s="87" t="s">
        <v>129</v>
      </c>
      <c r="C188" s="87"/>
      <c r="D188" s="87"/>
      <c r="E188" s="87"/>
      <c r="F188" s="23"/>
      <c r="G188" s="23"/>
      <c r="H188" s="23"/>
      <c r="I188" s="23"/>
      <c r="J188" s="23"/>
      <c r="K188" s="23"/>
      <c r="L188" s="23"/>
      <c r="M188" s="23"/>
    </row>
    <row r="189" spans="1:13" customFormat="1" hidden="1" outlineLevel="2">
      <c r="A189" s="87"/>
      <c r="B189" s="87" t="s">
        <v>130</v>
      </c>
      <c r="C189" s="87"/>
      <c r="D189" s="87"/>
      <c r="E189" s="87"/>
      <c r="F189" s="23"/>
      <c r="G189" s="23"/>
      <c r="H189" s="23"/>
      <c r="I189" s="23"/>
      <c r="J189" s="23"/>
      <c r="K189" s="23"/>
      <c r="L189" s="23"/>
      <c r="M189" s="23"/>
    </row>
    <row r="190" spans="1:13" customFormat="1" hidden="1" outlineLevel="2">
      <c r="A190" s="87"/>
      <c r="B190" s="87" t="s">
        <v>131</v>
      </c>
      <c r="C190" s="87"/>
      <c r="D190" s="87"/>
      <c r="E190" s="87"/>
      <c r="F190" s="23"/>
      <c r="G190" s="23"/>
      <c r="H190" s="23"/>
      <c r="I190" s="23"/>
      <c r="J190" s="23"/>
      <c r="K190" s="23"/>
      <c r="L190" s="23"/>
      <c r="M190" s="23"/>
    </row>
    <row r="191" spans="1:13" customFormat="1" hidden="1" outlineLevel="2">
      <c r="A191" s="87"/>
      <c r="B191" s="87" t="s">
        <v>132</v>
      </c>
      <c r="C191" s="87"/>
      <c r="D191" s="87"/>
      <c r="E191" s="87"/>
      <c r="F191" s="23"/>
      <c r="G191" s="23"/>
      <c r="H191" s="23"/>
      <c r="I191" s="23"/>
      <c r="J191" s="23"/>
      <c r="K191" s="23"/>
      <c r="L191" s="23"/>
      <c r="M191" s="23"/>
    </row>
    <row r="192" spans="1:13" customFormat="1" hidden="1" outlineLevel="2">
      <c r="A192" s="87"/>
      <c r="B192" s="87" t="s">
        <v>133</v>
      </c>
      <c r="C192" s="87"/>
      <c r="D192" s="87"/>
      <c r="E192" s="87"/>
      <c r="F192" s="23"/>
      <c r="G192" s="23"/>
      <c r="H192" s="23"/>
      <c r="I192" s="23"/>
      <c r="J192" s="23"/>
      <c r="K192" s="23"/>
      <c r="L192" s="23"/>
      <c r="M192" s="23"/>
    </row>
    <row r="193" spans="1:13" customFormat="1" hidden="1" outlineLevel="2">
      <c r="A193" s="87"/>
      <c r="B193" s="87" t="s">
        <v>134</v>
      </c>
      <c r="C193" s="87"/>
      <c r="D193" s="87"/>
      <c r="E193" s="87"/>
      <c r="F193" s="23"/>
      <c r="G193" s="23"/>
      <c r="H193" s="23"/>
      <c r="I193" s="23"/>
      <c r="J193" s="23"/>
      <c r="K193" s="23"/>
      <c r="L193" s="23"/>
      <c r="M193" s="23"/>
    </row>
    <row r="194" spans="1:13" customFormat="1" hidden="1" outlineLevel="2">
      <c r="A194" s="87"/>
      <c r="B194" s="87" t="s">
        <v>135</v>
      </c>
      <c r="C194" s="87"/>
      <c r="D194" s="87"/>
      <c r="E194" s="87"/>
      <c r="F194" s="23"/>
      <c r="G194" s="23"/>
      <c r="H194" s="23"/>
      <c r="I194" s="23"/>
      <c r="J194" s="23"/>
      <c r="K194" s="23"/>
      <c r="L194" s="23"/>
      <c r="M194" s="23"/>
    </row>
    <row r="195" spans="1:13" customFormat="1" hidden="1" outlineLevel="2">
      <c r="A195" s="87"/>
      <c r="B195" s="87" t="s">
        <v>136</v>
      </c>
      <c r="C195" s="87"/>
      <c r="D195" s="87"/>
      <c r="E195" s="87"/>
      <c r="F195" s="23"/>
      <c r="G195" s="23"/>
      <c r="H195" s="23"/>
      <c r="I195" s="23"/>
      <c r="J195" s="23"/>
      <c r="K195" s="23"/>
      <c r="L195" s="23"/>
      <c r="M195" s="23"/>
    </row>
    <row r="196" spans="1:13" customFormat="1" hidden="1" outlineLevel="2">
      <c r="A196" s="87"/>
      <c r="B196" s="87" t="s">
        <v>137</v>
      </c>
      <c r="C196" s="87"/>
      <c r="D196" s="87"/>
      <c r="E196" s="87"/>
      <c r="F196" s="23"/>
      <c r="G196" s="23"/>
      <c r="H196" s="23"/>
      <c r="I196" s="23"/>
      <c r="J196" s="23"/>
      <c r="K196" s="23"/>
      <c r="L196" s="23"/>
      <c r="M196" s="23"/>
    </row>
    <row r="197" spans="1:13" customFormat="1" hidden="1" outlineLevel="2">
      <c r="A197" s="87"/>
      <c r="B197" s="87"/>
      <c r="C197" s="87"/>
      <c r="D197" s="87"/>
      <c r="E197" s="87"/>
      <c r="F197" s="23"/>
      <c r="G197" s="23"/>
      <c r="H197" s="23"/>
      <c r="I197" s="23"/>
      <c r="J197" s="23"/>
      <c r="K197" s="23"/>
      <c r="L197" s="23"/>
      <c r="M197" s="23"/>
    </row>
    <row r="198" spans="1:13" customFormat="1" hidden="1" outlineLevel="2">
      <c r="A198" s="87"/>
      <c r="B198" s="87"/>
      <c r="C198" s="87" t="e">
        <f ca="1">IF(AND(C186=1,C200&lt;&gt;0),"",IF(C186&lt;&gt;0,OFFSET(B187,C186,0),""))</f>
        <v>#REF!</v>
      </c>
      <c r="D198" s="87"/>
      <c r="E198" s="87"/>
      <c r="F198" s="23"/>
      <c r="G198" s="23"/>
      <c r="H198" s="23"/>
      <c r="I198" s="23"/>
      <c r="J198" s="23"/>
      <c r="K198" s="23"/>
      <c r="L198" s="23"/>
      <c r="M198" s="23"/>
    </row>
    <row r="199" spans="1:13" customFormat="1" hidden="1" outlineLevel="2">
      <c r="A199" s="87"/>
      <c r="B199" s="87"/>
      <c r="C199" s="87"/>
      <c r="D199" s="87"/>
      <c r="E199" s="87"/>
      <c r="F199" s="23"/>
      <c r="G199" s="23"/>
      <c r="H199" s="23"/>
      <c r="I199" s="23"/>
      <c r="J199" s="23"/>
      <c r="K199" s="23"/>
      <c r="L199" s="23"/>
      <c r="M199" s="23"/>
    </row>
    <row r="200" spans="1:13" customFormat="1" hidden="1" outlineLevel="2">
      <c r="A200" s="87"/>
      <c r="B200" s="87" t="s">
        <v>158</v>
      </c>
      <c r="C200" s="87" t="e">
        <f>C171-C172*100-C186*10</f>
        <v>#REF!</v>
      </c>
      <c r="D200" s="87"/>
      <c r="E200" s="87"/>
      <c r="F200" s="23"/>
      <c r="G200" s="23"/>
      <c r="H200" s="23"/>
      <c r="I200" s="23"/>
      <c r="J200" s="23"/>
      <c r="K200" s="23"/>
      <c r="L200" s="23"/>
      <c r="M200" s="23"/>
    </row>
    <row r="201" spans="1:13" customFormat="1" hidden="1" outlineLevel="2">
      <c r="A201" s="87"/>
      <c r="B201" s="87"/>
      <c r="C201" s="87"/>
      <c r="D201" s="87"/>
      <c r="E201" s="87"/>
      <c r="F201" s="23"/>
      <c r="G201" s="23"/>
      <c r="H201" s="23"/>
      <c r="I201" s="23"/>
      <c r="J201" s="23"/>
      <c r="K201" s="23"/>
      <c r="L201" s="23"/>
      <c r="M201" s="23"/>
    </row>
    <row r="202" spans="1:13" customFormat="1" hidden="1" outlineLevel="2">
      <c r="A202" s="87"/>
      <c r="B202" s="87" t="s">
        <v>139</v>
      </c>
      <c r="C202" s="87"/>
      <c r="D202" s="87"/>
      <c r="E202" s="87"/>
      <c r="F202" s="23"/>
      <c r="G202" s="23"/>
      <c r="H202" s="23"/>
      <c r="I202" s="23"/>
      <c r="J202" s="23"/>
      <c r="K202" s="23"/>
      <c r="L202" s="23"/>
      <c r="M202" s="23"/>
    </row>
    <row r="203" spans="1:13" customFormat="1" hidden="1" outlineLevel="2">
      <c r="A203" s="87"/>
      <c r="B203" s="87" t="s">
        <v>140</v>
      </c>
      <c r="C203" s="87"/>
      <c r="D203" s="87"/>
      <c r="E203" s="87"/>
      <c r="F203" s="23"/>
      <c r="G203" s="23"/>
      <c r="H203" s="23"/>
      <c r="I203" s="23"/>
      <c r="J203" s="23"/>
      <c r="K203" s="23"/>
      <c r="L203" s="23"/>
      <c r="M203" s="23"/>
    </row>
    <row r="204" spans="1:13" customFormat="1" hidden="1" outlineLevel="2">
      <c r="A204" s="87"/>
      <c r="B204" s="87" t="s">
        <v>141</v>
      </c>
      <c r="C204" s="87"/>
      <c r="D204" s="87"/>
      <c r="E204" s="87"/>
      <c r="F204" s="23"/>
      <c r="G204" s="23"/>
      <c r="H204" s="23"/>
      <c r="I204" s="23"/>
      <c r="J204" s="23"/>
      <c r="K204" s="23"/>
      <c r="L204" s="23"/>
      <c r="M204" s="23"/>
    </row>
    <row r="205" spans="1:13" customFormat="1" hidden="1" outlineLevel="2">
      <c r="A205" s="87"/>
      <c r="B205" s="87" t="s">
        <v>142</v>
      </c>
      <c r="C205" s="87"/>
      <c r="D205" s="87"/>
      <c r="E205" s="87"/>
      <c r="F205" s="23"/>
      <c r="G205" s="23"/>
      <c r="H205" s="23"/>
      <c r="I205" s="23"/>
      <c r="J205" s="23"/>
      <c r="K205" s="23"/>
      <c r="L205" s="23"/>
      <c r="M205" s="23"/>
    </row>
    <row r="206" spans="1:13" customFormat="1" hidden="1" outlineLevel="2">
      <c r="A206" s="87"/>
      <c r="B206" s="87" t="s">
        <v>143</v>
      </c>
      <c r="C206" s="87"/>
      <c r="D206" s="87"/>
      <c r="E206" s="87"/>
      <c r="F206" s="23"/>
      <c r="G206" s="23"/>
      <c r="H206" s="23"/>
      <c r="I206" s="23"/>
      <c r="J206" s="23"/>
      <c r="K206" s="23"/>
      <c r="L206" s="23"/>
      <c r="M206" s="23"/>
    </row>
    <row r="207" spans="1:13" customFormat="1" hidden="1" outlineLevel="2">
      <c r="A207" s="87"/>
      <c r="B207" s="87" t="s">
        <v>144</v>
      </c>
      <c r="C207" s="87"/>
      <c r="D207" s="87"/>
      <c r="E207" s="87"/>
      <c r="F207" s="23"/>
      <c r="G207" s="23"/>
      <c r="H207" s="23"/>
      <c r="I207" s="23"/>
      <c r="J207" s="23"/>
      <c r="K207" s="23"/>
      <c r="L207" s="23"/>
      <c r="M207" s="23"/>
    </row>
    <row r="208" spans="1:13" customFormat="1" hidden="1" outlineLevel="2">
      <c r="A208" s="87"/>
      <c r="B208" s="87" t="s">
        <v>145</v>
      </c>
      <c r="C208" s="87"/>
      <c r="D208" s="87"/>
      <c r="E208" s="87"/>
      <c r="F208" s="23"/>
      <c r="G208" s="23"/>
      <c r="H208" s="23"/>
      <c r="I208" s="23"/>
      <c r="J208" s="23"/>
      <c r="K208" s="23"/>
      <c r="L208" s="23"/>
      <c r="M208" s="23"/>
    </row>
    <row r="209" spans="1:13" customFormat="1" hidden="1" outlineLevel="2">
      <c r="A209" s="87"/>
      <c r="B209" s="87" t="s">
        <v>146</v>
      </c>
      <c r="C209" s="87"/>
      <c r="D209" s="87"/>
      <c r="E209" s="87"/>
      <c r="F209" s="23"/>
      <c r="G209" s="23"/>
      <c r="H209" s="23"/>
      <c r="I209" s="23"/>
      <c r="J209" s="23"/>
      <c r="K209" s="23"/>
      <c r="L209" s="23"/>
      <c r="M209" s="23"/>
    </row>
    <row r="210" spans="1:13" customFormat="1" hidden="1" outlineLevel="2">
      <c r="A210" s="87"/>
      <c r="B210" s="87" t="s">
        <v>147</v>
      </c>
      <c r="C210" s="87"/>
      <c r="D210" s="87"/>
      <c r="E210" s="87"/>
      <c r="F210" s="23"/>
      <c r="G210" s="23"/>
      <c r="H210" s="23"/>
      <c r="I210" s="23"/>
      <c r="J210" s="23"/>
      <c r="K210" s="23"/>
      <c r="L210" s="23"/>
      <c r="M210" s="23"/>
    </row>
    <row r="211" spans="1:13" customFormat="1" hidden="1" outlineLevel="2">
      <c r="A211" s="87"/>
      <c r="B211" s="87"/>
      <c r="C211" s="87"/>
      <c r="D211" s="87"/>
      <c r="E211" s="87"/>
      <c r="F211" s="23"/>
      <c r="G211" s="23"/>
      <c r="H211" s="23"/>
      <c r="I211" s="23"/>
      <c r="J211" s="23"/>
      <c r="K211" s="23"/>
      <c r="L211" s="23"/>
      <c r="M211" s="23"/>
    </row>
    <row r="212" spans="1:13" customFormat="1" hidden="1" outlineLevel="2">
      <c r="A212" s="87"/>
      <c r="B212" s="87"/>
      <c r="C212" s="87" t="e">
        <f ca="1">IF(C186&lt;&gt;1,IF(C200&lt;&gt;0,OFFSET(B201,C200,0),""),"")</f>
        <v>#REF!</v>
      </c>
      <c r="D212" s="87"/>
      <c r="E212" s="87"/>
      <c r="F212" s="23"/>
      <c r="G212" s="23"/>
      <c r="H212" s="23"/>
      <c r="I212" s="23"/>
      <c r="J212" s="23"/>
      <c r="K212" s="23"/>
      <c r="L212" s="23"/>
      <c r="M212" s="23"/>
    </row>
    <row r="213" spans="1:13" customFormat="1" hidden="1" outlineLevel="2">
      <c r="A213" s="87"/>
      <c r="B213" s="87"/>
      <c r="C213" s="87"/>
      <c r="D213" s="87"/>
      <c r="E213" s="87"/>
      <c r="F213" s="23"/>
      <c r="G213" s="23"/>
      <c r="H213" s="23"/>
      <c r="I213" s="23"/>
      <c r="J213" s="23"/>
      <c r="K213" s="23"/>
      <c r="L213" s="23"/>
      <c r="M213" s="23"/>
    </row>
    <row r="214" spans="1:13" customFormat="1" hidden="1" outlineLevel="2">
      <c r="A214" s="87"/>
      <c r="B214" s="87" t="s">
        <v>148</v>
      </c>
      <c r="C214" s="87"/>
      <c r="D214" s="87"/>
      <c r="E214" s="87"/>
      <c r="F214" s="23"/>
      <c r="G214" s="23"/>
      <c r="H214" s="23"/>
      <c r="I214" s="23"/>
      <c r="J214" s="23"/>
      <c r="K214" s="23"/>
      <c r="L214" s="23"/>
      <c r="M214" s="23"/>
    </row>
    <row r="215" spans="1:13" customFormat="1" hidden="1" outlineLevel="2">
      <c r="A215" s="87"/>
      <c r="B215" s="87"/>
      <c r="C215" s="87"/>
      <c r="D215" s="87"/>
      <c r="E215" s="87"/>
      <c r="F215" s="23"/>
      <c r="G215" s="23"/>
      <c r="H215" s="23"/>
      <c r="I215" s="23"/>
      <c r="J215" s="23"/>
      <c r="K215" s="23"/>
      <c r="L215" s="23"/>
      <c r="M215" s="23"/>
    </row>
    <row r="216" spans="1:13" customFormat="1" hidden="1" outlineLevel="2">
      <c r="A216" s="87"/>
      <c r="B216" s="87"/>
      <c r="C216" s="87" t="e">
        <f>+C200</f>
        <v>#REF!</v>
      </c>
      <c r="D216" s="87"/>
      <c r="E216" s="87"/>
      <c r="F216" s="23"/>
      <c r="G216" s="23"/>
      <c r="H216" s="23"/>
      <c r="I216" s="23"/>
      <c r="J216" s="23"/>
      <c r="K216" s="23"/>
      <c r="L216" s="23"/>
      <c r="M216" s="23"/>
    </row>
    <row r="217" spans="1:13" customFormat="1" hidden="1" outlineLevel="2">
      <c r="A217" s="87"/>
      <c r="B217" s="87" t="s">
        <v>149</v>
      </c>
      <c r="C217" s="87"/>
      <c r="D217" s="87"/>
      <c r="E217" s="87"/>
      <c r="F217" s="23"/>
      <c r="G217" s="23"/>
      <c r="H217" s="23"/>
      <c r="I217" s="23"/>
      <c r="J217" s="23"/>
      <c r="K217" s="23"/>
      <c r="L217" s="23"/>
      <c r="M217" s="23"/>
    </row>
    <row r="218" spans="1:13" customFormat="1" hidden="1" outlineLevel="2">
      <c r="A218" s="87"/>
      <c r="B218" s="87" t="s">
        <v>150</v>
      </c>
      <c r="C218" s="87"/>
      <c r="D218" s="87"/>
      <c r="E218" s="87"/>
      <c r="F218" s="23"/>
      <c r="G218" s="23"/>
      <c r="H218" s="23"/>
      <c r="I218" s="23"/>
      <c r="J218" s="23"/>
      <c r="K218" s="23"/>
      <c r="L218" s="23"/>
      <c r="M218" s="23"/>
    </row>
    <row r="219" spans="1:13" customFormat="1" hidden="1" outlineLevel="2">
      <c r="A219" s="87"/>
      <c r="B219" s="87" t="s">
        <v>151</v>
      </c>
      <c r="C219" s="87"/>
      <c r="D219" s="87"/>
      <c r="E219" s="87"/>
      <c r="F219" s="23"/>
      <c r="G219" s="23"/>
      <c r="H219" s="23"/>
      <c r="I219" s="23"/>
      <c r="J219" s="23"/>
      <c r="K219" s="23"/>
      <c r="L219" s="23"/>
      <c r="M219" s="23"/>
    </row>
    <row r="220" spans="1:13" customFormat="1" hidden="1" outlineLevel="2">
      <c r="A220" s="87"/>
      <c r="B220" s="87" t="s">
        <v>152</v>
      </c>
      <c r="C220" s="87"/>
      <c r="D220" s="87"/>
      <c r="E220" s="87"/>
      <c r="F220" s="23"/>
      <c r="G220" s="23"/>
      <c r="H220" s="23"/>
      <c r="I220" s="23"/>
      <c r="J220" s="23"/>
      <c r="K220" s="23"/>
      <c r="L220" s="23"/>
      <c r="M220" s="23"/>
    </row>
    <row r="221" spans="1:13" customFormat="1" hidden="1" outlineLevel="2">
      <c r="A221" s="87"/>
      <c r="B221" s="87" t="s">
        <v>153</v>
      </c>
      <c r="C221" s="87"/>
      <c r="D221" s="87"/>
      <c r="E221" s="87"/>
      <c r="F221" s="23"/>
      <c r="G221" s="23"/>
      <c r="H221" s="23"/>
      <c r="I221" s="23"/>
      <c r="J221" s="23"/>
      <c r="K221" s="23"/>
      <c r="L221" s="23"/>
      <c r="M221" s="23"/>
    </row>
    <row r="222" spans="1:13" customFormat="1" hidden="1" outlineLevel="2">
      <c r="A222" s="87"/>
      <c r="B222" s="87" t="s">
        <v>154</v>
      </c>
      <c r="C222" s="87"/>
      <c r="D222" s="87"/>
      <c r="E222" s="87"/>
      <c r="F222" s="23"/>
      <c r="G222" s="23"/>
      <c r="H222" s="23"/>
      <c r="I222" s="23"/>
      <c r="J222" s="23"/>
      <c r="K222" s="23"/>
      <c r="L222" s="23"/>
      <c r="M222" s="23"/>
    </row>
    <row r="223" spans="1:13" customFormat="1" hidden="1" outlineLevel="2">
      <c r="A223" s="87"/>
      <c r="B223" s="87" t="s">
        <v>155</v>
      </c>
      <c r="C223" s="87"/>
      <c r="D223" s="87"/>
      <c r="E223" s="87"/>
      <c r="F223" s="23"/>
      <c r="G223" s="23"/>
      <c r="H223" s="23"/>
      <c r="I223" s="23"/>
      <c r="J223" s="23"/>
      <c r="K223" s="23"/>
      <c r="L223" s="23"/>
      <c r="M223" s="23"/>
    </row>
    <row r="224" spans="1:13" customFormat="1" hidden="1" outlineLevel="2">
      <c r="A224" s="87"/>
      <c r="B224" s="87" t="s">
        <v>156</v>
      </c>
      <c r="C224" s="87"/>
      <c r="D224" s="87"/>
      <c r="E224" s="87"/>
      <c r="F224" s="23"/>
      <c r="G224" s="23"/>
      <c r="H224" s="23"/>
      <c r="I224" s="23"/>
      <c r="J224" s="23"/>
      <c r="K224" s="23"/>
      <c r="L224" s="23"/>
      <c r="M224" s="23"/>
    </row>
    <row r="225" spans="1:13" customFormat="1" hidden="1" outlineLevel="2">
      <c r="A225" s="87"/>
      <c r="B225" s="87" t="s">
        <v>157</v>
      </c>
      <c r="C225" s="87"/>
      <c r="D225" s="87"/>
      <c r="E225" s="87"/>
      <c r="F225" s="23"/>
      <c r="G225" s="23"/>
      <c r="H225" s="23"/>
      <c r="I225" s="23"/>
      <c r="J225" s="23"/>
      <c r="K225" s="23"/>
      <c r="L225" s="23"/>
      <c r="M225" s="23"/>
    </row>
    <row r="226" spans="1:13" customFormat="1" hidden="1" outlineLevel="2">
      <c r="A226" s="87"/>
      <c r="B226" s="87"/>
      <c r="C226" s="87"/>
      <c r="D226" s="87"/>
      <c r="E226" s="87"/>
      <c r="F226" s="23"/>
      <c r="G226" s="23"/>
      <c r="H226" s="23"/>
      <c r="I226" s="23"/>
      <c r="J226" s="23"/>
      <c r="K226" s="23"/>
      <c r="L226" s="23"/>
      <c r="M226" s="23"/>
    </row>
    <row r="227" spans="1:13" customFormat="1" hidden="1" outlineLevel="2">
      <c r="A227" s="87"/>
      <c r="B227" s="87"/>
      <c r="C227" s="87" t="e">
        <f ca="1">IF(AND(C186=1,C200&lt;&gt;0),IF(C186&lt;&gt;0,OFFSET(B216,C216,0),""),"")</f>
        <v>#REF!</v>
      </c>
      <c r="D227" s="87"/>
      <c r="E227" s="87"/>
      <c r="F227" s="23"/>
      <c r="G227" s="23"/>
      <c r="H227" s="23"/>
      <c r="I227" s="23"/>
      <c r="J227" s="23"/>
      <c r="K227" s="23"/>
      <c r="L227" s="23"/>
      <c r="M227" s="23"/>
    </row>
    <row r="228" spans="1:13" customFormat="1" hidden="1" outlineLevel="2">
      <c r="A228" s="87"/>
      <c r="B228" s="87"/>
      <c r="C228" s="87"/>
      <c r="D228" s="87"/>
      <c r="E228" s="87"/>
      <c r="F228" s="23"/>
      <c r="G228" s="23"/>
      <c r="H228" s="23"/>
      <c r="I228" s="23"/>
      <c r="J228" s="23"/>
      <c r="K228" s="23"/>
      <c r="L228" s="23"/>
      <c r="M228" s="23"/>
    </row>
    <row r="229" spans="1:13" customFormat="1" hidden="1" outlineLevel="2">
      <c r="A229" s="87"/>
      <c r="B229" s="87"/>
      <c r="C229" s="87" t="e">
        <f>IF(C186&lt;&gt;1,IF(OR(C200=2,C200=3,C200=4)," рубля",""),"")</f>
        <v>#REF!</v>
      </c>
      <c r="D229" s="87"/>
      <c r="E229" s="87"/>
      <c r="F229" s="23"/>
      <c r="G229" s="23"/>
      <c r="H229" s="23"/>
      <c r="I229" s="23"/>
      <c r="J229" s="23"/>
      <c r="K229" s="23"/>
      <c r="L229" s="23"/>
      <c r="M229" s="23"/>
    </row>
    <row r="230" spans="1:13" customFormat="1" hidden="1" outlineLevel="2">
      <c r="A230" s="87"/>
      <c r="B230" s="87"/>
      <c r="C230" s="87" t="e">
        <f>IF(C186&lt;&gt;1,IF(OR(C200=1)," рубль",""),"")</f>
        <v>#REF!</v>
      </c>
      <c r="D230" s="87"/>
      <c r="E230" s="87"/>
      <c r="F230" s="23"/>
      <c r="G230" s="23"/>
      <c r="H230" s="23"/>
      <c r="I230" s="23"/>
      <c r="J230" s="23"/>
      <c r="K230" s="23"/>
      <c r="L230" s="23"/>
      <c r="M230" s="23"/>
    </row>
    <row r="231" spans="1:13" customFormat="1" hidden="1" outlineLevel="2">
      <c r="A231" s="87"/>
      <c r="B231" s="87"/>
      <c r="C231" s="87" t="e">
        <f>IF(AND(C229="",C230="")," рублей","")</f>
        <v>#REF!</v>
      </c>
      <c r="D231" s="87"/>
      <c r="E231" s="87"/>
      <c r="F231" s="23"/>
      <c r="G231" s="23"/>
      <c r="H231" s="23"/>
      <c r="I231" s="23"/>
      <c r="J231" s="23"/>
      <c r="K231" s="23"/>
      <c r="L231" s="23"/>
      <c r="M231" s="23"/>
    </row>
    <row r="232" spans="1:13" customFormat="1" hidden="1" outlineLevel="2">
      <c r="A232" s="87"/>
      <c r="B232" s="87"/>
      <c r="C232" s="87" t="e">
        <f ca="1">(CONCATENATE(C184,C198,C212,C227,C229,C230,C231))</f>
        <v>#REF!</v>
      </c>
      <c r="D232" s="87"/>
      <c r="E232" s="87"/>
      <c r="F232" s="23"/>
      <c r="G232" s="23"/>
      <c r="H232" s="23"/>
      <c r="I232" s="23"/>
      <c r="J232" s="23"/>
      <c r="K232" s="23"/>
      <c r="L232" s="23"/>
      <c r="M232" s="23"/>
    </row>
    <row r="233" spans="1:13" customFormat="1" hidden="1" outlineLevel="2">
      <c r="A233" s="87"/>
      <c r="B233" s="87"/>
      <c r="C233" s="87"/>
      <c r="D233" s="87"/>
      <c r="E233" s="87"/>
      <c r="F233" s="23"/>
      <c r="G233" s="23"/>
      <c r="H233" s="23"/>
      <c r="I233" s="23"/>
      <c r="J233" s="23"/>
      <c r="K233" s="23"/>
      <c r="L233" s="23"/>
      <c r="M233" s="23"/>
    </row>
    <row r="234" spans="1:13" customFormat="1" hidden="1" outlineLevel="2">
      <c r="A234" s="87"/>
      <c r="B234" s="87"/>
      <c r="C234" s="87" t="e">
        <f ca="1">TRIM(CONCATENATE(C106,C169,C232))</f>
        <v>#REF!</v>
      </c>
      <c r="D234" s="87"/>
      <c r="E234" s="87"/>
      <c r="F234" s="23"/>
      <c r="G234" s="23"/>
      <c r="H234" s="23"/>
      <c r="I234" s="23"/>
      <c r="J234" s="23"/>
      <c r="K234" s="23"/>
      <c r="L234" s="23"/>
      <c r="M234" s="23"/>
    </row>
    <row r="235" spans="1:13" customFormat="1" hidden="1" outlineLevel="2">
      <c r="A235" s="87"/>
      <c r="B235" s="87"/>
      <c r="C235" s="87" t="e">
        <f ca="1">LEFT(C234,1)</f>
        <v>#REF!</v>
      </c>
      <c r="D235" s="87"/>
      <c r="E235" s="87"/>
      <c r="F235" s="23"/>
      <c r="G235" s="23"/>
      <c r="H235" s="23"/>
      <c r="I235" s="23"/>
      <c r="J235" s="23"/>
      <c r="K235" s="23"/>
      <c r="L235" s="23"/>
      <c r="M235" s="23"/>
    </row>
    <row r="236" spans="1:13" customFormat="1" hidden="1" outlineLevel="2">
      <c r="A236" s="87"/>
      <c r="B236" s="87"/>
      <c r="C236" s="87" t="e">
        <f ca="1">LOWER(C234)</f>
        <v>#REF!</v>
      </c>
      <c r="D236" s="87"/>
      <c r="E236" s="87"/>
      <c r="F236" s="23"/>
      <c r="G236" s="23"/>
      <c r="H236" s="23"/>
      <c r="I236" s="23"/>
      <c r="J236" s="23"/>
      <c r="K236" s="23"/>
      <c r="L236" s="23"/>
      <c r="M236" s="23"/>
    </row>
    <row r="237" spans="1:13" customFormat="1" hidden="1" outlineLevel="2">
      <c r="A237" s="87"/>
      <c r="B237" s="87"/>
      <c r="C237" s="87" t="e">
        <f ca="1">REPLACE(C236,1,1,"")</f>
        <v>#REF!</v>
      </c>
      <c r="D237" s="87"/>
      <c r="E237" s="87"/>
      <c r="F237" s="23"/>
      <c r="G237" s="23"/>
      <c r="H237" s="23"/>
      <c r="I237" s="23"/>
      <c r="J237" s="23"/>
      <c r="K237" s="23"/>
      <c r="L237" s="23"/>
      <c r="M237" s="23"/>
    </row>
    <row r="238" spans="1:13" customFormat="1" hidden="1" outlineLevel="2">
      <c r="A238" s="87"/>
      <c r="B238" s="87"/>
      <c r="C238" s="87" t="e">
        <f ca="1">CONCATENATE(C235,C237)</f>
        <v>#REF!</v>
      </c>
      <c r="D238" s="87"/>
      <c r="E238" s="87"/>
      <c r="F238" s="23"/>
      <c r="G238" s="23"/>
      <c r="H238" s="23"/>
      <c r="I238" s="23"/>
      <c r="J238" s="23"/>
      <c r="K238" s="23"/>
      <c r="L238" s="23"/>
      <c r="M238" s="23"/>
    </row>
    <row r="239" spans="1:13" customFormat="1" hidden="1" outlineLevel="2">
      <c r="A239" s="87"/>
      <c r="B239" s="87"/>
      <c r="C239" s="87"/>
      <c r="D239" s="87"/>
      <c r="E239" s="87"/>
      <c r="F239" s="23"/>
      <c r="G239" s="23"/>
      <c r="H239" s="23"/>
      <c r="I239" s="23"/>
      <c r="J239" s="23"/>
      <c r="K239" s="23"/>
      <c r="L239" s="23"/>
      <c r="M239" s="23"/>
    </row>
    <row r="240" spans="1:13" customFormat="1" hidden="1" outlineLevel="2">
      <c r="A240" s="87"/>
      <c r="B240" s="87" t="s">
        <v>173</v>
      </c>
      <c r="C240" s="87" t="e">
        <f>ROUND(C43-C44*1000000-C108*1000-C171,2)*100</f>
        <v>#REF!</v>
      </c>
      <c r="D240" s="87"/>
      <c r="E240" s="87"/>
      <c r="F240" s="23"/>
      <c r="G240" s="23"/>
      <c r="H240" s="23"/>
      <c r="I240" s="23"/>
      <c r="J240" s="23"/>
      <c r="K240" s="23"/>
      <c r="L240" s="23"/>
      <c r="M240" s="23"/>
    </row>
    <row r="241" spans="1:18" customFormat="1" hidden="1" outlineLevel="2">
      <c r="A241" s="87"/>
      <c r="B241" s="87" t="s">
        <v>174</v>
      </c>
      <c r="C241" s="87" t="e">
        <f>ROUNDDOWN(C240/10,0)</f>
        <v>#REF!</v>
      </c>
      <c r="D241" s="87"/>
      <c r="E241" s="87"/>
      <c r="F241" s="23"/>
      <c r="G241" s="23"/>
      <c r="H241" s="23"/>
      <c r="I241" s="23"/>
      <c r="J241" s="23"/>
      <c r="K241" s="23"/>
      <c r="L241" s="23"/>
      <c r="M241" s="23"/>
    </row>
    <row r="242" spans="1:18" customFormat="1" hidden="1" outlineLevel="2">
      <c r="A242" s="87"/>
      <c r="B242" s="87" t="s">
        <v>175</v>
      </c>
      <c r="C242" s="87" t="e">
        <f>+C240-C241*10</f>
        <v>#REF!</v>
      </c>
      <c r="D242" s="87"/>
      <c r="E242" s="87"/>
      <c r="F242" s="23"/>
      <c r="G242" s="23"/>
      <c r="H242" s="23"/>
      <c r="I242" s="23"/>
      <c r="J242" s="23"/>
      <c r="K242" s="23"/>
      <c r="L242" s="23"/>
      <c r="M242" s="23"/>
    </row>
    <row r="243" spans="1:18" customFormat="1" hidden="1" outlineLevel="2">
      <c r="A243" s="87"/>
      <c r="B243" s="87"/>
      <c r="C243" s="87" t="e">
        <f>IF(C240&lt;10,CONCATENATE("0",C240),C240)</f>
        <v>#REF!</v>
      </c>
      <c r="D243" s="87"/>
      <c r="E243" s="87"/>
      <c r="F243" s="23"/>
      <c r="G243" s="23"/>
      <c r="H243" s="23"/>
      <c r="I243" s="23"/>
      <c r="J243" s="23"/>
      <c r="K243" s="23"/>
      <c r="L243" s="23"/>
      <c r="M243" s="23"/>
    </row>
    <row r="244" spans="1:18" customFormat="1" hidden="1" outlineLevel="2">
      <c r="A244" s="87"/>
      <c r="B244" s="87"/>
      <c r="C244" s="87"/>
      <c r="D244" s="87"/>
      <c r="E244" s="87"/>
      <c r="F244" s="23"/>
      <c r="G244" s="23"/>
      <c r="H244" s="23"/>
      <c r="I244" s="23"/>
      <c r="J244" s="23"/>
      <c r="K244" s="23"/>
      <c r="L244" s="23"/>
      <c r="M244" s="23"/>
    </row>
    <row r="245" spans="1:18" customFormat="1" hidden="1" outlineLevel="2">
      <c r="A245" s="87"/>
      <c r="B245" s="87"/>
      <c r="C245" s="87" t="e">
        <f>IF(AND(C242=1,C241&lt;&gt;1)," копейка","")</f>
        <v>#REF!</v>
      </c>
      <c r="D245" s="87"/>
      <c r="E245" s="87"/>
      <c r="F245" s="23"/>
      <c r="G245" s="23"/>
      <c r="H245" s="23"/>
      <c r="I245" s="23"/>
      <c r="J245" s="23"/>
      <c r="K245" s="23"/>
      <c r="L245" s="23"/>
      <c r="M245" s="23"/>
    </row>
    <row r="246" spans="1:18" customFormat="1" hidden="1" outlineLevel="2">
      <c r="A246" s="87"/>
      <c r="B246" s="87"/>
      <c r="C246" s="87" t="e">
        <f>IF(C241&lt;&gt;1,IF(OR(C242=2,C242=3,C242=4)," копейки",""),"")</f>
        <v>#REF!</v>
      </c>
      <c r="D246" s="87"/>
      <c r="E246" s="87"/>
      <c r="F246" s="23"/>
      <c r="G246" s="23"/>
      <c r="H246" s="23"/>
      <c r="I246" s="23"/>
      <c r="J246" s="23"/>
      <c r="K246" s="23"/>
      <c r="L246" s="23"/>
      <c r="M246" s="23"/>
    </row>
    <row r="247" spans="1:18" customFormat="1" hidden="1" outlineLevel="2">
      <c r="A247" s="87"/>
      <c r="B247" s="87"/>
      <c r="C247" s="87" t="e">
        <f>IF(AND(C245="",C246="")," копеек","")</f>
        <v>#REF!</v>
      </c>
      <c r="D247" s="87"/>
      <c r="E247" s="87"/>
      <c r="F247" s="23"/>
      <c r="G247" s="23"/>
      <c r="H247" s="23"/>
      <c r="I247" s="23"/>
      <c r="J247" s="23"/>
      <c r="K247" s="23"/>
      <c r="L247" s="23"/>
      <c r="M247" s="23"/>
    </row>
    <row r="248" spans="1:18" customFormat="1" hidden="1" outlineLevel="2">
      <c r="A248" s="87"/>
      <c r="B248" s="87"/>
      <c r="C248" s="87"/>
      <c r="D248" s="87"/>
      <c r="E248" s="87"/>
      <c r="F248" s="23"/>
      <c r="G248" s="23"/>
      <c r="H248" s="23"/>
      <c r="I248" s="23"/>
      <c r="J248" s="23"/>
      <c r="K248" s="23"/>
      <c r="L248" s="23"/>
      <c r="M248" s="23"/>
    </row>
    <row r="249" spans="1:18" customFormat="1" ht="12" customHeight="1" outlineLevel="1" collapsed="1">
      <c r="A249" s="87"/>
      <c r="B249" s="87" t="s">
        <v>176</v>
      </c>
      <c r="C249" s="87" t="e">
        <f ca="1">CONCATENATE(C238," ",C243,C245,C246,C247)</f>
        <v>#REF!</v>
      </c>
      <c r="D249" s="87"/>
      <c r="E249" s="87"/>
      <c r="F249" s="23"/>
      <c r="G249" s="23"/>
      <c r="H249" s="23"/>
      <c r="I249" s="23"/>
      <c r="J249" s="23"/>
      <c r="K249" s="23"/>
      <c r="L249" s="23"/>
      <c r="M249" s="23"/>
    </row>
    <row r="250" spans="1:18" s="5" customFormat="1" ht="15.75">
      <c r="A250" s="7"/>
      <c r="B250" s="7"/>
      <c r="C250" s="7"/>
      <c r="D250" s="7"/>
      <c r="E250" s="7"/>
      <c r="F250" s="7"/>
      <c r="G250" s="7"/>
      <c r="H250" s="7"/>
      <c r="I250" s="7"/>
      <c r="J250" s="7"/>
      <c r="K250" s="7"/>
      <c r="L250" s="7"/>
      <c r="M250" s="12"/>
      <c r="N250" s="56"/>
      <c r="O250" s="21"/>
      <c r="R250" s="6"/>
    </row>
    <row r="251" spans="1:18">
      <c r="H251" s="47"/>
      <c r="I251" s="46" t="s">
        <v>111</v>
      </c>
      <c r="J251" s="46">
        <v>0.8</v>
      </c>
      <c r="K251" s="38" t="e">
        <f>IF(SUM(K16:K39)&gt;0,"0",IF((160000001-E17)&gt;0,J251,"0"))</f>
        <v>#REF!</v>
      </c>
    </row>
    <row r="252" spans="1:18">
      <c r="H252" s="47"/>
      <c r="I252" s="46" t="s">
        <v>112</v>
      </c>
      <c r="J252" s="46">
        <v>0.73</v>
      </c>
      <c r="K252" s="38" t="e">
        <f>IF(SUM(K16:K251)&gt;0,"0",IF((180000001-E17)&gt;0,J252,"0"))</f>
        <v>#REF!</v>
      </c>
    </row>
    <row r="253" spans="1:18">
      <c r="H253" s="47"/>
      <c r="I253" s="46" t="s">
        <v>113</v>
      </c>
      <c r="J253" s="46">
        <v>0.66</v>
      </c>
      <c r="K253" s="38" t="e">
        <f>IF(SUM(K16:K252)&gt;0,"0",IF((200000001-E17)&gt;0,J253,"0"))</f>
        <v>#REF!</v>
      </c>
    </row>
    <row r="254" spans="1:18">
      <c r="H254" s="47"/>
      <c r="I254" s="46" t="s">
        <v>114</v>
      </c>
      <c r="J254" s="46">
        <v>0.61</v>
      </c>
      <c r="K254" s="38" t="e">
        <f>IF(SUM(K16:K253)&gt;0,"0",IF((220000001-E17)&gt;0,J254,"0"))</f>
        <v>#REF!</v>
      </c>
    </row>
    <row r="255" spans="1:18">
      <c r="H255" s="47"/>
      <c r="I255" s="46" t="s">
        <v>115</v>
      </c>
      <c r="J255" s="46">
        <v>0.57999999999999996</v>
      </c>
    </row>
  </sheetData>
  <mergeCells count="17">
    <mergeCell ref="A1:E1"/>
    <mergeCell ref="F4:I4"/>
    <mergeCell ref="A5:E5"/>
    <mergeCell ref="A31:E31"/>
    <mergeCell ref="A22:E22"/>
    <mergeCell ref="A23:E23"/>
    <mergeCell ref="A10:B10"/>
    <mergeCell ref="C10:E10"/>
    <mergeCell ref="C9:E9"/>
    <mergeCell ref="A9:B9"/>
    <mergeCell ref="J13:J15"/>
    <mergeCell ref="A4:E4"/>
    <mergeCell ref="A6:E6"/>
    <mergeCell ref="I13:I15"/>
    <mergeCell ref="A11:B11"/>
    <mergeCell ref="C11:E11"/>
    <mergeCell ref="B15:E15"/>
  </mergeCells>
  <phoneticPr fontId="11" type="noConversion"/>
  <pageMargins left="0.74803149606299213" right="0.35433070866141736" top="0.78740157480314965" bottom="0.59055118110236227" header="0.51181102362204722" footer="0.51181102362204722"/>
  <pageSetup paperSize="9" scale="105"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G284"/>
  <sheetViews>
    <sheetView view="pageBreakPreview" zoomScale="75" zoomScaleNormal="100" workbookViewId="0">
      <pane xSplit="13" ySplit="21" topLeftCell="N22" activePane="bottomRight" state="frozen"/>
      <selection activeCell="C249" sqref="C249"/>
      <selection pane="topRight" activeCell="C249" sqref="C249"/>
      <selection pane="bottomLeft" activeCell="C249" sqref="C249"/>
      <selection pane="bottomRight" activeCell="C249" sqref="C249"/>
    </sheetView>
  </sheetViews>
  <sheetFormatPr defaultColWidth="10.42578125" defaultRowHeight="15.75" outlineLevelRow="2" outlineLevelCol="1"/>
  <cols>
    <col min="1" max="1" width="5.42578125" style="15" customWidth="1"/>
    <col min="2" max="2" width="46" style="15" customWidth="1"/>
    <col min="3" max="3" width="25.85546875" style="14" customWidth="1"/>
    <col min="4" max="4" width="2.28515625" style="14" customWidth="1"/>
    <col min="5" max="5" width="12.5703125" style="14" customWidth="1"/>
    <col min="6" max="6" width="2.140625" style="15" customWidth="1"/>
    <col min="7" max="7" width="13.5703125" style="15" customWidth="1"/>
    <col min="8" max="8" width="3" style="15" customWidth="1"/>
    <col min="9" max="9" width="10.140625" style="15" customWidth="1"/>
    <col min="10" max="10" width="4" style="15" customWidth="1"/>
    <col min="11" max="11" width="8.5703125" style="15" customWidth="1"/>
    <col min="12" max="12" width="3" style="15" customWidth="1"/>
    <col min="13" max="13" width="15" style="26" customWidth="1"/>
    <col min="14" max="14" width="15.42578125" style="6" customWidth="1" outlineLevel="1"/>
    <col min="15" max="15" width="15.42578125" style="21" customWidth="1" outlineLevel="1"/>
    <col min="16" max="16" width="15" style="6" customWidth="1"/>
    <col min="17" max="18" width="15" style="6" hidden="1" customWidth="1" outlineLevel="1"/>
    <col min="19" max="23" width="13.5703125" style="6" hidden="1" customWidth="1" outlineLevel="1"/>
    <col min="24" max="24" width="15.5703125" style="6" hidden="1" customWidth="1" outlineLevel="1"/>
    <col min="25" max="36" width="10.42578125" style="6" hidden="1" customWidth="1" outlineLevel="1"/>
    <col min="37" max="37" width="10.42578125" style="6" collapsed="1"/>
    <col min="38" max="46" width="5" style="21" hidden="1" customWidth="1" outlineLevel="1"/>
    <col min="47" max="47" width="10.42578125" style="6" collapsed="1"/>
    <col min="48" max="51" width="5" style="21" hidden="1" customWidth="1" outlineLevel="1"/>
    <col min="52" max="52" width="6.140625" style="21" hidden="1" customWidth="1" outlineLevel="1"/>
    <col min="53" max="67" width="5" style="21" hidden="1" customWidth="1" outlineLevel="1"/>
    <col min="68" max="68" width="6.42578125" style="21" hidden="1" customWidth="1" outlineLevel="1"/>
    <col min="69" max="69" width="10.42578125" style="6" collapsed="1"/>
    <col min="70" max="84" width="10.42578125" style="6"/>
    <col min="85" max="16384" width="10.42578125" style="5"/>
  </cols>
  <sheetData>
    <row r="1" spans="1:69" ht="17.25" hidden="1" customHeight="1" outlineLevel="1">
      <c r="A1" s="740" t="e">
        <f>CONCATENATE(S2," ",#REF!,".",P1," ",S3)</f>
        <v>#REF!</v>
      </c>
      <c r="B1" s="740"/>
      <c r="C1" s="740"/>
      <c r="D1" s="740"/>
      <c r="E1" s="740"/>
      <c r="F1" s="740"/>
      <c r="G1" s="740"/>
      <c r="H1" s="740"/>
      <c r="I1" s="740"/>
      <c r="J1" s="740"/>
      <c r="K1" s="740"/>
      <c r="L1" s="740"/>
      <c r="M1" s="740"/>
      <c r="P1" s="274" t="e">
        <f>'2'!M1+2</f>
        <v>#REF!</v>
      </c>
      <c r="V1" s="280" t="e">
        <f>#REF!+3</f>
        <v>#REF!</v>
      </c>
      <c r="W1" s="280">
        <v>1</v>
      </c>
    </row>
    <row r="2" spans="1:69" ht="15.75" customHeight="1" collapsed="1">
      <c r="A2" s="741" t="s">
        <v>197</v>
      </c>
      <c r="B2" s="741"/>
      <c r="C2" s="741"/>
      <c r="D2" s="741"/>
      <c r="E2" s="741"/>
      <c r="F2" s="741"/>
      <c r="G2" s="741"/>
      <c r="H2" s="741"/>
      <c r="I2" s="741"/>
      <c r="J2" s="741"/>
      <c r="K2" s="741"/>
      <c r="L2" s="741"/>
      <c r="M2" s="741"/>
      <c r="N2" s="556"/>
      <c r="O2" s="557"/>
      <c r="P2" s="21">
        <v>0.4</v>
      </c>
      <c r="S2" s="266"/>
      <c r="AV2" s="275">
        <v>1</v>
      </c>
      <c r="AW2" s="275">
        <v>2</v>
      </c>
      <c r="AX2" s="275">
        <v>3</v>
      </c>
      <c r="AY2" s="275">
        <v>4</v>
      </c>
      <c r="AZ2" s="276" t="s">
        <v>213</v>
      </c>
      <c r="BA2" s="275">
        <v>6</v>
      </c>
      <c r="BB2" s="742" t="s">
        <v>21</v>
      </c>
      <c r="BC2" s="275">
        <v>8</v>
      </c>
      <c r="BD2" s="275">
        <v>9</v>
      </c>
      <c r="BE2" s="275">
        <v>10</v>
      </c>
      <c r="BF2" s="275">
        <v>11</v>
      </c>
      <c r="BG2" s="275">
        <v>12</v>
      </c>
      <c r="BH2" s="275">
        <v>13</v>
      </c>
      <c r="BI2" s="275">
        <v>14</v>
      </c>
      <c r="BJ2" s="275">
        <v>15</v>
      </c>
      <c r="BK2" s="275">
        <v>16</v>
      </c>
      <c r="BL2" s="275">
        <v>17</v>
      </c>
      <c r="BM2" s="275">
        <v>18</v>
      </c>
      <c r="BN2" s="275">
        <v>19</v>
      </c>
      <c r="BO2" s="275">
        <v>20</v>
      </c>
      <c r="BP2" s="275">
        <v>21</v>
      </c>
      <c r="BQ2" s="11"/>
    </row>
    <row r="3" spans="1:69" ht="16.5" customHeight="1">
      <c r="A3" s="558"/>
      <c r="B3" s="480"/>
      <c r="C3" s="480"/>
      <c r="D3" s="480"/>
      <c r="E3" s="480"/>
      <c r="F3" s="480"/>
      <c r="G3" s="480"/>
      <c r="H3" s="480"/>
      <c r="I3" s="480"/>
      <c r="J3" s="480"/>
      <c r="K3" s="480"/>
      <c r="L3" s="480"/>
      <c r="M3" s="481"/>
      <c r="N3" s="556"/>
      <c r="O3" s="557"/>
      <c r="P3" s="21" t="s">
        <v>204</v>
      </c>
      <c r="S3" s="266"/>
      <c r="AL3" s="739" t="s">
        <v>22</v>
      </c>
      <c r="AM3" s="739" t="s">
        <v>23</v>
      </c>
      <c r="AN3" s="739" t="s">
        <v>24</v>
      </c>
      <c r="AO3" s="739" t="s">
        <v>25</v>
      </c>
      <c r="AP3" s="739" t="s">
        <v>26</v>
      </c>
      <c r="AQ3" s="739" t="s">
        <v>27</v>
      </c>
      <c r="AR3" s="739" t="s">
        <v>28</v>
      </c>
      <c r="AS3" s="739" t="s">
        <v>29</v>
      </c>
      <c r="AT3" s="739" t="s">
        <v>197</v>
      </c>
      <c r="AV3" s="739" t="s">
        <v>30</v>
      </c>
      <c r="AW3" s="739" t="s">
        <v>31</v>
      </c>
      <c r="AX3" s="739" t="s">
        <v>32</v>
      </c>
      <c r="AY3" s="739" t="s">
        <v>33</v>
      </c>
      <c r="AZ3" s="277" t="s">
        <v>4</v>
      </c>
      <c r="BA3" s="746" t="s">
        <v>34</v>
      </c>
      <c r="BB3" s="743"/>
      <c r="BC3" s="747" t="s">
        <v>35</v>
      </c>
      <c r="BD3" s="739" t="s">
        <v>36</v>
      </c>
      <c r="BE3" s="739" t="s">
        <v>37</v>
      </c>
      <c r="BF3" s="739" t="s">
        <v>38</v>
      </c>
      <c r="BG3" s="739" t="s">
        <v>39</v>
      </c>
      <c r="BH3" s="739" t="s">
        <v>40</v>
      </c>
      <c r="BI3" s="739" t="s">
        <v>41</v>
      </c>
      <c r="BJ3" s="739" t="s">
        <v>42</v>
      </c>
      <c r="BK3" s="278">
        <v>16</v>
      </c>
      <c r="BL3" s="739" t="s">
        <v>43</v>
      </c>
      <c r="BM3" s="739" t="s">
        <v>44</v>
      </c>
      <c r="BN3" s="739" t="s">
        <v>55</v>
      </c>
      <c r="BO3" s="783" t="s">
        <v>45</v>
      </c>
      <c r="BP3" s="784" t="s">
        <v>46</v>
      </c>
    </row>
    <row r="4" spans="1:69" ht="18" customHeight="1">
      <c r="A4" s="745" t="e">
        <f>CONCATENATE(#REF!," ",V1,".",W1)</f>
        <v>#REF!</v>
      </c>
      <c r="B4" s="745"/>
      <c r="C4" s="745"/>
      <c r="D4" s="745"/>
      <c r="E4" s="745"/>
      <c r="F4" s="745"/>
      <c r="G4" s="745"/>
      <c r="H4" s="745"/>
      <c r="I4" s="745"/>
      <c r="J4" s="745"/>
      <c r="K4" s="745"/>
      <c r="L4" s="745"/>
      <c r="M4" s="745"/>
      <c r="N4" s="745"/>
      <c r="O4" s="745"/>
      <c r="AL4" s="739"/>
      <c r="AM4" s="739"/>
      <c r="AN4" s="739"/>
      <c r="AO4" s="739"/>
      <c r="AP4" s="739"/>
      <c r="AQ4" s="739"/>
      <c r="AR4" s="739"/>
      <c r="AS4" s="739"/>
      <c r="AT4" s="739"/>
      <c r="AV4" s="739"/>
      <c r="AW4" s="739"/>
      <c r="AX4" s="739"/>
      <c r="AY4" s="739"/>
      <c r="AZ4" s="787" t="s">
        <v>47</v>
      </c>
      <c r="BA4" s="746"/>
      <c r="BB4" s="743"/>
      <c r="BC4" s="747"/>
      <c r="BD4" s="739"/>
      <c r="BE4" s="739"/>
      <c r="BF4" s="739"/>
      <c r="BG4" s="739"/>
      <c r="BH4" s="739"/>
      <c r="BI4" s="739"/>
      <c r="BJ4" s="739"/>
      <c r="BK4" s="787" t="s">
        <v>50</v>
      </c>
      <c r="BL4" s="739"/>
      <c r="BM4" s="739"/>
      <c r="BN4" s="739"/>
      <c r="BO4" s="783"/>
      <c r="BP4" s="785"/>
    </row>
    <row r="5" spans="1:69" ht="19.5" customHeight="1">
      <c r="A5" s="775" t="s">
        <v>177</v>
      </c>
      <c r="B5" s="775"/>
      <c r="C5" s="775"/>
      <c r="D5" s="775"/>
      <c r="E5" s="775"/>
      <c r="F5" s="775"/>
      <c r="G5" s="775"/>
      <c r="H5" s="775"/>
      <c r="I5" s="775"/>
      <c r="J5" s="775"/>
      <c r="K5" s="775"/>
      <c r="L5" s="775"/>
      <c r="M5" s="775"/>
      <c r="N5" s="775"/>
      <c r="O5" s="775"/>
      <c r="AL5" s="739"/>
      <c r="AM5" s="739"/>
      <c r="AN5" s="739"/>
      <c r="AO5" s="739"/>
      <c r="AP5" s="739"/>
      <c r="AQ5" s="739"/>
      <c r="AR5" s="739"/>
      <c r="AS5" s="739"/>
      <c r="AT5" s="739"/>
      <c r="AV5" s="739"/>
      <c r="AW5" s="739"/>
      <c r="AX5" s="739"/>
      <c r="AY5" s="739"/>
      <c r="AZ5" s="787"/>
      <c r="BA5" s="746"/>
      <c r="BB5" s="743"/>
      <c r="BC5" s="747"/>
      <c r="BD5" s="739"/>
      <c r="BE5" s="739"/>
      <c r="BF5" s="739"/>
      <c r="BG5" s="739"/>
      <c r="BH5" s="739"/>
      <c r="BI5" s="739"/>
      <c r="BJ5" s="739"/>
      <c r="BK5" s="787"/>
      <c r="BL5" s="739"/>
      <c r="BM5" s="739"/>
      <c r="BN5" s="739"/>
      <c r="BO5" s="783"/>
      <c r="BP5" s="785"/>
    </row>
    <row r="6" spans="1:69" ht="9" customHeight="1">
      <c r="A6" s="480"/>
      <c r="B6" s="480"/>
      <c r="C6" s="480"/>
      <c r="D6" s="480"/>
      <c r="E6" s="480"/>
      <c r="F6" s="480"/>
      <c r="G6" s="480"/>
      <c r="H6" s="480"/>
      <c r="I6" s="480"/>
      <c r="J6" s="480"/>
      <c r="K6" s="480"/>
      <c r="L6" s="480"/>
      <c r="M6" s="481"/>
      <c r="N6" s="556"/>
      <c r="O6" s="557"/>
      <c r="AL6" s="739"/>
      <c r="AM6" s="739"/>
      <c r="AN6" s="739"/>
      <c r="AO6" s="739"/>
      <c r="AP6" s="739"/>
      <c r="AQ6" s="739"/>
      <c r="AR6" s="739"/>
      <c r="AS6" s="739"/>
      <c r="AT6" s="739"/>
      <c r="AV6" s="739"/>
      <c r="AW6" s="739"/>
      <c r="AX6" s="739"/>
      <c r="AY6" s="739"/>
      <c r="AZ6" s="787"/>
      <c r="BA6" s="746"/>
      <c r="BB6" s="744"/>
      <c r="BC6" s="747"/>
      <c r="BD6" s="739"/>
      <c r="BE6" s="739"/>
      <c r="BF6" s="739"/>
      <c r="BG6" s="739"/>
      <c r="BH6" s="739"/>
      <c r="BI6" s="739"/>
      <c r="BJ6" s="739"/>
      <c r="BK6" s="787"/>
      <c r="BL6" s="739"/>
      <c r="BM6" s="739"/>
      <c r="BN6" s="739"/>
      <c r="BO6" s="783"/>
      <c r="BP6" s="785"/>
    </row>
    <row r="7" spans="1:69" ht="18" customHeight="1">
      <c r="A7" s="789" t="s">
        <v>17</v>
      </c>
      <c r="B7" s="789"/>
      <c r="C7" s="482"/>
      <c r="D7" s="751" t="e">
        <f>#REF!</f>
        <v>#REF!</v>
      </c>
      <c r="E7" s="751"/>
      <c r="F7" s="751"/>
      <c r="G7" s="751"/>
      <c r="H7" s="751"/>
      <c r="I7" s="751"/>
      <c r="J7" s="751"/>
      <c r="K7" s="751"/>
      <c r="L7" s="751"/>
      <c r="M7" s="751"/>
      <c r="N7" s="751"/>
      <c r="O7" s="751"/>
      <c r="P7" s="141" t="e">
        <f>#REF!</f>
        <v>#REF!</v>
      </c>
      <c r="Q7" s="262" t="s">
        <v>51</v>
      </c>
      <c r="AL7" s="739"/>
      <c r="AM7" s="739"/>
      <c r="AN7" s="739"/>
      <c r="AO7" s="739"/>
      <c r="AP7" s="739"/>
      <c r="AQ7" s="739"/>
      <c r="AR7" s="739"/>
      <c r="AS7" s="739"/>
      <c r="AT7" s="739"/>
      <c r="AV7" s="739"/>
      <c r="AW7" s="739"/>
      <c r="AX7" s="739"/>
      <c r="AY7" s="739"/>
      <c r="AZ7" s="787"/>
      <c r="BA7" s="739"/>
      <c r="BB7" s="742" t="s">
        <v>52</v>
      </c>
      <c r="BC7" s="739"/>
      <c r="BD7" s="739"/>
      <c r="BE7" s="739"/>
      <c r="BF7" s="739"/>
      <c r="BG7" s="739"/>
      <c r="BH7" s="739"/>
      <c r="BI7" s="739"/>
      <c r="BJ7" s="739"/>
      <c r="BK7" s="787"/>
      <c r="BL7" s="739"/>
      <c r="BM7" s="739"/>
      <c r="BN7" s="739"/>
      <c r="BO7" s="783"/>
      <c r="BP7" s="785"/>
    </row>
    <row r="8" spans="1:69">
      <c r="A8" s="789"/>
      <c r="B8" s="789"/>
      <c r="C8" s="482"/>
      <c r="D8" s="751"/>
      <c r="E8" s="751"/>
      <c r="F8" s="751"/>
      <c r="G8" s="751"/>
      <c r="H8" s="751"/>
      <c r="I8" s="751"/>
      <c r="J8" s="751"/>
      <c r="K8" s="751"/>
      <c r="L8" s="751"/>
      <c r="M8" s="751"/>
      <c r="N8" s="751"/>
      <c r="O8" s="751"/>
      <c r="Q8" s="263"/>
      <c r="AL8" s="739"/>
      <c r="AM8" s="739"/>
      <c r="AN8" s="739"/>
      <c r="AO8" s="739"/>
      <c r="AP8" s="739"/>
      <c r="AQ8" s="739"/>
      <c r="AR8" s="739"/>
      <c r="AS8" s="739"/>
      <c r="AT8" s="739"/>
      <c r="AV8" s="739"/>
      <c r="AW8" s="739"/>
      <c r="AX8" s="739"/>
      <c r="AY8" s="739"/>
      <c r="AZ8" s="787"/>
      <c r="BA8" s="739"/>
      <c r="BB8" s="743"/>
      <c r="BC8" s="739"/>
      <c r="BD8" s="739"/>
      <c r="BE8" s="739"/>
      <c r="BF8" s="739"/>
      <c r="BG8" s="739"/>
      <c r="BH8" s="739"/>
      <c r="BI8" s="739"/>
      <c r="BJ8" s="739"/>
      <c r="BK8" s="787"/>
      <c r="BL8" s="739"/>
      <c r="BM8" s="739"/>
      <c r="BN8" s="739"/>
      <c r="BO8" s="783"/>
      <c r="BP8" s="785"/>
    </row>
    <row r="9" spans="1:69" ht="15.75" customHeight="1">
      <c r="A9" s="789"/>
      <c r="B9" s="789"/>
      <c r="C9" s="482"/>
      <c r="D9" s="751"/>
      <c r="E9" s="751"/>
      <c r="F9" s="751"/>
      <c r="G9" s="751"/>
      <c r="H9" s="751"/>
      <c r="I9" s="751"/>
      <c r="J9" s="751"/>
      <c r="K9" s="751"/>
      <c r="L9" s="751"/>
      <c r="M9" s="751"/>
      <c r="N9" s="751"/>
      <c r="O9" s="751"/>
      <c r="P9" s="141" t="e">
        <f>#REF!</f>
        <v>#REF!</v>
      </c>
      <c r="Q9" s="262" t="s">
        <v>53</v>
      </c>
      <c r="AL9" s="739"/>
      <c r="AM9" s="739"/>
      <c r="AN9" s="739"/>
      <c r="AO9" s="739"/>
      <c r="AP9" s="739"/>
      <c r="AQ9" s="739"/>
      <c r="AR9" s="739"/>
      <c r="AS9" s="739"/>
      <c r="AT9" s="739"/>
      <c r="AV9" s="739"/>
      <c r="AW9" s="739"/>
      <c r="AX9" s="739"/>
      <c r="AY9" s="739"/>
      <c r="AZ9" s="787"/>
      <c r="BA9" s="739"/>
      <c r="BB9" s="743"/>
      <c r="BC9" s="739"/>
      <c r="BD9" s="739"/>
      <c r="BE9" s="739"/>
      <c r="BF9" s="739"/>
      <c r="BG9" s="739"/>
      <c r="BH9" s="739"/>
      <c r="BI9" s="739"/>
      <c r="BJ9" s="739"/>
      <c r="BK9" s="787"/>
      <c r="BL9" s="739"/>
      <c r="BM9" s="739"/>
      <c r="BN9" s="739"/>
      <c r="BO9" s="783"/>
      <c r="BP9" s="785"/>
    </row>
    <row r="10" spans="1:69" ht="19.5" customHeight="1">
      <c r="A10" s="789"/>
      <c r="B10" s="789"/>
      <c r="C10" s="482"/>
      <c r="D10" s="559" t="str">
        <f>IF(P2=0.4,"Проектная документация","Рабочая документация")</f>
        <v>Проектная документация</v>
      </c>
      <c r="E10" s="560"/>
      <c r="F10" s="561"/>
      <c r="G10" s="561"/>
      <c r="H10" s="561"/>
      <c r="I10" s="561"/>
      <c r="J10" s="561"/>
      <c r="K10" s="561"/>
      <c r="L10" s="561"/>
      <c r="M10" s="561"/>
      <c r="N10" s="556"/>
      <c r="O10" s="557"/>
      <c r="AL10" s="739"/>
      <c r="AM10" s="739"/>
      <c r="AN10" s="739"/>
      <c r="AO10" s="739"/>
      <c r="AP10" s="739"/>
      <c r="AQ10" s="739"/>
      <c r="AR10" s="739"/>
      <c r="AS10" s="739"/>
      <c r="AT10" s="739"/>
      <c r="AV10" s="739"/>
      <c r="AW10" s="739"/>
      <c r="AX10" s="739"/>
      <c r="AY10" s="739"/>
      <c r="AZ10" s="787"/>
      <c r="BA10" s="739"/>
      <c r="BB10" s="744"/>
      <c r="BC10" s="739"/>
      <c r="BD10" s="739"/>
      <c r="BE10" s="739"/>
      <c r="BF10" s="739"/>
      <c r="BG10" s="739"/>
      <c r="BH10" s="739"/>
      <c r="BI10" s="739"/>
      <c r="BJ10" s="739"/>
      <c r="BK10" s="787"/>
      <c r="BL10" s="739"/>
      <c r="BM10" s="739"/>
      <c r="BN10" s="739"/>
      <c r="BO10" s="783"/>
      <c r="BP10" s="785"/>
    </row>
    <row r="11" spans="1:69" ht="6.75" customHeight="1">
      <c r="A11" s="482"/>
      <c r="B11" s="482"/>
      <c r="C11" s="482"/>
      <c r="D11" s="559" t="s">
        <v>197</v>
      </c>
      <c r="E11" s="482"/>
      <c r="F11" s="482"/>
      <c r="G11" s="482"/>
      <c r="H11" s="482"/>
      <c r="I11" s="482"/>
      <c r="J11" s="482"/>
      <c r="K11" s="482"/>
      <c r="L11" s="488"/>
      <c r="M11" s="483"/>
      <c r="N11" s="556"/>
      <c r="O11" s="557"/>
      <c r="S11" s="6" t="s">
        <v>197</v>
      </c>
      <c r="AL11" s="739"/>
      <c r="AM11" s="739"/>
      <c r="AN11" s="739"/>
      <c r="AO11" s="739"/>
      <c r="AP11" s="739"/>
      <c r="AQ11" s="739"/>
      <c r="AR11" s="739"/>
      <c r="AS11" s="739"/>
      <c r="AT11" s="739"/>
      <c r="AV11" s="739"/>
      <c r="AW11" s="739"/>
      <c r="AX11" s="739"/>
      <c r="AY11" s="739"/>
      <c r="AZ11" s="787"/>
      <c r="BA11" s="739"/>
      <c r="BB11" s="787" t="s">
        <v>54</v>
      </c>
      <c r="BC11" s="739"/>
      <c r="BD11" s="739"/>
      <c r="BE11" s="739"/>
      <c r="BF11" s="739"/>
      <c r="BG11" s="739"/>
      <c r="BH11" s="739"/>
      <c r="BI11" s="739"/>
      <c r="BJ11" s="739"/>
      <c r="BK11" s="787"/>
      <c r="BL11" s="739"/>
      <c r="BM11" s="739"/>
      <c r="BN11" s="739"/>
      <c r="BO11" s="783"/>
      <c r="BP11" s="785"/>
    </row>
    <row r="12" spans="1:69" ht="12" customHeight="1">
      <c r="A12" s="480"/>
      <c r="B12" s="480"/>
      <c r="C12" s="480"/>
      <c r="D12" s="482"/>
      <c r="E12" s="483"/>
      <c r="F12" s="482"/>
      <c r="G12" s="482"/>
      <c r="H12" s="482"/>
      <c r="I12" s="482"/>
      <c r="J12" s="482"/>
      <c r="K12" s="482"/>
      <c r="L12" s="482"/>
      <c r="M12" s="483"/>
      <c r="N12" s="556"/>
      <c r="O12" s="557"/>
      <c r="AL12" s="739"/>
      <c r="AM12" s="739"/>
      <c r="AN12" s="739"/>
      <c r="AO12" s="739"/>
      <c r="AP12" s="739"/>
      <c r="AQ12" s="739"/>
      <c r="AR12" s="739"/>
      <c r="AS12" s="739"/>
      <c r="AT12" s="739"/>
      <c r="AV12" s="739"/>
      <c r="AW12" s="739"/>
      <c r="AX12" s="739"/>
      <c r="AY12" s="739"/>
      <c r="AZ12" s="787"/>
      <c r="BA12" s="739"/>
      <c r="BB12" s="787"/>
      <c r="BC12" s="739"/>
      <c r="BD12" s="739"/>
      <c r="BE12" s="739"/>
      <c r="BF12" s="739"/>
      <c r="BG12" s="739"/>
      <c r="BH12" s="739"/>
      <c r="BI12" s="739"/>
      <c r="BJ12" s="739"/>
      <c r="BK12" s="787"/>
      <c r="BL12" s="739"/>
      <c r="BM12" s="739"/>
      <c r="BN12" s="739"/>
      <c r="BO12" s="783"/>
      <c r="BP12" s="785"/>
    </row>
    <row r="13" spans="1:69" ht="15.75" customHeight="1">
      <c r="A13" s="482" t="s">
        <v>201</v>
      </c>
      <c r="B13" s="482"/>
      <c r="C13" s="482"/>
      <c r="D13" s="562" t="e">
        <f>#REF!</f>
        <v>#REF!</v>
      </c>
      <c r="E13" s="559"/>
      <c r="F13" s="534"/>
      <c r="G13" s="534"/>
      <c r="H13" s="534"/>
      <c r="I13" s="534"/>
      <c r="J13" s="534"/>
      <c r="K13" s="534"/>
      <c r="L13" s="488"/>
      <c r="M13" s="563"/>
      <c r="N13" s="556"/>
      <c r="O13" s="557"/>
      <c r="AL13" s="739"/>
      <c r="AM13" s="739"/>
      <c r="AN13" s="739"/>
      <c r="AO13" s="739"/>
      <c r="AP13" s="739"/>
      <c r="AQ13" s="739"/>
      <c r="AR13" s="739"/>
      <c r="AS13" s="739"/>
      <c r="AT13" s="739"/>
      <c r="AV13" s="739"/>
      <c r="AW13" s="739"/>
      <c r="AX13" s="739"/>
      <c r="AY13" s="739"/>
      <c r="AZ13" s="787"/>
      <c r="BA13" s="739"/>
      <c r="BB13" s="787"/>
      <c r="BC13" s="739"/>
      <c r="BD13" s="739"/>
      <c r="BE13" s="739"/>
      <c r="BF13" s="739"/>
      <c r="BG13" s="739"/>
      <c r="BH13" s="739"/>
      <c r="BI13" s="739"/>
      <c r="BJ13" s="739"/>
      <c r="BK13" s="787"/>
      <c r="BL13" s="739"/>
      <c r="BM13" s="739"/>
      <c r="BN13" s="739"/>
      <c r="BO13" s="783"/>
      <c r="BP13" s="785"/>
    </row>
    <row r="14" spans="1:69" ht="6" customHeight="1">
      <c r="A14" s="482"/>
      <c r="B14" s="482"/>
      <c r="C14" s="482"/>
      <c r="D14" s="559"/>
      <c r="E14" s="559"/>
      <c r="F14" s="534"/>
      <c r="G14" s="534"/>
      <c r="H14" s="534"/>
      <c r="I14" s="534"/>
      <c r="J14" s="534"/>
      <c r="K14" s="534"/>
      <c r="L14" s="488"/>
      <c r="M14" s="563"/>
      <c r="N14" s="556"/>
      <c r="O14" s="557"/>
      <c r="AL14" s="739"/>
      <c r="AM14" s="739"/>
      <c r="AN14" s="739"/>
      <c r="AO14" s="739"/>
      <c r="AP14" s="739"/>
      <c r="AQ14" s="739"/>
      <c r="AR14" s="739"/>
      <c r="AS14" s="739"/>
      <c r="AT14" s="739"/>
      <c r="AV14" s="739"/>
      <c r="AW14" s="739"/>
      <c r="AX14" s="739"/>
      <c r="AY14" s="739"/>
      <c r="AZ14" s="787"/>
      <c r="BA14" s="739"/>
      <c r="BB14" s="787"/>
      <c r="BC14" s="739"/>
      <c r="BD14" s="739"/>
      <c r="BE14" s="739"/>
      <c r="BF14" s="739"/>
      <c r="BG14" s="739"/>
      <c r="BH14" s="739"/>
      <c r="BI14" s="739"/>
      <c r="BJ14" s="739"/>
      <c r="BK14" s="787"/>
      <c r="BL14" s="739"/>
      <c r="BM14" s="739"/>
      <c r="BN14" s="739"/>
      <c r="BO14" s="783"/>
      <c r="BP14" s="785"/>
    </row>
    <row r="15" spans="1:69" ht="15.75" customHeight="1">
      <c r="A15" s="482" t="s">
        <v>202</v>
      </c>
      <c r="B15" s="482"/>
      <c r="C15" s="482"/>
      <c r="D15" s="562" t="e">
        <f>#REF!</f>
        <v>#REF!</v>
      </c>
      <c r="E15" s="559"/>
      <c r="F15" s="534"/>
      <c r="G15" s="534"/>
      <c r="H15" s="534"/>
      <c r="I15" s="534"/>
      <c r="J15" s="534"/>
      <c r="K15" s="534"/>
      <c r="L15" s="488"/>
      <c r="M15" s="563"/>
      <c r="N15" s="556"/>
      <c r="O15" s="557"/>
      <c r="AL15" s="739"/>
      <c r="AM15" s="739"/>
      <c r="AN15" s="739"/>
      <c r="AO15" s="739"/>
      <c r="AP15" s="739"/>
      <c r="AQ15" s="739"/>
      <c r="AR15" s="739"/>
      <c r="AS15" s="739"/>
      <c r="AT15" s="739"/>
      <c r="AV15" s="739"/>
      <c r="AW15" s="739"/>
      <c r="AX15" s="739"/>
      <c r="AY15" s="739"/>
      <c r="AZ15" s="787"/>
      <c r="BA15" s="739"/>
      <c r="BB15" s="787"/>
      <c r="BC15" s="739"/>
      <c r="BD15" s="739"/>
      <c r="BE15" s="739"/>
      <c r="BF15" s="739"/>
      <c r="BG15" s="739"/>
      <c r="BH15" s="739"/>
      <c r="BI15" s="739"/>
      <c r="BJ15" s="739"/>
      <c r="BK15" s="787"/>
      <c r="BL15" s="739"/>
      <c r="BM15" s="739"/>
      <c r="BN15" s="739"/>
      <c r="BO15" s="783"/>
      <c r="BP15" s="785"/>
    </row>
    <row r="16" spans="1:69" ht="12" customHeight="1">
      <c r="A16" s="480"/>
      <c r="B16" s="480"/>
      <c r="C16" s="480"/>
      <c r="D16" s="482"/>
      <c r="E16" s="483"/>
      <c r="F16" s="482"/>
      <c r="G16" s="482"/>
      <c r="H16" s="482"/>
      <c r="I16" s="482"/>
      <c r="J16" s="482"/>
      <c r="K16" s="482"/>
      <c r="L16" s="482"/>
      <c r="M16" s="483"/>
      <c r="N16" s="556"/>
      <c r="O16" s="557"/>
      <c r="AL16" s="739"/>
      <c r="AM16" s="739"/>
      <c r="AN16" s="739"/>
      <c r="AO16" s="739"/>
      <c r="AP16" s="739"/>
      <c r="AQ16" s="739"/>
      <c r="AR16" s="739"/>
      <c r="AS16" s="739"/>
      <c r="AT16" s="739"/>
      <c r="AV16" s="739"/>
      <c r="AW16" s="739"/>
      <c r="AX16" s="739"/>
      <c r="AY16" s="739"/>
      <c r="AZ16" s="787"/>
      <c r="BA16" s="739"/>
      <c r="BB16" s="787"/>
      <c r="BC16" s="739"/>
      <c r="BD16" s="739"/>
      <c r="BE16" s="739"/>
      <c r="BF16" s="739"/>
      <c r="BG16" s="739"/>
      <c r="BH16" s="739"/>
      <c r="BI16" s="739"/>
      <c r="BJ16" s="739"/>
      <c r="BK16" s="787"/>
      <c r="BL16" s="739"/>
      <c r="BM16" s="739"/>
      <c r="BN16" s="739"/>
      <c r="BO16" s="783"/>
      <c r="BP16" s="785"/>
    </row>
    <row r="17" spans="1:85" ht="15.75" customHeight="1">
      <c r="A17" s="769" t="s">
        <v>212</v>
      </c>
      <c r="B17" s="777" t="s">
        <v>15</v>
      </c>
      <c r="C17" s="752" t="s">
        <v>16</v>
      </c>
      <c r="D17" s="753"/>
      <c r="E17" s="754"/>
      <c r="F17" s="752" t="s">
        <v>317</v>
      </c>
      <c r="G17" s="753"/>
      <c r="H17" s="753"/>
      <c r="I17" s="753"/>
      <c r="J17" s="753"/>
      <c r="K17" s="753"/>
      <c r="L17" s="754"/>
      <c r="M17" s="752" t="s">
        <v>318</v>
      </c>
      <c r="N17" s="753"/>
      <c r="O17" s="754"/>
      <c r="AL17" s="739"/>
      <c r="AM17" s="739"/>
      <c r="AN17" s="739"/>
      <c r="AO17" s="739"/>
      <c r="AP17" s="739"/>
      <c r="AQ17" s="739"/>
      <c r="AR17" s="739"/>
      <c r="AS17" s="739"/>
      <c r="AT17" s="739"/>
      <c r="AV17" s="739"/>
      <c r="AW17" s="739"/>
      <c r="AX17" s="739"/>
      <c r="AY17" s="739"/>
      <c r="AZ17" s="787"/>
      <c r="BA17" s="739"/>
      <c r="BB17" s="787"/>
      <c r="BC17" s="739"/>
      <c r="BD17" s="739"/>
      <c r="BE17" s="739"/>
      <c r="BF17" s="739"/>
      <c r="BG17" s="739"/>
      <c r="BH17" s="739"/>
      <c r="BI17" s="739"/>
      <c r="BJ17" s="739"/>
      <c r="BK17" s="787"/>
      <c r="BL17" s="739"/>
      <c r="BM17" s="739"/>
      <c r="BN17" s="739"/>
      <c r="BO17" s="783"/>
      <c r="BP17" s="785"/>
    </row>
    <row r="18" spans="1:85">
      <c r="A18" s="770"/>
      <c r="B18" s="778"/>
      <c r="C18" s="780"/>
      <c r="D18" s="781"/>
      <c r="E18" s="782"/>
      <c r="F18" s="780"/>
      <c r="G18" s="781"/>
      <c r="H18" s="781"/>
      <c r="I18" s="781"/>
      <c r="J18" s="781"/>
      <c r="K18" s="781"/>
      <c r="L18" s="782"/>
      <c r="M18" s="755"/>
      <c r="N18" s="756"/>
      <c r="O18" s="757"/>
      <c r="AL18" s="739"/>
      <c r="AM18" s="739"/>
      <c r="AN18" s="739"/>
      <c r="AO18" s="739"/>
      <c r="AP18" s="739"/>
      <c r="AQ18" s="739"/>
      <c r="AR18" s="739"/>
      <c r="AS18" s="739"/>
      <c r="AT18" s="739"/>
      <c r="AV18" s="739"/>
      <c r="AW18" s="739"/>
      <c r="AX18" s="739"/>
      <c r="AY18" s="739"/>
      <c r="AZ18" s="787"/>
      <c r="BA18" s="739"/>
      <c r="BB18" s="787"/>
      <c r="BC18" s="739"/>
      <c r="BD18" s="739"/>
      <c r="BE18" s="739"/>
      <c r="BF18" s="739"/>
      <c r="BG18" s="739"/>
      <c r="BH18" s="739"/>
      <c r="BI18" s="739"/>
      <c r="BJ18" s="739"/>
      <c r="BK18" s="787"/>
      <c r="BL18" s="739"/>
      <c r="BM18" s="739"/>
      <c r="BN18" s="739"/>
      <c r="BO18" s="783"/>
      <c r="BP18" s="785"/>
    </row>
    <row r="19" spans="1:85">
      <c r="A19" s="770"/>
      <c r="B19" s="778"/>
      <c r="C19" s="780"/>
      <c r="D19" s="781"/>
      <c r="E19" s="782"/>
      <c r="F19" s="780"/>
      <c r="G19" s="781"/>
      <c r="H19" s="781"/>
      <c r="I19" s="781"/>
      <c r="J19" s="781"/>
      <c r="K19" s="781"/>
      <c r="L19" s="782"/>
      <c r="M19" s="758" t="s">
        <v>0</v>
      </c>
      <c r="N19" s="758" t="s">
        <v>200</v>
      </c>
      <c r="O19" s="758" t="s">
        <v>319</v>
      </c>
      <c r="AL19" s="739"/>
      <c r="AM19" s="739"/>
      <c r="AN19" s="739"/>
      <c r="AO19" s="739"/>
      <c r="AP19" s="739"/>
      <c r="AQ19" s="739"/>
      <c r="AR19" s="739"/>
      <c r="AS19" s="739"/>
      <c r="AT19" s="739"/>
      <c r="AV19" s="739"/>
      <c r="AW19" s="739"/>
      <c r="AX19" s="739"/>
      <c r="AY19" s="739"/>
      <c r="AZ19" s="787"/>
      <c r="BA19" s="739"/>
      <c r="BB19" s="787"/>
      <c r="BC19" s="739"/>
      <c r="BD19" s="739"/>
      <c r="BE19" s="739"/>
      <c r="BF19" s="739"/>
      <c r="BG19" s="739"/>
      <c r="BH19" s="739"/>
      <c r="BI19" s="739"/>
      <c r="BJ19" s="739"/>
      <c r="BK19" s="787"/>
      <c r="BL19" s="739"/>
      <c r="BM19" s="739"/>
      <c r="BN19" s="739"/>
      <c r="BO19" s="783"/>
      <c r="BP19" s="785"/>
      <c r="BS19" s="776" t="s">
        <v>178</v>
      </c>
      <c r="BT19" s="776"/>
      <c r="BU19" s="776" t="str">
        <f>O19</f>
        <v>ООС (ОВОС)</v>
      </c>
      <c r="BV19" s="776"/>
    </row>
    <row r="20" spans="1:85">
      <c r="A20" s="771"/>
      <c r="B20" s="779"/>
      <c r="C20" s="755"/>
      <c r="D20" s="756"/>
      <c r="E20" s="757"/>
      <c r="F20" s="755"/>
      <c r="G20" s="756"/>
      <c r="H20" s="756"/>
      <c r="I20" s="756"/>
      <c r="J20" s="756"/>
      <c r="K20" s="756"/>
      <c r="L20" s="757"/>
      <c r="M20" s="759"/>
      <c r="N20" s="759"/>
      <c r="O20" s="759"/>
      <c r="AL20" s="739"/>
      <c r="AM20" s="739"/>
      <c r="AN20" s="739"/>
      <c r="AO20" s="739"/>
      <c r="AP20" s="739"/>
      <c r="AQ20" s="739"/>
      <c r="AR20" s="739"/>
      <c r="AS20" s="739"/>
      <c r="AT20" s="739"/>
      <c r="AV20" s="739"/>
      <c r="AW20" s="739"/>
      <c r="AX20" s="739"/>
      <c r="AY20" s="739"/>
      <c r="AZ20" s="788"/>
      <c r="BA20" s="739"/>
      <c r="BB20" s="788"/>
      <c r="BC20" s="739"/>
      <c r="BD20" s="739"/>
      <c r="BE20" s="739"/>
      <c r="BF20" s="739"/>
      <c r="BG20" s="739"/>
      <c r="BH20" s="739"/>
      <c r="BI20" s="739"/>
      <c r="BJ20" s="739"/>
      <c r="BK20" s="788"/>
      <c r="BL20" s="739"/>
      <c r="BM20" s="739"/>
      <c r="BN20" s="739"/>
      <c r="BO20" s="783"/>
      <c r="BP20" s="786"/>
      <c r="BS20" s="67">
        <v>2001</v>
      </c>
      <c r="BT20" s="67">
        <v>1995</v>
      </c>
      <c r="BU20" s="67">
        <v>2001</v>
      </c>
      <c r="BV20" s="67">
        <v>1995</v>
      </c>
    </row>
    <row r="21" spans="1:85" s="9" customFormat="1">
      <c r="A21" s="535">
        <v>1</v>
      </c>
      <c r="B21" s="223">
        <v>2</v>
      </c>
      <c r="C21" s="762">
        <v>3</v>
      </c>
      <c r="D21" s="763"/>
      <c r="E21" s="763"/>
      <c r="F21" s="762">
        <v>4</v>
      </c>
      <c r="G21" s="763"/>
      <c r="H21" s="763"/>
      <c r="I21" s="763"/>
      <c r="J21" s="763"/>
      <c r="K21" s="763"/>
      <c r="L21" s="764"/>
      <c r="M21" s="223">
        <v>5</v>
      </c>
      <c r="N21" s="6"/>
      <c r="O21" s="21"/>
      <c r="P21" s="6"/>
      <c r="Q21" s="6"/>
      <c r="R21" s="6"/>
      <c r="S21" s="6"/>
      <c r="T21" s="6"/>
      <c r="U21" s="6"/>
      <c r="V21" s="6"/>
      <c r="W21" s="6"/>
      <c r="X21" s="6"/>
      <c r="Y21" s="6"/>
      <c r="Z21" s="6"/>
      <c r="AA21" s="6"/>
      <c r="AB21" s="6"/>
      <c r="AC21" s="6"/>
      <c r="AD21" s="6"/>
      <c r="AE21" s="6"/>
      <c r="AF21" s="6"/>
      <c r="AG21" s="6"/>
      <c r="AH21" s="6"/>
      <c r="AI21" s="6"/>
      <c r="AJ21" s="6"/>
      <c r="AK21" s="6"/>
      <c r="AL21" s="67"/>
      <c r="AM21" s="67"/>
      <c r="AN21" s="67"/>
      <c r="AO21" s="67"/>
      <c r="AP21" s="67"/>
      <c r="AQ21" s="67"/>
      <c r="AR21" s="67"/>
      <c r="AS21" s="67"/>
      <c r="AT21" s="67"/>
      <c r="AU21" s="6"/>
      <c r="AV21" s="67"/>
      <c r="AW21" s="67"/>
      <c r="AX21" s="67"/>
      <c r="AY21" s="67"/>
      <c r="AZ21" s="67"/>
      <c r="BA21" s="67"/>
      <c r="BB21" s="67"/>
      <c r="BC21" s="67"/>
      <c r="BD21" s="67"/>
      <c r="BE21" s="67"/>
      <c r="BF21" s="67"/>
      <c r="BG21" s="67"/>
      <c r="BH21" s="67"/>
      <c r="BI21" s="67"/>
      <c r="BJ21" s="67"/>
      <c r="BK21" s="67"/>
      <c r="BL21" s="67"/>
      <c r="BM21" s="67"/>
      <c r="BN21" s="67"/>
      <c r="BO21" s="67"/>
      <c r="BP21" s="67"/>
      <c r="BQ21" s="6"/>
      <c r="BR21" s="6"/>
      <c r="BS21" s="570"/>
      <c r="BT21" s="570"/>
      <c r="BU21" s="570"/>
      <c r="BV21" s="570"/>
      <c r="BW21" s="6"/>
      <c r="BX21" s="6"/>
      <c r="BY21" s="6"/>
      <c r="BZ21" s="6"/>
      <c r="CA21" s="6"/>
      <c r="CB21" s="6"/>
      <c r="CC21" s="6"/>
      <c r="CD21" s="6"/>
      <c r="CE21" s="6"/>
      <c r="CF21" s="6"/>
    </row>
    <row r="22" spans="1:85" s="10" customFormat="1" ht="18" customHeight="1">
      <c r="A22" s="224"/>
      <c r="B22" s="225" t="s">
        <v>314</v>
      </c>
      <c r="C22" s="226"/>
      <c r="D22" s="226"/>
      <c r="E22" s="226"/>
      <c r="F22" s="227"/>
      <c r="G22" s="227"/>
      <c r="H22" s="227"/>
      <c r="I22" s="227"/>
      <c r="J22" s="227"/>
      <c r="K22" s="227"/>
      <c r="L22" s="228"/>
      <c r="M22" s="229"/>
      <c r="N22" s="55"/>
      <c r="O22" s="68"/>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571"/>
      <c r="BT22" s="571"/>
      <c r="BU22" s="571"/>
      <c r="BV22" s="571"/>
      <c r="BW22" s="11"/>
      <c r="BX22" s="11"/>
      <c r="BY22" s="11"/>
      <c r="BZ22" s="11"/>
      <c r="CA22" s="11"/>
      <c r="CB22" s="11"/>
      <c r="CC22" s="11"/>
      <c r="CD22" s="11"/>
      <c r="CE22" s="11"/>
      <c r="CF22" s="11"/>
    </row>
    <row r="23" spans="1:85" s="10" customFormat="1" ht="44.25" customHeight="1">
      <c r="A23" s="537"/>
      <c r="B23" s="538" t="s">
        <v>320</v>
      </c>
      <c r="C23" s="539"/>
      <c r="D23" s="540"/>
      <c r="E23" s="541">
        <v>0.8</v>
      </c>
      <c r="F23" s="760"/>
      <c r="G23" s="761"/>
      <c r="H23" s="542"/>
      <c r="I23" s="543"/>
      <c r="J23" s="544"/>
      <c r="K23" s="544"/>
      <c r="L23" s="545"/>
      <c r="M23" s="546">
        <f>M22*E23</f>
        <v>0</v>
      </c>
      <c r="N23" s="546">
        <f>N22*E23</f>
        <v>0</v>
      </c>
      <c r="O23" s="547">
        <f>O22*E23</f>
        <v>0</v>
      </c>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506"/>
      <c r="BR23" s="506"/>
      <c r="BS23" s="548"/>
      <c r="BT23" s="548"/>
      <c r="BU23" s="548"/>
      <c r="BV23" s="548"/>
      <c r="BW23" s="548"/>
      <c r="BX23" s="548"/>
      <c r="BY23" s="11"/>
      <c r="BZ23" s="11"/>
      <c r="CA23" s="11"/>
      <c r="CB23" s="11"/>
      <c r="CC23" s="11"/>
      <c r="CD23" s="11"/>
      <c r="CE23" s="11"/>
      <c r="CF23" s="11"/>
      <c r="CG23" s="11"/>
    </row>
    <row r="24" spans="1:85" s="10" customFormat="1" ht="54.75" customHeight="1">
      <c r="A24" s="537"/>
      <c r="B24" s="538" t="s">
        <v>321</v>
      </c>
      <c r="C24" s="539"/>
      <c r="D24" s="540"/>
      <c r="E24" s="549">
        <v>0.85</v>
      </c>
      <c r="F24" s="760"/>
      <c r="G24" s="761"/>
      <c r="H24" s="542"/>
      <c r="I24" s="543"/>
      <c r="J24" s="544"/>
      <c r="K24" s="544"/>
      <c r="L24" s="545"/>
      <c r="M24" s="546">
        <f>M23*E24</f>
        <v>0</v>
      </c>
      <c r="N24" s="546">
        <f>N23*E24</f>
        <v>0</v>
      </c>
      <c r="O24" s="547">
        <f>O23*E24</f>
        <v>0</v>
      </c>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506"/>
      <c r="BR24" s="506"/>
      <c r="BS24" s="548"/>
      <c r="BT24" s="548"/>
      <c r="BU24" s="548"/>
      <c r="BV24" s="548"/>
      <c r="BW24" s="548"/>
      <c r="BX24" s="548"/>
      <c r="BY24" s="11"/>
      <c r="BZ24" s="11"/>
      <c r="CA24" s="11"/>
      <c r="CB24" s="11"/>
      <c r="CC24" s="11"/>
      <c r="CD24" s="11"/>
      <c r="CE24" s="11"/>
      <c r="CF24" s="11"/>
      <c r="CG24" s="11"/>
    </row>
    <row r="25" spans="1:85" s="10" customFormat="1" ht="18" hidden="1" customHeight="1" outlineLevel="1">
      <c r="A25" s="224"/>
      <c r="B25" s="503" t="s">
        <v>313</v>
      </c>
      <c r="C25" s="504"/>
      <c r="D25" s="226"/>
      <c r="E25" s="550">
        <v>1</v>
      </c>
      <c r="F25" s="765"/>
      <c r="G25" s="766"/>
      <c r="H25" s="536"/>
      <c r="I25" s="505"/>
      <c r="J25" s="227"/>
      <c r="K25" s="227"/>
      <c r="L25" s="228"/>
      <c r="M25" s="546">
        <f>M24*E25</f>
        <v>0</v>
      </c>
      <c r="N25" s="546">
        <f>N24*E25</f>
        <v>0</v>
      </c>
      <c r="O25" s="547">
        <f>O24*E25</f>
        <v>0</v>
      </c>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506"/>
      <c r="BR25" s="11"/>
      <c r="BS25" s="11"/>
      <c r="BT25" s="11"/>
      <c r="BU25" s="11"/>
      <c r="BV25" s="11"/>
      <c r="BW25" s="11"/>
      <c r="BX25" s="11"/>
      <c r="BY25" s="11"/>
      <c r="BZ25" s="11"/>
      <c r="CA25" s="11"/>
      <c r="CB25" s="11"/>
      <c r="CC25" s="11"/>
      <c r="CD25" s="11"/>
      <c r="CE25" s="11"/>
      <c r="CF25" s="11"/>
    </row>
    <row r="26" spans="1:85" s="10" customFormat="1" ht="18" customHeight="1" collapsed="1">
      <c r="A26" s="224"/>
      <c r="B26" s="507" t="s">
        <v>205</v>
      </c>
      <c r="C26" s="226"/>
      <c r="D26" s="226"/>
      <c r="E26" s="226"/>
      <c r="F26" s="227"/>
      <c r="G26" s="227"/>
      <c r="H26" s="227"/>
      <c r="I26" s="227"/>
      <c r="J26" s="227"/>
      <c r="K26" s="227"/>
      <c r="L26" s="228"/>
      <c r="M26" s="551">
        <f>M25</f>
        <v>0</v>
      </c>
      <c r="N26" s="551">
        <f>N25</f>
        <v>0</v>
      </c>
      <c r="O26" s="552">
        <f>O25</f>
        <v>0</v>
      </c>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506"/>
      <c r="BR26" s="11"/>
      <c r="BS26" s="11"/>
      <c r="BT26" s="11"/>
      <c r="BU26" s="11"/>
      <c r="BV26" s="11"/>
      <c r="BW26" s="11"/>
      <c r="BX26" s="11"/>
      <c r="BY26" s="11"/>
      <c r="BZ26" s="11"/>
      <c r="CA26" s="11"/>
      <c r="CB26" s="11"/>
      <c r="CC26" s="11"/>
      <c r="CD26" s="11"/>
      <c r="CE26" s="11"/>
      <c r="CF26" s="11"/>
    </row>
    <row r="27" spans="1:85" s="10" customFormat="1" ht="18" customHeight="1">
      <c r="A27" s="553"/>
      <c r="B27" s="554"/>
      <c r="C27" s="555"/>
      <c r="D27" s="555"/>
      <c r="E27" s="555"/>
      <c r="F27" s="553"/>
      <c r="G27" s="553"/>
      <c r="H27" s="553"/>
      <c r="I27" s="553"/>
      <c r="J27" s="553"/>
      <c r="K27" s="553"/>
      <c r="L27" s="553"/>
      <c r="M27" s="772">
        <f>SUM(M26:O26)</f>
        <v>0</v>
      </c>
      <c r="N27" s="773"/>
      <c r="O27" s="774"/>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506"/>
      <c r="BR27" s="11"/>
      <c r="BS27" s="11"/>
      <c r="BT27" s="11"/>
      <c r="BU27" s="11"/>
      <c r="BV27" s="11"/>
      <c r="BW27" s="11"/>
      <c r="BX27" s="11"/>
      <c r="BY27" s="11"/>
      <c r="BZ27" s="11"/>
      <c r="CA27" s="11"/>
      <c r="CB27" s="11"/>
      <c r="CC27" s="11"/>
      <c r="CD27" s="11"/>
      <c r="CE27" s="11"/>
      <c r="CF27" s="11"/>
    </row>
    <row r="28" spans="1:85">
      <c r="A28" s="768" t="str">
        <f ca="1">C250</f>
        <v>рублей 00 копеек</v>
      </c>
      <c r="B28" s="768"/>
      <c r="C28" s="768"/>
      <c r="D28" s="768"/>
      <c r="E28" s="768"/>
      <c r="F28" s="768"/>
      <c r="G28" s="768"/>
      <c r="H28" s="768"/>
      <c r="I28" s="768"/>
      <c r="J28" s="768"/>
      <c r="K28" s="768"/>
      <c r="L28" s="768"/>
      <c r="M28" s="768"/>
      <c r="N28" s="768"/>
      <c r="O28" s="768"/>
      <c r="AL28" s="6"/>
      <c r="AM28" s="6"/>
      <c r="AN28" s="6"/>
      <c r="AO28" s="6"/>
      <c r="AP28" s="6"/>
      <c r="AQ28" s="6"/>
      <c r="AR28" s="6"/>
      <c r="AS28" s="6"/>
      <c r="AT28" s="6"/>
      <c r="AV28" s="6"/>
      <c r="AW28" s="6"/>
      <c r="AX28" s="6"/>
      <c r="AY28" s="6"/>
      <c r="AZ28" s="6"/>
      <c r="BA28" s="6"/>
      <c r="BB28" s="6"/>
      <c r="BC28" s="6"/>
      <c r="BD28" s="6"/>
      <c r="BE28" s="6"/>
      <c r="BF28" s="6"/>
      <c r="BG28" s="6"/>
      <c r="BH28" s="6"/>
      <c r="BI28" s="6"/>
      <c r="BJ28" s="6"/>
      <c r="BK28" s="6"/>
      <c r="BL28" s="6"/>
      <c r="BM28" s="6"/>
      <c r="BN28" s="6"/>
      <c r="BO28" s="6"/>
      <c r="BP28" s="6"/>
    </row>
    <row r="29" spans="1:85">
      <c r="A29" s="767" t="s">
        <v>198</v>
      </c>
      <c r="B29" s="767"/>
      <c r="C29" s="767"/>
      <c r="D29" s="767"/>
      <c r="E29" s="767"/>
      <c r="F29" s="767"/>
      <c r="G29" s="767"/>
      <c r="H29" s="767"/>
      <c r="I29" s="767"/>
      <c r="J29" s="767"/>
      <c r="K29" s="767"/>
      <c r="L29" s="767"/>
      <c r="M29" s="767"/>
      <c r="N29" s="767"/>
      <c r="O29" s="767"/>
      <c r="AL29" s="6"/>
      <c r="AM29" s="6"/>
      <c r="AN29" s="6"/>
      <c r="AO29" s="6"/>
      <c r="AP29" s="6"/>
      <c r="AQ29" s="6"/>
      <c r="AR29" s="6"/>
      <c r="AS29" s="6"/>
      <c r="AT29" s="6"/>
      <c r="AV29" s="6"/>
      <c r="AW29" s="6"/>
      <c r="AX29" s="6"/>
      <c r="AY29" s="6"/>
      <c r="AZ29" s="6"/>
      <c r="BA29" s="6"/>
      <c r="BB29" s="6"/>
      <c r="BC29" s="6"/>
      <c r="BD29" s="6"/>
      <c r="BE29" s="6"/>
      <c r="BF29" s="6"/>
      <c r="BG29" s="6"/>
      <c r="BH29" s="6"/>
      <c r="BI29" s="6"/>
      <c r="BJ29" s="6"/>
      <c r="BK29" s="6"/>
      <c r="BL29" s="6"/>
      <c r="BM29" s="6"/>
      <c r="BN29" s="6"/>
      <c r="BO29" s="6"/>
      <c r="BP29" s="6"/>
    </row>
    <row r="30" spans="1:85" outlineLevel="1">
      <c r="A30" s="480"/>
      <c r="B30" s="480"/>
      <c r="C30" s="480"/>
      <c r="D30" s="480"/>
      <c r="E30" s="480"/>
      <c r="F30" s="480"/>
      <c r="G30" s="480"/>
      <c r="H30" s="480"/>
      <c r="I30" s="480"/>
      <c r="J30" s="480"/>
      <c r="K30" s="480"/>
      <c r="L30" s="480"/>
      <c r="M30" s="481"/>
      <c r="N30" s="556"/>
      <c r="O30" s="557"/>
      <c r="AL30" s="6"/>
      <c r="AM30" s="6"/>
      <c r="AN30" s="6"/>
      <c r="AO30" s="6"/>
      <c r="AP30" s="6"/>
      <c r="AQ30" s="6"/>
      <c r="AR30" s="6"/>
      <c r="AS30" s="6"/>
      <c r="AT30" s="6"/>
      <c r="AV30" s="6"/>
      <c r="AW30" s="6"/>
      <c r="AX30" s="6"/>
      <c r="AY30" s="6"/>
      <c r="AZ30" s="6"/>
      <c r="BA30" s="6"/>
      <c r="BB30" s="6"/>
      <c r="BC30" s="6"/>
      <c r="BD30" s="6"/>
      <c r="BE30" s="6"/>
      <c r="BF30" s="6"/>
      <c r="BG30" s="6"/>
      <c r="BH30" s="6"/>
      <c r="BI30" s="6"/>
      <c r="BJ30" s="6"/>
      <c r="BK30" s="6"/>
      <c r="BL30" s="6"/>
      <c r="BM30" s="6"/>
      <c r="BN30" s="6"/>
      <c r="BO30" s="6"/>
      <c r="BP30" s="6"/>
    </row>
    <row r="31" spans="1:85" s="390" customFormat="1" ht="14.25" customHeight="1" outlineLevel="1">
      <c r="A31" s="748"/>
      <c r="B31" s="748"/>
      <c r="C31" s="748"/>
      <c r="D31" s="748"/>
      <c r="E31" s="748"/>
      <c r="F31" s="748"/>
      <c r="G31" s="748"/>
      <c r="H31" s="748"/>
      <c r="I31" s="482"/>
      <c r="J31" s="482"/>
      <c r="K31" s="482"/>
      <c r="L31" s="482"/>
      <c r="M31" s="483"/>
      <c r="N31" s="482"/>
      <c r="O31" s="483"/>
      <c r="P31" s="230"/>
      <c r="Q31" s="230"/>
      <c r="R31" s="230"/>
      <c r="S31" s="230"/>
      <c r="T31" s="230"/>
      <c r="U31" s="230"/>
      <c r="V31" s="230"/>
      <c r="W31" s="230"/>
      <c r="X31" s="230"/>
      <c r="Y31" s="230"/>
      <c r="Z31" s="230"/>
      <c r="AA31" s="230"/>
      <c r="AB31" s="230"/>
      <c r="AC31" s="230"/>
      <c r="AD31" s="230"/>
      <c r="AE31" s="230"/>
      <c r="AF31" s="230"/>
      <c r="AG31" s="230"/>
      <c r="AH31" s="230"/>
      <c r="AI31" s="230"/>
      <c r="AJ31" s="230"/>
      <c r="AK31" s="230"/>
      <c r="AL31" s="230"/>
      <c r="AM31" s="230"/>
      <c r="AN31" s="230"/>
      <c r="AO31" s="230"/>
      <c r="AP31" s="230"/>
      <c r="AQ31" s="230"/>
      <c r="AR31" s="230"/>
      <c r="AS31" s="230"/>
      <c r="AT31" s="230"/>
      <c r="AU31" s="230"/>
      <c r="AV31" s="230"/>
      <c r="AW31" s="230"/>
      <c r="AX31" s="230"/>
      <c r="AY31" s="230"/>
      <c r="AZ31" s="230"/>
      <c r="BA31" s="230"/>
      <c r="BB31" s="230"/>
      <c r="BC31" s="230"/>
      <c r="BD31" s="230"/>
      <c r="BE31" s="230"/>
      <c r="BF31" s="230"/>
      <c r="BG31" s="230"/>
      <c r="BH31" s="230"/>
      <c r="BI31" s="230"/>
      <c r="BJ31" s="230"/>
      <c r="BK31" s="230"/>
      <c r="BL31" s="230"/>
      <c r="BM31" s="230"/>
      <c r="BN31" s="230"/>
      <c r="BO31" s="230"/>
      <c r="BP31" s="230"/>
      <c r="BQ31" s="230"/>
      <c r="BR31" s="230"/>
      <c r="BS31" s="230"/>
      <c r="BT31" s="230"/>
      <c r="BU31" s="230"/>
      <c r="BV31" s="230"/>
      <c r="BW31" s="230"/>
      <c r="BX31" s="230"/>
      <c r="BY31" s="230"/>
      <c r="BZ31" s="230"/>
      <c r="CA31" s="230"/>
      <c r="CB31" s="230"/>
      <c r="CC31" s="230"/>
      <c r="CD31" s="230"/>
      <c r="CE31" s="230"/>
      <c r="CF31" s="230"/>
    </row>
    <row r="32" spans="1:85" s="18" customFormat="1" ht="15" outlineLevel="1">
      <c r="A32" s="484"/>
      <c r="B32" s="484"/>
      <c r="C32" s="484"/>
      <c r="D32" s="485"/>
      <c r="E32" s="484"/>
      <c r="F32" s="484"/>
      <c r="G32" s="485"/>
      <c r="H32" s="484"/>
      <c r="I32" s="484"/>
      <c r="J32" s="486"/>
      <c r="K32" s="484"/>
      <c r="L32" s="485"/>
      <c r="M32" s="487"/>
      <c r="N32" s="564"/>
      <c r="O32" s="565"/>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row>
    <row r="33" spans="1:84" s="13" customFormat="1" ht="15" outlineLevel="1">
      <c r="A33" s="488" t="e">
        <f>#REF!</f>
        <v>#REF!</v>
      </c>
      <c r="B33" s="488"/>
      <c r="C33" s="488"/>
      <c r="D33" s="488"/>
      <c r="E33" s="488"/>
      <c r="F33" s="488"/>
      <c r="G33" s="488"/>
      <c r="H33" s="488"/>
      <c r="I33" s="488"/>
      <c r="J33" s="488"/>
      <c r="K33" s="488"/>
      <c r="L33" s="488"/>
      <c r="M33" s="489"/>
      <c r="N33" s="488"/>
      <c r="O33" s="489"/>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row>
    <row r="34" spans="1:84" s="13" customFormat="1" ht="16.5" customHeight="1" outlineLevel="1">
      <c r="A34" s="490" t="e">
        <f>D13</f>
        <v>#REF!</v>
      </c>
      <c r="B34" s="491"/>
      <c r="C34" s="491"/>
      <c r="D34" s="491"/>
      <c r="E34" s="491"/>
      <c r="F34" s="533"/>
      <c r="G34" s="491"/>
      <c r="H34" s="491"/>
      <c r="I34" s="749" t="e">
        <f>#REF!</f>
        <v>#REF!</v>
      </c>
      <c r="J34" s="749"/>
      <c r="K34" s="749"/>
      <c r="L34" s="491"/>
      <c r="M34" s="492"/>
      <c r="N34" s="491"/>
      <c r="O34" s="492"/>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row>
    <row r="35" spans="1:84" outlineLevel="1">
      <c r="A35" s="488"/>
      <c r="B35" s="488"/>
      <c r="C35" s="488"/>
      <c r="D35" s="488"/>
      <c r="E35" s="488"/>
      <c r="F35" s="488"/>
      <c r="G35" s="488"/>
      <c r="H35" s="488"/>
      <c r="I35" s="488"/>
      <c r="J35" s="488"/>
      <c r="K35" s="488"/>
      <c r="L35" s="488"/>
      <c r="M35" s="489"/>
      <c r="N35" s="556"/>
      <c r="O35" s="557"/>
      <c r="AL35" s="6"/>
      <c r="AM35" s="6"/>
      <c r="AN35" s="6"/>
      <c r="AO35" s="6"/>
      <c r="AP35" s="6"/>
      <c r="AQ35" s="6"/>
      <c r="AR35" s="6"/>
      <c r="AS35" s="6"/>
      <c r="AT35" s="6"/>
      <c r="AV35" s="6"/>
      <c r="AW35" s="6"/>
      <c r="AX35" s="6"/>
      <c r="AY35" s="6"/>
      <c r="AZ35" s="6"/>
      <c r="BA35" s="6"/>
      <c r="BB35" s="6"/>
      <c r="BC35" s="6"/>
      <c r="BD35" s="6"/>
      <c r="BE35" s="6"/>
      <c r="BF35" s="6"/>
      <c r="BG35" s="6"/>
      <c r="BH35" s="6"/>
      <c r="BI35" s="6"/>
      <c r="BJ35" s="6"/>
      <c r="BK35" s="6"/>
      <c r="BL35" s="6"/>
      <c r="BM35" s="6"/>
      <c r="BN35" s="6"/>
      <c r="BO35" s="6"/>
      <c r="BP35" s="6"/>
    </row>
    <row r="36" spans="1:84" outlineLevel="1">
      <c r="A36" s="493" t="s">
        <v>199</v>
      </c>
      <c r="B36" s="488"/>
      <c r="C36" s="488"/>
      <c r="D36" s="488"/>
      <c r="E36" s="488"/>
      <c r="F36" s="488"/>
      <c r="G36" s="488"/>
      <c r="H36" s="488"/>
      <c r="I36" s="488"/>
      <c r="J36" s="488"/>
      <c r="K36" s="488"/>
      <c r="L36" s="488"/>
      <c r="M36" s="489"/>
      <c r="N36" s="556"/>
      <c r="O36" s="557"/>
      <c r="AL36" s="6"/>
      <c r="AM36" s="6"/>
      <c r="AN36" s="6"/>
      <c r="AO36" s="6"/>
      <c r="AP36" s="6"/>
      <c r="AQ36" s="6"/>
      <c r="AR36" s="6"/>
      <c r="AS36" s="6"/>
      <c r="AT36" s="6"/>
      <c r="AV36" s="6"/>
      <c r="AW36" s="6"/>
      <c r="AX36" s="6"/>
      <c r="AY36" s="6"/>
      <c r="AZ36" s="6"/>
      <c r="BA36" s="6"/>
      <c r="BB36" s="6"/>
      <c r="BC36" s="6"/>
      <c r="BD36" s="6"/>
      <c r="BE36" s="6"/>
      <c r="BF36" s="6"/>
      <c r="BG36" s="6"/>
      <c r="BH36" s="6"/>
      <c r="BI36" s="6"/>
      <c r="BJ36" s="6"/>
      <c r="BK36" s="6"/>
      <c r="BL36" s="6"/>
      <c r="BM36" s="6"/>
      <c r="BN36" s="6"/>
      <c r="BO36" s="6"/>
      <c r="BP36" s="6"/>
    </row>
    <row r="37" spans="1:84" s="16" customFormat="1" ht="18.75" customHeight="1" outlineLevel="1">
      <c r="A37" s="494" t="e">
        <f>#REF!</f>
        <v>#REF!</v>
      </c>
      <c r="B37" s="484"/>
      <c r="C37" s="484"/>
      <c r="D37" s="484"/>
      <c r="E37" s="484"/>
      <c r="F37" s="484"/>
      <c r="G37" s="484"/>
      <c r="H37" s="484"/>
      <c r="I37" s="495"/>
      <c r="J37" s="496"/>
      <c r="K37" s="495"/>
      <c r="L37" s="495"/>
      <c r="M37" s="497"/>
      <c r="N37" s="566"/>
      <c r="O37" s="56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row>
    <row r="38" spans="1:84" s="18" customFormat="1" ht="16.5" outlineLevel="1">
      <c r="A38" s="498" t="e">
        <f>D15</f>
        <v>#REF!</v>
      </c>
      <c r="B38" s="499"/>
      <c r="C38" s="499"/>
      <c r="D38" s="499"/>
      <c r="E38" s="499"/>
      <c r="F38" s="491"/>
      <c r="G38" s="500"/>
      <c r="H38" s="501"/>
      <c r="I38" s="750" t="e">
        <f>#REF!</f>
        <v>#REF!</v>
      </c>
      <c r="J38" s="750"/>
      <c r="K38" s="750"/>
      <c r="L38" s="501"/>
      <c r="M38" s="502"/>
      <c r="N38" s="568"/>
      <c r="O38" s="56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row>
    <row r="39" spans="1:84">
      <c r="A39" s="488"/>
      <c r="B39" s="488"/>
      <c r="C39" s="488"/>
      <c r="D39" s="488"/>
      <c r="E39" s="488"/>
      <c r="F39" s="488"/>
      <c r="G39" s="488"/>
      <c r="H39" s="488"/>
      <c r="I39" s="488"/>
      <c r="J39" s="488"/>
      <c r="K39" s="488"/>
      <c r="L39" s="488"/>
      <c r="M39" s="489"/>
      <c r="N39" s="556"/>
      <c r="O39" s="557"/>
      <c r="AL39" s="6"/>
      <c r="AM39" s="6"/>
      <c r="AN39" s="6"/>
      <c r="AO39" s="6"/>
      <c r="AP39" s="6"/>
      <c r="AQ39" s="6"/>
      <c r="AR39" s="6"/>
      <c r="AS39" s="6"/>
      <c r="AT39" s="6"/>
      <c r="AV39" s="6"/>
      <c r="AW39" s="6"/>
      <c r="AX39" s="6"/>
      <c r="AY39" s="6"/>
      <c r="AZ39" s="6"/>
      <c r="BA39" s="6"/>
      <c r="BB39" s="6"/>
      <c r="BC39" s="6"/>
      <c r="BD39" s="6"/>
      <c r="BE39" s="6"/>
      <c r="BF39" s="6"/>
      <c r="BG39" s="6"/>
      <c r="BH39" s="6"/>
      <c r="BI39" s="6"/>
      <c r="BJ39" s="6"/>
      <c r="BK39" s="6"/>
      <c r="BL39" s="6"/>
      <c r="BM39" s="6"/>
      <c r="BN39" s="6"/>
      <c r="BO39" s="6"/>
      <c r="BP39" s="6"/>
    </row>
    <row r="40" spans="1:84">
      <c r="AL40" s="6"/>
      <c r="AM40" s="6"/>
      <c r="AN40" s="6"/>
      <c r="AO40" s="6"/>
      <c r="AP40" s="6"/>
      <c r="AQ40" s="6"/>
      <c r="AR40" s="6"/>
      <c r="AS40" s="6"/>
      <c r="AT40" s="6"/>
      <c r="AV40" s="6"/>
      <c r="AW40" s="6"/>
      <c r="AX40" s="6"/>
      <c r="AY40" s="6"/>
      <c r="AZ40" s="6"/>
      <c r="BA40" s="6"/>
      <c r="BB40" s="6"/>
      <c r="BC40" s="6"/>
      <c r="BD40" s="6"/>
      <c r="BE40" s="6"/>
      <c r="BF40" s="6"/>
      <c r="BG40" s="6"/>
      <c r="BH40" s="6"/>
      <c r="BI40" s="6"/>
      <c r="BJ40" s="6"/>
      <c r="BK40" s="6"/>
      <c r="BL40" s="6"/>
      <c r="BM40" s="6"/>
      <c r="BN40" s="6"/>
      <c r="BO40" s="6"/>
      <c r="BP40" s="6"/>
    </row>
    <row r="41" spans="1:84">
      <c r="AL41" s="6"/>
      <c r="AM41" s="6"/>
      <c r="AN41" s="6"/>
      <c r="AO41" s="6"/>
      <c r="AP41" s="6"/>
      <c r="AQ41" s="6"/>
      <c r="AR41" s="6"/>
      <c r="AS41" s="6"/>
      <c r="AT41" s="6"/>
      <c r="AV41" s="6"/>
      <c r="AW41" s="6"/>
      <c r="AX41" s="6"/>
      <c r="AY41" s="6"/>
      <c r="AZ41" s="6"/>
      <c r="BA41" s="6"/>
      <c r="BB41" s="6"/>
      <c r="BC41" s="6"/>
      <c r="BD41" s="6"/>
      <c r="BE41" s="6"/>
      <c r="BF41" s="6"/>
      <c r="BG41" s="6"/>
      <c r="BH41" s="6"/>
      <c r="BI41" s="6"/>
      <c r="BJ41" s="6"/>
      <c r="BK41" s="6"/>
      <c r="BL41" s="6"/>
      <c r="BM41" s="6"/>
      <c r="BN41" s="6"/>
      <c r="BO41" s="6"/>
      <c r="BP41" s="6"/>
    </row>
    <row r="42" spans="1:84">
      <c r="AL42" s="6"/>
      <c r="AM42" s="6"/>
      <c r="AN42" s="6"/>
      <c r="AO42" s="6"/>
      <c r="AP42" s="6"/>
      <c r="AQ42" s="6"/>
      <c r="AR42" s="6"/>
      <c r="AS42" s="6"/>
      <c r="AT42" s="6"/>
      <c r="AV42" s="6"/>
      <c r="AW42" s="6"/>
      <c r="AX42" s="6"/>
      <c r="AY42" s="6"/>
      <c r="AZ42" s="6"/>
      <c r="BA42" s="6"/>
      <c r="BB42" s="6"/>
      <c r="BC42" s="6"/>
      <c r="BD42" s="6"/>
      <c r="BE42" s="6"/>
      <c r="BF42" s="6"/>
      <c r="BG42" s="6"/>
      <c r="BH42" s="6"/>
      <c r="BI42" s="6"/>
      <c r="BJ42" s="6"/>
      <c r="BK42" s="6"/>
      <c r="BL42" s="6"/>
      <c r="BM42" s="6"/>
      <c r="BN42" s="6"/>
      <c r="BO42" s="6"/>
      <c r="BP42" s="6"/>
    </row>
    <row r="43" spans="1:84">
      <c r="N43" s="57"/>
      <c r="AL43" s="6"/>
      <c r="AM43" s="6"/>
      <c r="AN43" s="6"/>
      <c r="AO43" s="6"/>
      <c r="AP43" s="6"/>
      <c r="AQ43" s="6"/>
      <c r="AR43" s="6"/>
      <c r="AS43" s="6"/>
      <c r="AT43" s="6"/>
      <c r="AV43" s="6"/>
      <c r="AW43" s="6"/>
      <c r="AX43" s="6"/>
      <c r="AY43" s="6"/>
      <c r="AZ43" s="6"/>
      <c r="BA43" s="6"/>
      <c r="BB43" s="6"/>
      <c r="BC43" s="6"/>
      <c r="BD43" s="6"/>
      <c r="BE43" s="6"/>
      <c r="BF43" s="6"/>
      <c r="BG43" s="6"/>
      <c r="BH43" s="6"/>
      <c r="BI43" s="6"/>
      <c r="BJ43" s="6"/>
      <c r="BK43" s="6"/>
      <c r="BL43" s="6"/>
      <c r="BM43" s="6"/>
      <c r="BN43" s="6"/>
      <c r="BO43" s="6"/>
      <c r="BP43" s="6"/>
    </row>
    <row r="44" spans="1:84" customFormat="1" ht="12.75" customHeight="1" outlineLevel="1">
      <c r="A44" s="214"/>
      <c r="B44" s="215" t="s">
        <v>116</v>
      </c>
      <c r="C44" s="473">
        <f>M27</f>
        <v>0</v>
      </c>
      <c r="D44" s="211"/>
      <c r="E44" s="211"/>
      <c r="F44" s="214"/>
      <c r="G44" s="214"/>
      <c r="H44" s="214"/>
      <c r="I44" s="214"/>
      <c r="J44" s="214"/>
      <c r="K44" s="214"/>
      <c r="L44" s="214"/>
      <c r="M44" s="214"/>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row>
    <row r="45" spans="1:84" customFormat="1" ht="12.75" hidden="1" customHeight="1" outlineLevel="2">
      <c r="A45" s="214"/>
      <c r="B45" s="214" t="s">
        <v>117</v>
      </c>
      <c r="C45" s="211">
        <f>ROUNDDOWN(C44/1000000,0)</f>
        <v>0</v>
      </c>
      <c r="D45" s="211"/>
      <c r="E45" s="211"/>
      <c r="F45" s="214"/>
      <c r="G45" s="214"/>
      <c r="H45" s="214"/>
      <c r="I45" s="214"/>
      <c r="J45" s="214"/>
      <c r="K45" s="214"/>
      <c r="L45" s="214"/>
      <c r="M45" s="214"/>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row>
    <row r="46" spans="1:84" customFormat="1" ht="12.75" hidden="1" customHeight="1" outlineLevel="2">
      <c r="A46" s="214"/>
      <c r="B46" s="214"/>
      <c r="C46" s="211"/>
      <c r="D46" s="211"/>
      <c r="E46" s="211"/>
      <c r="F46" s="214"/>
      <c r="G46" s="214"/>
      <c r="H46" s="214"/>
      <c r="I46" s="214"/>
      <c r="J46" s="214"/>
      <c r="K46" s="214"/>
      <c r="L46" s="214"/>
      <c r="M46" s="214"/>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row>
    <row r="47" spans="1:84" customFormat="1" ht="12.75" hidden="1" customHeight="1" outlineLevel="2">
      <c r="A47" s="214"/>
      <c r="B47" s="214" t="s">
        <v>118</v>
      </c>
      <c r="C47" s="211">
        <f>ROUNDDOWN(C45/100,0)</f>
        <v>0</v>
      </c>
      <c r="D47" s="211"/>
      <c r="E47" s="211"/>
      <c r="F47" s="214"/>
      <c r="G47" s="214"/>
      <c r="H47" s="214"/>
      <c r="I47" s="214"/>
      <c r="J47" s="214"/>
      <c r="K47" s="214"/>
      <c r="L47" s="214"/>
      <c r="M47" s="214"/>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row>
    <row r="48" spans="1:84" customFormat="1" ht="12.75" hidden="1" customHeight="1" outlineLevel="2">
      <c r="A48" s="214"/>
      <c r="B48" s="214"/>
      <c r="C48" s="211"/>
      <c r="D48" s="211"/>
      <c r="E48" s="211"/>
      <c r="F48" s="214"/>
      <c r="G48" s="214"/>
      <c r="H48" s="214"/>
      <c r="I48" s="214"/>
      <c r="J48" s="214"/>
      <c r="K48" s="214"/>
      <c r="L48" s="214"/>
      <c r="M48" s="214"/>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row>
    <row r="49" spans="1:84" customFormat="1" ht="12.75" hidden="1" customHeight="1" outlineLevel="2">
      <c r="A49" s="214"/>
      <c r="B49" s="214" t="s">
        <v>119</v>
      </c>
      <c r="C49" s="211"/>
      <c r="D49" s="211"/>
      <c r="E49" s="211"/>
      <c r="F49" s="214"/>
      <c r="G49" s="214"/>
      <c r="H49" s="214"/>
      <c r="I49" s="214"/>
      <c r="J49" s="214"/>
      <c r="K49" s="214"/>
      <c r="L49" s="214"/>
      <c r="M49" s="214"/>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row>
    <row r="50" spans="1:84" customFormat="1" ht="12.75" hidden="1" customHeight="1" outlineLevel="2">
      <c r="A50" s="214"/>
      <c r="B50" s="214" t="s">
        <v>120</v>
      </c>
      <c r="C50" s="211"/>
      <c r="D50" s="211"/>
      <c r="E50" s="211"/>
      <c r="F50" s="214"/>
      <c r="G50" s="214"/>
      <c r="H50" s="214"/>
      <c r="I50" s="214"/>
      <c r="J50" s="214"/>
      <c r="K50" s="214"/>
      <c r="L50" s="214"/>
      <c r="M50" s="214"/>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row>
    <row r="51" spans="1:84" customFormat="1" ht="12.75" hidden="1" customHeight="1" outlineLevel="2">
      <c r="A51" s="214"/>
      <c r="B51" s="214" t="s">
        <v>121</v>
      </c>
      <c r="C51" s="211"/>
      <c r="D51" s="211"/>
      <c r="E51" s="211"/>
      <c r="F51" s="214"/>
      <c r="G51" s="214"/>
      <c r="H51" s="214"/>
      <c r="I51" s="214"/>
      <c r="J51" s="214"/>
      <c r="K51" s="214"/>
      <c r="L51" s="214"/>
      <c r="M51" s="214"/>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row>
    <row r="52" spans="1:84" customFormat="1" ht="12.75" hidden="1" customHeight="1" outlineLevel="2">
      <c r="A52" s="214"/>
      <c r="B52" s="214" t="s">
        <v>122</v>
      </c>
      <c r="C52" s="211"/>
      <c r="D52" s="211"/>
      <c r="E52" s="211"/>
      <c r="F52" s="214"/>
      <c r="G52" s="214"/>
      <c r="H52" s="214"/>
      <c r="I52" s="214"/>
      <c r="J52" s="214"/>
      <c r="K52" s="214"/>
      <c r="L52" s="214"/>
      <c r="M52" s="214"/>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row>
    <row r="53" spans="1:84" customFormat="1" ht="12.75" hidden="1" customHeight="1" outlineLevel="2">
      <c r="A53" s="214"/>
      <c r="B53" s="214" t="s">
        <v>123</v>
      </c>
      <c r="C53" s="211"/>
      <c r="D53" s="211"/>
      <c r="E53" s="211"/>
      <c r="F53" s="214"/>
      <c r="G53" s="214"/>
      <c r="H53" s="214"/>
      <c r="I53" s="214"/>
      <c r="J53" s="214"/>
      <c r="K53" s="214"/>
      <c r="L53" s="214"/>
      <c r="M53" s="214"/>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row>
    <row r="54" spans="1:84" customFormat="1" ht="12.75" hidden="1" customHeight="1" outlineLevel="2">
      <c r="A54" s="214"/>
      <c r="B54" s="214" t="s">
        <v>124</v>
      </c>
      <c r="C54" s="211"/>
      <c r="D54" s="211"/>
      <c r="E54" s="211"/>
      <c r="F54" s="214"/>
      <c r="G54" s="214"/>
      <c r="H54" s="214"/>
      <c r="I54" s="214"/>
      <c r="J54" s="214"/>
      <c r="K54" s="214"/>
      <c r="L54" s="214"/>
      <c r="M54" s="214"/>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row>
    <row r="55" spans="1:84" customFormat="1" ht="12.75" hidden="1" customHeight="1" outlineLevel="2">
      <c r="A55" s="214"/>
      <c r="B55" s="214" t="s">
        <v>125</v>
      </c>
      <c r="C55" s="211"/>
      <c r="D55" s="211"/>
      <c r="E55" s="211"/>
      <c r="F55" s="214"/>
      <c r="G55" s="214"/>
      <c r="H55" s="214"/>
      <c r="I55" s="214"/>
      <c r="J55" s="214"/>
      <c r="K55" s="214"/>
      <c r="L55" s="214"/>
      <c r="M55" s="214"/>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row>
    <row r="56" spans="1:84" customFormat="1" ht="12.75" hidden="1" customHeight="1" outlineLevel="2">
      <c r="A56" s="214"/>
      <c r="B56" s="214" t="s">
        <v>126</v>
      </c>
      <c r="C56" s="211"/>
      <c r="D56" s="211"/>
      <c r="E56" s="211"/>
      <c r="F56" s="214"/>
      <c r="G56" s="214"/>
      <c r="H56" s="214"/>
      <c r="I56" s="214"/>
      <c r="J56" s="214"/>
      <c r="K56" s="214"/>
      <c r="L56" s="214"/>
      <c r="M56" s="214"/>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row>
    <row r="57" spans="1:84" customFormat="1" ht="12.75" hidden="1" customHeight="1" outlineLevel="2">
      <c r="A57" s="214"/>
      <c r="B57" s="214" t="s">
        <v>127</v>
      </c>
      <c r="C57" s="211"/>
      <c r="D57" s="211"/>
      <c r="E57" s="211"/>
      <c r="F57" s="214"/>
      <c r="G57" s="214"/>
      <c r="H57" s="214"/>
      <c r="I57" s="214"/>
      <c r="J57" s="214"/>
      <c r="K57" s="214"/>
      <c r="L57" s="214"/>
      <c r="M57" s="214"/>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row>
    <row r="58" spans="1:84" customFormat="1" ht="12.75" hidden="1" customHeight="1" outlineLevel="2">
      <c r="A58" s="214"/>
      <c r="B58" s="214"/>
      <c r="C58" s="211"/>
      <c r="D58" s="211"/>
      <c r="E58" s="211"/>
      <c r="F58" s="214"/>
      <c r="G58" s="214"/>
      <c r="H58" s="214"/>
      <c r="I58" s="214"/>
      <c r="J58" s="214"/>
      <c r="K58" s="214"/>
      <c r="L58" s="214"/>
      <c r="M58" s="214"/>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row>
    <row r="59" spans="1:84" customFormat="1" ht="12.75" hidden="1" customHeight="1" outlineLevel="2">
      <c r="A59" s="214"/>
      <c r="B59" s="214"/>
      <c r="C59" s="211" t="str">
        <f ca="1">IF(C47&lt;&gt;0,OFFSET(B48,C47,0),"")</f>
        <v/>
      </c>
      <c r="D59" s="211"/>
      <c r="E59" s="211"/>
      <c r="F59" s="214"/>
      <c r="G59" s="214"/>
      <c r="H59" s="214"/>
      <c r="I59" s="214"/>
      <c r="J59" s="214"/>
      <c r="K59" s="214"/>
      <c r="L59" s="214"/>
      <c r="M59" s="214"/>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row>
    <row r="60" spans="1:84" customFormat="1" ht="12.75" hidden="1" customHeight="1" outlineLevel="2">
      <c r="A60" s="214"/>
      <c r="B60" s="214"/>
      <c r="C60" s="211"/>
      <c r="D60" s="211"/>
      <c r="E60" s="211"/>
      <c r="F60" s="214"/>
      <c r="G60" s="214"/>
      <c r="H60" s="214"/>
      <c r="I60" s="214"/>
      <c r="J60" s="214"/>
      <c r="K60" s="214"/>
      <c r="L60" s="214"/>
      <c r="M60" s="214"/>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row>
    <row r="61" spans="1:84" customFormat="1" ht="12.75" hidden="1" customHeight="1" outlineLevel="2">
      <c r="A61" s="214"/>
      <c r="B61" s="214" t="s">
        <v>128</v>
      </c>
      <c r="C61" s="211">
        <f>ROUNDDOWN((C44-C47*100000000)/10000000,0)</f>
        <v>0</v>
      </c>
      <c r="D61" s="211"/>
      <c r="E61" s="211"/>
      <c r="F61" s="214"/>
      <c r="G61" s="214"/>
      <c r="H61" s="214"/>
      <c r="I61" s="214"/>
      <c r="J61" s="214"/>
      <c r="K61" s="214"/>
      <c r="L61" s="214"/>
      <c r="M61" s="214"/>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row>
    <row r="62" spans="1:84" customFormat="1" ht="12.75" hidden="1" customHeight="1" outlineLevel="2">
      <c r="A62" s="214"/>
      <c r="B62" s="214"/>
      <c r="C62" s="211"/>
      <c r="D62" s="211"/>
      <c r="E62" s="211"/>
      <c r="F62" s="214"/>
      <c r="G62" s="214"/>
      <c r="H62" s="214"/>
      <c r="I62" s="214"/>
      <c r="J62" s="214"/>
      <c r="K62" s="214"/>
      <c r="L62" s="214"/>
      <c r="M62" s="214"/>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row>
    <row r="63" spans="1:84" customFormat="1" ht="12.75" hidden="1" customHeight="1" outlineLevel="2">
      <c r="A63" s="214"/>
      <c r="B63" s="214" t="s">
        <v>129</v>
      </c>
      <c r="C63" s="211"/>
      <c r="D63" s="211"/>
      <c r="E63" s="211"/>
      <c r="F63" s="214"/>
      <c r="G63" s="214"/>
      <c r="H63" s="214"/>
      <c r="I63" s="214"/>
      <c r="J63" s="214"/>
      <c r="K63" s="214"/>
      <c r="L63" s="214"/>
      <c r="M63" s="214"/>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row>
    <row r="64" spans="1:84" customFormat="1" ht="12.75" hidden="1" customHeight="1" outlineLevel="2">
      <c r="A64" s="214"/>
      <c r="B64" s="214" t="s">
        <v>130</v>
      </c>
      <c r="C64" s="211"/>
      <c r="D64" s="211"/>
      <c r="E64" s="211"/>
      <c r="F64" s="214"/>
      <c r="G64" s="214"/>
      <c r="H64" s="214"/>
      <c r="I64" s="214"/>
      <c r="J64" s="214"/>
      <c r="K64" s="214"/>
      <c r="L64" s="214"/>
      <c r="M64" s="214"/>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row>
    <row r="65" spans="1:84" customFormat="1" ht="12.75" hidden="1" customHeight="1" outlineLevel="2">
      <c r="A65" s="214"/>
      <c r="B65" s="214" t="s">
        <v>131</v>
      </c>
      <c r="C65" s="211"/>
      <c r="D65" s="211"/>
      <c r="E65" s="211"/>
      <c r="F65" s="214"/>
      <c r="G65" s="214"/>
      <c r="H65" s="214"/>
      <c r="I65" s="214"/>
      <c r="J65" s="214"/>
      <c r="K65" s="214"/>
      <c r="L65" s="214"/>
      <c r="M65" s="214"/>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row>
    <row r="66" spans="1:84" customFormat="1" ht="12.75" hidden="1" customHeight="1" outlineLevel="2">
      <c r="A66" s="214"/>
      <c r="B66" s="214" t="s">
        <v>132</v>
      </c>
      <c r="C66" s="211"/>
      <c r="D66" s="211"/>
      <c r="E66" s="211"/>
      <c r="F66" s="214"/>
      <c r="G66" s="214"/>
      <c r="H66" s="214"/>
      <c r="I66" s="214"/>
      <c r="J66" s="214"/>
      <c r="K66" s="214"/>
      <c r="L66" s="214"/>
      <c r="M66" s="214"/>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row>
    <row r="67" spans="1:84" customFormat="1" ht="12.75" hidden="1" customHeight="1" outlineLevel="2">
      <c r="A67" s="214"/>
      <c r="B67" s="214" t="s">
        <v>133</v>
      </c>
      <c r="C67" s="211"/>
      <c r="D67" s="211"/>
      <c r="E67" s="211"/>
      <c r="F67" s="214"/>
      <c r="G67" s="214"/>
      <c r="H67" s="214"/>
      <c r="I67" s="214"/>
      <c r="J67" s="214"/>
      <c r="K67" s="214"/>
      <c r="L67" s="214"/>
      <c r="M67" s="214"/>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row>
    <row r="68" spans="1:84" customFormat="1" ht="12.75" hidden="1" customHeight="1" outlineLevel="2">
      <c r="A68" s="214"/>
      <c r="B68" s="214" t="s">
        <v>134</v>
      </c>
      <c r="C68" s="211"/>
      <c r="D68" s="211"/>
      <c r="E68" s="211"/>
      <c r="F68" s="214"/>
      <c r="G68" s="214"/>
      <c r="H68" s="214"/>
      <c r="I68" s="214"/>
      <c r="J68" s="214"/>
      <c r="K68" s="214"/>
      <c r="L68" s="214"/>
      <c r="M68" s="214"/>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row>
    <row r="69" spans="1:84" customFormat="1" ht="12.75" hidden="1" customHeight="1" outlineLevel="2">
      <c r="A69" s="214"/>
      <c r="B69" s="214" t="s">
        <v>135</v>
      </c>
      <c r="C69" s="211"/>
      <c r="D69" s="211"/>
      <c r="E69" s="211"/>
      <c r="F69" s="214"/>
      <c r="G69" s="214"/>
      <c r="H69" s="214"/>
      <c r="I69" s="214"/>
      <c r="J69" s="214"/>
      <c r="K69" s="214"/>
      <c r="L69" s="214"/>
      <c r="M69" s="214"/>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row>
    <row r="70" spans="1:84" customFormat="1" ht="12.75" hidden="1" customHeight="1" outlineLevel="2">
      <c r="A70" s="214"/>
      <c r="B70" s="214" t="s">
        <v>136</v>
      </c>
      <c r="C70" s="211"/>
      <c r="D70" s="211"/>
      <c r="E70" s="211"/>
      <c r="F70" s="214"/>
      <c r="G70" s="214"/>
      <c r="H70" s="214"/>
      <c r="I70" s="214"/>
      <c r="J70" s="214"/>
      <c r="K70" s="214"/>
      <c r="L70" s="214"/>
      <c r="M70" s="214"/>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row>
    <row r="71" spans="1:84" customFormat="1" ht="12.75" hidden="1" customHeight="1" outlineLevel="2">
      <c r="A71" s="214"/>
      <c r="B71" s="214" t="s">
        <v>137</v>
      </c>
      <c r="C71" s="211"/>
      <c r="D71" s="211"/>
      <c r="E71" s="211"/>
      <c r="F71" s="214"/>
      <c r="G71" s="214"/>
      <c r="H71" s="214"/>
      <c r="I71" s="214"/>
      <c r="J71" s="214"/>
      <c r="K71" s="214"/>
      <c r="L71" s="214"/>
      <c r="M71" s="214"/>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row>
    <row r="72" spans="1:84" customFormat="1" ht="12.75" hidden="1" customHeight="1" outlineLevel="2">
      <c r="A72" s="214"/>
      <c r="B72" s="214"/>
      <c r="C72" s="211"/>
      <c r="D72" s="211"/>
      <c r="E72" s="211"/>
      <c r="F72" s="214"/>
      <c r="G72" s="214"/>
      <c r="H72" s="214"/>
      <c r="I72" s="214"/>
      <c r="J72" s="214"/>
      <c r="K72" s="214"/>
      <c r="L72" s="214"/>
      <c r="M72" s="214"/>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row>
    <row r="73" spans="1:84" customFormat="1" ht="12.75" hidden="1" customHeight="1" outlineLevel="2">
      <c r="A73" s="214"/>
      <c r="B73" s="214"/>
      <c r="C73" s="211" t="str">
        <f ca="1">IF(AND(C61=1,C75&lt;&gt;0),"",IF(C61&lt;&gt;0,OFFSET(B62,C61,0),""))</f>
        <v/>
      </c>
      <c r="D73" s="211"/>
      <c r="E73" s="211"/>
      <c r="F73" s="214"/>
      <c r="G73" s="214"/>
      <c r="H73" s="214"/>
      <c r="I73" s="214"/>
      <c r="J73" s="214"/>
      <c r="K73" s="214"/>
      <c r="L73" s="214"/>
      <c r="M73" s="214"/>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row>
    <row r="74" spans="1:84" customFormat="1" ht="12.75" hidden="1" customHeight="1" outlineLevel="2">
      <c r="A74" s="214"/>
      <c r="B74" s="214"/>
      <c r="C74" s="211"/>
      <c r="D74" s="211"/>
      <c r="E74" s="211"/>
      <c r="F74" s="214"/>
      <c r="G74" s="214"/>
      <c r="H74" s="214"/>
      <c r="I74" s="214"/>
      <c r="J74" s="214"/>
      <c r="K74" s="214"/>
      <c r="L74" s="214"/>
      <c r="M74" s="214"/>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row>
    <row r="75" spans="1:84" customFormat="1" ht="12.75" hidden="1" customHeight="1" outlineLevel="2">
      <c r="A75" s="214"/>
      <c r="B75" s="214" t="s">
        <v>138</v>
      </c>
      <c r="C75" s="211">
        <f>ROUNDDOWN((C44-C47*100000000-C61*10000000)/1000000,0)</f>
        <v>0</v>
      </c>
      <c r="D75" s="211"/>
      <c r="E75" s="211"/>
      <c r="F75" s="214"/>
      <c r="G75" s="214"/>
      <c r="H75" s="214"/>
      <c r="I75" s="214"/>
      <c r="J75" s="214"/>
      <c r="K75" s="214"/>
      <c r="L75" s="214"/>
      <c r="M75" s="214"/>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row>
    <row r="76" spans="1:84" customFormat="1" ht="12.75" hidden="1" customHeight="1" outlineLevel="2">
      <c r="A76" s="214"/>
      <c r="B76" s="214"/>
      <c r="C76" s="211"/>
      <c r="D76" s="211"/>
      <c r="E76" s="211"/>
      <c r="F76" s="214"/>
      <c r="G76" s="214"/>
      <c r="H76" s="214"/>
      <c r="I76" s="214"/>
      <c r="J76" s="214"/>
      <c r="K76" s="214"/>
      <c r="L76" s="214"/>
      <c r="M76" s="214"/>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row>
    <row r="77" spans="1:84" customFormat="1" ht="12.75" hidden="1" customHeight="1" outlineLevel="2">
      <c r="A77" s="214"/>
      <c r="B77" s="214" t="s">
        <v>139</v>
      </c>
      <c r="C77" s="211"/>
      <c r="D77" s="211"/>
      <c r="E77" s="211"/>
      <c r="F77" s="214"/>
      <c r="G77" s="214"/>
      <c r="H77" s="214"/>
      <c r="I77" s="214"/>
      <c r="J77" s="214"/>
      <c r="K77" s="214"/>
      <c r="L77" s="214"/>
      <c r="M77" s="214"/>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row>
    <row r="78" spans="1:84" customFormat="1" ht="12.75" hidden="1" customHeight="1" outlineLevel="2">
      <c r="A78" s="214"/>
      <c r="B78" s="214" t="s">
        <v>140</v>
      </c>
      <c r="C78" s="211"/>
      <c r="D78" s="211"/>
      <c r="E78" s="211"/>
      <c r="F78" s="214"/>
      <c r="G78" s="214"/>
      <c r="H78" s="214"/>
      <c r="I78" s="214"/>
      <c r="J78" s="214"/>
      <c r="K78" s="214"/>
      <c r="L78" s="214"/>
      <c r="M78" s="214"/>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row>
    <row r="79" spans="1:84" customFormat="1" ht="12.75" hidden="1" customHeight="1" outlineLevel="2">
      <c r="A79" s="214"/>
      <c r="B79" s="214" t="s">
        <v>141</v>
      </c>
      <c r="C79" s="211"/>
      <c r="D79" s="211"/>
      <c r="E79" s="211"/>
      <c r="F79" s="214"/>
      <c r="G79" s="214"/>
      <c r="H79" s="214"/>
      <c r="I79" s="214"/>
      <c r="J79" s="214"/>
      <c r="K79" s="214"/>
      <c r="L79" s="214"/>
      <c r="M79" s="214"/>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row>
    <row r="80" spans="1:84" customFormat="1" ht="12.75" hidden="1" customHeight="1" outlineLevel="2">
      <c r="A80" s="214"/>
      <c r="B80" s="214" t="s">
        <v>142</v>
      </c>
      <c r="C80" s="211"/>
      <c r="D80" s="211"/>
      <c r="E80" s="211"/>
      <c r="F80" s="214"/>
      <c r="G80" s="214"/>
      <c r="H80" s="214"/>
      <c r="I80" s="214"/>
      <c r="J80" s="214"/>
      <c r="K80" s="214"/>
      <c r="L80" s="214"/>
      <c r="M80" s="214"/>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row>
    <row r="81" spans="1:84" customFormat="1" ht="12.75" hidden="1" customHeight="1" outlineLevel="2">
      <c r="A81" s="214"/>
      <c r="B81" s="214" t="s">
        <v>143</v>
      </c>
      <c r="C81" s="211"/>
      <c r="D81" s="211"/>
      <c r="E81" s="211"/>
      <c r="F81" s="214"/>
      <c r="G81" s="214"/>
      <c r="H81" s="214"/>
      <c r="I81" s="214"/>
      <c r="J81" s="214"/>
      <c r="K81" s="214"/>
      <c r="L81" s="214"/>
      <c r="M81" s="214"/>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row>
    <row r="82" spans="1:84" customFormat="1" ht="12.75" hidden="1" customHeight="1" outlineLevel="2">
      <c r="A82" s="214"/>
      <c r="B82" s="214" t="s">
        <v>144</v>
      </c>
      <c r="C82" s="211"/>
      <c r="D82" s="211"/>
      <c r="E82" s="211"/>
      <c r="F82" s="214"/>
      <c r="G82" s="214"/>
      <c r="H82" s="214"/>
      <c r="I82" s="214"/>
      <c r="J82" s="214"/>
      <c r="K82" s="214"/>
      <c r="L82" s="214"/>
      <c r="M82" s="214"/>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row>
    <row r="83" spans="1:84" customFormat="1" ht="12.75" hidden="1" customHeight="1" outlineLevel="2">
      <c r="A83" s="214"/>
      <c r="B83" s="214" t="s">
        <v>145</v>
      </c>
      <c r="C83" s="211"/>
      <c r="D83" s="211"/>
      <c r="E83" s="211"/>
      <c r="F83" s="214"/>
      <c r="G83" s="214"/>
      <c r="H83" s="214"/>
      <c r="I83" s="214"/>
      <c r="J83" s="214"/>
      <c r="K83" s="214"/>
      <c r="L83" s="214"/>
      <c r="M83" s="214"/>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row>
    <row r="84" spans="1:84" customFormat="1" ht="12.75" hidden="1" customHeight="1" outlineLevel="2">
      <c r="A84" s="214"/>
      <c r="B84" s="214" t="s">
        <v>146</v>
      </c>
      <c r="C84" s="211"/>
      <c r="D84" s="211"/>
      <c r="E84" s="211"/>
      <c r="F84" s="214"/>
      <c r="G84" s="214"/>
      <c r="H84" s="214"/>
      <c r="I84" s="214"/>
      <c r="J84" s="214"/>
      <c r="K84" s="214"/>
      <c r="L84" s="214"/>
      <c r="M84" s="214"/>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row>
    <row r="85" spans="1:84" customFormat="1" ht="12.75" hidden="1" customHeight="1" outlineLevel="2">
      <c r="A85" s="214"/>
      <c r="B85" s="214" t="s">
        <v>147</v>
      </c>
      <c r="C85" s="211"/>
      <c r="D85" s="211"/>
      <c r="E85" s="211"/>
      <c r="F85" s="214"/>
      <c r="G85" s="214"/>
      <c r="H85" s="214"/>
      <c r="I85" s="214"/>
      <c r="J85" s="214"/>
      <c r="K85" s="214"/>
      <c r="L85" s="214"/>
      <c r="M85" s="214"/>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row>
    <row r="86" spans="1:84" customFormat="1" ht="12.75" hidden="1" customHeight="1" outlineLevel="2">
      <c r="A86" s="214"/>
      <c r="B86" s="214"/>
      <c r="C86" s="211"/>
      <c r="D86" s="211"/>
      <c r="E86" s="211"/>
      <c r="F86" s="214"/>
      <c r="G86" s="214"/>
      <c r="H86" s="214"/>
      <c r="I86" s="214"/>
      <c r="J86" s="214"/>
      <c r="K86" s="214"/>
      <c r="L86" s="214"/>
      <c r="M86" s="214"/>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row>
    <row r="87" spans="1:84" customFormat="1" ht="12.75" hidden="1" customHeight="1" outlineLevel="2">
      <c r="A87" s="214"/>
      <c r="B87" s="214"/>
      <c r="C87" s="211" t="str">
        <f ca="1">IF(C61&lt;&gt;1,IF(C75&lt;&gt;0,OFFSET(B76,C75,0),""),"")</f>
        <v/>
      </c>
      <c r="D87" s="211"/>
      <c r="E87" s="211"/>
      <c r="F87" s="214"/>
      <c r="G87" s="214"/>
      <c r="H87" s="214"/>
      <c r="I87" s="214"/>
      <c r="J87" s="214"/>
      <c r="K87" s="214"/>
      <c r="L87" s="214"/>
      <c r="M87" s="214"/>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row>
    <row r="88" spans="1:84" customFormat="1" ht="12.75" hidden="1" customHeight="1" outlineLevel="2">
      <c r="A88" s="214"/>
      <c r="B88" s="214"/>
      <c r="C88" s="211"/>
      <c r="D88" s="211"/>
      <c r="E88" s="211"/>
      <c r="F88" s="214"/>
      <c r="G88" s="214"/>
      <c r="H88" s="214"/>
      <c r="I88" s="214"/>
      <c r="J88" s="214"/>
      <c r="K88" s="214"/>
      <c r="L88" s="214"/>
      <c r="M88" s="214"/>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row>
    <row r="89" spans="1:84" customFormat="1" ht="12.75" hidden="1" customHeight="1" outlineLevel="2">
      <c r="A89" s="214"/>
      <c r="B89" s="214" t="s">
        <v>148</v>
      </c>
      <c r="C89" s="211"/>
      <c r="D89" s="211"/>
      <c r="E89" s="211"/>
      <c r="F89" s="214"/>
      <c r="G89" s="214"/>
      <c r="H89" s="214"/>
      <c r="I89" s="214"/>
      <c r="J89" s="214"/>
      <c r="K89" s="214"/>
      <c r="L89" s="214"/>
      <c r="M89" s="214"/>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row>
    <row r="90" spans="1:84" customFormat="1" ht="12.75" hidden="1" customHeight="1" outlineLevel="2">
      <c r="A90" s="214"/>
      <c r="B90" s="214"/>
      <c r="C90" s="211"/>
      <c r="D90" s="211"/>
      <c r="E90" s="211"/>
      <c r="F90" s="214"/>
      <c r="G90" s="214"/>
      <c r="H90" s="214"/>
      <c r="I90" s="214"/>
      <c r="J90" s="214"/>
      <c r="K90" s="214"/>
      <c r="L90" s="214"/>
      <c r="M90" s="214"/>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row>
    <row r="91" spans="1:84" customFormat="1" ht="12.75" hidden="1" customHeight="1" outlineLevel="2">
      <c r="A91" s="214"/>
      <c r="B91" s="214"/>
      <c r="C91" s="211">
        <f>+C75</f>
        <v>0</v>
      </c>
      <c r="D91" s="211"/>
      <c r="E91" s="211"/>
      <c r="F91" s="214"/>
      <c r="G91" s="214"/>
      <c r="H91" s="214"/>
      <c r="I91" s="214"/>
      <c r="J91" s="214"/>
      <c r="K91" s="214"/>
      <c r="L91" s="214"/>
      <c r="M91" s="214"/>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row>
    <row r="92" spans="1:84" customFormat="1" ht="12.75" hidden="1" customHeight="1" outlineLevel="2">
      <c r="A92" s="214"/>
      <c r="B92" s="214" t="s">
        <v>149</v>
      </c>
      <c r="C92" s="211"/>
      <c r="D92" s="211"/>
      <c r="E92" s="211"/>
      <c r="F92" s="214"/>
      <c r="G92" s="214"/>
      <c r="H92" s="214"/>
      <c r="I92" s="214"/>
      <c r="J92" s="214"/>
      <c r="K92" s="214"/>
      <c r="L92" s="214"/>
      <c r="M92" s="214"/>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row>
    <row r="93" spans="1:84" customFormat="1" ht="12.75" hidden="1" customHeight="1" outlineLevel="2">
      <c r="A93" s="214"/>
      <c r="B93" s="214" t="s">
        <v>150</v>
      </c>
      <c r="C93" s="211"/>
      <c r="D93" s="211"/>
      <c r="E93" s="211"/>
      <c r="F93" s="214"/>
      <c r="G93" s="214"/>
      <c r="H93" s="214"/>
      <c r="I93" s="214"/>
      <c r="J93" s="214"/>
      <c r="K93" s="214"/>
      <c r="L93" s="214"/>
      <c r="M93" s="214"/>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row>
    <row r="94" spans="1:84" customFormat="1" ht="12.75" hidden="1" customHeight="1" outlineLevel="2">
      <c r="A94" s="214"/>
      <c r="B94" s="214" t="s">
        <v>151</v>
      </c>
      <c r="C94" s="211"/>
      <c r="D94" s="211"/>
      <c r="E94" s="211"/>
      <c r="F94" s="214"/>
      <c r="G94" s="214"/>
      <c r="H94" s="214"/>
      <c r="I94" s="214"/>
      <c r="J94" s="214"/>
      <c r="K94" s="214"/>
      <c r="L94" s="214"/>
      <c r="M94" s="214"/>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row>
    <row r="95" spans="1:84" customFormat="1" ht="12.75" hidden="1" customHeight="1" outlineLevel="2">
      <c r="A95" s="214"/>
      <c r="B95" s="214" t="s">
        <v>152</v>
      </c>
      <c r="C95" s="211"/>
      <c r="D95" s="211"/>
      <c r="E95" s="211"/>
      <c r="F95" s="214"/>
      <c r="G95" s="214"/>
      <c r="H95" s="214"/>
      <c r="I95" s="214"/>
      <c r="J95" s="214"/>
      <c r="K95" s="214"/>
      <c r="L95" s="214"/>
      <c r="M95" s="214"/>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row>
    <row r="96" spans="1:84" customFormat="1" ht="12.75" hidden="1" customHeight="1" outlineLevel="2">
      <c r="A96" s="214"/>
      <c r="B96" s="214" t="s">
        <v>153</v>
      </c>
      <c r="C96" s="211"/>
      <c r="D96" s="211"/>
      <c r="E96" s="211"/>
      <c r="F96" s="214"/>
      <c r="G96" s="214"/>
      <c r="H96" s="214"/>
      <c r="I96" s="214"/>
      <c r="J96" s="214"/>
      <c r="K96" s="214"/>
      <c r="L96" s="214"/>
      <c r="M96" s="214"/>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row>
    <row r="97" spans="1:84" customFormat="1" ht="12.75" hidden="1" customHeight="1" outlineLevel="2">
      <c r="A97" s="214"/>
      <c r="B97" s="214" t="s">
        <v>154</v>
      </c>
      <c r="C97" s="211"/>
      <c r="D97" s="211"/>
      <c r="E97" s="211"/>
      <c r="F97" s="214"/>
      <c r="G97" s="214"/>
      <c r="H97" s="214"/>
      <c r="I97" s="214"/>
      <c r="J97" s="214"/>
      <c r="K97" s="214"/>
      <c r="L97" s="214"/>
      <c r="M97" s="214"/>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row>
    <row r="98" spans="1:84" customFormat="1" ht="12.75" hidden="1" customHeight="1" outlineLevel="2">
      <c r="A98" s="214"/>
      <c r="B98" s="214" t="s">
        <v>155</v>
      </c>
      <c r="C98" s="211"/>
      <c r="D98" s="211"/>
      <c r="E98" s="211"/>
      <c r="F98" s="214"/>
      <c r="G98" s="214"/>
      <c r="H98" s="214"/>
      <c r="I98" s="214"/>
      <c r="J98" s="214"/>
      <c r="K98" s="214"/>
      <c r="L98" s="214"/>
      <c r="M98" s="214"/>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row>
    <row r="99" spans="1:84" customFormat="1" ht="12.75" hidden="1" customHeight="1" outlineLevel="2">
      <c r="A99" s="214"/>
      <c r="B99" s="214" t="s">
        <v>156</v>
      </c>
      <c r="C99" s="211"/>
      <c r="D99" s="211"/>
      <c r="E99" s="211"/>
      <c r="F99" s="214"/>
      <c r="G99" s="214"/>
      <c r="H99" s="214"/>
      <c r="I99" s="214"/>
      <c r="J99" s="214"/>
      <c r="K99" s="214"/>
      <c r="L99" s="214"/>
      <c r="M99" s="214"/>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row>
    <row r="100" spans="1:84" customFormat="1" ht="12.75" hidden="1" customHeight="1" outlineLevel="2">
      <c r="A100" s="214"/>
      <c r="B100" s="214" t="s">
        <v>157</v>
      </c>
      <c r="C100" s="211"/>
      <c r="D100" s="211"/>
      <c r="E100" s="211"/>
      <c r="F100" s="214"/>
      <c r="G100" s="214"/>
      <c r="H100" s="214"/>
      <c r="I100" s="214"/>
      <c r="J100" s="214"/>
      <c r="K100" s="214"/>
      <c r="L100" s="214"/>
      <c r="M100" s="214"/>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row>
    <row r="101" spans="1:84" customFormat="1" ht="12.75" hidden="1" customHeight="1" outlineLevel="2">
      <c r="A101" s="214"/>
      <c r="B101" s="214"/>
      <c r="C101" s="211"/>
      <c r="D101" s="211"/>
      <c r="E101" s="211"/>
      <c r="F101" s="214"/>
      <c r="G101" s="214"/>
      <c r="H101" s="214"/>
      <c r="I101" s="214"/>
      <c r="J101" s="214"/>
      <c r="K101" s="214"/>
      <c r="L101" s="214"/>
      <c r="M101" s="214"/>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row>
    <row r="102" spans="1:84" customFormat="1" ht="12.75" hidden="1" customHeight="1" outlineLevel="2">
      <c r="A102" s="214"/>
      <c r="B102" s="214"/>
      <c r="C102" s="211" t="str">
        <f ca="1">IF(AND(C61=1,C75&lt;&gt;0),IF(C61&lt;&gt;0,OFFSET(B91,C91,0),""),"")</f>
        <v/>
      </c>
      <c r="D102" s="211"/>
      <c r="E102" s="211"/>
      <c r="F102" s="214"/>
      <c r="G102" s="214"/>
      <c r="H102" s="214"/>
      <c r="I102" s="214"/>
      <c r="J102" s="214"/>
      <c r="K102" s="214"/>
      <c r="L102" s="214"/>
      <c r="M102" s="214"/>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row>
    <row r="103" spans="1:84" customFormat="1" ht="12.75" hidden="1" customHeight="1" outlineLevel="2">
      <c r="A103" s="214"/>
      <c r="B103" s="214"/>
      <c r="C103" s="211"/>
      <c r="D103" s="211"/>
      <c r="E103" s="211"/>
      <c r="F103" s="214"/>
      <c r="G103" s="214"/>
      <c r="H103" s="214"/>
      <c r="I103" s="214"/>
      <c r="J103" s="214"/>
      <c r="K103" s="214"/>
      <c r="L103" s="214"/>
      <c r="M103" s="214"/>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row>
    <row r="104" spans="1:84" customFormat="1" ht="12.75" hidden="1" customHeight="1" outlineLevel="2">
      <c r="A104" s="214"/>
      <c r="B104" s="214"/>
      <c r="C104" s="211" t="str">
        <f>IF(C61&lt;&gt;1,IF(OR(C75=2,C75=3,C75=4)," миллиона",""),"")</f>
        <v/>
      </c>
      <c r="D104" s="211"/>
      <c r="E104" s="211"/>
      <c r="F104" s="214"/>
      <c r="G104" s="214"/>
      <c r="H104" s="214"/>
      <c r="I104" s="214"/>
      <c r="J104" s="214"/>
      <c r="K104" s="214"/>
      <c r="L104" s="214"/>
      <c r="M104" s="214"/>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row>
    <row r="105" spans="1:84" customFormat="1" ht="12.75" hidden="1" customHeight="1" outlineLevel="2">
      <c r="A105" s="214"/>
      <c r="B105" s="214"/>
      <c r="C105" s="211" t="str">
        <f>IF(C61&lt;&gt;1,IF(OR(C75=1)," миллион",""),"")</f>
        <v/>
      </c>
      <c r="D105" s="211"/>
      <c r="E105" s="211"/>
      <c r="F105" s="214"/>
      <c r="G105" s="214"/>
      <c r="H105" s="214"/>
      <c r="I105" s="214"/>
      <c r="J105" s="214"/>
      <c r="K105" s="214"/>
      <c r="L105" s="214"/>
      <c r="M105" s="214"/>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row>
    <row r="106" spans="1:84" customFormat="1" ht="12.75" hidden="1" customHeight="1" outlineLevel="2">
      <c r="A106" s="214"/>
      <c r="B106" s="214"/>
      <c r="C106" s="211" t="str">
        <f>IF(C45&lt;&gt;0,IF(AND(C104="",C105="")," миллионов",""),"")</f>
        <v/>
      </c>
      <c r="D106" s="211"/>
      <c r="E106" s="211"/>
      <c r="F106" s="214"/>
      <c r="G106" s="214"/>
      <c r="H106" s="214"/>
      <c r="I106" s="214"/>
      <c r="J106" s="214"/>
      <c r="K106" s="214"/>
      <c r="L106" s="214"/>
      <c r="M106" s="214"/>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row>
    <row r="107" spans="1:84" customFormat="1" ht="12.75" hidden="1" customHeight="1" outlineLevel="2">
      <c r="A107" s="214"/>
      <c r="B107" s="214"/>
      <c r="C107" s="211" t="str">
        <f ca="1">(CONCATENATE(C59,C73,C87,C102,C104,C105,C106))</f>
        <v/>
      </c>
      <c r="D107" s="211"/>
      <c r="E107" s="211"/>
      <c r="F107" s="214"/>
      <c r="G107" s="214"/>
      <c r="H107" s="214"/>
      <c r="I107" s="214"/>
      <c r="J107" s="214"/>
      <c r="K107" s="214"/>
      <c r="L107" s="214"/>
      <c r="M107" s="214"/>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row>
    <row r="108" spans="1:84" customFormat="1" ht="12.75" hidden="1" customHeight="1" outlineLevel="2">
      <c r="A108" s="214"/>
      <c r="B108" s="214"/>
      <c r="C108" s="211"/>
      <c r="D108" s="211"/>
      <c r="E108" s="211"/>
      <c r="F108" s="214"/>
      <c r="G108" s="214"/>
      <c r="H108" s="214"/>
      <c r="I108" s="214"/>
      <c r="J108" s="214"/>
      <c r="K108" s="214"/>
      <c r="L108" s="214"/>
      <c r="M108" s="214"/>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row>
    <row r="109" spans="1:84" customFormat="1" ht="12.75" hidden="1" customHeight="1" outlineLevel="2">
      <c r="A109" s="214"/>
      <c r="B109" s="214" t="s">
        <v>158</v>
      </c>
      <c r="C109" s="211">
        <f>ROUNDDOWN((C44-C45*1000000)/1000,0)</f>
        <v>0</v>
      </c>
      <c r="D109" s="211"/>
      <c r="E109" s="211"/>
      <c r="F109" s="214"/>
      <c r="G109" s="214"/>
      <c r="H109" s="214"/>
      <c r="I109" s="214"/>
      <c r="J109" s="214"/>
      <c r="K109" s="214"/>
      <c r="L109" s="214"/>
      <c r="M109" s="214"/>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row>
    <row r="110" spans="1:84" customFormat="1" ht="12.75" hidden="1" customHeight="1" outlineLevel="2">
      <c r="A110" s="214"/>
      <c r="B110" s="214" t="s">
        <v>159</v>
      </c>
      <c r="C110" s="211">
        <f>ROUNDDOWN(C109/100,0)</f>
        <v>0</v>
      </c>
      <c r="D110" s="211"/>
      <c r="E110" s="211"/>
      <c r="F110" s="214"/>
      <c r="G110" s="214"/>
      <c r="H110" s="214"/>
      <c r="I110" s="214"/>
      <c r="J110" s="214"/>
      <c r="K110" s="214"/>
      <c r="L110" s="214"/>
      <c r="M110" s="214"/>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row>
    <row r="111" spans="1:84" customFormat="1" ht="12.75" hidden="1" customHeight="1" outlineLevel="2">
      <c r="A111" s="214"/>
      <c r="B111" s="214"/>
      <c r="C111" s="211"/>
      <c r="D111" s="211"/>
      <c r="E111" s="211"/>
      <c r="F111" s="214"/>
      <c r="G111" s="214"/>
      <c r="H111" s="214"/>
      <c r="I111" s="214"/>
      <c r="J111" s="214"/>
      <c r="K111" s="214"/>
      <c r="L111" s="214"/>
      <c r="M111" s="214"/>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row>
    <row r="112" spans="1:84" customFormat="1" ht="12.75" hidden="1" customHeight="1" outlineLevel="2">
      <c r="A112" s="214"/>
      <c r="B112" s="214" t="s">
        <v>160</v>
      </c>
      <c r="C112" s="211"/>
      <c r="D112" s="211"/>
      <c r="E112" s="211"/>
      <c r="F112" s="214"/>
      <c r="G112" s="214"/>
      <c r="H112" s="214"/>
      <c r="I112" s="214"/>
      <c r="J112" s="214"/>
      <c r="K112" s="214"/>
      <c r="L112" s="214"/>
      <c r="M112" s="214"/>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row>
    <row r="113" spans="1:84" customFormat="1" ht="12.75" hidden="1" customHeight="1" outlineLevel="2">
      <c r="A113" s="214"/>
      <c r="B113" s="214" t="s">
        <v>161</v>
      </c>
      <c r="C113" s="211"/>
      <c r="D113" s="211"/>
      <c r="E113" s="211"/>
      <c r="F113" s="214"/>
      <c r="G113" s="214"/>
      <c r="H113" s="214"/>
      <c r="I113" s="214"/>
      <c r="J113" s="214"/>
      <c r="K113" s="214"/>
      <c r="L113" s="214"/>
      <c r="M113" s="214"/>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row>
    <row r="114" spans="1:84" customFormat="1" ht="12.75" hidden="1" customHeight="1" outlineLevel="2">
      <c r="A114" s="214"/>
      <c r="B114" s="214" t="s">
        <v>162</v>
      </c>
      <c r="C114" s="211"/>
      <c r="D114" s="211"/>
      <c r="E114" s="211"/>
      <c r="F114" s="214"/>
      <c r="G114" s="214"/>
      <c r="H114" s="214"/>
      <c r="I114" s="214"/>
      <c r="J114" s="214"/>
      <c r="K114" s="214"/>
      <c r="L114" s="214"/>
      <c r="M114" s="214"/>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row>
    <row r="115" spans="1:84" customFormat="1" ht="12.75" hidden="1" customHeight="1" outlineLevel="2">
      <c r="A115" s="214"/>
      <c r="B115" s="214" t="s">
        <v>163</v>
      </c>
      <c r="C115" s="211"/>
      <c r="D115" s="211"/>
      <c r="E115" s="211"/>
      <c r="F115" s="214"/>
      <c r="G115" s="214"/>
      <c r="H115" s="214"/>
      <c r="I115" s="214"/>
      <c r="J115" s="214"/>
      <c r="K115" s="214"/>
      <c r="L115" s="214"/>
      <c r="M115" s="214"/>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row>
    <row r="116" spans="1:84" customFormat="1" ht="12.75" hidden="1" customHeight="1" outlineLevel="2">
      <c r="A116" s="214"/>
      <c r="B116" s="214" t="s">
        <v>164</v>
      </c>
      <c r="C116" s="211"/>
      <c r="D116" s="211"/>
      <c r="E116" s="211"/>
      <c r="F116" s="214"/>
      <c r="G116" s="214"/>
      <c r="H116" s="214"/>
      <c r="I116" s="214"/>
      <c r="J116" s="214"/>
      <c r="K116" s="214"/>
      <c r="L116" s="214"/>
      <c r="M116" s="214"/>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row>
    <row r="117" spans="1:84" customFormat="1" ht="12.75" hidden="1" customHeight="1" outlineLevel="2">
      <c r="A117" s="214"/>
      <c r="B117" s="214" t="s">
        <v>165</v>
      </c>
      <c r="C117" s="211"/>
      <c r="D117" s="211"/>
      <c r="E117" s="211"/>
      <c r="F117" s="214"/>
      <c r="G117" s="214"/>
      <c r="H117" s="214"/>
      <c r="I117" s="214"/>
      <c r="J117" s="214"/>
      <c r="K117" s="214"/>
      <c r="L117" s="214"/>
      <c r="M117" s="214"/>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row>
    <row r="118" spans="1:84" customFormat="1" ht="12.75" hidden="1" customHeight="1" outlineLevel="2">
      <c r="A118" s="214"/>
      <c r="B118" s="214" t="s">
        <v>166</v>
      </c>
      <c r="C118" s="211"/>
      <c r="D118" s="211"/>
      <c r="E118" s="211"/>
      <c r="F118" s="214"/>
      <c r="G118" s="214"/>
      <c r="H118" s="214"/>
      <c r="I118" s="214"/>
      <c r="J118" s="214"/>
      <c r="K118" s="214"/>
      <c r="L118" s="214"/>
      <c r="M118" s="214"/>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row>
    <row r="119" spans="1:84" customFormat="1" ht="12.75" hidden="1" customHeight="1" outlineLevel="2">
      <c r="A119" s="214"/>
      <c r="B119" s="214" t="s">
        <v>167</v>
      </c>
      <c r="C119" s="211"/>
      <c r="D119" s="211"/>
      <c r="E119" s="211"/>
      <c r="F119" s="214"/>
      <c r="G119" s="214"/>
      <c r="H119" s="214"/>
      <c r="I119" s="214"/>
      <c r="J119" s="214"/>
      <c r="K119" s="214"/>
      <c r="L119" s="214"/>
      <c r="M119" s="214"/>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row>
    <row r="120" spans="1:84" customFormat="1" ht="12.75" hidden="1" customHeight="1" outlineLevel="2">
      <c r="A120" s="214"/>
      <c r="B120" s="214" t="s">
        <v>168</v>
      </c>
      <c r="C120" s="211"/>
      <c r="D120" s="211"/>
      <c r="E120" s="211"/>
      <c r="F120" s="214"/>
      <c r="G120" s="214"/>
      <c r="H120" s="214"/>
      <c r="I120" s="214"/>
      <c r="J120" s="214"/>
      <c r="K120" s="214"/>
      <c r="L120" s="214"/>
      <c r="M120" s="214"/>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row>
    <row r="121" spans="1:84" customFormat="1" ht="12.75" hidden="1" customHeight="1" outlineLevel="2">
      <c r="A121" s="214"/>
      <c r="B121" s="214"/>
      <c r="C121" s="211"/>
      <c r="D121" s="211"/>
      <c r="E121" s="211"/>
      <c r="F121" s="214"/>
      <c r="G121" s="214"/>
      <c r="H121" s="214"/>
      <c r="I121" s="214"/>
      <c r="J121" s="214"/>
      <c r="K121" s="214"/>
      <c r="L121" s="214"/>
      <c r="M121" s="214"/>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row>
    <row r="122" spans="1:84" customFormat="1" ht="12.75" hidden="1" customHeight="1" outlineLevel="2">
      <c r="A122" s="214"/>
      <c r="B122" s="214"/>
      <c r="C122" s="211" t="str">
        <f ca="1">IF(C110&lt;&gt;0,OFFSET(B111,C110,0),"")</f>
        <v/>
      </c>
      <c r="D122" s="211"/>
      <c r="E122" s="211"/>
      <c r="F122" s="214"/>
      <c r="G122" s="214"/>
      <c r="H122" s="214"/>
      <c r="I122" s="214"/>
      <c r="J122" s="214"/>
      <c r="K122" s="214"/>
      <c r="L122" s="214"/>
      <c r="M122" s="214"/>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row>
    <row r="123" spans="1:84" customFormat="1" ht="12.75" hidden="1" customHeight="1" outlineLevel="2">
      <c r="A123" s="214"/>
      <c r="B123" s="214"/>
      <c r="C123" s="211"/>
      <c r="D123" s="211"/>
      <c r="E123" s="211"/>
      <c r="F123" s="214"/>
      <c r="G123" s="214"/>
      <c r="H123" s="214"/>
      <c r="I123" s="214"/>
      <c r="J123" s="214"/>
      <c r="K123" s="214"/>
      <c r="L123" s="214"/>
      <c r="M123" s="214"/>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row>
    <row r="124" spans="1:84" customFormat="1" ht="12.75" hidden="1" customHeight="1" outlineLevel="2">
      <c r="A124" s="214"/>
      <c r="B124" s="214" t="s">
        <v>169</v>
      </c>
      <c r="C124" s="211">
        <f>ROUNDDOWN((C109-C110*100)/10,0)</f>
        <v>0</v>
      </c>
      <c r="D124" s="211"/>
      <c r="E124" s="211"/>
      <c r="F124" s="214"/>
      <c r="G124" s="214"/>
      <c r="H124" s="214"/>
      <c r="I124" s="214"/>
      <c r="J124" s="214"/>
      <c r="K124" s="214"/>
      <c r="L124" s="214"/>
      <c r="M124" s="214"/>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row>
    <row r="125" spans="1:84" customFormat="1" ht="12.75" hidden="1" customHeight="1" outlineLevel="2">
      <c r="A125" s="214"/>
      <c r="B125" s="214"/>
      <c r="C125" s="211"/>
      <c r="D125" s="211"/>
      <c r="E125" s="211"/>
      <c r="F125" s="214"/>
      <c r="G125" s="214"/>
      <c r="H125" s="214"/>
      <c r="I125" s="214"/>
      <c r="J125" s="214"/>
      <c r="K125" s="214"/>
      <c r="L125" s="214"/>
      <c r="M125" s="214"/>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row>
    <row r="126" spans="1:84" customFormat="1" ht="12.75" hidden="1" customHeight="1" outlineLevel="2">
      <c r="A126" s="214"/>
      <c r="B126" s="214" t="s">
        <v>129</v>
      </c>
      <c r="C126" s="211"/>
      <c r="D126" s="211"/>
      <c r="E126" s="211"/>
      <c r="F126" s="214"/>
      <c r="G126" s="214"/>
      <c r="H126" s="214"/>
      <c r="I126" s="214"/>
      <c r="J126" s="214"/>
      <c r="K126" s="214"/>
      <c r="L126" s="214"/>
      <c r="M126" s="214"/>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row>
    <row r="127" spans="1:84" customFormat="1" ht="12.75" hidden="1" customHeight="1" outlineLevel="2">
      <c r="A127" s="214"/>
      <c r="B127" s="214" t="s">
        <v>130</v>
      </c>
      <c r="C127" s="211"/>
      <c r="D127" s="211"/>
      <c r="E127" s="211"/>
      <c r="F127" s="214"/>
      <c r="G127" s="214"/>
      <c r="H127" s="214"/>
      <c r="I127" s="214"/>
      <c r="J127" s="214"/>
      <c r="K127" s="214"/>
      <c r="L127" s="214"/>
      <c r="M127" s="214"/>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row>
    <row r="128" spans="1:84" customFormat="1" ht="12.75" hidden="1" customHeight="1" outlineLevel="2">
      <c r="A128" s="214"/>
      <c r="B128" s="214" t="s">
        <v>131</v>
      </c>
      <c r="C128" s="211"/>
      <c r="D128" s="211"/>
      <c r="E128" s="211"/>
      <c r="F128" s="214"/>
      <c r="G128" s="214"/>
      <c r="H128" s="214"/>
      <c r="I128" s="214"/>
      <c r="J128" s="214"/>
      <c r="K128" s="214"/>
      <c r="L128" s="214"/>
      <c r="M128" s="214"/>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row>
    <row r="129" spans="1:84" customFormat="1" ht="12.75" hidden="1" customHeight="1" outlineLevel="2">
      <c r="A129" s="214"/>
      <c r="B129" s="214" t="s">
        <v>132</v>
      </c>
      <c r="C129" s="211"/>
      <c r="D129" s="211"/>
      <c r="E129" s="211"/>
      <c r="F129" s="214"/>
      <c r="G129" s="214"/>
      <c r="H129" s="214"/>
      <c r="I129" s="214"/>
      <c r="J129" s="214"/>
      <c r="K129" s="214"/>
      <c r="L129" s="214"/>
      <c r="M129" s="214"/>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row>
    <row r="130" spans="1:84" customFormat="1" ht="12.75" hidden="1" customHeight="1" outlineLevel="2">
      <c r="A130" s="214"/>
      <c r="B130" s="214" t="s">
        <v>133</v>
      </c>
      <c r="C130" s="211"/>
      <c r="D130" s="211"/>
      <c r="E130" s="211"/>
      <c r="F130" s="214"/>
      <c r="G130" s="214"/>
      <c r="H130" s="214"/>
      <c r="I130" s="214"/>
      <c r="J130" s="214"/>
      <c r="K130" s="214"/>
      <c r="L130" s="214"/>
      <c r="M130" s="214"/>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row>
    <row r="131" spans="1:84" customFormat="1" ht="12.75" hidden="1" customHeight="1" outlineLevel="2">
      <c r="A131" s="214"/>
      <c r="B131" s="214" t="s">
        <v>134</v>
      </c>
      <c r="C131" s="211"/>
      <c r="D131" s="211"/>
      <c r="E131" s="211"/>
      <c r="F131" s="214"/>
      <c r="G131" s="214"/>
      <c r="H131" s="214"/>
      <c r="I131" s="214"/>
      <c r="J131" s="214"/>
      <c r="K131" s="214"/>
      <c r="L131" s="214"/>
      <c r="M131" s="214"/>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row>
    <row r="132" spans="1:84" customFormat="1" ht="12.75" hidden="1" customHeight="1" outlineLevel="2">
      <c r="A132" s="214"/>
      <c r="B132" s="214" t="s">
        <v>135</v>
      </c>
      <c r="C132" s="211"/>
      <c r="D132" s="211"/>
      <c r="E132" s="211"/>
      <c r="F132" s="214"/>
      <c r="G132" s="214"/>
      <c r="H132" s="214"/>
      <c r="I132" s="214"/>
      <c r="J132" s="214"/>
      <c r="K132" s="214"/>
      <c r="L132" s="214"/>
      <c r="M132" s="214"/>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row>
    <row r="133" spans="1:84" customFormat="1" ht="12.75" hidden="1" customHeight="1" outlineLevel="2">
      <c r="A133" s="214"/>
      <c r="B133" s="214" t="s">
        <v>136</v>
      </c>
      <c r="C133" s="211"/>
      <c r="D133" s="211"/>
      <c r="E133" s="211"/>
      <c r="F133" s="214"/>
      <c r="G133" s="214"/>
      <c r="H133" s="214"/>
      <c r="I133" s="214"/>
      <c r="J133" s="214"/>
      <c r="K133" s="214"/>
      <c r="L133" s="214"/>
      <c r="M133" s="214"/>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row>
    <row r="134" spans="1:84" customFormat="1" ht="12.75" hidden="1" customHeight="1" outlineLevel="2">
      <c r="A134" s="214"/>
      <c r="B134" s="214" t="s">
        <v>137</v>
      </c>
      <c r="C134" s="211"/>
      <c r="D134" s="211"/>
      <c r="E134" s="211"/>
      <c r="F134" s="214"/>
      <c r="G134" s="214"/>
      <c r="H134" s="214"/>
      <c r="I134" s="214"/>
      <c r="J134" s="214"/>
      <c r="K134" s="214"/>
      <c r="L134" s="214"/>
      <c r="M134" s="214"/>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row>
    <row r="135" spans="1:84" customFormat="1" ht="12.75" hidden="1" customHeight="1" outlineLevel="2">
      <c r="A135" s="214"/>
      <c r="B135" s="214"/>
      <c r="C135" s="211"/>
      <c r="D135" s="211"/>
      <c r="E135" s="211"/>
      <c r="F135" s="214"/>
      <c r="G135" s="214"/>
      <c r="H135" s="214"/>
      <c r="I135" s="214"/>
      <c r="J135" s="214"/>
      <c r="K135" s="214"/>
      <c r="L135" s="214"/>
      <c r="M135" s="214"/>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row>
    <row r="136" spans="1:84" customFormat="1" ht="12.75" hidden="1" customHeight="1" outlineLevel="2">
      <c r="A136" s="214"/>
      <c r="B136" s="214"/>
      <c r="C136" s="211" t="str">
        <f ca="1">IF(AND(C124=1,C138&lt;&gt;0),"",IF(C124&lt;&gt;0,OFFSET(B125,C124,0),""))</f>
        <v/>
      </c>
      <c r="D136" s="211"/>
      <c r="E136" s="211"/>
      <c r="F136" s="214"/>
      <c r="G136" s="214"/>
      <c r="H136" s="214"/>
      <c r="I136" s="214"/>
      <c r="J136" s="214"/>
      <c r="K136" s="214"/>
      <c r="L136" s="214"/>
      <c r="M136" s="214"/>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row>
    <row r="137" spans="1:84" customFormat="1" ht="12.75" hidden="1" customHeight="1" outlineLevel="2">
      <c r="A137" s="214"/>
      <c r="B137" s="214"/>
      <c r="C137" s="211"/>
      <c r="D137" s="211"/>
      <c r="E137" s="211"/>
      <c r="F137" s="214"/>
      <c r="G137" s="214"/>
      <c r="H137" s="214"/>
      <c r="I137" s="214"/>
      <c r="J137" s="214"/>
      <c r="K137" s="214"/>
      <c r="L137" s="214"/>
      <c r="M137" s="214"/>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row>
    <row r="138" spans="1:84" customFormat="1" ht="12.75" hidden="1" customHeight="1" outlineLevel="2">
      <c r="A138" s="214"/>
      <c r="B138" s="214" t="s">
        <v>158</v>
      </c>
      <c r="C138" s="211">
        <f>C109-C110*100-C124*10</f>
        <v>0</v>
      </c>
      <c r="D138" s="211"/>
      <c r="E138" s="211"/>
      <c r="F138" s="214"/>
      <c r="G138" s="214"/>
      <c r="H138" s="214"/>
      <c r="I138" s="214"/>
      <c r="J138" s="214"/>
      <c r="K138" s="214"/>
      <c r="L138" s="214"/>
      <c r="M138" s="214"/>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row>
    <row r="139" spans="1:84" customFormat="1" ht="12.75" hidden="1" customHeight="1" outlineLevel="2">
      <c r="A139" s="214"/>
      <c r="B139" s="214"/>
      <c r="C139" s="211"/>
      <c r="D139" s="211"/>
      <c r="E139" s="211"/>
      <c r="F139" s="214"/>
      <c r="G139" s="214"/>
      <c r="H139" s="214"/>
      <c r="I139" s="214"/>
      <c r="J139" s="214"/>
      <c r="K139" s="214"/>
      <c r="L139" s="214"/>
      <c r="M139" s="214"/>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row>
    <row r="140" spans="1:84" customFormat="1" ht="12.75" hidden="1" customHeight="1" outlineLevel="2">
      <c r="A140" s="214"/>
      <c r="B140" s="214" t="s">
        <v>170</v>
      </c>
      <c r="C140" s="211"/>
      <c r="D140" s="211"/>
      <c r="E140" s="211"/>
      <c r="F140" s="214"/>
      <c r="G140" s="214"/>
      <c r="H140" s="214"/>
      <c r="I140" s="214"/>
      <c r="J140" s="214"/>
      <c r="K140" s="214"/>
      <c r="L140" s="214"/>
      <c r="M140" s="214"/>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row>
    <row r="141" spans="1:84" customFormat="1" ht="12.75" hidden="1" customHeight="1" outlineLevel="2">
      <c r="A141" s="214"/>
      <c r="B141" s="214" t="s">
        <v>171</v>
      </c>
      <c r="C141" s="211"/>
      <c r="D141" s="211"/>
      <c r="E141" s="211"/>
      <c r="F141" s="214"/>
      <c r="G141" s="214"/>
      <c r="H141" s="214"/>
      <c r="I141" s="214"/>
      <c r="J141" s="214"/>
      <c r="K141" s="214"/>
      <c r="L141" s="214"/>
      <c r="M141" s="214"/>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row>
    <row r="142" spans="1:84" customFormat="1" ht="12.75" hidden="1" customHeight="1" outlineLevel="2">
      <c r="A142" s="214"/>
      <c r="B142" s="214" t="s">
        <v>141</v>
      </c>
      <c r="C142" s="211"/>
      <c r="D142" s="211"/>
      <c r="E142" s="211"/>
      <c r="F142" s="214"/>
      <c r="G142" s="214"/>
      <c r="H142" s="214"/>
      <c r="I142" s="214"/>
      <c r="J142" s="214"/>
      <c r="K142" s="214"/>
      <c r="L142" s="214"/>
      <c r="M142" s="214"/>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row>
    <row r="143" spans="1:84" customFormat="1" ht="12.75" hidden="1" customHeight="1" outlineLevel="2">
      <c r="A143" s="214"/>
      <c r="B143" s="214" t="s">
        <v>142</v>
      </c>
      <c r="C143" s="211"/>
      <c r="D143" s="211"/>
      <c r="E143" s="211"/>
      <c r="F143" s="214"/>
      <c r="G143" s="214"/>
      <c r="H143" s="214"/>
      <c r="I143" s="214"/>
      <c r="J143" s="214"/>
      <c r="K143" s="214"/>
      <c r="L143" s="214"/>
      <c r="M143" s="214"/>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row>
    <row r="144" spans="1:84" customFormat="1" ht="12.75" hidden="1" customHeight="1" outlineLevel="2">
      <c r="A144" s="214"/>
      <c r="B144" s="214" t="s">
        <v>143</v>
      </c>
      <c r="C144" s="211"/>
      <c r="D144" s="211"/>
      <c r="E144" s="211"/>
      <c r="F144" s="214"/>
      <c r="G144" s="214"/>
      <c r="H144" s="214"/>
      <c r="I144" s="214"/>
      <c r="J144" s="214"/>
      <c r="K144" s="214"/>
      <c r="L144" s="214"/>
      <c r="M144" s="214"/>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row>
    <row r="145" spans="1:84" customFormat="1" ht="12.75" hidden="1" customHeight="1" outlineLevel="2">
      <c r="A145" s="214"/>
      <c r="B145" s="214" t="s">
        <v>144</v>
      </c>
      <c r="C145" s="211"/>
      <c r="D145" s="211"/>
      <c r="E145" s="211"/>
      <c r="F145" s="214"/>
      <c r="G145" s="214"/>
      <c r="H145" s="214"/>
      <c r="I145" s="214"/>
      <c r="J145" s="214"/>
      <c r="K145" s="214"/>
      <c r="L145" s="214"/>
      <c r="M145" s="214"/>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row>
    <row r="146" spans="1:84" customFormat="1" ht="12.75" hidden="1" customHeight="1" outlineLevel="2">
      <c r="A146" s="214"/>
      <c r="B146" s="214" t="s">
        <v>145</v>
      </c>
      <c r="C146" s="211"/>
      <c r="D146" s="211"/>
      <c r="E146" s="211"/>
      <c r="F146" s="214"/>
      <c r="G146" s="214"/>
      <c r="H146" s="214"/>
      <c r="I146" s="214"/>
      <c r="J146" s="214"/>
      <c r="K146" s="214"/>
      <c r="L146" s="214"/>
      <c r="M146" s="214"/>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row>
    <row r="147" spans="1:84" customFormat="1" ht="12.75" hidden="1" customHeight="1" outlineLevel="2">
      <c r="A147" s="214"/>
      <c r="B147" s="214" t="s">
        <v>146</v>
      </c>
      <c r="C147" s="211"/>
      <c r="D147" s="211"/>
      <c r="E147" s="211"/>
      <c r="F147" s="214"/>
      <c r="G147" s="214"/>
      <c r="H147" s="214"/>
      <c r="I147" s="214"/>
      <c r="J147" s="214"/>
      <c r="K147" s="214"/>
      <c r="L147" s="214"/>
      <c r="M147" s="214"/>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row>
    <row r="148" spans="1:84" customFormat="1" ht="12.75" hidden="1" customHeight="1" outlineLevel="2">
      <c r="A148" s="214"/>
      <c r="B148" s="214" t="s">
        <v>147</v>
      </c>
      <c r="C148" s="211"/>
      <c r="D148" s="211"/>
      <c r="E148" s="211"/>
      <c r="F148" s="214"/>
      <c r="G148" s="214"/>
      <c r="H148" s="214"/>
      <c r="I148" s="214"/>
      <c r="J148" s="214"/>
      <c r="K148" s="214"/>
      <c r="L148" s="214"/>
      <c r="M148" s="214"/>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row>
    <row r="149" spans="1:84" customFormat="1" ht="12.75" hidden="1" customHeight="1" outlineLevel="2">
      <c r="A149" s="214"/>
      <c r="B149" s="214"/>
      <c r="C149" s="211"/>
      <c r="D149" s="211"/>
      <c r="E149" s="211"/>
      <c r="F149" s="214"/>
      <c r="G149" s="214"/>
      <c r="H149" s="214"/>
      <c r="I149" s="214"/>
      <c r="J149" s="214"/>
      <c r="K149" s="214"/>
      <c r="L149" s="214"/>
      <c r="M149" s="214"/>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row>
    <row r="150" spans="1:84" customFormat="1" ht="12.75" hidden="1" customHeight="1" outlineLevel="2">
      <c r="A150" s="214"/>
      <c r="B150" s="214"/>
      <c r="C150" s="211" t="str">
        <f ca="1">IF(C124&lt;&gt;1,IF(C138&lt;&gt;0,OFFSET(B139,C138,0),""),"")</f>
        <v/>
      </c>
      <c r="D150" s="211"/>
      <c r="E150" s="211"/>
      <c r="F150" s="214"/>
      <c r="G150" s="214"/>
      <c r="H150" s="214"/>
      <c r="I150" s="214"/>
      <c r="J150" s="214"/>
      <c r="K150" s="214"/>
      <c r="L150" s="214"/>
      <c r="M150" s="214"/>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row>
    <row r="151" spans="1:84" customFormat="1" ht="12.75" hidden="1" customHeight="1" outlineLevel="2">
      <c r="A151" s="214"/>
      <c r="B151" s="214"/>
      <c r="C151" s="211"/>
      <c r="D151" s="211"/>
      <c r="E151" s="211"/>
      <c r="F151" s="214"/>
      <c r="G151" s="214"/>
      <c r="H151" s="214"/>
      <c r="I151" s="214"/>
      <c r="J151" s="214"/>
      <c r="K151" s="214"/>
      <c r="L151" s="214"/>
      <c r="M151" s="214"/>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row>
    <row r="152" spans="1:84" customFormat="1" ht="12.75" hidden="1" customHeight="1" outlineLevel="2">
      <c r="A152" s="214"/>
      <c r="B152" s="214" t="s">
        <v>148</v>
      </c>
      <c r="C152" s="211"/>
      <c r="D152" s="211"/>
      <c r="E152" s="211"/>
      <c r="F152" s="214"/>
      <c r="G152" s="214"/>
      <c r="H152" s="214"/>
      <c r="I152" s="214"/>
      <c r="J152" s="214"/>
      <c r="K152" s="214"/>
      <c r="L152" s="214"/>
      <c r="M152" s="214"/>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row>
    <row r="153" spans="1:84" customFormat="1" ht="12.75" hidden="1" customHeight="1" outlineLevel="2">
      <c r="A153" s="214"/>
      <c r="B153" s="214"/>
      <c r="C153" s="211"/>
      <c r="D153" s="211"/>
      <c r="E153" s="211"/>
      <c r="F153" s="214"/>
      <c r="G153" s="214"/>
      <c r="H153" s="214"/>
      <c r="I153" s="214"/>
      <c r="J153" s="214"/>
      <c r="K153" s="214"/>
      <c r="L153" s="214"/>
      <c r="M153" s="214"/>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row>
    <row r="154" spans="1:84" customFormat="1" ht="12.75" hidden="1" customHeight="1" outlineLevel="2">
      <c r="A154" s="214"/>
      <c r="B154" s="214"/>
      <c r="C154" s="211">
        <f>+C138</f>
        <v>0</v>
      </c>
      <c r="D154" s="211"/>
      <c r="E154" s="211"/>
      <c r="F154" s="214"/>
      <c r="G154" s="214"/>
      <c r="H154" s="214"/>
      <c r="I154" s="214"/>
      <c r="J154" s="214"/>
      <c r="K154" s="214"/>
      <c r="L154" s="214"/>
      <c r="M154" s="214"/>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row>
    <row r="155" spans="1:84" customFormat="1" ht="12.75" hidden="1" customHeight="1" outlineLevel="2">
      <c r="A155" s="214"/>
      <c r="B155" s="214" t="s">
        <v>149</v>
      </c>
      <c r="C155" s="211"/>
      <c r="D155" s="211"/>
      <c r="E155" s="211"/>
      <c r="F155" s="214"/>
      <c r="G155" s="214"/>
      <c r="H155" s="214"/>
      <c r="I155" s="214"/>
      <c r="J155" s="214"/>
      <c r="K155" s="214"/>
      <c r="L155" s="214"/>
      <c r="M155" s="214"/>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row>
    <row r="156" spans="1:84" customFormat="1" ht="12.75" hidden="1" customHeight="1" outlineLevel="2">
      <c r="A156" s="214"/>
      <c r="B156" s="214" t="s">
        <v>150</v>
      </c>
      <c r="C156" s="211"/>
      <c r="D156" s="211"/>
      <c r="E156" s="211"/>
      <c r="F156" s="214"/>
      <c r="G156" s="214"/>
      <c r="H156" s="214"/>
      <c r="I156" s="214"/>
      <c r="J156" s="214"/>
      <c r="K156" s="214"/>
      <c r="L156" s="214"/>
      <c r="M156" s="214"/>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row>
    <row r="157" spans="1:84" customFormat="1" ht="12.75" hidden="1" customHeight="1" outlineLevel="2">
      <c r="A157" s="214"/>
      <c r="B157" s="214" t="s">
        <v>151</v>
      </c>
      <c r="C157" s="211"/>
      <c r="D157" s="211"/>
      <c r="E157" s="211"/>
      <c r="F157" s="214"/>
      <c r="G157" s="214"/>
      <c r="H157" s="214"/>
      <c r="I157" s="214"/>
      <c r="J157" s="214"/>
      <c r="K157" s="214"/>
      <c r="L157" s="214"/>
      <c r="M157" s="214"/>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row>
    <row r="158" spans="1:84" customFormat="1" ht="12.75" hidden="1" customHeight="1" outlineLevel="2">
      <c r="A158" s="214"/>
      <c r="B158" s="214" t="s">
        <v>152</v>
      </c>
      <c r="C158" s="211"/>
      <c r="D158" s="211"/>
      <c r="E158" s="211"/>
      <c r="F158" s="214"/>
      <c r="G158" s="214"/>
      <c r="H158" s="214"/>
      <c r="I158" s="214"/>
      <c r="J158" s="214"/>
      <c r="K158" s="214"/>
      <c r="L158" s="214"/>
      <c r="M158" s="214"/>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row>
    <row r="159" spans="1:84" customFormat="1" ht="12.75" hidden="1" customHeight="1" outlineLevel="2">
      <c r="A159" s="214"/>
      <c r="B159" s="214" t="s">
        <v>153</v>
      </c>
      <c r="C159" s="211"/>
      <c r="D159" s="211"/>
      <c r="E159" s="211"/>
      <c r="F159" s="214"/>
      <c r="G159" s="214"/>
      <c r="H159" s="214"/>
      <c r="I159" s="214"/>
      <c r="J159" s="214"/>
      <c r="K159" s="214"/>
      <c r="L159" s="214"/>
      <c r="M159" s="214"/>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row>
    <row r="160" spans="1:84" customFormat="1" ht="12.75" hidden="1" customHeight="1" outlineLevel="2">
      <c r="A160" s="214"/>
      <c r="B160" s="214" t="s">
        <v>154</v>
      </c>
      <c r="C160" s="211"/>
      <c r="D160" s="211"/>
      <c r="E160" s="211"/>
      <c r="F160" s="214"/>
      <c r="G160" s="214"/>
      <c r="H160" s="214"/>
      <c r="I160" s="214"/>
      <c r="J160" s="214"/>
      <c r="K160" s="214"/>
      <c r="L160" s="214"/>
      <c r="M160" s="214"/>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row>
    <row r="161" spans="1:84" customFormat="1" ht="12.75" hidden="1" customHeight="1" outlineLevel="2">
      <c r="A161" s="214"/>
      <c r="B161" s="214" t="s">
        <v>155</v>
      </c>
      <c r="C161" s="211"/>
      <c r="D161" s="211"/>
      <c r="E161" s="211"/>
      <c r="F161" s="214"/>
      <c r="G161" s="214"/>
      <c r="H161" s="214"/>
      <c r="I161" s="214"/>
      <c r="J161" s="214"/>
      <c r="K161" s="214"/>
      <c r="L161" s="214"/>
      <c r="M161" s="214"/>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row>
    <row r="162" spans="1:84" customFormat="1" ht="12.75" hidden="1" customHeight="1" outlineLevel="2">
      <c r="A162" s="214"/>
      <c r="B162" s="214" t="s">
        <v>156</v>
      </c>
      <c r="C162" s="211"/>
      <c r="D162" s="211"/>
      <c r="E162" s="211"/>
      <c r="F162" s="214"/>
      <c r="G162" s="214"/>
      <c r="H162" s="214"/>
      <c r="I162" s="214"/>
      <c r="J162" s="214"/>
      <c r="K162" s="214"/>
      <c r="L162" s="214"/>
      <c r="M162" s="214"/>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row>
    <row r="163" spans="1:84" customFormat="1" ht="12.75" hidden="1" customHeight="1" outlineLevel="2">
      <c r="A163" s="214"/>
      <c r="B163" s="214" t="s">
        <v>157</v>
      </c>
      <c r="C163" s="211"/>
      <c r="D163" s="211"/>
      <c r="E163" s="211"/>
      <c r="F163" s="214"/>
      <c r="G163" s="214"/>
      <c r="H163" s="214"/>
      <c r="I163" s="214"/>
      <c r="J163" s="214"/>
      <c r="K163" s="214"/>
      <c r="L163" s="214"/>
      <c r="M163" s="214"/>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row>
    <row r="164" spans="1:84" customFormat="1" ht="12.75" hidden="1" customHeight="1" outlineLevel="2">
      <c r="A164" s="214"/>
      <c r="B164" s="214"/>
      <c r="C164" s="211"/>
      <c r="D164" s="211"/>
      <c r="E164" s="211"/>
      <c r="F164" s="214"/>
      <c r="G164" s="214"/>
      <c r="H164" s="214"/>
      <c r="I164" s="214"/>
      <c r="J164" s="214"/>
      <c r="K164" s="214"/>
      <c r="L164" s="214"/>
      <c r="M164" s="214"/>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row>
    <row r="165" spans="1:84" customFormat="1" ht="12.75" hidden="1" customHeight="1" outlineLevel="2">
      <c r="A165" s="214"/>
      <c r="B165" s="214"/>
      <c r="C165" s="211" t="str">
        <f ca="1">IF(AND(C124=1,C138&lt;&gt;0),IF(C124&lt;&gt;0,OFFSET(B154,C154,0),""),"")</f>
        <v/>
      </c>
      <c r="D165" s="211"/>
      <c r="E165" s="211"/>
      <c r="F165" s="214"/>
      <c r="G165" s="214"/>
      <c r="H165" s="214"/>
      <c r="I165" s="214"/>
      <c r="J165" s="214"/>
      <c r="K165" s="214"/>
      <c r="L165" s="214"/>
      <c r="M165" s="214"/>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row>
    <row r="166" spans="1:84" customFormat="1" ht="12.75" hidden="1" customHeight="1" outlineLevel="2">
      <c r="A166" s="214"/>
      <c r="B166" s="214"/>
      <c r="C166" s="211"/>
      <c r="D166" s="211"/>
      <c r="E166" s="211"/>
      <c r="F166" s="214"/>
      <c r="G166" s="214"/>
      <c r="H166" s="214"/>
      <c r="I166" s="214"/>
      <c r="J166" s="214"/>
      <c r="K166" s="214"/>
      <c r="L166" s="214"/>
      <c r="M166" s="214"/>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row>
    <row r="167" spans="1:84" customFormat="1" ht="12.75" hidden="1" customHeight="1" outlineLevel="2">
      <c r="A167" s="214"/>
      <c r="B167" s="214"/>
      <c r="C167" s="211" t="str">
        <f>IF(C124&lt;&gt;1,IF(OR(C138=2,C138=3,C138=4)," тысячи",""),"")</f>
        <v/>
      </c>
      <c r="D167" s="211"/>
      <c r="E167" s="211"/>
      <c r="F167" s="214"/>
      <c r="G167" s="214"/>
      <c r="H167" s="214"/>
      <c r="I167" s="214"/>
      <c r="J167" s="214"/>
      <c r="K167" s="214"/>
      <c r="L167" s="214"/>
      <c r="M167" s="214"/>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row>
    <row r="168" spans="1:84" customFormat="1" ht="12.75" hidden="1" customHeight="1" outlineLevel="2">
      <c r="A168" s="214"/>
      <c r="B168" s="214"/>
      <c r="C168" s="211" t="str">
        <f>IF(C124&lt;&gt;1,IF(OR(C138=1)," тысяча",""),"")</f>
        <v/>
      </c>
      <c r="D168" s="211"/>
      <c r="E168" s="211"/>
      <c r="F168" s="214"/>
      <c r="G168" s="214"/>
      <c r="H168" s="214"/>
      <c r="I168" s="214"/>
      <c r="J168" s="214"/>
      <c r="K168" s="214"/>
      <c r="L168" s="214"/>
      <c r="M168" s="214"/>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row>
    <row r="169" spans="1:84" customFormat="1" ht="12.75" hidden="1" customHeight="1" outlineLevel="2">
      <c r="A169" s="214"/>
      <c r="B169" s="214"/>
      <c r="C169" s="211" t="str">
        <f>IF(C109&lt;&gt;0,IF(AND(C167="",C168="")," тысяч",""),"")</f>
        <v/>
      </c>
      <c r="D169" s="211"/>
      <c r="E169" s="211"/>
      <c r="F169" s="214"/>
      <c r="G169" s="214"/>
      <c r="H169" s="214"/>
      <c r="I169" s="214"/>
      <c r="J169" s="214"/>
      <c r="K169" s="214"/>
      <c r="L169" s="214"/>
      <c r="M169" s="214"/>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row>
    <row r="170" spans="1:84" customFormat="1" ht="12.75" hidden="1" customHeight="1" outlineLevel="2">
      <c r="A170" s="214"/>
      <c r="B170" s="214"/>
      <c r="C170" s="211" t="str">
        <f ca="1">(CONCATENATE(C122,C136,C150,C165,C167,C168,C169))</f>
        <v/>
      </c>
      <c r="D170" s="211"/>
      <c r="E170" s="211"/>
      <c r="F170" s="214"/>
      <c r="G170" s="214"/>
      <c r="H170" s="214"/>
      <c r="I170" s="214"/>
      <c r="J170" s="214"/>
      <c r="K170" s="214"/>
      <c r="L170" s="214"/>
      <c r="M170" s="214"/>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row>
    <row r="171" spans="1:84" customFormat="1" ht="12.75" hidden="1" customHeight="1" outlineLevel="2">
      <c r="A171" s="214"/>
      <c r="B171" s="214"/>
      <c r="C171" s="211"/>
      <c r="D171" s="211"/>
      <c r="E171" s="211"/>
      <c r="F171" s="214"/>
      <c r="G171" s="214"/>
      <c r="H171" s="214"/>
      <c r="I171" s="214"/>
      <c r="J171" s="214"/>
      <c r="K171" s="214"/>
      <c r="L171" s="214"/>
      <c r="M171" s="214"/>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row>
    <row r="172" spans="1:84" customFormat="1" ht="12.75" hidden="1" customHeight="1" outlineLevel="2">
      <c r="A172" s="214"/>
      <c r="B172" s="214" t="s">
        <v>172</v>
      </c>
      <c r="C172" s="211">
        <f>ROUNDDOWN(C44-C45*1000000-C109*1000,0)</f>
        <v>0</v>
      </c>
      <c r="D172" s="211"/>
      <c r="E172" s="211"/>
      <c r="F172" s="214"/>
      <c r="G172" s="214"/>
      <c r="H172" s="214"/>
      <c r="I172" s="214"/>
      <c r="J172" s="214"/>
      <c r="K172" s="214"/>
      <c r="L172" s="214"/>
      <c r="M172" s="214"/>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row>
    <row r="173" spans="1:84" customFormat="1" ht="12.75" hidden="1" customHeight="1" outlineLevel="2">
      <c r="A173" s="214"/>
      <c r="B173" s="214" t="s">
        <v>159</v>
      </c>
      <c r="C173" s="211">
        <f>ROUNDDOWN(C172/100,0)</f>
        <v>0</v>
      </c>
      <c r="D173" s="211"/>
      <c r="E173" s="211"/>
      <c r="F173" s="214"/>
      <c r="G173" s="214"/>
      <c r="H173" s="214"/>
      <c r="I173" s="214"/>
      <c r="J173" s="214"/>
      <c r="K173" s="214"/>
      <c r="L173" s="214"/>
      <c r="M173" s="214"/>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row>
    <row r="174" spans="1:84" customFormat="1" ht="12.75" hidden="1" customHeight="1" outlineLevel="2">
      <c r="A174" s="214"/>
      <c r="B174" s="214"/>
      <c r="C174" s="211"/>
      <c r="D174" s="211"/>
      <c r="E174" s="211"/>
      <c r="F174" s="214"/>
      <c r="G174" s="214"/>
      <c r="H174" s="214"/>
      <c r="I174" s="214"/>
      <c r="J174" s="214"/>
      <c r="K174" s="214"/>
      <c r="L174" s="214"/>
      <c r="M174" s="214"/>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row>
    <row r="175" spans="1:84" customFormat="1" ht="12.75" hidden="1" customHeight="1" outlineLevel="2">
      <c r="A175" s="214"/>
      <c r="B175" s="214" t="s">
        <v>160</v>
      </c>
      <c r="C175" s="211"/>
      <c r="D175" s="211"/>
      <c r="E175" s="211"/>
      <c r="F175" s="214"/>
      <c r="G175" s="214"/>
      <c r="H175" s="214"/>
      <c r="I175" s="214"/>
      <c r="J175" s="214"/>
      <c r="K175" s="214"/>
      <c r="L175" s="214"/>
      <c r="M175" s="214"/>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row>
    <row r="176" spans="1:84" customFormat="1" ht="12.75" hidden="1" customHeight="1" outlineLevel="2">
      <c r="A176" s="214"/>
      <c r="B176" s="214" t="s">
        <v>161</v>
      </c>
      <c r="C176" s="211"/>
      <c r="D176" s="211"/>
      <c r="E176" s="211"/>
      <c r="F176" s="214"/>
      <c r="G176" s="214"/>
      <c r="H176" s="214"/>
      <c r="I176" s="214"/>
      <c r="J176" s="214"/>
      <c r="K176" s="214"/>
      <c r="L176" s="214"/>
      <c r="M176" s="214"/>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row>
    <row r="177" spans="1:84" customFormat="1" ht="12.75" hidden="1" customHeight="1" outlineLevel="2">
      <c r="A177" s="214"/>
      <c r="B177" s="214" t="s">
        <v>162</v>
      </c>
      <c r="C177" s="211"/>
      <c r="D177" s="211"/>
      <c r="E177" s="211"/>
      <c r="F177" s="214"/>
      <c r="G177" s="214"/>
      <c r="H177" s="214"/>
      <c r="I177" s="214"/>
      <c r="J177" s="214"/>
      <c r="K177" s="214"/>
      <c r="L177" s="214"/>
      <c r="M177" s="214"/>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row>
    <row r="178" spans="1:84" customFormat="1" ht="12.75" hidden="1" customHeight="1" outlineLevel="2">
      <c r="A178" s="214"/>
      <c r="B178" s="214" t="s">
        <v>163</v>
      </c>
      <c r="C178" s="211"/>
      <c r="D178" s="211"/>
      <c r="E178" s="211"/>
      <c r="F178" s="214"/>
      <c r="G178" s="214"/>
      <c r="H178" s="214"/>
      <c r="I178" s="214"/>
      <c r="J178" s="214"/>
      <c r="K178" s="214"/>
      <c r="L178" s="214"/>
      <c r="M178" s="214"/>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row>
    <row r="179" spans="1:84" customFormat="1" ht="12.75" hidden="1" customHeight="1" outlineLevel="2">
      <c r="A179" s="214"/>
      <c r="B179" s="214" t="s">
        <v>164</v>
      </c>
      <c r="C179" s="211"/>
      <c r="D179" s="211"/>
      <c r="E179" s="211"/>
      <c r="F179" s="214"/>
      <c r="G179" s="214"/>
      <c r="H179" s="214"/>
      <c r="I179" s="214"/>
      <c r="J179" s="214"/>
      <c r="K179" s="214"/>
      <c r="L179" s="214"/>
      <c r="M179" s="214"/>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row>
    <row r="180" spans="1:84" customFormat="1" ht="12.75" hidden="1" customHeight="1" outlineLevel="2">
      <c r="A180" s="214"/>
      <c r="B180" s="214" t="s">
        <v>165</v>
      </c>
      <c r="C180" s="211"/>
      <c r="D180" s="211"/>
      <c r="E180" s="211"/>
      <c r="F180" s="214"/>
      <c r="G180" s="214"/>
      <c r="H180" s="214"/>
      <c r="I180" s="214"/>
      <c r="J180" s="214"/>
      <c r="K180" s="214"/>
      <c r="L180" s="214"/>
      <c r="M180" s="214"/>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row>
    <row r="181" spans="1:84" customFormat="1" ht="12.75" hidden="1" customHeight="1" outlineLevel="2">
      <c r="A181" s="214"/>
      <c r="B181" s="214" t="s">
        <v>166</v>
      </c>
      <c r="C181" s="211"/>
      <c r="D181" s="211"/>
      <c r="E181" s="211"/>
      <c r="F181" s="214"/>
      <c r="G181" s="214"/>
      <c r="H181" s="214"/>
      <c r="I181" s="214"/>
      <c r="J181" s="214"/>
      <c r="K181" s="214"/>
      <c r="L181" s="214"/>
      <c r="M181" s="214"/>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row>
    <row r="182" spans="1:84" customFormat="1" ht="12.75" hidden="1" customHeight="1" outlineLevel="2">
      <c r="A182" s="214"/>
      <c r="B182" s="214" t="s">
        <v>167</v>
      </c>
      <c r="C182" s="211"/>
      <c r="D182" s="211"/>
      <c r="E182" s="211"/>
      <c r="F182" s="214"/>
      <c r="G182" s="214"/>
      <c r="H182" s="214"/>
      <c r="I182" s="214"/>
      <c r="J182" s="214"/>
      <c r="K182" s="214"/>
      <c r="L182" s="214"/>
      <c r="M182" s="214"/>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row>
    <row r="183" spans="1:84" customFormat="1" ht="12.75" hidden="1" customHeight="1" outlineLevel="2">
      <c r="A183" s="214"/>
      <c r="B183" s="214" t="s">
        <v>168</v>
      </c>
      <c r="C183" s="211"/>
      <c r="D183" s="211"/>
      <c r="E183" s="211"/>
      <c r="F183" s="214"/>
      <c r="G183" s="214"/>
      <c r="H183" s="214"/>
      <c r="I183" s="214"/>
      <c r="J183" s="214"/>
      <c r="K183" s="214"/>
      <c r="L183" s="214"/>
      <c r="M183" s="214"/>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row>
    <row r="184" spans="1:84" customFormat="1" ht="12.75" hidden="1" customHeight="1" outlineLevel="2">
      <c r="A184" s="214"/>
      <c r="B184" s="214"/>
      <c r="C184" s="211"/>
      <c r="D184" s="211"/>
      <c r="E184" s="211"/>
      <c r="F184" s="214"/>
      <c r="G184" s="214"/>
      <c r="H184" s="214"/>
      <c r="I184" s="214"/>
      <c r="J184" s="214"/>
      <c r="K184" s="214"/>
      <c r="L184" s="214"/>
      <c r="M184" s="214"/>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row>
    <row r="185" spans="1:84" customFormat="1" ht="12.75" hidden="1" customHeight="1" outlineLevel="2">
      <c r="A185" s="214"/>
      <c r="B185" s="214"/>
      <c r="C185" s="211" t="str">
        <f ca="1">IF(C173&lt;&gt;0,OFFSET(B174,C173,0),"")</f>
        <v/>
      </c>
      <c r="D185" s="211"/>
      <c r="E185" s="211"/>
      <c r="F185" s="214"/>
      <c r="G185" s="214"/>
      <c r="H185" s="214"/>
      <c r="I185" s="214"/>
      <c r="J185" s="214"/>
      <c r="K185" s="214"/>
      <c r="L185" s="214"/>
      <c r="M185" s="214"/>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row>
    <row r="186" spans="1:84" customFormat="1" ht="12.75" hidden="1" customHeight="1" outlineLevel="2">
      <c r="A186" s="214"/>
      <c r="B186" s="214"/>
      <c r="C186" s="211"/>
      <c r="D186" s="211"/>
      <c r="E186" s="211"/>
      <c r="F186" s="214"/>
      <c r="G186" s="214"/>
      <c r="H186" s="214"/>
      <c r="I186" s="214"/>
      <c r="J186" s="214"/>
      <c r="K186" s="214"/>
      <c r="L186" s="214"/>
      <c r="M186" s="214"/>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row>
    <row r="187" spans="1:84" customFormat="1" ht="12.75" hidden="1" customHeight="1" outlineLevel="2">
      <c r="A187" s="214"/>
      <c r="B187" s="214" t="s">
        <v>169</v>
      </c>
      <c r="C187" s="211">
        <f>ROUNDDOWN((C172-C173*100)/10,0)</f>
        <v>0</v>
      </c>
      <c r="D187" s="211"/>
      <c r="E187" s="211"/>
      <c r="F187" s="214"/>
      <c r="G187" s="214"/>
      <c r="H187" s="214"/>
      <c r="I187" s="214"/>
      <c r="J187" s="214"/>
      <c r="K187" s="214"/>
      <c r="L187" s="214"/>
      <c r="M187" s="214"/>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row>
    <row r="188" spans="1:84" customFormat="1" ht="12.75" hidden="1" customHeight="1" outlineLevel="2">
      <c r="A188" s="214"/>
      <c r="B188" s="214"/>
      <c r="C188" s="211"/>
      <c r="D188" s="211"/>
      <c r="E188" s="211"/>
      <c r="F188" s="214"/>
      <c r="G188" s="214"/>
      <c r="H188" s="214"/>
      <c r="I188" s="214"/>
      <c r="J188" s="214"/>
      <c r="K188" s="214"/>
      <c r="L188" s="214"/>
      <c r="M188" s="214"/>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row>
    <row r="189" spans="1:84" customFormat="1" ht="12.75" hidden="1" customHeight="1" outlineLevel="2">
      <c r="A189" s="214"/>
      <c r="B189" s="214" t="s">
        <v>129</v>
      </c>
      <c r="C189" s="211"/>
      <c r="D189" s="211"/>
      <c r="E189" s="211"/>
      <c r="F189" s="214"/>
      <c r="G189" s="214"/>
      <c r="H189" s="214"/>
      <c r="I189" s="214"/>
      <c r="J189" s="214"/>
      <c r="K189" s="214"/>
      <c r="L189" s="214"/>
      <c r="M189" s="214"/>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row>
    <row r="190" spans="1:84" customFormat="1" ht="12.75" hidden="1" customHeight="1" outlineLevel="2">
      <c r="A190" s="214"/>
      <c r="B190" s="214" t="s">
        <v>130</v>
      </c>
      <c r="C190" s="211"/>
      <c r="D190" s="211"/>
      <c r="E190" s="211"/>
      <c r="F190" s="214"/>
      <c r="G190" s="214"/>
      <c r="H190" s="214"/>
      <c r="I190" s="214"/>
      <c r="J190" s="214"/>
      <c r="K190" s="214"/>
      <c r="L190" s="214"/>
      <c r="M190" s="214"/>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row>
    <row r="191" spans="1:84" customFormat="1" ht="12.75" hidden="1" customHeight="1" outlineLevel="2">
      <c r="A191" s="214"/>
      <c r="B191" s="214" t="s">
        <v>131</v>
      </c>
      <c r="C191" s="211"/>
      <c r="D191" s="211"/>
      <c r="E191" s="211"/>
      <c r="F191" s="214"/>
      <c r="G191" s="214"/>
      <c r="H191" s="214"/>
      <c r="I191" s="214"/>
      <c r="J191" s="214"/>
      <c r="K191" s="214"/>
      <c r="L191" s="214"/>
      <c r="M191" s="214"/>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row>
    <row r="192" spans="1:84" customFormat="1" ht="12.75" hidden="1" customHeight="1" outlineLevel="2">
      <c r="A192" s="214"/>
      <c r="B192" s="214" t="s">
        <v>132</v>
      </c>
      <c r="C192" s="211"/>
      <c r="D192" s="211"/>
      <c r="E192" s="211"/>
      <c r="F192" s="214"/>
      <c r="G192" s="214"/>
      <c r="H192" s="214"/>
      <c r="I192" s="214"/>
      <c r="J192" s="214"/>
      <c r="K192" s="214"/>
      <c r="L192" s="214"/>
      <c r="M192" s="214"/>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row>
    <row r="193" spans="1:84" customFormat="1" ht="12.75" hidden="1" customHeight="1" outlineLevel="2">
      <c r="A193" s="214"/>
      <c r="B193" s="214" t="s">
        <v>133</v>
      </c>
      <c r="C193" s="211"/>
      <c r="D193" s="211"/>
      <c r="E193" s="211"/>
      <c r="F193" s="214"/>
      <c r="G193" s="214"/>
      <c r="H193" s="214"/>
      <c r="I193" s="214"/>
      <c r="J193" s="214"/>
      <c r="K193" s="214"/>
      <c r="L193" s="214"/>
      <c r="M193" s="214"/>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row>
    <row r="194" spans="1:84" customFormat="1" ht="12.75" hidden="1" customHeight="1" outlineLevel="2">
      <c r="A194" s="214"/>
      <c r="B194" s="214" t="s">
        <v>134</v>
      </c>
      <c r="C194" s="211"/>
      <c r="D194" s="211"/>
      <c r="E194" s="211"/>
      <c r="F194" s="214"/>
      <c r="G194" s="214"/>
      <c r="H194" s="214"/>
      <c r="I194" s="214"/>
      <c r="J194" s="214"/>
      <c r="K194" s="214"/>
      <c r="L194" s="214"/>
      <c r="M194" s="214"/>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row>
    <row r="195" spans="1:84" customFormat="1" ht="12.75" hidden="1" customHeight="1" outlineLevel="2">
      <c r="A195" s="214"/>
      <c r="B195" s="214" t="s">
        <v>135</v>
      </c>
      <c r="C195" s="211"/>
      <c r="D195" s="211"/>
      <c r="E195" s="211"/>
      <c r="F195" s="214"/>
      <c r="G195" s="214"/>
      <c r="H195" s="214"/>
      <c r="I195" s="214"/>
      <c r="J195" s="214"/>
      <c r="K195" s="214"/>
      <c r="L195" s="214"/>
      <c r="M195" s="214"/>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row>
    <row r="196" spans="1:84" customFormat="1" ht="12.75" hidden="1" customHeight="1" outlineLevel="2">
      <c r="A196" s="214"/>
      <c r="B196" s="214" t="s">
        <v>136</v>
      </c>
      <c r="C196" s="211"/>
      <c r="D196" s="211"/>
      <c r="E196" s="211"/>
      <c r="F196" s="214"/>
      <c r="G196" s="214"/>
      <c r="H196" s="214"/>
      <c r="I196" s="214"/>
      <c r="J196" s="214"/>
      <c r="K196" s="214"/>
      <c r="L196" s="214"/>
      <c r="M196" s="214"/>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row>
    <row r="197" spans="1:84" customFormat="1" ht="12.75" hidden="1" customHeight="1" outlineLevel="2">
      <c r="A197" s="214"/>
      <c r="B197" s="214" t="s">
        <v>137</v>
      </c>
      <c r="C197" s="211"/>
      <c r="D197" s="211"/>
      <c r="E197" s="211"/>
      <c r="F197" s="214"/>
      <c r="G197" s="214"/>
      <c r="H197" s="214"/>
      <c r="I197" s="214"/>
      <c r="J197" s="214"/>
      <c r="K197" s="214"/>
      <c r="L197" s="214"/>
      <c r="M197" s="214"/>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row>
    <row r="198" spans="1:84" customFormat="1" ht="12.75" hidden="1" customHeight="1" outlineLevel="2">
      <c r="A198" s="214"/>
      <c r="B198" s="214"/>
      <c r="C198" s="211"/>
      <c r="D198" s="211"/>
      <c r="E198" s="211"/>
      <c r="F198" s="214"/>
      <c r="G198" s="214"/>
      <c r="H198" s="214"/>
      <c r="I198" s="214"/>
      <c r="J198" s="214"/>
      <c r="K198" s="214"/>
      <c r="L198" s="214"/>
      <c r="M198" s="214"/>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row>
    <row r="199" spans="1:84" customFormat="1" ht="12.75" hidden="1" customHeight="1" outlineLevel="2">
      <c r="A199" s="214"/>
      <c r="B199" s="214"/>
      <c r="C199" s="211" t="str">
        <f ca="1">IF(AND(C187=1,C201&lt;&gt;0),"",IF(C187&lt;&gt;0,OFFSET(B188,C187,0),""))</f>
        <v/>
      </c>
      <c r="D199" s="211"/>
      <c r="E199" s="211"/>
      <c r="F199" s="214"/>
      <c r="G199" s="214"/>
      <c r="H199" s="214"/>
      <c r="I199" s="214"/>
      <c r="J199" s="214"/>
      <c r="K199" s="214"/>
      <c r="L199" s="214"/>
      <c r="M199" s="214"/>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row>
    <row r="200" spans="1:84" customFormat="1" ht="12.75" hidden="1" customHeight="1" outlineLevel="2">
      <c r="A200" s="214"/>
      <c r="B200" s="214"/>
      <c r="C200" s="211"/>
      <c r="D200" s="211"/>
      <c r="E200" s="211"/>
      <c r="F200" s="214"/>
      <c r="G200" s="214"/>
      <c r="H200" s="214"/>
      <c r="I200" s="214"/>
      <c r="J200" s="214"/>
      <c r="K200" s="214"/>
      <c r="L200" s="214"/>
      <c r="M200" s="214"/>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row>
    <row r="201" spans="1:84" customFormat="1" ht="12.75" hidden="1" customHeight="1" outlineLevel="2">
      <c r="A201" s="214"/>
      <c r="B201" s="214" t="s">
        <v>158</v>
      </c>
      <c r="C201" s="211">
        <f>C172-C173*100-C187*10</f>
        <v>0</v>
      </c>
      <c r="D201" s="211"/>
      <c r="E201" s="211"/>
      <c r="F201" s="214"/>
      <c r="G201" s="214"/>
      <c r="H201" s="214"/>
      <c r="I201" s="214"/>
      <c r="J201" s="214"/>
      <c r="K201" s="214"/>
      <c r="L201" s="214"/>
      <c r="M201" s="214"/>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row>
    <row r="202" spans="1:84" customFormat="1" ht="12.75" hidden="1" customHeight="1" outlineLevel="2">
      <c r="A202" s="214"/>
      <c r="B202" s="214"/>
      <c r="C202" s="211"/>
      <c r="D202" s="211"/>
      <c r="E202" s="211"/>
      <c r="F202" s="214"/>
      <c r="G202" s="214"/>
      <c r="H202" s="214"/>
      <c r="I202" s="214"/>
      <c r="J202" s="214"/>
      <c r="K202" s="214"/>
      <c r="L202" s="214"/>
      <c r="M202" s="214"/>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row>
    <row r="203" spans="1:84" customFormat="1" ht="12.75" hidden="1" customHeight="1" outlineLevel="2">
      <c r="A203" s="214"/>
      <c r="B203" s="214" t="s">
        <v>139</v>
      </c>
      <c r="C203" s="211"/>
      <c r="D203" s="211"/>
      <c r="E203" s="211"/>
      <c r="F203" s="214"/>
      <c r="G203" s="214"/>
      <c r="H203" s="214"/>
      <c r="I203" s="214"/>
      <c r="J203" s="214"/>
      <c r="K203" s="214"/>
      <c r="L203" s="214"/>
      <c r="M203" s="214"/>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row>
    <row r="204" spans="1:84" customFormat="1" ht="12.75" hidden="1" customHeight="1" outlineLevel="2">
      <c r="A204" s="214"/>
      <c r="B204" s="214" t="s">
        <v>140</v>
      </c>
      <c r="C204" s="211"/>
      <c r="D204" s="211"/>
      <c r="E204" s="211"/>
      <c r="F204" s="214"/>
      <c r="G204" s="214"/>
      <c r="H204" s="214"/>
      <c r="I204" s="214"/>
      <c r="J204" s="214"/>
      <c r="K204" s="214"/>
      <c r="L204" s="214"/>
      <c r="M204" s="214"/>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row>
    <row r="205" spans="1:84" customFormat="1" ht="12.75" hidden="1" customHeight="1" outlineLevel="2">
      <c r="A205" s="214"/>
      <c r="B205" s="214" t="s">
        <v>141</v>
      </c>
      <c r="C205" s="211"/>
      <c r="D205" s="211"/>
      <c r="E205" s="211"/>
      <c r="F205" s="214"/>
      <c r="G205" s="214"/>
      <c r="H205" s="214"/>
      <c r="I205" s="214"/>
      <c r="J205" s="214"/>
      <c r="K205" s="214"/>
      <c r="L205" s="214"/>
      <c r="M205" s="214"/>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row>
    <row r="206" spans="1:84" customFormat="1" ht="12.75" hidden="1" customHeight="1" outlineLevel="2">
      <c r="A206" s="214"/>
      <c r="B206" s="214" t="s">
        <v>142</v>
      </c>
      <c r="C206" s="211"/>
      <c r="D206" s="211"/>
      <c r="E206" s="211"/>
      <c r="F206" s="214"/>
      <c r="G206" s="214"/>
      <c r="H206" s="214"/>
      <c r="I206" s="214"/>
      <c r="J206" s="214"/>
      <c r="K206" s="214"/>
      <c r="L206" s="214"/>
      <c r="M206" s="214"/>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row>
    <row r="207" spans="1:84" customFormat="1" ht="12.75" hidden="1" customHeight="1" outlineLevel="2">
      <c r="A207" s="214"/>
      <c r="B207" s="214" t="s">
        <v>143</v>
      </c>
      <c r="C207" s="211"/>
      <c r="D207" s="211"/>
      <c r="E207" s="211"/>
      <c r="F207" s="214"/>
      <c r="G207" s="214"/>
      <c r="H207" s="214"/>
      <c r="I207" s="214"/>
      <c r="J207" s="214"/>
      <c r="K207" s="214"/>
      <c r="L207" s="214"/>
      <c r="M207" s="214"/>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row>
    <row r="208" spans="1:84" customFormat="1" ht="12.75" hidden="1" customHeight="1" outlineLevel="2">
      <c r="A208" s="214"/>
      <c r="B208" s="214" t="s">
        <v>144</v>
      </c>
      <c r="C208" s="211"/>
      <c r="D208" s="211"/>
      <c r="E208" s="211"/>
      <c r="F208" s="214"/>
      <c r="G208" s="214"/>
      <c r="H208" s="214"/>
      <c r="I208" s="214"/>
      <c r="J208" s="214"/>
      <c r="K208" s="214"/>
      <c r="L208" s="214"/>
      <c r="M208" s="214"/>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row>
    <row r="209" spans="1:84" customFormat="1" ht="12.75" hidden="1" customHeight="1" outlineLevel="2">
      <c r="A209" s="214"/>
      <c r="B209" s="214" t="s">
        <v>145</v>
      </c>
      <c r="C209" s="211"/>
      <c r="D209" s="211"/>
      <c r="E209" s="211"/>
      <c r="F209" s="214"/>
      <c r="G209" s="214"/>
      <c r="H209" s="214"/>
      <c r="I209" s="214"/>
      <c r="J209" s="214"/>
      <c r="K209" s="214"/>
      <c r="L209" s="214"/>
      <c r="M209" s="214"/>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row>
    <row r="210" spans="1:84" customFormat="1" ht="12.75" hidden="1" customHeight="1" outlineLevel="2">
      <c r="A210" s="214"/>
      <c r="B210" s="214" t="s">
        <v>146</v>
      </c>
      <c r="C210" s="211"/>
      <c r="D210" s="211"/>
      <c r="E210" s="211"/>
      <c r="F210" s="214"/>
      <c r="G210" s="214"/>
      <c r="H210" s="214"/>
      <c r="I210" s="214"/>
      <c r="J210" s="214"/>
      <c r="K210" s="214"/>
      <c r="L210" s="214"/>
      <c r="M210" s="214"/>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row>
    <row r="211" spans="1:84" customFormat="1" ht="12.75" hidden="1" customHeight="1" outlineLevel="2">
      <c r="A211" s="214"/>
      <c r="B211" s="214" t="s">
        <v>147</v>
      </c>
      <c r="C211" s="211"/>
      <c r="D211" s="211"/>
      <c r="E211" s="211"/>
      <c r="F211" s="214"/>
      <c r="G211" s="214"/>
      <c r="H211" s="214"/>
      <c r="I211" s="214"/>
      <c r="J211" s="214"/>
      <c r="K211" s="214"/>
      <c r="L211" s="214"/>
      <c r="M211" s="214"/>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row>
    <row r="212" spans="1:84" customFormat="1" ht="12.75" hidden="1" customHeight="1" outlineLevel="2">
      <c r="A212" s="214"/>
      <c r="B212" s="214"/>
      <c r="C212" s="211"/>
      <c r="D212" s="211"/>
      <c r="E212" s="211"/>
      <c r="F212" s="214"/>
      <c r="G212" s="214"/>
      <c r="H212" s="214"/>
      <c r="I212" s="214"/>
      <c r="J212" s="214"/>
      <c r="K212" s="214"/>
      <c r="L212" s="214"/>
      <c r="M212" s="214"/>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row>
    <row r="213" spans="1:84" customFormat="1" ht="12.75" hidden="1" customHeight="1" outlineLevel="2">
      <c r="A213" s="214"/>
      <c r="B213" s="214"/>
      <c r="C213" s="211" t="str">
        <f ca="1">IF(C187&lt;&gt;1,IF(C201&lt;&gt;0,OFFSET(B202,C201,0),""),"")</f>
        <v/>
      </c>
      <c r="D213" s="211"/>
      <c r="E213" s="211"/>
      <c r="F213" s="214"/>
      <c r="G213" s="214"/>
      <c r="H213" s="214"/>
      <c r="I213" s="214"/>
      <c r="J213" s="214"/>
      <c r="K213" s="214"/>
      <c r="L213" s="214"/>
      <c r="M213" s="214"/>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row>
    <row r="214" spans="1:84" customFormat="1" ht="12.75" hidden="1" customHeight="1" outlineLevel="2">
      <c r="A214" s="214"/>
      <c r="B214" s="214"/>
      <c r="C214" s="211"/>
      <c r="D214" s="211"/>
      <c r="E214" s="211"/>
      <c r="F214" s="214"/>
      <c r="G214" s="214"/>
      <c r="H214" s="214"/>
      <c r="I214" s="214"/>
      <c r="J214" s="214"/>
      <c r="K214" s="214"/>
      <c r="L214" s="214"/>
      <c r="M214" s="214"/>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row>
    <row r="215" spans="1:84" customFormat="1" ht="12.75" hidden="1" customHeight="1" outlineLevel="2">
      <c r="A215" s="214"/>
      <c r="B215" s="214" t="s">
        <v>148</v>
      </c>
      <c r="C215" s="211"/>
      <c r="D215" s="211"/>
      <c r="E215" s="211"/>
      <c r="F215" s="214"/>
      <c r="G215" s="214"/>
      <c r="H215" s="214"/>
      <c r="I215" s="214"/>
      <c r="J215" s="214"/>
      <c r="K215" s="214"/>
      <c r="L215" s="214"/>
      <c r="M215" s="214"/>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row>
    <row r="216" spans="1:84" customFormat="1" ht="12.75" hidden="1" customHeight="1" outlineLevel="2">
      <c r="A216" s="214"/>
      <c r="B216" s="214"/>
      <c r="C216" s="211"/>
      <c r="D216" s="211"/>
      <c r="E216" s="211"/>
      <c r="F216" s="214"/>
      <c r="G216" s="214"/>
      <c r="H216" s="214"/>
      <c r="I216" s="214"/>
      <c r="J216" s="214"/>
      <c r="K216" s="214"/>
      <c r="L216" s="214"/>
      <c r="M216" s="214"/>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row>
    <row r="217" spans="1:84" customFormat="1" ht="12.75" hidden="1" customHeight="1" outlineLevel="2">
      <c r="A217" s="214"/>
      <c r="B217" s="214"/>
      <c r="C217" s="211">
        <f>+C201</f>
        <v>0</v>
      </c>
      <c r="D217" s="211"/>
      <c r="E217" s="211"/>
      <c r="F217" s="214"/>
      <c r="G217" s="214"/>
      <c r="H217" s="214"/>
      <c r="I217" s="214"/>
      <c r="J217" s="214"/>
      <c r="K217" s="214"/>
      <c r="L217" s="214"/>
      <c r="M217" s="214"/>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row>
    <row r="218" spans="1:84" customFormat="1" ht="12.75" hidden="1" customHeight="1" outlineLevel="2">
      <c r="A218" s="214"/>
      <c r="B218" s="214" t="s">
        <v>149</v>
      </c>
      <c r="C218" s="211"/>
      <c r="D218" s="211"/>
      <c r="E218" s="211"/>
      <c r="F218" s="214"/>
      <c r="G218" s="214"/>
      <c r="H218" s="214"/>
      <c r="I218" s="214"/>
      <c r="J218" s="214"/>
      <c r="K218" s="214"/>
      <c r="L218" s="214"/>
      <c r="M218" s="214"/>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row>
    <row r="219" spans="1:84" customFormat="1" ht="12.75" hidden="1" customHeight="1" outlineLevel="2">
      <c r="A219" s="214"/>
      <c r="B219" s="214" t="s">
        <v>150</v>
      </c>
      <c r="C219" s="211"/>
      <c r="D219" s="211"/>
      <c r="E219" s="211"/>
      <c r="F219" s="214"/>
      <c r="G219" s="214"/>
      <c r="H219" s="214"/>
      <c r="I219" s="214"/>
      <c r="J219" s="214"/>
      <c r="K219" s="214"/>
      <c r="L219" s="214"/>
      <c r="M219" s="214"/>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row>
    <row r="220" spans="1:84" customFormat="1" ht="12.75" hidden="1" customHeight="1" outlineLevel="2">
      <c r="A220" s="214"/>
      <c r="B220" s="214" t="s">
        <v>151</v>
      </c>
      <c r="C220" s="211"/>
      <c r="D220" s="211"/>
      <c r="E220" s="211"/>
      <c r="F220" s="214"/>
      <c r="G220" s="214"/>
      <c r="H220" s="214"/>
      <c r="I220" s="214"/>
      <c r="J220" s="214"/>
      <c r="K220" s="214"/>
      <c r="L220" s="214"/>
      <c r="M220" s="214"/>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row>
    <row r="221" spans="1:84" customFormat="1" ht="12.75" hidden="1" customHeight="1" outlineLevel="2">
      <c r="A221" s="214"/>
      <c r="B221" s="214" t="s">
        <v>152</v>
      </c>
      <c r="C221" s="211"/>
      <c r="D221" s="211"/>
      <c r="E221" s="211"/>
      <c r="F221" s="214"/>
      <c r="G221" s="214"/>
      <c r="H221" s="214"/>
      <c r="I221" s="214"/>
      <c r="J221" s="214"/>
      <c r="K221" s="214"/>
      <c r="L221" s="214"/>
      <c r="M221" s="214"/>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row>
    <row r="222" spans="1:84" customFormat="1" ht="12.75" hidden="1" customHeight="1" outlineLevel="2">
      <c r="A222" s="214"/>
      <c r="B222" s="214" t="s">
        <v>153</v>
      </c>
      <c r="C222" s="211"/>
      <c r="D222" s="211"/>
      <c r="E222" s="211"/>
      <c r="F222" s="214"/>
      <c r="G222" s="214"/>
      <c r="H222" s="214"/>
      <c r="I222" s="214"/>
      <c r="J222" s="214"/>
      <c r="K222" s="214"/>
      <c r="L222" s="214"/>
      <c r="M222" s="214"/>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row>
    <row r="223" spans="1:84" customFormat="1" ht="12.75" hidden="1" customHeight="1" outlineLevel="2">
      <c r="A223" s="214"/>
      <c r="B223" s="214" t="s">
        <v>154</v>
      </c>
      <c r="C223" s="211"/>
      <c r="D223" s="211"/>
      <c r="E223" s="211"/>
      <c r="F223" s="214"/>
      <c r="G223" s="214"/>
      <c r="H223" s="214"/>
      <c r="I223" s="214"/>
      <c r="J223" s="214"/>
      <c r="K223" s="214"/>
      <c r="L223" s="214"/>
      <c r="M223" s="214"/>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row>
    <row r="224" spans="1:84" customFormat="1" ht="12.75" hidden="1" customHeight="1" outlineLevel="2">
      <c r="A224" s="214"/>
      <c r="B224" s="214" t="s">
        <v>155</v>
      </c>
      <c r="C224" s="211"/>
      <c r="D224" s="211"/>
      <c r="E224" s="211"/>
      <c r="F224" s="214"/>
      <c r="G224" s="214"/>
      <c r="H224" s="214"/>
      <c r="I224" s="214"/>
      <c r="J224" s="214"/>
      <c r="K224" s="214"/>
      <c r="L224" s="214"/>
      <c r="M224" s="214"/>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row>
    <row r="225" spans="1:84" customFormat="1" ht="12.75" hidden="1" customHeight="1" outlineLevel="2">
      <c r="A225" s="214"/>
      <c r="B225" s="214" t="s">
        <v>156</v>
      </c>
      <c r="C225" s="211"/>
      <c r="D225" s="211"/>
      <c r="E225" s="211"/>
      <c r="F225" s="214"/>
      <c r="G225" s="214"/>
      <c r="H225" s="214"/>
      <c r="I225" s="214"/>
      <c r="J225" s="214"/>
      <c r="K225" s="214"/>
      <c r="L225" s="214"/>
      <c r="M225" s="214"/>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row>
    <row r="226" spans="1:84" customFormat="1" ht="12.75" hidden="1" customHeight="1" outlineLevel="2">
      <c r="A226" s="214"/>
      <c r="B226" s="214" t="s">
        <v>157</v>
      </c>
      <c r="C226" s="211"/>
      <c r="D226" s="211"/>
      <c r="E226" s="211"/>
      <c r="F226" s="214"/>
      <c r="G226" s="214"/>
      <c r="H226" s="214"/>
      <c r="I226" s="214"/>
      <c r="J226" s="214"/>
      <c r="K226" s="214"/>
      <c r="L226" s="214"/>
      <c r="M226" s="214"/>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row>
    <row r="227" spans="1:84" customFormat="1" ht="12.75" hidden="1" customHeight="1" outlineLevel="2">
      <c r="A227" s="214"/>
      <c r="B227" s="214"/>
      <c r="C227" s="211"/>
      <c r="D227" s="211"/>
      <c r="E227" s="211"/>
      <c r="F227" s="214"/>
      <c r="G227" s="214"/>
      <c r="H227" s="214"/>
      <c r="I227" s="214"/>
      <c r="J227" s="214"/>
      <c r="K227" s="214"/>
      <c r="L227" s="214"/>
      <c r="M227" s="214"/>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row>
    <row r="228" spans="1:84" customFormat="1" ht="12.75" hidden="1" customHeight="1" outlineLevel="2">
      <c r="A228" s="214"/>
      <c r="B228" s="214"/>
      <c r="C228" s="211" t="str">
        <f ca="1">IF(AND(C187=1,C201&lt;&gt;0),IF(C187&lt;&gt;0,OFFSET(B217,C217,0),""),"")</f>
        <v/>
      </c>
      <c r="D228" s="211"/>
      <c r="E228" s="211"/>
      <c r="F228" s="214"/>
      <c r="G228" s="214"/>
      <c r="H228" s="214"/>
      <c r="I228" s="214"/>
      <c r="J228" s="214"/>
      <c r="K228" s="214"/>
      <c r="L228" s="214"/>
      <c r="M228" s="214"/>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row>
    <row r="229" spans="1:84" customFormat="1" ht="12.75" hidden="1" customHeight="1" outlineLevel="2">
      <c r="A229" s="214"/>
      <c r="B229" s="214"/>
      <c r="C229" s="211"/>
      <c r="D229" s="211"/>
      <c r="E229" s="211"/>
      <c r="F229" s="214"/>
      <c r="G229" s="214"/>
      <c r="H229" s="214"/>
      <c r="I229" s="214"/>
      <c r="J229" s="214"/>
      <c r="K229" s="214"/>
      <c r="L229" s="214"/>
      <c r="M229" s="214"/>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row>
    <row r="230" spans="1:84" customFormat="1" ht="12.75" hidden="1" customHeight="1" outlineLevel="2">
      <c r="A230" s="214"/>
      <c r="B230" s="214"/>
      <c r="C230" s="211" t="str">
        <f>IF(C187&lt;&gt;1,IF(OR(C201=2,C201=3,C201=4)," рубля",""),"")</f>
        <v/>
      </c>
      <c r="D230" s="211"/>
      <c r="E230" s="211"/>
      <c r="F230" s="214"/>
      <c r="G230" s="214"/>
      <c r="H230" s="214"/>
      <c r="I230" s="214"/>
      <c r="J230" s="214"/>
      <c r="K230" s="214"/>
      <c r="L230" s="214"/>
      <c r="M230" s="214"/>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row>
    <row r="231" spans="1:84" customFormat="1" ht="12.75" hidden="1" customHeight="1" outlineLevel="2">
      <c r="A231" s="214"/>
      <c r="B231" s="214"/>
      <c r="C231" s="211" t="str">
        <f>IF(C187&lt;&gt;1,IF(OR(C201=1)," рубль",""),"")</f>
        <v/>
      </c>
      <c r="D231" s="211"/>
      <c r="E231" s="211"/>
      <c r="F231" s="214"/>
      <c r="G231" s="214"/>
      <c r="H231" s="214"/>
      <c r="I231" s="214"/>
      <c r="J231" s="214"/>
      <c r="K231" s="214"/>
      <c r="L231" s="214"/>
      <c r="M231" s="214"/>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row>
    <row r="232" spans="1:84" customFormat="1" ht="12.75" hidden="1" customHeight="1" outlineLevel="2">
      <c r="A232" s="214"/>
      <c r="B232" s="214"/>
      <c r="C232" s="211" t="str">
        <f>IF(AND(C230="",C231="")," рублей","")</f>
        <v xml:space="preserve"> рублей</v>
      </c>
      <c r="D232" s="211"/>
      <c r="E232" s="211"/>
      <c r="F232" s="214"/>
      <c r="G232" s="214"/>
      <c r="H232" s="214"/>
      <c r="I232" s="214"/>
      <c r="J232" s="214"/>
      <c r="K232" s="214"/>
      <c r="L232" s="214"/>
      <c r="M232" s="214"/>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row>
    <row r="233" spans="1:84" customFormat="1" ht="12.75" hidden="1" customHeight="1" outlineLevel="2">
      <c r="A233" s="214"/>
      <c r="B233" s="214"/>
      <c r="C233" s="211" t="str">
        <f ca="1">(CONCATENATE(C185,C199,C213,C228,C230,C231,C232))</f>
        <v xml:space="preserve"> рублей</v>
      </c>
      <c r="D233" s="211"/>
      <c r="E233" s="211"/>
      <c r="F233" s="214"/>
      <c r="G233" s="214"/>
      <c r="H233" s="214"/>
      <c r="I233" s="214"/>
      <c r="J233" s="214"/>
      <c r="K233" s="214"/>
      <c r="L233" s="214"/>
      <c r="M233" s="214"/>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row>
    <row r="234" spans="1:84" customFormat="1" ht="12.75" hidden="1" customHeight="1" outlineLevel="2">
      <c r="A234" s="214"/>
      <c r="B234" s="214"/>
      <c r="C234" s="211"/>
      <c r="D234" s="211"/>
      <c r="E234" s="211"/>
      <c r="F234" s="214"/>
      <c r="G234" s="214"/>
      <c r="H234" s="214"/>
      <c r="I234" s="214"/>
      <c r="J234" s="214"/>
      <c r="K234" s="214"/>
      <c r="L234" s="214"/>
      <c r="M234" s="214"/>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row>
    <row r="235" spans="1:84" customFormat="1" ht="12.75" hidden="1" customHeight="1" outlineLevel="2">
      <c r="A235" s="214"/>
      <c r="B235" s="214"/>
      <c r="C235" s="211" t="str">
        <f ca="1">TRIM(CONCATENATE(C107,C170,C233))</f>
        <v>рублей</v>
      </c>
      <c r="D235" s="211"/>
      <c r="E235" s="211"/>
      <c r="F235" s="214"/>
      <c r="G235" s="214"/>
      <c r="H235" s="214"/>
      <c r="I235" s="214"/>
      <c r="J235" s="214"/>
      <c r="K235" s="214"/>
      <c r="L235" s="214"/>
      <c r="M235" s="214"/>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row>
    <row r="236" spans="1:84" customFormat="1" ht="12.75" hidden="1" customHeight="1" outlineLevel="2">
      <c r="A236" s="214"/>
      <c r="B236" s="214"/>
      <c r="C236" s="211" t="str">
        <f ca="1">LEFT(C235,1)</f>
        <v>р</v>
      </c>
      <c r="D236" s="211"/>
      <c r="E236" s="211"/>
      <c r="F236" s="214"/>
      <c r="G236" s="214"/>
      <c r="H236" s="214"/>
      <c r="I236" s="214"/>
      <c r="J236" s="214"/>
      <c r="K236" s="214"/>
      <c r="L236" s="214"/>
      <c r="M236" s="214"/>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row>
    <row r="237" spans="1:84" customFormat="1" ht="12.75" hidden="1" customHeight="1" outlineLevel="2">
      <c r="A237" s="214"/>
      <c r="B237" s="214"/>
      <c r="C237" s="211" t="str">
        <f ca="1">LOWER(C235)</f>
        <v>рублей</v>
      </c>
      <c r="D237" s="211"/>
      <c r="E237" s="211"/>
      <c r="F237" s="214"/>
      <c r="G237" s="214"/>
      <c r="H237" s="214"/>
      <c r="I237" s="214"/>
      <c r="J237" s="214"/>
      <c r="K237" s="214"/>
      <c r="L237" s="214"/>
      <c r="M237" s="214"/>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row>
    <row r="238" spans="1:84" customFormat="1" ht="12.75" hidden="1" customHeight="1" outlineLevel="2">
      <c r="A238" s="214"/>
      <c r="B238" s="214"/>
      <c r="C238" s="211" t="str">
        <f ca="1">REPLACE(C237,1,1,"")</f>
        <v>ублей</v>
      </c>
      <c r="D238" s="211"/>
      <c r="E238" s="211"/>
      <c r="F238" s="214"/>
      <c r="G238" s="214"/>
      <c r="H238" s="214"/>
      <c r="I238" s="214"/>
      <c r="J238" s="214"/>
      <c r="K238" s="214"/>
      <c r="L238" s="214"/>
      <c r="M238" s="214"/>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row>
    <row r="239" spans="1:84" customFormat="1" ht="12.75" hidden="1" customHeight="1" outlineLevel="2">
      <c r="A239" s="214"/>
      <c r="B239" s="214"/>
      <c r="C239" s="211" t="str">
        <f ca="1">CONCATENATE(C236,C238)</f>
        <v>рублей</v>
      </c>
      <c r="D239" s="211"/>
      <c r="E239" s="211"/>
      <c r="F239" s="214"/>
      <c r="G239" s="214"/>
      <c r="H239" s="214"/>
      <c r="I239" s="214"/>
      <c r="J239" s="214"/>
      <c r="K239" s="214"/>
      <c r="L239" s="214"/>
      <c r="M239" s="214"/>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row>
    <row r="240" spans="1:84" customFormat="1" ht="12.75" hidden="1" customHeight="1" outlineLevel="2">
      <c r="A240" s="214"/>
      <c r="B240" s="214"/>
      <c r="C240" s="211"/>
      <c r="D240" s="211"/>
      <c r="E240" s="211"/>
      <c r="F240" s="214"/>
      <c r="G240" s="214"/>
      <c r="H240" s="214"/>
      <c r="I240" s="214"/>
      <c r="J240" s="214"/>
      <c r="K240" s="214"/>
      <c r="L240" s="214"/>
      <c r="M240" s="214"/>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row>
    <row r="241" spans="1:84" customFormat="1" ht="12.75" hidden="1" customHeight="1" outlineLevel="2">
      <c r="A241" s="214"/>
      <c r="B241" s="214" t="s">
        <v>173</v>
      </c>
      <c r="C241" s="211">
        <f>ROUND(C44-C45*1000000-C109*1000-C172,2)*100</f>
        <v>0</v>
      </c>
      <c r="D241" s="211"/>
      <c r="E241" s="211"/>
      <c r="F241" s="214"/>
      <c r="G241" s="214"/>
      <c r="H241" s="214"/>
      <c r="I241" s="214"/>
      <c r="J241" s="214"/>
      <c r="K241" s="214"/>
      <c r="L241" s="214"/>
      <c r="M241" s="214"/>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row>
    <row r="242" spans="1:84" customFormat="1" ht="12.75" hidden="1" customHeight="1" outlineLevel="2">
      <c r="A242" s="214"/>
      <c r="B242" s="214" t="s">
        <v>174</v>
      </c>
      <c r="C242" s="211">
        <f>ROUNDDOWN(C241/10,0)</f>
        <v>0</v>
      </c>
      <c r="D242" s="211"/>
      <c r="E242" s="211"/>
      <c r="F242" s="214"/>
      <c r="G242" s="214"/>
      <c r="H242" s="214"/>
      <c r="I242" s="214"/>
      <c r="J242" s="214"/>
      <c r="K242" s="214"/>
      <c r="L242" s="214"/>
      <c r="M242" s="214"/>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row>
    <row r="243" spans="1:84" customFormat="1" ht="12.75" hidden="1" customHeight="1" outlineLevel="2">
      <c r="A243" s="214"/>
      <c r="B243" s="214" t="s">
        <v>175</v>
      </c>
      <c r="C243" s="211">
        <f>+C241-C242*10</f>
        <v>0</v>
      </c>
      <c r="D243" s="211"/>
      <c r="E243" s="211"/>
      <c r="F243" s="214"/>
      <c r="G243" s="214"/>
      <c r="H243" s="214"/>
      <c r="I243" s="214"/>
      <c r="J243" s="214"/>
      <c r="K243" s="214"/>
      <c r="L243" s="214"/>
      <c r="M243" s="214"/>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row>
    <row r="244" spans="1:84" customFormat="1" ht="12.75" hidden="1" customHeight="1" outlineLevel="2">
      <c r="A244" s="214"/>
      <c r="B244" s="214"/>
      <c r="C244" s="211" t="str">
        <f>IF(C241&lt;10,CONCATENATE("0",C241),C241)</f>
        <v>00</v>
      </c>
      <c r="D244" s="211"/>
      <c r="E244" s="211"/>
      <c r="F244" s="214"/>
      <c r="G244" s="214"/>
      <c r="H244" s="214"/>
      <c r="I244" s="214"/>
      <c r="J244" s="214"/>
      <c r="K244" s="214"/>
      <c r="L244" s="214"/>
      <c r="M244" s="214"/>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row>
    <row r="245" spans="1:84" customFormat="1" ht="12.75" hidden="1" customHeight="1" outlineLevel="2">
      <c r="A245" s="214"/>
      <c r="B245" s="214"/>
      <c r="C245" s="211"/>
      <c r="D245" s="211"/>
      <c r="E245" s="211"/>
      <c r="F245" s="214"/>
      <c r="G245" s="214"/>
      <c r="H245" s="214"/>
      <c r="I245" s="214"/>
      <c r="J245" s="214"/>
      <c r="K245" s="214"/>
      <c r="L245" s="214"/>
      <c r="M245" s="214"/>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row>
    <row r="246" spans="1:84" customFormat="1" ht="12.75" hidden="1" customHeight="1" outlineLevel="2">
      <c r="A246" s="214"/>
      <c r="B246" s="214"/>
      <c r="C246" s="211" t="str">
        <f>IF(AND(C243=1,C242&lt;&gt;1)," копейка","")</f>
        <v/>
      </c>
      <c r="D246" s="211"/>
      <c r="E246" s="211"/>
      <c r="F246" s="214"/>
      <c r="G246" s="214"/>
      <c r="H246" s="214"/>
      <c r="I246" s="214"/>
      <c r="J246" s="214"/>
      <c r="K246" s="214"/>
      <c r="L246" s="214"/>
      <c r="M246" s="214"/>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row>
    <row r="247" spans="1:84" customFormat="1" ht="12.75" hidden="1" customHeight="1" outlineLevel="2">
      <c r="A247" s="214"/>
      <c r="B247" s="214"/>
      <c r="C247" s="211" t="str">
        <f>IF(C242&lt;&gt;1,IF(OR(C243=2,C243=3,C243=4)," копейки",""),"")</f>
        <v/>
      </c>
      <c r="D247" s="211"/>
      <c r="E247" s="211"/>
      <c r="F247" s="214"/>
      <c r="G247" s="214"/>
      <c r="H247" s="214"/>
      <c r="I247" s="214"/>
      <c r="J247" s="214"/>
      <c r="K247" s="214"/>
      <c r="L247" s="214"/>
      <c r="M247" s="214"/>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row>
    <row r="248" spans="1:84" customFormat="1" ht="12.75" hidden="1" customHeight="1" outlineLevel="2">
      <c r="A248" s="214"/>
      <c r="B248" s="214"/>
      <c r="C248" s="211" t="str">
        <f>IF(AND(C246="",C247="")," копеек","")</f>
        <v xml:space="preserve"> копеек</v>
      </c>
      <c r="D248" s="211"/>
      <c r="E248" s="211"/>
      <c r="F248" s="214"/>
      <c r="G248" s="214"/>
      <c r="H248" s="214"/>
      <c r="I248" s="214"/>
      <c r="J248" s="214"/>
      <c r="K248" s="214"/>
      <c r="L248" s="214"/>
      <c r="M248" s="214"/>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row>
    <row r="249" spans="1:84" customFormat="1" ht="12.75" hidden="1" customHeight="1" outlineLevel="2">
      <c r="A249" s="214"/>
      <c r="B249" s="214"/>
      <c r="C249" s="211"/>
      <c r="D249" s="211"/>
      <c r="E249" s="211"/>
      <c r="F249" s="214"/>
      <c r="G249" s="214"/>
      <c r="H249" s="214"/>
      <c r="I249" s="214"/>
      <c r="J249" s="214"/>
      <c r="K249" s="214"/>
      <c r="L249" s="214"/>
      <c r="M249" s="214"/>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row>
    <row r="250" spans="1:84" customFormat="1" ht="12" customHeight="1" outlineLevel="1" collapsed="1">
      <c r="A250" s="214"/>
      <c r="B250" s="214" t="s">
        <v>176</v>
      </c>
      <c r="C250" s="211" t="str">
        <f ca="1">CONCATENATE(C239," ",C244,C246,C247,C248)</f>
        <v>рублей 00 копеек</v>
      </c>
      <c r="D250" s="211"/>
      <c r="E250" s="211"/>
      <c r="F250" s="214"/>
      <c r="G250" s="214"/>
      <c r="H250" s="214"/>
      <c r="I250" s="214"/>
      <c r="J250" s="214"/>
      <c r="K250" s="214"/>
      <c r="L250" s="214"/>
      <c r="M250" s="214"/>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row>
    <row r="251" spans="1:84">
      <c r="N251" s="57"/>
      <c r="AL251" s="6"/>
      <c r="AM251" s="6"/>
      <c r="AN251" s="6"/>
      <c r="AO251" s="6"/>
      <c r="AP251" s="6"/>
      <c r="AQ251" s="6"/>
      <c r="AR251" s="6"/>
      <c r="AS251" s="6"/>
      <c r="AT251" s="6"/>
      <c r="AV251" s="6"/>
      <c r="AW251" s="6"/>
      <c r="AX251" s="6"/>
      <c r="AY251" s="6"/>
      <c r="AZ251" s="6"/>
      <c r="BA251" s="6"/>
      <c r="BB251" s="6"/>
      <c r="BC251" s="6"/>
      <c r="BD251" s="6"/>
      <c r="BE251" s="6"/>
      <c r="BF251" s="6"/>
      <c r="BG251" s="6"/>
      <c r="BH251" s="6"/>
      <c r="BI251" s="6"/>
      <c r="BJ251" s="6"/>
      <c r="BK251" s="6"/>
      <c r="BL251" s="6"/>
      <c r="BM251" s="6"/>
      <c r="BN251" s="6"/>
      <c r="BO251" s="6"/>
      <c r="BP251" s="6"/>
    </row>
    <row r="273" spans="1:68" s="6" customFormat="1">
      <c r="A273" s="230"/>
      <c r="B273" s="230"/>
      <c r="C273" s="222"/>
      <c r="D273" s="222"/>
      <c r="E273" s="222"/>
      <c r="F273" s="230"/>
      <c r="G273" s="230"/>
      <c r="H273" s="230"/>
      <c r="I273" s="230"/>
      <c r="J273" s="230"/>
      <c r="K273" s="230"/>
      <c r="L273" s="230"/>
      <c r="M273" s="231"/>
      <c r="N273" s="20"/>
      <c r="O273" s="8"/>
      <c r="AL273" s="21"/>
      <c r="AM273" s="21"/>
      <c r="AN273" s="21"/>
      <c r="AO273" s="21"/>
      <c r="AP273" s="21"/>
      <c r="AQ273" s="21"/>
      <c r="AR273" s="21"/>
      <c r="AS273" s="21"/>
      <c r="AT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row>
    <row r="274" spans="1:68" s="6" customFormat="1">
      <c r="A274" s="230"/>
      <c r="B274" s="230"/>
      <c r="C274" s="222"/>
      <c r="D274" s="222"/>
      <c r="E274" s="222"/>
      <c r="F274" s="230"/>
      <c r="G274" s="230"/>
      <c r="H274" s="230"/>
      <c r="I274" s="230"/>
      <c r="J274" s="230"/>
      <c r="K274" s="230"/>
      <c r="L274" s="230"/>
      <c r="M274" s="231"/>
      <c r="N274" s="20"/>
      <c r="O274" s="8"/>
      <c r="AL274" s="21"/>
      <c r="AM274" s="21"/>
      <c r="AN274" s="21"/>
      <c r="AO274" s="21"/>
      <c r="AP274" s="21"/>
      <c r="AQ274" s="21"/>
      <c r="AR274" s="21"/>
      <c r="AS274" s="21"/>
      <c r="AT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row>
    <row r="275" spans="1:68" s="6" customFormat="1">
      <c r="A275" s="232"/>
      <c r="B275" s="233"/>
      <c r="C275" s="234"/>
      <c r="D275" s="221"/>
      <c r="E275" s="221"/>
      <c r="F275" s="233"/>
      <c r="G275" s="233"/>
      <c r="H275" s="233"/>
      <c r="I275" s="233"/>
      <c r="J275" s="233"/>
      <c r="K275" s="233"/>
      <c r="L275" s="233"/>
      <c r="M275" s="232"/>
      <c r="N275" s="20"/>
      <c r="O275" s="8"/>
      <c r="AL275" s="21"/>
      <c r="AM275" s="21"/>
      <c r="AN275" s="21"/>
      <c r="AO275" s="21"/>
      <c r="AP275" s="21"/>
      <c r="AQ275" s="21"/>
      <c r="AR275" s="21"/>
      <c r="AS275" s="21"/>
      <c r="AT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row>
    <row r="276" spans="1:68" s="6" customFormat="1">
      <c r="A276" s="232"/>
      <c r="B276" s="233"/>
      <c r="C276" s="234"/>
      <c r="D276" s="221"/>
      <c r="E276" s="221"/>
      <c r="F276" s="233"/>
      <c r="G276" s="233"/>
      <c r="H276" s="233"/>
      <c r="I276" s="233"/>
      <c r="J276" s="233"/>
      <c r="K276" s="233"/>
      <c r="L276" s="233"/>
      <c r="M276" s="232"/>
      <c r="N276" s="20"/>
      <c r="O276" s="8"/>
      <c r="AL276" s="21"/>
      <c r="AM276" s="21"/>
      <c r="AN276" s="21"/>
      <c r="AO276" s="21"/>
      <c r="AP276" s="21"/>
      <c r="AQ276" s="21"/>
      <c r="AR276" s="21"/>
      <c r="AS276" s="21"/>
      <c r="AT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row>
    <row r="277" spans="1:68" s="6" customFormat="1">
      <c r="A277" s="232"/>
      <c r="B277" s="233"/>
      <c r="C277" s="235"/>
      <c r="D277" s="236"/>
      <c r="E277" s="236"/>
      <c r="F277" s="237"/>
      <c r="G277" s="238"/>
      <c r="H277" s="238"/>
      <c r="I277" s="238"/>
      <c r="J277" s="238"/>
      <c r="K277" s="238"/>
      <c r="L277" s="239"/>
      <c r="M277" s="240"/>
      <c r="N277" s="20"/>
      <c r="O277" s="8"/>
      <c r="AL277" s="21"/>
      <c r="AM277" s="21"/>
      <c r="AN277" s="21"/>
      <c r="AO277" s="21"/>
      <c r="AP277" s="21"/>
      <c r="AQ277" s="21"/>
      <c r="AR277" s="21"/>
      <c r="AS277" s="21"/>
      <c r="AT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row>
    <row r="278" spans="1:68" s="6" customFormat="1">
      <c r="A278" s="232"/>
      <c r="B278" s="233"/>
      <c r="C278" s="235"/>
      <c r="D278" s="236"/>
      <c r="E278" s="236"/>
      <c r="F278" s="238"/>
      <c r="G278" s="241"/>
      <c r="H278" s="238"/>
      <c r="I278" s="238"/>
      <c r="J278" s="238"/>
      <c r="K278" s="238"/>
      <c r="L278" s="238"/>
      <c r="M278" s="238"/>
      <c r="N278" s="20"/>
      <c r="O278" s="8"/>
      <c r="AL278" s="21"/>
      <c r="AM278" s="21"/>
      <c r="AN278" s="21"/>
      <c r="AO278" s="21"/>
      <c r="AP278" s="21"/>
      <c r="AQ278" s="21"/>
      <c r="AR278" s="21"/>
      <c r="AS278" s="21"/>
      <c r="AT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row>
    <row r="279" spans="1:68" s="6" customFormat="1">
      <c r="A279" s="232"/>
      <c r="B279" s="233"/>
      <c r="C279" s="235"/>
      <c r="D279" s="236"/>
      <c r="E279" s="236"/>
      <c r="F279" s="238"/>
      <c r="G279" s="238"/>
      <c r="H279" s="238"/>
      <c r="I279" s="238"/>
      <c r="J279" s="238"/>
      <c r="K279" s="238"/>
      <c r="L279" s="238"/>
      <c r="M279" s="238"/>
      <c r="N279" s="20"/>
      <c r="O279" s="8"/>
      <c r="AL279" s="21"/>
      <c r="AM279" s="21"/>
      <c r="AN279" s="21"/>
      <c r="AO279" s="21"/>
      <c r="AP279" s="21"/>
      <c r="AQ279" s="21"/>
      <c r="AR279" s="21"/>
      <c r="AS279" s="21"/>
      <c r="AT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row>
    <row r="280" spans="1:68" s="6" customFormat="1">
      <c r="A280" s="232"/>
      <c r="B280" s="233"/>
      <c r="C280" s="235"/>
      <c r="D280" s="236"/>
      <c r="E280" s="236"/>
      <c r="F280" s="230"/>
      <c r="G280" s="230"/>
      <c r="H280" s="230"/>
      <c r="I280" s="230"/>
      <c r="J280" s="238"/>
      <c r="K280" s="238"/>
      <c r="L280" s="238"/>
      <c r="M280" s="241"/>
      <c r="N280" s="20"/>
      <c r="O280" s="8"/>
      <c r="AL280" s="21"/>
      <c r="AM280" s="21"/>
      <c r="AN280" s="21"/>
      <c r="AO280" s="21"/>
      <c r="AP280" s="21"/>
      <c r="AQ280" s="21"/>
      <c r="AR280" s="21"/>
      <c r="AS280" s="21"/>
      <c r="AT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row>
    <row r="281" spans="1:68" s="6" customFormat="1">
      <c r="A281" s="232"/>
      <c r="B281" s="233"/>
      <c r="C281" s="235"/>
      <c r="D281" s="236"/>
      <c r="E281" s="236"/>
      <c r="F281" s="242"/>
      <c r="G281" s="242"/>
      <c r="H281" s="242"/>
      <c r="I281" s="242"/>
      <c r="J281" s="242"/>
      <c r="K281" s="242"/>
      <c r="L281" s="242"/>
      <c r="M281" s="238"/>
      <c r="N281" s="20"/>
      <c r="O281" s="8"/>
      <c r="AL281" s="21"/>
      <c r="AM281" s="21"/>
      <c r="AN281" s="21"/>
      <c r="AO281" s="21"/>
      <c r="AP281" s="21"/>
      <c r="AQ281" s="21"/>
      <c r="AR281" s="21"/>
      <c r="AS281" s="21"/>
      <c r="AT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row>
    <row r="282" spans="1:68" s="6" customFormat="1">
      <c r="A282" s="232"/>
      <c r="B282" s="233"/>
      <c r="C282" s="235"/>
      <c r="D282" s="236"/>
      <c r="E282" s="236"/>
      <c r="F282" s="242"/>
      <c r="G282" s="242"/>
      <c r="H282" s="242"/>
      <c r="I282" s="242"/>
      <c r="J282" s="242"/>
      <c r="K282" s="242"/>
      <c r="L282" s="242"/>
      <c r="M282" s="238"/>
      <c r="N282" s="20"/>
      <c r="O282" s="8"/>
      <c r="AL282" s="21"/>
      <c r="AM282" s="21"/>
      <c r="AN282" s="21"/>
      <c r="AO282" s="21"/>
      <c r="AP282" s="21"/>
      <c r="AQ282" s="21"/>
      <c r="AR282" s="21"/>
      <c r="AS282" s="21"/>
      <c r="AT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row>
    <row r="283" spans="1:68" s="6" customFormat="1">
      <c r="A283" s="232"/>
      <c r="B283" s="233"/>
      <c r="C283" s="235"/>
      <c r="D283" s="236"/>
      <c r="E283" s="236"/>
      <c r="F283" s="242"/>
      <c r="G283" s="242"/>
      <c r="H283" s="242"/>
      <c r="I283" s="242"/>
      <c r="J283" s="242"/>
      <c r="K283" s="242"/>
      <c r="L283" s="242"/>
      <c r="M283" s="238"/>
      <c r="N283" s="20"/>
      <c r="O283" s="8"/>
      <c r="AL283" s="21"/>
      <c r="AM283" s="21"/>
      <c r="AN283" s="21"/>
      <c r="AO283" s="21"/>
      <c r="AP283" s="21"/>
      <c r="AQ283" s="21"/>
      <c r="AR283" s="21"/>
      <c r="AS283" s="21"/>
      <c r="AT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row>
    <row r="284" spans="1:68" s="6" customFormat="1">
      <c r="A284" s="230"/>
      <c r="B284" s="230"/>
      <c r="C284" s="222"/>
      <c r="D284" s="222"/>
      <c r="E284" s="222"/>
      <c r="F284" s="230"/>
      <c r="G284" s="230"/>
      <c r="H284" s="230"/>
      <c r="I284" s="230"/>
      <c r="J284" s="230"/>
      <c r="K284" s="230"/>
      <c r="L284" s="230"/>
      <c r="M284" s="231"/>
      <c r="N284" s="20"/>
      <c r="O284" s="8"/>
      <c r="AL284" s="21"/>
      <c r="AM284" s="21"/>
      <c r="AN284" s="21"/>
      <c r="AO284" s="21"/>
      <c r="AP284" s="21"/>
      <c r="AQ284" s="21"/>
      <c r="AR284" s="21"/>
      <c r="AS284" s="21"/>
      <c r="AT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row>
  </sheetData>
  <autoFilter ref="A21:BO29">
    <filterColumn colId="2" showButton="0"/>
    <filterColumn colId="3" showButton="0"/>
    <filterColumn colId="5" showButton="0"/>
    <filterColumn colId="6" showButton="0"/>
    <filterColumn colId="7" showButton="0"/>
    <filterColumn colId="8" showButton="0"/>
    <filterColumn colId="9" showButton="0"/>
    <filterColumn colId="10" showButton="0"/>
  </autoFilter>
  <mergeCells count="59">
    <mergeCell ref="M27:O27"/>
    <mergeCell ref="A5:O5"/>
    <mergeCell ref="BS19:BT19"/>
    <mergeCell ref="BU19:BV19"/>
    <mergeCell ref="B17:B20"/>
    <mergeCell ref="C17:E20"/>
    <mergeCell ref="F17:L20"/>
    <mergeCell ref="BO3:BO20"/>
    <mergeCell ref="BP3:BP20"/>
    <mergeCell ref="AZ4:AZ20"/>
    <mergeCell ref="BK4:BK20"/>
    <mergeCell ref="A7:B10"/>
    <mergeCell ref="BB7:BB10"/>
    <mergeCell ref="BB11:BB20"/>
    <mergeCell ref="BH3:BH20"/>
    <mergeCell ref="BI3:BI20"/>
    <mergeCell ref="A31:H31"/>
    <mergeCell ref="I34:K34"/>
    <mergeCell ref="I38:K38"/>
    <mergeCell ref="D7:O9"/>
    <mergeCell ref="M17:O18"/>
    <mergeCell ref="M19:M20"/>
    <mergeCell ref="N19:N20"/>
    <mergeCell ref="O19:O20"/>
    <mergeCell ref="F23:G23"/>
    <mergeCell ref="F24:G24"/>
    <mergeCell ref="C21:E21"/>
    <mergeCell ref="F21:L21"/>
    <mergeCell ref="F25:G25"/>
    <mergeCell ref="A29:O29"/>
    <mergeCell ref="A28:O28"/>
    <mergeCell ref="A17:A20"/>
    <mergeCell ref="BJ3:BJ20"/>
    <mergeCell ref="BL3:BL20"/>
    <mergeCell ref="BM3:BM20"/>
    <mergeCell ref="BN3:BN20"/>
    <mergeCell ref="BG3:BG20"/>
    <mergeCell ref="BE3:BE20"/>
    <mergeCell ref="AS3:AS20"/>
    <mergeCell ref="AT3:AT20"/>
    <mergeCell ref="AV3:AV20"/>
    <mergeCell ref="AW3:AW20"/>
    <mergeCell ref="AX3:AX20"/>
    <mergeCell ref="BF3:BF20"/>
    <mergeCell ref="A1:M1"/>
    <mergeCell ref="A2:M2"/>
    <mergeCell ref="BB2:BB6"/>
    <mergeCell ref="AL3:AL20"/>
    <mergeCell ref="AM3:AM20"/>
    <mergeCell ref="AN3:AN20"/>
    <mergeCell ref="AO3:AO20"/>
    <mergeCell ref="AP3:AP20"/>
    <mergeCell ref="AQ3:AQ20"/>
    <mergeCell ref="AR3:AR20"/>
    <mergeCell ref="A4:O4"/>
    <mergeCell ref="AY3:AY20"/>
    <mergeCell ref="BA3:BA20"/>
    <mergeCell ref="BC3:BC20"/>
    <mergeCell ref="BD3:BD20"/>
  </mergeCells>
  <hyperlinks>
    <hyperlink ref="AV2" r:id="rId1" display="2006г. Объекты нефтедобывающей промышленности.rtf"/>
    <hyperlink ref="AW2" r:id="rId2" display="2007г. Автомобильные дороги общего пользования.doc"/>
    <hyperlink ref="AX2" r:id="rId3" display="ГОСУДАРСТВЕННЫЙ КОМИТЕТ РОССИЙСКОЙ ФЕДЕРАЦИИ"/>
    <hyperlink ref="AY2" r:id="rId4" display="2004г. Объекты нефтеперерабатывающей и нефтехим. пром-ти.rtf"/>
    <hyperlink ref="AZ2" r:id="rId5" display="1999г. Объекты газовой промышленности.doc"/>
    <hyperlink ref="AZ3" r:id="rId6" display="-"/>
    <hyperlink ref="BA2" r:id="rId7" display="2008г. Объекты водоснабжения и канализации.doc"/>
    <hyperlink ref="BB7:BB10" r:id="rId8" display="2003 г."/>
    <hyperlink ref="BC2" r:id="rId9" display="2004г. Объекты гражданской авиации.doc"/>
    <hyperlink ref="BD2" r:id="rId10" display="2006г. Газооборудование и газоснабжение.rtf"/>
    <hyperlink ref="BE2" r:id="rId11" display="Приложение N 2"/>
    <hyperlink ref="BF2" r:id="rId12" display="1999г. Системы противопожарной и охранной защиты.doc"/>
    <hyperlink ref="BG2" r:id="rId13" display="1987г. СБЦ №6 Черная металлургия.doc"/>
    <hyperlink ref="BH2" r:id="rId14" display="Приложение N 2"/>
    <hyperlink ref="BI2" r:id="rId15" display="2004г. Объекты промышленности химических волокон.doc"/>
    <hyperlink ref="BJ2" r:id="rId16" display="2004г. Горнорудная промышленность.rtf"/>
    <hyperlink ref="BB2:BB6" r:id="rId17" display="1987 г."/>
    <hyperlink ref="BK2" r:id="rId18" display="1987г. СБЦ №31 Предприятия агропромышленного комплекса (часть 1).doc"/>
    <hyperlink ref="BK3" r:id="rId19" display="-"/>
    <hyperlink ref="BL2" r:id="rId20" display="1987г. СБЦ №42 Предприятия торговли и общественного питания.doc"/>
    <hyperlink ref="BM2" r:id="rId21" display="2006г. Предприятия транспорта, хранения нефтепродуктов и АЗС.doc"/>
    <hyperlink ref="BO2" r:id="rId22" display="МИНИСТЕРСТВО РЕГИОНАЛЬНОГО РАЗВИТИЯ"/>
    <hyperlink ref="BP2" r:id="rId23" display="../СБЦ/СБЦ/Разъяснение по применению СБЦ 1999г.pdf"/>
    <hyperlink ref="BN2" r:id="rId24" display="2004г. Объекты речного транспорта.doc"/>
  </hyperlinks>
  <pageMargins left="0.78740157480314965" right="0.39370078740157483" top="0.39370078740157483" bottom="0.39370078740157483" header="0.51181102362204722" footer="0.51181102362204722"/>
  <pageSetup paperSize="9" scale="50" orientation="portrait" r:id="rId25"/>
  <headerFooter alignWithMargins="0">
    <oddHeader>&amp;RЛист &amp;P</oddHeader>
  </headerFooter>
  <legacyDrawing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9</vt:i4>
      </vt:variant>
    </vt:vector>
  </HeadingPairs>
  <TitlesOfParts>
    <vt:vector size="19" baseType="lpstr">
      <vt:lpstr>Поставка товаров</vt:lpstr>
      <vt:lpstr>2</vt:lpstr>
      <vt:lpstr>3</vt:lpstr>
      <vt:lpstr>4.4</vt:lpstr>
      <vt:lpstr>4.7</vt:lpstr>
      <vt:lpstr>2.6</vt:lpstr>
      <vt:lpstr>5.2</vt:lpstr>
      <vt:lpstr>6</vt:lpstr>
      <vt:lpstr>7</vt:lpstr>
      <vt:lpstr>4.1 (2)</vt:lpstr>
      <vt:lpstr>'2'!Область_печати</vt:lpstr>
      <vt:lpstr>'2.6'!Область_печати</vt:lpstr>
      <vt:lpstr>'3'!Область_печати</vt:lpstr>
      <vt:lpstr>'4.1 (2)'!Область_печати</vt:lpstr>
      <vt:lpstr>'4.4'!Область_печати</vt:lpstr>
      <vt:lpstr>'4.7'!Область_печати</vt:lpstr>
      <vt:lpstr>'5.2'!Область_печати</vt:lpstr>
      <vt:lpstr>'6'!Область_печати</vt:lpstr>
      <vt:lpstr>'7'!Область_печати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Розынко Елена Сергеевна</dc:creator>
  <cp:lastModifiedBy>Дьякова Елена Радиковна</cp:lastModifiedBy>
  <cp:lastPrinted>2025-09-30T08:25:12Z</cp:lastPrinted>
  <dcterms:created xsi:type="dcterms:W3CDTF">2009-03-19T10:03:59Z</dcterms:created>
  <dcterms:modified xsi:type="dcterms:W3CDTF">2025-09-30T08:25:17Z</dcterms:modified>
</cp:coreProperties>
</file>