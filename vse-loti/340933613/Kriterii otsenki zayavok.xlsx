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InkAnnotation="0"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energoneft-t.ru\files\Закупочные документы\Закупки 2026\Документация о закупке\ЗГД по ЗиОП\ОМТО\07-3026711-508-2026\ПЗД\!На размещение\Приложение 4. Критерии и методика анализа и оценки заявок\"/>
    </mc:Choice>
  </mc:AlternateContent>
  <bookViews>
    <workbookView xWindow="-255" yWindow="-45" windowWidth="13875" windowHeight="13050" tabRatio="888"/>
  </bookViews>
  <sheets>
    <sheet name="Критерии выбора (МТР)" sheetId="31" r:id="rId1"/>
    <sheet name="Методика оценки ценовых предл." sheetId="36" r:id="rId2"/>
  </sheets>
  <definedNames>
    <definedName name="_xlnm.Print_Titles" localSheetId="0">'Критерии выбора (МТР)'!$4:$4</definedName>
    <definedName name="_xlnm.Print_Area" localSheetId="0">'Критерии выбора (МТР)'!$A$1:$I$70</definedName>
  </definedNames>
  <calcPr calcId="152511"/>
</workbook>
</file>

<file path=xl/calcChain.xml><?xml version="1.0" encoding="utf-8"?>
<calcChain xmlns="http://schemas.openxmlformats.org/spreadsheetml/2006/main">
  <c r="K19" i="36" l="1"/>
  <c r="K20" i="36" s="1"/>
  <c r="J19" i="36"/>
  <c r="I19" i="36"/>
  <c r="H19" i="36"/>
  <c r="D19" i="36"/>
  <c r="J18" i="36"/>
  <c r="K18" i="36" s="1"/>
  <c r="E18" i="36"/>
  <c r="J17" i="36"/>
  <c r="K17" i="36" s="1"/>
  <c r="E17" i="36"/>
  <c r="E19" i="36" s="1"/>
  <c r="K21" i="36" l="1"/>
  <c r="G21" i="36" s="1"/>
  <c r="G20" i="36"/>
</calcChain>
</file>

<file path=xl/sharedStrings.xml><?xml version="1.0" encoding="utf-8"?>
<sst xmlns="http://schemas.openxmlformats.org/spreadsheetml/2006/main" count="341" uniqueCount="195">
  <si>
    <t>Подтверждающие документы</t>
  </si>
  <si>
    <t>Единицы измерения</t>
  </si>
  <si>
    <t>№ п/п</t>
  </si>
  <si>
    <t>2. Документально-правовое обеспечение</t>
  </si>
  <si>
    <t>3. Финансовые показатели</t>
  </si>
  <si>
    <t>Потребность Заказчика</t>
  </si>
  <si>
    <t>Устав Общества (юридического лица)</t>
  </si>
  <si>
    <t>Выписка из решения общего собрания учредителей о назначении руководителя Общества (юридического лица)</t>
  </si>
  <si>
    <t>Свидетельство о постановке на учет в налоговом органе</t>
  </si>
  <si>
    <t>4.1</t>
  </si>
  <si>
    <t>3.1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</si>
  <si>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</si>
  <si>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</si>
  <si>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</si>
  <si>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</si>
  <si>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</si>
  <si>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</si>
  <si>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</si>
  <si>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</si>
  <si>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</si>
  <si>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1.1</t>
  </si>
  <si>
    <t>1.2</t>
  </si>
  <si>
    <t>2.10</t>
  </si>
  <si>
    <t>Наличие информации о цепочке собственников Подрядчика, включая бенефициаров (в том числе конечных)</t>
  </si>
  <si>
    <t>Копия выписки из решения общего собрания учредителей о назначении руководителя Общества (юридического лица)</t>
  </si>
  <si>
    <t>Копия свидетельства о постановке на учет в налоговом органе</t>
  </si>
  <si>
    <t>да</t>
  </si>
  <si>
    <t xml:space="preserve">наличие / отсутствие </t>
  </si>
  <si>
    <t>Тип критерия
(безусловный /  информационный)</t>
  </si>
  <si>
    <t>безусловный</t>
  </si>
  <si>
    <t>информационный</t>
  </si>
  <si>
    <t>Допуск</t>
  </si>
  <si>
    <t>Недопуск</t>
  </si>
  <si>
    <t>нет</t>
  </si>
  <si>
    <t>наличие</t>
  </si>
  <si>
    <t>отсутствие</t>
  </si>
  <si>
    <t xml:space="preserve">Таблица №1 </t>
  </si>
  <si>
    <t>Форма№8 "Подтверждение согласия с условиями договора"</t>
  </si>
  <si>
    <t xml:space="preserve">Форма №9 "Информация о цепочке собственников"   </t>
  </si>
  <si>
    <t>Оценка стоимостного критерия</t>
  </si>
  <si>
    <r>
      <t>Наименование критерия оценки</t>
    </r>
    <r>
      <rPr>
        <b/>
        <vertAlign val="superscript"/>
        <sz val="10"/>
        <color theme="1" tint="0.499984740745262"/>
        <rFont val="Arial"/>
        <family val="2"/>
        <charset val="204"/>
      </rPr>
      <t>1</t>
    </r>
  </si>
  <si>
    <r>
      <t>Шкала оценки</t>
    </r>
    <r>
      <rPr>
        <b/>
        <vertAlign val="superscript"/>
        <sz val="10"/>
        <color theme="1" tint="0.499984740745262"/>
        <rFont val="Arial"/>
        <family val="2"/>
        <charset val="204"/>
      </rPr>
      <t>2</t>
    </r>
  </si>
  <si>
    <t>Согласие с условиями Договора представленного в Документации</t>
  </si>
  <si>
    <t>Соответствие степени надёжности</t>
  </si>
  <si>
    <t>неполный пакет документов</t>
  </si>
  <si>
    <t>Выписка из Единого государственного реестра юридических лиц или Выписка из Единого государственного реестра индивидуальных предпринимателей (для индивидуального предпринимателя)</t>
  </si>
  <si>
    <t xml:space="preserve">соответствует </t>
  </si>
  <si>
    <t>не соответствует</t>
  </si>
  <si>
    <t>Наличие/Экспертная оценка соответствие требованиям извещения</t>
  </si>
  <si>
    <t>Документ, подтверждающий полномочия руководителя (Уполномоченного лица)</t>
  </si>
  <si>
    <t>Копия документа, подтверждающего полномочия руководителя (Уполномоченного лица), копия решения о назначении или об избрании, либо копия приказа о назначении физического лица на должность, в соответствии с которыми такое физическое лицо обладает правом действовать от имени Участника без доверенности, либо доверенность на представление его интересов и осуществление действий от его имени как Участника</t>
  </si>
  <si>
    <t>Решение о согласии на совершение сделки с заинтересованностью / крупной сделки</t>
  </si>
  <si>
    <t>Гарантийное письмо об отсутствии, либо о наличии с приложением данного решения</t>
  </si>
  <si>
    <t>Справка за подписью Участника (Руководителя) об отсутствии конфликта интересов</t>
  </si>
  <si>
    <t>Гарантийное письмо</t>
  </si>
  <si>
    <t>Отсутствие процесса ликвидации участника закупки - юридического лица и решения арбитражного суда о признании участника закупки - юридического лица, индивидуального предпринимателя банкротом и об открытии конкурсного производства</t>
  </si>
  <si>
    <t>2.11</t>
  </si>
  <si>
    <t>2.12</t>
  </si>
  <si>
    <t>Отсутствие у Участника – физического лица, либо у руководителя, членов коллегиального исполнительного органа или главного бухгалтера юридического лица – Участника судимости за преступления в сфере экономики (за исключением лиц, у которых такая судимость погашена или снята), а также неприменение в отношении указанных лиц наказания в виде лишения права занимать определенные должности или заниматься определенной деятельностью, которая связана с поставкой товара, являющейся объектом осуществляемой закупки, и административного наказания в виде дисквалификации</t>
  </si>
  <si>
    <t>Отсутствие сведений об Участнике в реестрах недобросовестных поставщиков, ведение которых осуществляется федеральным органом исполнительной власти в соответствии с законодательством Российской Федерации</t>
  </si>
  <si>
    <t>Отсутствие участника в реестре недобросовестных поставщиков на официальном сайте в ЕИС. Гарантийное письмо</t>
  </si>
  <si>
    <t>2.14</t>
  </si>
  <si>
    <t>Отсутствие умышленного сговора, в том числе при подаче предложений несколькими Участниками с одного IP-адреса</t>
  </si>
  <si>
    <t>Доверенность</t>
  </si>
  <si>
    <t>Форма №7 Доверенность. Предоставляется в случае подписания документов Заявки представителем Участника, уполномоченным на данные действия, и прикрепляется к Заявке на ЭП с подписью Руководителя организации и печатью организации.</t>
  </si>
  <si>
    <t>в наличии</t>
  </si>
  <si>
    <t>отсутствует</t>
  </si>
  <si>
    <t>1.3</t>
  </si>
  <si>
    <t>1.4</t>
  </si>
  <si>
    <t>1.5</t>
  </si>
  <si>
    <t>Наличие</t>
  </si>
  <si>
    <t>конечная дата действия заявки</t>
  </si>
  <si>
    <t>Форма№1 "Письмо о подаче Заявки"</t>
  </si>
  <si>
    <t>1. Техническая часть</t>
  </si>
  <si>
    <t>Анкета участника</t>
  </si>
  <si>
    <t>Согласие на обработку персональных данных</t>
  </si>
  <si>
    <t>4.3</t>
  </si>
  <si>
    <t>Сведения об отнесении участника к субъектам МСП</t>
  </si>
  <si>
    <t>4.4</t>
  </si>
  <si>
    <t>Соглашение о конфиденциальности</t>
  </si>
  <si>
    <t>4.5</t>
  </si>
  <si>
    <t>Уведомление о вхождении в группу ГПН/ННК</t>
  </si>
  <si>
    <t>4.6</t>
  </si>
  <si>
    <t>Справка об обязательствах в текущем году</t>
  </si>
  <si>
    <t>Форма №4 "Анкета участника"</t>
  </si>
  <si>
    <t>Форма №5 "Согласие на обработку персональных данных" (Предоставляется на руководителей, бенефициаров и работников)</t>
  </si>
  <si>
    <t>Выписка из реестра МСП/Декларация для вновь зарегистрированных СМСП или Форма 16 "СМСП" ПРИ НЕОБХОДИМОСТИ</t>
  </si>
  <si>
    <t>Наличие/Экспертная оценка соответствия требованиям документации</t>
  </si>
  <si>
    <t>Форма №6 Соглашение о конфиденциальности. Оформляется в соответствии с шаблоном и прикрепляется к Заявке на ЭП с подписью Руководителя организации (Уполномоченного лица) и печатью.</t>
  </si>
  <si>
    <t>Форма №17 Уведомление о вхождении в группу ГПН/ННК. Оформляется в соответствии с шаблоном и прикрепляется к Заявке на ЭП с подписью Руководителя организации (Уполномоченного лица) и печатью</t>
  </si>
  <si>
    <t>Форма №18 Справка об обязательствах в текущем году</t>
  </si>
  <si>
    <t>5. Ценовое предложение</t>
  </si>
  <si>
    <t>Участник должен предоставить заявку в полном объеме в соответствии с требованиями к ее составу на соответствующий этап конкурентного отбора</t>
  </si>
  <si>
    <t>1.1.</t>
  </si>
  <si>
    <t>Наличие в составе заявки недостоверных сведений об Участнике или о закупаемых товарах (работах, услугах)</t>
  </si>
  <si>
    <t>1.2.</t>
  </si>
  <si>
    <t xml:space="preserve">Отсутствие в составе представленной заявки всех обязательных к предоставлению документов в соответствии с требованиями Регламента участия в конкурентном отборе Группы компаний Газпром нефть и Документации, а также правильность их оформления </t>
  </si>
  <si>
    <t>1.3.</t>
  </si>
  <si>
    <t>Подача Участником более одной заявки в отношении каждого предмета конкурентного отбора (лота).
Участие лица, выступающего на стороне одного Участника (Группа лиц), самостоятельно или на стороне другого Участника.</t>
  </si>
  <si>
    <t>1.4.</t>
  </si>
  <si>
    <t>Непредставление Участником Организатору письменных разъяснений положений поданной им заявки по письменному запросу Организатора, в том числе несогласия с исправлением очевидных арифметических ошибок, расхождений между суммами, выраженными словами и цифрами, расхождений между единичной расценкой и общей суммой, полученной в результате умножения единичной расценки на количество.</t>
  </si>
  <si>
    <t>1.5.</t>
  </si>
  <si>
    <t>Передача регистрационных данных (имени пользователя и пароля), полученных для работы на Электронной площадке, третьим лицам, равно как и использование регистрационных данных третьих лиц</t>
  </si>
  <si>
    <t>1.6.</t>
  </si>
  <si>
    <t>Наличие согласованных действий, направленных на ограничение конкуренции, в частности, при подаче предложений несколькими Участниками с одного IP-адреса или при подаче предложений несколькими Участниками, являющимися ВЗЛ в соответствии со ст.105.1 НК РФ</t>
  </si>
  <si>
    <t>* Для безусловных критериев в столбцах приводятся значения, соответствующие допуску/ недопуску.</t>
  </si>
  <si>
    <t>УТВЕРЖДЕНО:</t>
  </si>
  <si>
    <t>Генеральный директор ООО "Энергонефть Томск"</t>
  </si>
  <si>
    <t>________________________ФИО</t>
  </si>
  <si>
    <t>_____________</t>
  </si>
  <si>
    <t>20____</t>
  </si>
  <si>
    <t>№ Позиции</t>
  </si>
  <si>
    <t>Предмет закупки/ позиции закупки</t>
  </si>
  <si>
    <t>Заказчик ООО "Энергонефть Томск"</t>
  </si>
  <si>
    <t>Ранжирование</t>
  </si>
  <si>
    <t>ед-ца.изм-ия</t>
  </si>
  <si>
    <t xml:space="preserve">Общая НМЦ, руб. без НДС </t>
  </si>
  <si>
    <t>Указывается место участника</t>
  </si>
  <si>
    <t>ИТОГО:</t>
  </si>
  <si>
    <t>Рекомендуется к закупке ИТОГО</t>
  </si>
  <si>
    <t xml:space="preserve">Экономия ВСЕГО </t>
  </si>
  <si>
    <t>Сумма и объём неразыгранных позиций</t>
  </si>
  <si>
    <t xml:space="preserve">Копия справки об отсутствии/ наличии задолженности по уплате налогов и сборов, иных обязательных платежей </t>
  </si>
  <si>
    <t>Наименование 1</t>
  </si>
  <si>
    <t>Наименование 2 ….</t>
  </si>
  <si>
    <t>Справка из налоговых органов РФ об отсутствии/наличии задолженности по уплате налогов и сборов, иных обязательных платежей</t>
  </si>
  <si>
    <t>Приложение 4.1 к Извещению</t>
  </si>
  <si>
    <t>Приложение 4 к Извещению</t>
  </si>
  <si>
    <t>Идентификационный № Участника Наименование компании Участника</t>
  </si>
  <si>
    <t>Копия Устава  (юридического лица) или копия паспорта для индивидуального предпринимателя.</t>
  </si>
  <si>
    <t>Копия выписки из Единого государственного реестра юридических лиц или копия выписки из Единого государственного реестра индивидуальных предпринимателей (для индивидуального предпринимателя).</t>
  </si>
  <si>
    <t>Наличие в составе представленной заявки всех обязательных к предоставлению документов в соответствии с требованиями п.п. 4.1.-4.5. Извещения о запросе котировок (Документации о закупке), а также правильность их оформления (в т.ч. наличие должных печатей, подписей, формы заверения)</t>
  </si>
  <si>
    <t>Требования к составу заявки установленные в разделе 4 Извещения о запросе котировок (Документации о конкурентном отборе) с приложением Формы №2 Опись документов.</t>
  </si>
  <si>
    <t>Соответствие срока действия Заявки Участника установленному в пункте 1.1.8.3 извещения о запросе котировок</t>
  </si>
  <si>
    <t>согласие / несогласие</t>
  </si>
  <si>
    <t>Неприостановление  деятельности участника закупки в порядке, предусмотренном Кодексом Российской Федерации об административных правонарушениях на дату заключения договора</t>
  </si>
  <si>
    <t>В случае выявления  признаков, свидетельствующих о возможном наличии умышленного сговора, такие Заявки Участников могут быть отклонены от участия в запросе котировок. Гарантийное письмо.</t>
  </si>
  <si>
    <t>Соответствие технического предложения Участника требованиям Технического задания, в том числе:
- по срокам поставки товаров 
- по составу и объему поставки товаров
- номенклатуры, количества и характеристик материалов / оборудования</t>
  </si>
  <si>
    <t>2.13</t>
  </si>
  <si>
    <t>2.15</t>
  </si>
  <si>
    <t xml:space="preserve">1 - наивысшая степень надежности,
2, 3 - средняя степень надежности,
4 - наименьшая степень надежности
</t>
  </si>
  <si>
    <t>Наличие (расчётные финансовые показатели для присвоения степени надёжности)/Экспертная оценка соответсвия требованиям документации</t>
  </si>
  <si>
    <t>1) Копия бухгалтерского баланса и отчет о финансовых результатах за последний отчетный год (с отметкой налоговых органов об их приеме).
2) Копия бухгалтерского баланса и отчет о финансовых результатах за последний отчетный период (за подписью и печатью участника закупки).</t>
  </si>
  <si>
    <t xml:space="preserve">4. Состав и содержание заявки в соответствии с разделом
</t>
  </si>
  <si>
    <t>4.2</t>
  </si>
  <si>
    <t>5.1</t>
  </si>
  <si>
    <t>Соответствие требованиям формирования ценового предложения</t>
  </si>
  <si>
    <t>Форма №3 "Ценовое предложение"</t>
  </si>
  <si>
    <t>5.2</t>
  </si>
  <si>
    <t>Соответствие требованиям формы оферты</t>
  </si>
  <si>
    <t>Приложение №1 к Форме №3 "Оферта"</t>
  </si>
  <si>
    <t>5.3</t>
  </si>
  <si>
    <t>Экспертная оценка</t>
  </si>
  <si>
    <t>Форма №3 "Ценовое предложение", Приложение №1 к Форме №3 "Оферта"</t>
  </si>
  <si>
    <t>5.4</t>
  </si>
  <si>
    <t>Отсутствие расхождений в данных, указанных в Ценовом предложении и на Электронной площадке*.</t>
  </si>
  <si>
    <t>наличие / отсутствие</t>
  </si>
  <si>
    <t>Отсутствие расхождений в данных, указанных в Ценовом предложении и данных, указанных в заявке, поданной на ЭТП</t>
  </si>
  <si>
    <t>Форма №3" Ценовое предложение" и  Электронная площадка</t>
  </si>
  <si>
    <t>5.5</t>
  </si>
  <si>
    <t>Представление Участником Организатору разъяснений положений поданной им Заявки по запросу Организатора, в том числе согласие с исправлением очевидных арифметических ошибок, расхождений между суммами, выраженными словами и цифрами, расхождений между единичной расценкой и общей суммой, полученной в результате умножения единичной расценки на количество.</t>
  </si>
  <si>
    <t>отстутствие</t>
  </si>
  <si>
    <t>Представление разъяснений представленной заявки по требованию Организатора</t>
  </si>
  <si>
    <t>Разъяснения Заявки по запросу Организатора</t>
  </si>
  <si>
    <r>
      <t xml:space="preserve">1. Заявка Участника в рамках проведения Отбора </t>
    </r>
    <r>
      <rPr>
        <b/>
        <i/>
        <sz val="11"/>
        <color theme="1" tint="0.499984740745262"/>
        <rFont val="Arial"/>
        <family val="2"/>
        <charset val="204"/>
      </rPr>
      <t>(первого и второго этапов)</t>
    </r>
    <r>
      <rPr>
        <b/>
        <sz val="11"/>
        <rFont val="Arial"/>
        <family val="2"/>
        <charset val="204"/>
      </rPr>
      <t xml:space="preserve"> также может быть отклонена в следующих случаях: </t>
    </r>
  </si>
  <si>
    <r>
      <t xml:space="preserve">2. Порядок оценки Коллективных Участников:
</t>
    </r>
    <r>
      <rPr>
        <i/>
        <sz val="11"/>
        <color theme="1" tint="0.499984740745262"/>
        <rFont val="Arial"/>
        <family val="2"/>
        <charset val="204"/>
      </rPr>
      <t>Требованиям, установленным в методике оценки заявок, должна в совокупности отвечать группа лиц, а не отдельно взятое лицо. 
В случае несоответствия какого-либо из заявленных членов Коллективного Участника требованиям, установленным в настоящей Методике оценки заявки, заявка такого Коллективного Участника вправе быть отклонена. Заявка, которую подает Коллективный участник, может быть отклонена, если в процессе закупки до выбора Победителя (Победителей) выяснится, что из состава Коллективного Участника вышел один или несколько его членов.</t>
    </r>
  </si>
  <si>
    <r>
      <t xml:space="preserve">3. Порядок оценки Участников, которые планируют привлечение субподрядчиков (соисполнителей, субпоставщиков)
</t>
    </r>
    <r>
      <rPr>
        <i/>
        <sz val="11"/>
        <color theme="1" tint="0.499984740745262"/>
        <rFont val="Arial"/>
        <family val="2"/>
        <charset val="204"/>
      </rPr>
      <t>Указывается необходимое: 
- оценка Участников осуществляется с учетом объема поставляемых товаров (выполняемых работ, оказываемых услуг), который предполагается поручить субподрядчикам (соисполнителям, субпоставщикам) с детальной оценкой субподрядчиков (соисполнителей, субпоставщиков);</t>
    </r>
    <r>
      <rPr>
        <b/>
        <i/>
        <sz val="11"/>
        <color theme="1" tint="0.499984740745262"/>
        <rFont val="Arial"/>
        <family val="2"/>
        <charset val="204"/>
      </rPr>
      <t xml:space="preserve">
</t>
    </r>
    <r>
      <rPr>
        <sz val="11"/>
        <color theme="1" tint="0.499984740745262"/>
        <rFont val="Arial"/>
        <family val="2"/>
        <charset val="204"/>
      </rPr>
      <t xml:space="preserve">- </t>
    </r>
    <r>
      <rPr>
        <i/>
        <sz val="11"/>
        <color theme="1" tint="0.499984740745262"/>
        <rFont val="Arial"/>
        <family val="2"/>
        <charset val="204"/>
      </rPr>
      <t>оценка Участников осуществляется с учетом объема поставляемых товаров (выполняемых работ, оказываемых услуг), который предполагается поручить субподрядчикам (соисполнителям, субпоставщикам), при этом детальная оценка субподрядчикоов (соисполнителей, субпоставщиков) не осуществляется.</t>
    </r>
    <r>
      <rPr>
        <b/>
        <i/>
        <sz val="11"/>
        <color theme="1" tint="0.499984740745262"/>
        <rFont val="Arial"/>
        <family val="2"/>
        <charset val="204"/>
      </rPr>
      <t xml:space="preserve">
</t>
    </r>
    <r>
      <rPr>
        <i/>
        <sz val="11"/>
        <color theme="1" tint="0.499984740745262"/>
        <rFont val="Arial"/>
        <family val="2"/>
        <charset val="204"/>
      </rPr>
      <t>Ответственность за соответствие в ходе исполнения обязательств по договору привлекаемых субподрядчиков (соисполнителей, субпоставщиков) требованиям Документации возлагается на Участника.</t>
    </r>
  </si>
  <si>
    <r>
      <t xml:space="preserve">1. Оценка технической части Заявок, поступивших для участия в процедуре закупки, производится на основании технических критериев (Табл. №1).
2. Участники, Заявки которых не соответствуют указанным критериям и имеют признак "Недопуск" по шкале оценки, отклоняются от участия в процедуре закупки.
3. Для дальнейшей оценки поступивших заявок, соответствующим критериям Табл. №1: </t>
    </r>
    <r>
      <rPr>
        <i/>
        <sz val="11"/>
        <color theme="1" tint="0.499984740745262"/>
        <rFont val="Arial"/>
        <family val="2"/>
        <charset val="204"/>
      </rPr>
      <t xml:space="preserve">&lt;выбрать&gt; </t>
    </r>
    <r>
      <rPr>
        <sz val="11"/>
        <color theme="1"/>
        <rFont val="Arial"/>
        <family val="2"/>
        <charset val="204"/>
      </rPr>
      <t xml:space="preserve">
3а. Применяется совокупная балльная Методика (Табл.№2)
3б. Все допущенные Заявки, оцениваются по стоимостному критерию (Табл.№2)
</t>
    </r>
  </si>
  <si>
    <t>Условия оплаты Заказчика: В оответствии с документацией о закупке</t>
  </si>
  <si>
    <t>указывается условие оплаты в соответствиии с утверждёнными условиями закупки</t>
  </si>
  <si>
    <t xml:space="preserve">кол-во  объем </t>
  </si>
  <si>
    <t xml:space="preserve">Цена за ед.,  руб. без НДС </t>
  </si>
  <si>
    <t>Заполнять здесь</t>
  </si>
  <si>
    <t>шт.</t>
  </si>
  <si>
    <t>Внесено:</t>
  </si>
  <si>
    <t>Специалист по закупке товаров, работ и услуг :</t>
  </si>
  <si>
    <t>ФИО</t>
  </si>
  <si>
    <t>Проверено:</t>
  </si>
  <si>
    <t>Секретарь Закупочной комиссии:</t>
  </si>
  <si>
    <t>Согласовано</t>
  </si>
  <si>
    <t>Начальник отдела по организации закупок товаров, работ и услуг:</t>
  </si>
  <si>
    <r>
      <rPr>
        <b/>
        <sz val="11"/>
        <rFont val="Arial"/>
        <family val="2"/>
        <charset val="204"/>
      </rPr>
      <t>Порядок оценки ценового предложения:</t>
    </r>
    <r>
      <rPr>
        <sz val="11"/>
        <rFont val="Arial"/>
        <family val="2"/>
        <charset val="204"/>
      </rPr>
      <t xml:space="preserve">
Оценка Заявок  производится на основании критериев. Участники, Заявки которых не соответствуют указанным критериям и имеют признак "Недопуск" по шкале оценки, отклоняются от участия в закупке. 
</t>
    </r>
    <r>
      <rPr>
        <u/>
        <sz val="11"/>
        <rFont val="Arial"/>
        <family val="2"/>
        <charset val="204"/>
      </rPr>
      <t xml:space="preserve">Все допущенные Заявки оцениваются и ранжируются по стоимостному критерию - в порядке уменьшения степени выгодности содержащихся в них условий исполнения договора.
</t>
    </r>
    <r>
      <rPr>
        <sz val="11"/>
        <color rgb="FFFF0000"/>
        <rFont val="Arial"/>
        <family val="2"/>
        <charset val="204"/>
      </rPr>
      <t xml:space="preserve">Указывается при необходимости: </t>
    </r>
    <r>
      <rPr>
        <b/>
        <sz val="11"/>
        <color rgb="FFFF0000"/>
        <rFont val="Arial"/>
        <family val="2"/>
        <charset val="204"/>
      </rPr>
      <t xml:space="preserve">
ВНИМАНИЕ! Превышение предложения о цене договора (цене лота) установленной начальной максимальной цены договора (лота)  является основанием для отклонения заявки Участника</t>
    </r>
  </si>
  <si>
    <t>Общая НМЦ, руб. с НДС 22%</t>
  </si>
  <si>
    <t>Форма №19 Согласие участника запроса котировок</t>
  </si>
  <si>
    <t>Согласие с условиями проведения конкурентной закупки, содержащимися в  документации о конкурентной закупке (извещение о проведении запроса котировок)</t>
  </si>
  <si>
    <t xml:space="preserve">Руководитель подразделения </t>
  </si>
  <si>
    <t>Начальник ОМТО</t>
  </si>
  <si>
    <t>Рябцев В.Л.</t>
  </si>
  <si>
    <t>____________________
(подпись)</t>
  </si>
  <si>
    <t>____________________
(ФИО)</t>
  </si>
  <si>
    <t>__________________
(должность полностью)</t>
  </si>
  <si>
    <t>Форма №1.2 "Техническое предложение".
 По запросу Заказчика: Документы, подтверждающие соответствие товаров обязательным требованиям по качеству и безопасности, а именно, 
1. Сертификат соответствия и декларация о соответствии. Подтверждают соответствие товаров обязательным требованиям технических регламентов РФ, Таможенного союза, Евразийского экономического союза.</t>
  </si>
  <si>
    <t>Условия о превышении/непревышении стоимости заявки Участника закупки установлено в Извещении.</t>
  </si>
  <si>
    <t>Критерии для оценки заявок по: лот №07-3026711-508-2026 «Поставка металлоизделий»</t>
  </si>
  <si>
    <r>
      <t xml:space="preserve">МЕТОДИКА ОЦЕНКИ ЦЕНОВЫХ ПРЕДЛОЖЕНИЙ (ОФЕРТ) ПО ПОСТАВКЕ
Реестровый номер процедуры (РНП):  №07-3026711-508-2026 </t>
    </r>
    <r>
      <rPr>
        <b/>
        <sz val="14"/>
        <rFont val="Arial"/>
        <family val="2"/>
        <charset val="204"/>
      </rPr>
      <t xml:space="preserve">
Предмет договора: «Поставка металлоизделий»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</si>
</sst>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₽_-;\-* #,##0.00\ _₽_-;_-* &quot;-&quot;??\ _₽_-;_-@_-"/>
    <numFmt numFmtId="164" formatCode="#,##0.00_ ;\-#,##0.00\ "/>
    <numFmt numFmtId="165" formatCode="_-* #,##0.00_р_._-;\-* #,##0.00_р_._-;_-* &quot;-&quot;??_р_._-;_-@_-"/>
  </numFmts>
  <fonts count="35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 Cyr"/>
      <family val="2"/>
      <charset val="204"/>
    </font>
    <font>
      <sz val="10"/>
      <name val="Helv"/>
      <charset val="204"/>
    </font>
    <font>
      <sz val="11"/>
      <name val="Arial"/>
      <family val="2"/>
      <charset val="204"/>
    </font>
    <font>
      <sz val="11"/>
      <color theme="1"/>
      <name val="Arial"/>
      <family val="2"/>
      <charset val="204"/>
    </font>
    <font>
      <sz val="11"/>
      <color rgb="FF00B05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vertAlign val="superscript"/>
      <sz val="10"/>
      <color theme="1" tint="0.499984740745262"/>
      <name val="Arial"/>
      <family val="2"/>
      <charset val="204"/>
    </font>
    <font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rgb="FFFF0000"/>
      <name val="Arial"/>
      <family val="2"/>
      <charset val="204"/>
    </font>
    <font>
      <sz val="12"/>
      <color theme="1"/>
      <name val="Arial"/>
      <family val="2"/>
      <charset val="204"/>
    </font>
    <font>
      <b/>
      <u/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i/>
      <sz val="10"/>
      <color rgb="FFFF0000"/>
      <name val="Arial"/>
      <family val="2"/>
      <charset val="204"/>
    </font>
    <font>
      <b/>
      <sz val="11"/>
      <name val="Arial"/>
      <family val="2"/>
      <charset val="204"/>
    </font>
    <font>
      <b/>
      <i/>
      <sz val="11"/>
      <color theme="1" tint="0.499984740745262"/>
      <name val="Arial"/>
      <family val="2"/>
      <charset val="204"/>
    </font>
    <font>
      <i/>
      <sz val="11"/>
      <color theme="1" tint="0.499984740745262"/>
      <name val="Arial"/>
      <family val="2"/>
      <charset val="204"/>
    </font>
    <font>
      <sz val="11"/>
      <color theme="1" tint="0.499984740745262"/>
      <name val="Arial"/>
      <family val="2"/>
      <charset val="204"/>
    </font>
    <font>
      <b/>
      <sz val="11"/>
      <color rgb="FF00B050"/>
      <name val="Arial"/>
      <family val="2"/>
      <charset val="204"/>
    </font>
    <font>
      <i/>
      <sz val="10"/>
      <color theme="1"/>
      <name val="Arial"/>
      <family val="2"/>
      <charset val="204"/>
    </font>
    <font>
      <b/>
      <sz val="14"/>
      <name val="Arial"/>
      <family val="2"/>
      <charset val="204"/>
    </font>
    <font>
      <u/>
      <sz val="11"/>
      <name val="Arial"/>
      <family val="2"/>
      <charset val="204"/>
    </font>
    <font>
      <sz val="11"/>
      <color rgb="FFFF0000"/>
      <name val="Arial"/>
      <family val="2"/>
      <charset val="204"/>
    </font>
    <font>
      <b/>
      <sz val="11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8"/>
      <color theme="1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56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26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4" fillId="0" borderId="0"/>
    <xf numFmtId="0" fontId="2" fillId="0" borderId="0"/>
    <xf numFmtId="0" fontId="1" fillId="0" borderId="0"/>
    <xf numFmtId="0" fontId="1" fillId="0" borderId="0"/>
    <xf numFmtId="43" fontId="2" fillId="0" borderId="0" applyFont="0" applyFill="0" applyBorder="0" applyAlignment="0" applyProtection="0"/>
  </cellStyleXfs>
  <cellXfs count="175">
    <xf numFmtId="0" fontId="0" fillId="0" borderId="0" xfId="0"/>
    <xf numFmtId="0" fontId="5" fillId="2" borderId="0" xfId="0" applyFont="1" applyFill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5" fillId="0" borderId="0" xfId="0" applyFont="1" applyFill="1" applyAlignment="1">
      <alignment horizontal="center" vertical="center"/>
    </xf>
    <xf numFmtId="0" fontId="5" fillId="0" borderId="0" xfId="0" applyFont="1" applyFill="1"/>
    <xf numFmtId="0" fontId="7" fillId="0" borderId="0" xfId="0" applyFont="1"/>
    <xf numFmtId="0" fontId="9" fillId="0" borderId="0" xfId="0" applyFont="1" applyFill="1" applyAlignment="1">
      <alignment horizontal="center" vertical="center"/>
    </xf>
    <xf numFmtId="0" fontId="11" fillId="0" borderId="1" xfId="2" applyFont="1" applyFill="1" applyBorder="1" applyAlignment="1">
      <alignment horizontal="left" vertical="center" wrapText="1"/>
    </xf>
    <xf numFmtId="0" fontId="11" fillId="0" borderId="1" xfId="4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center" vertical="center" wrapText="1"/>
    </xf>
    <xf numFmtId="0" fontId="8" fillId="0" borderId="2" xfId="0" applyFont="1" applyFill="1" applyBorder="1" applyAlignment="1" applyProtection="1">
      <alignment horizontal="center" vertical="center" wrapText="1"/>
    </xf>
    <xf numFmtId="0" fontId="8" fillId="0" borderId="1" xfId="0" applyFont="1" applyFill="1" applyBorder="1" applyAlignment="1" applyProtection="1">
      <alignment horizontal="center" vertical="center" wrapText="1"/>
    </xf>
    <xf numFmtId="0" fontId="11" fillId="0" borderId="1" xfId="0" applyFont="1" applyFill="1" applyBorder="1" applyAlignment="1">
      <alignment horizontal="justify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justify" vertical="center"/>
    </xf>
    <xf numFmtId="0" fontId="11" fillId="0" borderId="1" xfId="0" applyFont="1" applyFill="1" applyBorder="1" applyAlignment="1" applyProtection="1">
      <alignment horizontal="justify" vertical="center" wrapText="1"/>
    </xf>
    <xf numFmtId="0" fontId="11" fillId="0" borderId="1" xfId="1" applyFont="1" applyFill="1" applyBorder="1" applyAlignment="1">
      <alignment horizontal="justify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8" fillId="0" borderId="1" xfId="4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5" fillId="5" borderId="0" xfId="0" applyFont="1" applyFill="1"/>
    <xf numFmtId="0" fontId="15" fillId="0" borderId="0" xfId="0" applyFont="1" applyFill="1" applyBorder="1" applyAlignment="1">
      <alignment horizontal="left" vertical="center" wrapText="1"/>
    </xf>
    <xf numFmtId="0" fontId="9" fillId="0" borderId="1" xfId="2" applyFont="1" applyFill="1" applyBorder="1" applyAlignment="1">
      <alignment horizontal="center" vertical="center" wrapText="1"/>
    </xf>
    <xf numFmtId="49" fontId="8" fillId="5" borderId="1" xfId="0" applyNumberFormat="1" applyFont="1" applyFill="1" applyBorder="1" applyAlignment="1">
      <alignment horizontal="center" vertical="center"/>
    </xf>
    <xf numFmtId="0" fontId="8" fillId="5" borderId="1" xfId="2" applyFont="1" applyFill="1" applyBorder="1" applyAlignment="1">
      <alignment horizontal="center" vertical="center" wrapText="1"/>
    </xf>
    <xf numFmtId="0" fontId="8" fillId="5" borderId="1" xfId="0" applyFont="1" applyFill="1" applyBorder="1" applyAlignment="1" applyProtection="1">
      <alignment horizontal="center" vertical="center" wrapText="1"/>
    </xf>
    <xf numFmtId="0" fontId="8" fillId="5" borderId="2" xfId="0" applyFont="1" applyFill="1" applyBorder="1" applyAlignment="1" applyProtection="1">
      <alignment horizontal="center" vertical="center" wrapText="1"/>
    </xf>
    <xf numFmtId="0" fontId="8" fillId="5" borderId="1" xfId="0" applyFont="1" applyFill="1" applyBorder="1" applyAlignment="1" applyProtection="1">
      <alignment horizontal="justify" vertical="center" wrapText="1"/>
    </xf>
    <xf numFmtId="0" fontId="8" fillId="5" borderId="1" xfId="4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justify" vertical="center"/>
    </xf>
    <xf numFmtId="0" fontId="9" fillId="5" borderId="2" xfId="0" applyFont="1" applyFill="1" applyBorder="1" applyAlignment="1">
      <alignment horizontal="center" vertical="center" wrapText="1"/>
    </xf>
    <xf numFmtId="3" fontId="9" fillId="5" borderId="2" xfId="5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19" fillId="0" borderId="0" xfId="0" applyFont="1" applyBorder="1" applyAlignment="1">
      <alignment horizontal="right" vertical="center"/>
    </xf>
    <xf numFmtId="0" fontId="17" fillId="0" borderId="0" xfId="0" applyFont="1" applyBorder="1" applyAlignment="1">
      <alignment horizontal="right" vertical="center"/>
    </xf>
    <xf numFmtId="0" fontId="11" fillId="0" borderId="0" xfId="0" applyFont="1"/>
    <xf numFmtId="164" fontId="11" fillId="0" borderId="1" xfId="9" applyNumberFormat="1" applyFont="1" applyFill="1" applyBorder="1" applyAlignment="1">
      <alignment horizontal="center" vertical="center" wrapText="1"/>
    </xf>
    <xf numFmtId="43" fontId="11" fillId="5" borderId="1" xfId="9" applyFont="1" applyFill="1" applyBorder="1" applyAlignment="1">
      <alignment horizontal="center" vertical="center" wrapText="1"/>
    </xf>
    <xf numFmtId="43" fontId="16" fillId="0" borderId="1" xfId="9" applyFont="1" applyFill="1" applyBorder="1" applyAlignment="1">
      <alignment horizontal="center" vertical="center" wrapText="1"/>
    </xf>
    <xf numFmtId="43" fontId="9" fillId="10" borderId="4" xfId="0" applyNumberFormat="1" applyFont="1" applyFill="1" applyBorder="1" applyAlignment="1">
      <alignment horizontal="center"/>
    </xf>
    <xf numFmtId="0" fontId="11" fillId="0" borderId="0" xfId="0" applyFont="1" applyAlignment="1">
      <alignment horizontal="left" vertical="center"/>
    </xf>
    <xf numFmtId="165" fontId="12" fillId="11" borderId="4" xfId="0" applyNumberFormat="1" applyFont="1" applyFill="1" applyBorder="1" applyAlignment="1">
      <alignment horizontal="left" vertical="center" wrapText="1"/>
    </xf>
    <xf numFmtId="43" fontId="12" fillId="12" borderId="4" xfId="0" applyNumberFormat="1" applyFont="1" applyFill="1" applyBorder="1" applyAlignment="1">
      <alignment horizontal="left" vertical="center" wrapText="1"/>
    </xf>
    <xf numFmtId="165" fontId="12" fillId="11" borderId="3" xfId="0" applyNumberFormat="1" applyFont="1" applyFill="1" applyBorder="1" applyAlignment="1">
      <alignment horizontal="left" vertical="center" wrapText="1"/>
    </xf>
    <xf numFmtId="43" fontId="12" fillId="10" borderId="4" xfId="0" applyNumberFormat="1" applyFont="1" applyFill="1" applyBorder="1" applyAlignment="1">
      <alignment horizontal="left" vertical="center" wrapText="1"/>
    </xf>
    <xf numFmtId="165" fontId="12" fillId="13" borderId="4" xfId="0" applyNumberFormat="1" applyFont="1" applyFill="1" applyBorder="1" applyAlignment="1">
      <alignment horizontal="left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right" vertical="center" wrapText="1"/>
    </xf>
    <xf numFmtId="0" fontId="15" fillId="0" borderId="0" xfId="0" applyFont="1" applyFill="1" applyBorder="1" applyAlignment="1">
      <alignment horizontal="center" wrapText="1"/>
    </xf>
    <xf numFmtId="0" fontId="15" fillId="0" borderId="0" xfId="0" applyFont="1" applyFill="1" applyBorder="1" applyAlignment="1">
      <alignment horizontal="right" wrapText="1"/>
    </xf>
    <xf numFmtId="0" fontId="15" fillId="0" borderId="0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right" vertical="top" wrapText="1"/>
    </xf>
    <xf numFmtId="0" fontId="23" fillId="0" borderId="0" xfId="0" applyFont="1" applyAlignment="1">
      <alignment horizontal="center" vertical="top" wrapText="1"/>
    </xf>
    <xf numFmtId="0" fontId="23" fillId="0" borderId="0" xfId="0" applyFont="1" applyFill="1" applyAlignment="1">
      <alignment horizontal="center" vertical="top" wrapText="1"/>
    </xf>
    <xf numFmtId="0" fontId="5" fillId="5" borderId="0" xfId="0" applyFont="1" applyFill="1" applyAlignment="1">
      <alignment horizontal="center"/>
    </xf>
    <xf numFmtId="0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23" fillId="2" borderId="4" xfId="0" applyFont="1" applyFill="1" applyBorder="1" applyAlignment="1">
      <alignment horizontal="left" vertical="center" wrapText="1"/>
    </xf>
    <xf numFmtId="0" fontId="23" fillId="2" borderId="5" xfId="0" applyFont="1" applyFill="1" applyBorder="1" applyAlignment="1">
      <alignment horizontal="left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left" vertical="center" wrapText="1"/>
    </xf>
    <xf numFmtId="0" fontId="27" fillId="0" borderId="0" xfId="0" applyFont="1" applyFill="1" applyAlignment="1">
      <alignment horizontal="right" vertical="center" wrapText="1"/>
    </xf>
    <xf numFmtId="0" fontId="7" fillId="0" borderId="0" xfId="0" applyFont="1" applyFill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23" fillId="0" borderId="0" xfId="0" applyFont="1" applyFill="1" applyAlignment="1">
      <alignment horizontal="right" vertical="center" wrapText="1"/>
    </xf>
    <xf numFmtId="0" fontId="5" fillId="0" borderId="0" xfId="0" applyFont="1" applyFill="1" applyAlignment="1">
      <alignment vertical="center" wrapText="1"/>
    </xf>
    <xf numFmtId="0" fontId="5" fillId="0" borderId="0" xfId="0" applyFont="1" applyFill="1" applyAlignment="1">
      <alignment horizontal="center" vertical="top" wrapText="1"/>
    </xf>
    <xf numFmtId="0" fontId="12" fillId="6" borderId="4" xfId="0" applyFont="1" applyFill="1" applyBorder="1" applyAlignment="1">
      <alignment horizontal="left" vertical="center" wrapText="1"/>
    </xf>
    <xf numFmtId="0" fontId="12" fillId="6" borderId="5" xfId="0" applyFont="1" applyFill="1" applyBorder="1" applyAlignment="1">
      <alignment horizontal="left" vertical="center" wrapText="1"/>
    </xf>
    <xf numFmtId="0" fontId="28" fillId="0" borderId="0" xfId="0" applyFont="1"/>
    <xf numFmtId="0" fontId="11" fillId="0" borderId="0" xfId="0" applyFont="1" applyAlignment="1"/>
    <xf numFmtId="0" fontId="11" fillId="0" borderId="1" xfId="0" applyFont="1" applyBorder="1" applyAlignment="1">
      <alignment horizontal="center" vertical="center"/>
    </xf>
    <xf numFmtId="2" fontId="8" fillId="14" borderId="1" xfId="0" applyNumberFormat="1" applyFont="1" applyFill="1" applyBorder="1" applyAlignment="1">
      <alignment vertical="center" wrapText="1"/>
    </xf>
    <xf numFmtId="2" fontId="8" fillId="14" borderId="1" xfId="0" applyNumberFormat="1" applyFont="1" applyFill="1" applyBorder="1" applyAlignment="1">
      <alignment horizontal="center" vertical="center" wrapText="1"/>
    </xf>
    <xf numFmtId="1" fontId="8" fillId="14" borderId="1" xfId="0" applyNumberFormat="1" applyFont="1" applyFill="1" applyBorder="1" applyAlignment="1">
      <alignment horizontal="center" vertical="center" wrapText="1"/>
    </xf>
    <xf numFmtId="4" fontId="11" fillId="0" borderId="1" xfId="9" applyNumberFormat="1" applyFont="1" applyFill="1" applyBorder="1" applyAlignment="1">
      <alignment horizontal="center" vertical="center" wrapText="1"/>
    </xf>
    <xf numFmtId="2" fontId="12" fillId="0" borderId="1" xfId="0" applyNumberFormat="1" applyFont="1" applyBorder="1" applyAlignment="1">
      <alignment vertical="center" wrapText="1"/>
    </xf>
    <xf numFmtId="2" fontId="33" fillId="0" borderId="1" xfId="0" applyNumberFormat="1" applyFont="1" applyBorder="1" applyAlignment="1">
      <alignment horizontal="center" vertical="center" wrapText="1"/>
    </xf>
    <xf numFmtId="0" fontId="11" fillId="0" borderId="1" xfId="9" applyNumberFormat="1" applyFont="1" applyFill="1" applyBorder="1" applyAlignment="1">
      <alignment horizontal="center" vertical="center" wrapText="1"/>
    </xf>
    <xf numFmtId="0" fontId="11" fillId="0" borderId="0" xfId="0" applyFont="1" applyFill="1"/>
    <xf numFmtId="0" fontId="12" fillId="0" borderId="2" xfId="0" applyFont="1" applyBorder="1" applyAlignment="1">
      <alignment horizontal="left"/>
    </xf>
    <xf numFmtId="43" fontId="9" fillId="10" borderId="4" xfId="0" applyNumberFormat="1" applyFont="1" applyFill="1" applyBorder="1" applyAlignment="1"/>
    <xf numFmtId="4" fontId="12" fillId="10" borderId="1" xfId="9" applyNumberFormat="1" applyFont="1" applyFill="1" applyBorder="1" applyAlignment="1">
      <alignment horizontal="center" vertical="center" wrapText="1"/>
    </xf>
    <xf numFmtId="164" fontId="12" fillId="10" borderId="1" xfId="9" applyNumberFormat="1" applyFont="1" applyFill="1" applyBorder="1" applyAlignment="1">
      <alignment horizontal="center" vertical="center" wrapText="1"/>
    </xf>
    <xf numFmtId="164" fontId="11" fillId="10" borderId="1" xfId="9" applyNumberFormat="1" applyFont="1" applyFill="1" applyBorder="1" applyAlignment="1">
      <alignment horizontal="center" vertical="center" wrapText="1"/>
    </xf>
    <xf numFmtId="0" fontId="12" fillId="10" borderId="4" xfId="0" applyNumberFormat="1" applyFont="1" applyFill="1" applyBorder="1" applyAlignment="1">
      <alignment horizontal="left" vertical="center" wrapText="1"/>
    </xf>
    <xf numFmtId="0" fontId="18" fillId="0" borderId="0" xfId="0" applyFont="1" applyBorder="1"/>
    <xf numFmtId="43" fontId="34" fillId="0" borderId="0" xfId="9" applyFont="1"/>
    <xf numFmtId="0" fontId="17" fillId="0" borderId="0" xfId="0" applyFont="1" applyAlignment="1">
      <alignment horizontal="left"/>
    </xf>
    <xf numFmtId="0" fontId="17" fillId="0" borderId="0" xfId="0" applyFont="1"/>
    <xf numFmtId="0" fontId="18" fillId="0" borderId="0" xfId="0" applyFont="1"/>
    <xf numFmtId="0" fontId="8" fillId="0" borderId="2" xfId="0" applyFont="1" applyFill="1" applyBorder="1" applyAlignment="1" applyProtection="1">
      <alignment horizontal="center" vertical="top" wrapText="1"/>
    </xf>
    <xf numFmtId="0" fontId="23" fillId="0" borderId="0" xfId="0" applyFont="1" applyAlignment="1">
      <alignment horizontal="center" wrapText="1"/>
    </xf>
    <xf numFmtId="0" fontId="23" fillId="0" borderId="0" xfId="0" applyFont="1" applyFill="1" applyAlignment="1">
      <alignment horizontal="center" wrapText="1"/>
    </xf>
    <xf numFmtId="0" fontId="5" fillId="0" borderId="0" xfId="0" applyFont="1" applyAlignment="1">
      <alignment horizontal="center" vertical="top" wrapText="1"/>
    </xf>
    <xf numFmtId="0" fontId="23" fillId="0" borderId="0" xfId="0" applyFont="1" applyFill="1" applyAlignment="1">
      <alignment horizontal="center" vertical="center" wrapText="1"/>
    </xf>
    <xf numFmtId="0" fontId="9" fillId="0" borderId="4" xfId="2" applyFont="1" applyFill="1" applyBorder="1" applyAlignment="1">
      <alignment horizontal="center" vertical="center" wrapText="1"/>
    </xf>
    <xf numFmtId="0" fontId="9" fillId="0" borderId="3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0" fontId="10" fillId="0" borderId="9" xfId="0" applyFont="1" applyFill="1" applyBorder="1" applyAlignment="1">
      <alignment horizontal="right" vertical="center" wrapText="1"/>
    </xf>
    <xf numFmtId="0" fontId="9" fillId="0" borderId="6" xfId="2" applyFont="1" applyFill="1" applyBorder="1" applyAlignment="1">
      <alignment horizontal="center" vertical="center" wrapText="1"/>
    </xf>
    <xf numFmtId="0" fontId="9" fillId="0" borderId="2" xfId="2" applyFont="1" applyFill="1" applyBorder="1" applyAlignment="1">
      <alignment horizontal="center" vertical="center" wrapText="1"/>
    </xf>
    <xf numFmtId="0" fontId="9" fillId="0" borderId="1" xfId="2" applyFont="1" applyFill="1" applyBorder="1" applyAlignment="1">
      <alignment horizontal="center" vertical="center" wrapText="1"/>
    </xf>
    <xf numFmtId="0" fontId="9" fillId="0" borderId="5" xfId="2" applyFont="1" applyFill="1" applyBorder="1" applyAlignment="1">
      <alignment horizontal="center" vertical="center" wrapText="1"/>
    </xf>
    <xf numFmtId="0" fontId="9" fillId="0" borderId="7" xfId="2" applyFont="1" applyFill="1" applyBorder="1" applyAlignment="1">
      <alignment horizontal="center" vertical="center" wrapText="1"/>
    </xf>
    <xf numFmtId="0" fontId="9" fillId="0" borderId="8" xfId="2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left" vertical="center" wrapText="1"/>
    </xf>
    <xf numFmtId="0" fontId="24" fillId="2" borderId="5" xfId="0" applyFont="1" applyFill="1" applyBorder="1" applyAlignment="1">
      <alignment horizontal="left" vertical="center" wrapText="1"/>
    </xf>
    <xf numFmtId="0" fontId="24" fillId="2" borderId="3" xfId="0" applyFont="1" applyFill="1" applyBorder="1" applyAlignment="1">
      <alignment horizontal="left" vertical="center" wrapText="1"/>
    </xf>
    <xf numFmtId="0" fontId="24" fillId="5" borderId="4" xfId="0" applyFont="1" applyFill="1" applyBorder="1" applyAlignment="1">
      <alignment horizontal="left" vertical="center" wrapText="1"/>
    </xf>
    <xf numFmtId="0" fontId="25" fillId="5" borderId="5" xfId="0" applyFont="1" applyFill="1" applyBorder="1" applyAlignment="1">
      <alignment horizontal="left" vertical="center" wrapText="1"/>
    </xf>
    <xf numFmtId="0" fontId="25" fillId="5" borderId="3" xfId="0" applyFont="1" applyFill="1" applyBorder="1" applyAlignment="1">
      <alignment horizontal="left" vertical="center" wrapText="1"/>
    </xf>
    <xf numFmtId="0" fontId="6" fillId="0" borderId="0" xfId="0" quotePrefix="1" applyFont="1" applyFill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wrapText="1"/>
    </xf>
    <xf numFmtId="0" fontId="23" fillId="5" borderId="4" xfId="2" applyFont="1" applyFill="1" applyBorder="1" applyAlignment="1">
      <alignment horizontal="left" vertical="center" wrapText="1"/>
    </xf>
    <xf numFmtId="0" fontId="23" fillId="5" borderId="5" xfId="2" applyFont="1" applyFill="1" applyBorder="1" applyAlignment="1">
      <alignment horizontal="left" vertical="center" wrapText="1"/>
    </xf>
    <xf numFmtId="0" fontId="5" fillId="0" borderId="1" xfId="2" applyFont="1" applyFill="1" applyBorder="1" applyAlignment="1">
      <alignment horizontal="left" vertical="center" wrapText="1"/>
    </xf>
    <xf numFmtId="0" fontId="5" fillId="5" borderId="1" xfId="2" applyFont="1" applyFill="1" applyBorder="1" applyAlignment="1">
      <alignment horizontal="left" vertical="center" wrapText="1"/>
    </xf>
    <xf numFmtId="0" fontId="5" fillId="5" borderId="4" xfId="2" applyFont="1" applyFill="1" applyBorder="1" applyAlignment="1">
      <alignment horizontal="left" vertical="center" wrapText="1"/>
    </xf>
    <xf numFmtId="0" fontId="5" fillId="5" borderId="5" xfId="2" applyFont="1" applyFill="1" applyBorder="1" applyAlignment="1">
      <alignment horizontal="left" vertical="center" wrapText="1"/>
    </xf>
    <xf numFmtId="0" fontId="5" fillId="5" borderId="3" xfId="2" applyFont="1" applyFill="1" applyBorder="1" applyAlignment="1">
      <alignment horizontal="left" vertical="center" wrapText="1"/>
    </xf>
    <xf numFmtId="0" fontId="5" fillId="0" borderId="4" xfId="2" applyFont="1" applyFill="1" applyBorder="1" applyAlignment="1">
      <alignment horizontal="left" vertical="center" wrapText="1"/>
    </xf>
    <xf numFmtId="0" fontId="5" fillId="0" borderId="5" xfId="2" applyFont="1" applyFill="1" applyBorder="1" applyAlignment="1">
      <alignment horizontal="left" vertical="center" wrapText="1"/>
    </xf>
    <xf numFmtId="0" fontId="5" fillId="0" borderId="3" xfId="2" applyFont="1" applyFill="1" applyBorder="1" applyAlignment="1">
      <alignment horizontal="left" vertical="center" wrapText="1"/>
    </xf>
    <xf numFmtId="0" fontId="18" fillId="0" borderId="0" xfId="0" applyFont="1" applyAlignment="1">
      <alignment horizontal="right" vertical="center"/>
    </xf>
    <xf numFmtId="0" fontId="20" fillId="6" borderId="4" xfId="0" applyFont="1" applyFill="1" applyBorder="1" applyAlignment="1">
      <alignment horizontal="center" wrapText="1"/>
    </xf>
    <xf numFmtId="0" fontId="20" fillId="6" borderId="5" xfId="0" applyFont="1" applyFill="1" applyBorder="1" applyAlignment="1">
      <alignment horizontal="center" wrapText="1"/>
    </xf>
    <xf numFmtId="0" fontId="20" fillId="6" borderId="3" xfId="0" applyFont="1" applyFill="1" applyBorder="1" applyAlignment="1">
      <alignment horizontal="center" wrapText="1"/>
    </xf>
    <xf numFmtId="0" fontId="5" fillId="5" borderId="4" xfId="0" applyFont="1" applyFill="1" applyBorder="1" applyAlignment="1">
      <alignment horizontal="left" vertical="center" wrapText="1"/>
    </xf>
    <xf numFmtId="0" fontId="5" fillId="5" borderId="5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19" fillId="0" borderId="0" xfId="0" applyFont="1" applyAlignment="1">
      <alignment horizontal="left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2" fillId="7" borderId="6" xfId="0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center" vertical="center" wrapText="1"/>
    </xf>
    <xf numFmtId="0" fontId="12" fillId="7" borderId="5" xfId="0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center" vertical="center" wrapText="1"/>
    </xf>
    <xf numFmtId="0" fontId="12" fillId="8" borderId="4" xfId="0" applyFont="1" applyFill="1" applyBorder="1" applyAlignment="1">
      <alignment horizontal="center" vertical="center" wrapText="1"/>
    </xf>
    <xf numFmtId="0" fontId="12" fillId="8" borderId="5" xfId="0" applyFont="1" applyFill="1" applyBorder="1" applyAlignment="1">
      <alignment horizontal="center" vertical="center" wrapText="1"/>
    </xf>
    <xf numFmtId="0" fontId="12" fillId="8" borderId="3" xfId="0" applyFont="1" applyFill="1" applyBorder="1" applyAlignment="1">
      <alignment horizontal="center" vertical="center" wrapText="1"/>
    </xf>
    <xf numFmtId="0" fontId="12" fillId="9" borderId="6" xfId="0" applyFont="1" applyFill="1" applyBorder="1" applyAlignment="1">
      <alignment horizontal="center" vertical="center"/>
    </xf>
    <xf numFmtId="0" fontId="12" fillId="9" borderId="12" xfId="0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center" vertical="center"/>
    </xf>
    <xf numFmtId="0" fontId="22" fillId="8" borderId="4" xfId="0" applyFont="1" applyFill="1" applyBorder="1" applyAlignment="1">
      <alignment horizontal="center" vertical="center" wrapText="1"/>
    </xf>
    <xf numFmtId="0" fontId="12" fillId="7" borderId="6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2" fillId="8" borderId="6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/>
    </xf>
    <xf numFmtId="0" fontId="11" fillId="0" borderId="9" xfId="0" applyFont="1" applyBorder="1" applyAlignment="1">
      <alignment horizontal="center"/>
    </xf>
    <xf numFmtId="0" fontId="12" fillId="6" borderId="4" xfId="0" applyFont="1" applyFill="1" applyBorder="1" applyAlignment="1">
      <alignment horizontal="left" vertical="center" wrapText="1"/>
    </xf>
    <xf numFmtId="0" fontId="12" fillId="6" borderId="5" xfId="0" applyFont="1" applyFill="1" applyBorder="1" applyAlignment="1">
      <alignment horizontal="left" vertical="center" wrapText="1"/>
    </xf>
    <xf numFmtId="0" fontId="12" fillId="6" borderId="3" xfId="0" applyFont="1" applyFill="1" applyBorder="1" applyAlignment="1">
      <alignment horizontal="left" vertical="center" wrapText="1"/>
    </xf>
  </cellXfs>
  <cellStyles count="10">
    <cellStyle name="Style 1" xfId="1"/>
    <cellStyle name="Обычный" xfId="0" builtinId="0"/>
    <cellStyle name="Обычный 14" xfId="7"/>
    <cellStyle name="Обычный 16 3" xfId="8"/>
    <cellStyle name="Обычный 2" xfId="4"/>
    <cellStyle name="Обычный 2 2" xfId="6"/>
    <cellStyle name="Обычный_Лист1" xfId="2"/>
    <cellStyle name="Стиль 1" xfId="3"/>
    <cellStyle name="Стиль 1 2" xfId="5"/>
    <cellStyle name="Финансовый" xfId="9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69"/>
  <sheetViews>
    <sheetView tabSelected="1" view="pageBreakPreview" zoomScale="70" zoomScaleNormal="70" zoomScaleSheetLayoutView="70" workbookViewId="0">
      <selection activeCell="B63" sqref="B63:H69"/>
    </sheetView>
  </sheetViews>
  <sheetFormatPr defaultColWidth="9.140625" defaultRowHeight="14.25" x14ac:dyDescent="0.2"/>
  <cols>
    <col min="1" max="1" width="9.42578125" style="1" customWidth="1"/>
    <col min="2" max="2" width="70.28515625" style="2" customWidth="1"/>
    <col min="3" max="3" width="28" style="2" customWidth="1"/>
    <col min="4" max="4" width="33.28515625" style="3" customWidth="1"/>
    <col min="5" max="5" width="24.5703125" style="3" customWidth="1"/>
    <col min="6" max="6" width="23.28515625" style="3" customWidth="1"/>
    <col min="7" max="7" width="47.85546875" style="4" customWidth="1"/>
    <col min="8" max="8" width="104.5703125" style="6" bestFit="1" customWidth="1"/>
    <col min="9" max="16384" width="9.140625" style="5"/>
  </cols>
  <sheetData>
    <row r="1" spans="1:8" ht="35.25" customHeight="1" x14ac:dyDescent="0.2">
      <c r="A1" s="26"/>
      <c r="B1" s="27"/>
      <c r="C1" s="27"/>
      <c r="D1" s="28"/>
      <c r="E1" s="28"/>
      <c r="F1" s="28"/>
      <c r="G1" s="29"/>
      <c r="H1" s="59" t="s">
        <v>127</v>
      </c>
    </row>
    <row r="2" spans="1:8" s="7" customFormat="1" ht="23.25" customHeight="1" x14ac:dyDescent="0.2">
      <c r="A2" s="115" t="s">
        <v>193</v>
      </c>
      <c r="B2" s="115"/>
      <c r="C2" s="115"/>
      <c r="D2" s="115"/>
      <c r="E2" s="115"/>
      <c r="F2" s="115"/>
      <c r="G2" s="115"/>
      <c r="H2" s="115"/>
    </row>
    <row r="3" spans="1:8" s="7" customFormat="1" ht="19.5" customHeight="1" x14ac:dyDescent="0.2">
      <c r="A3" s="116" t="s">
        <v>36</v>
      </c>
      <c r="B3" s="116"/>
      <c r="C3" s="116"/>
      <c r="D3" s="116"/>
      <c r="E3" s="116"/>
      <c r="F3" s="116"/>
      <c r="G3" s="116"/>
      <c r="H3" s="116"/>
    </row>
    <row r="4" spans="1:8" s="8" customFormat="1" ht="55.5" customHeight="1" x14ac:dyDescent="0.2">
      <c r="A4" s="117" t="s">
        <v>2</v>
      </c>
      <c r="B4" s="119" t="s">
        <v>40</v>
      </c>
      <c r="C4" s="117" t="s">
        <v>28</v>
      </c>
      <c r="D4" s="117" t="s">
        <v>1</v>
      </c>
      <c r="E4" s="112" t="s">
        <v>41</v>
      </c>
      <c r="F4" s="120"/>
      <c r="G4" s="117" t="s">
        <v>5</v>
      </c>
      <c r="H4" s="121" t="s">
        <v>0</v>
      </c>
    </row>
    <row r="5" spans="1:8" s="8" customFormat="1" ht="18.75" customHeight="1" x14ac:dyDescent="0.2">
      <c r="A5" s="118"/>
      <c r="B5" s="119"/>
      <c r="C5" s="118"/>
      <c r="D5" s="118"/>
      <c r="E5" s="33" t="s">
        <v>31</v>
      </c>
      <c r="F5" s="33" t="s">
        <v>32</v>
      </c>
      <c r="G5" s="118"/>
      <c r="H5" s="122"/>
    </row>
    <row r="6" spans="1:8" s="8" customFormat="1" ht="18.75" customHeight="1" x14ac:dyDescent="0.2">
      <c r="A6" s="33">
        <v>1</v>
      </c>
      <c r="B6" s="33">
        <v>2</v>
      </c>
      <c r="C6" s="33">
        <v>3</v>
      </c>
      <c r="D6" s="33">
        <v>4</v>
      </c>
      <c r="E6" s="112">
        <v>5</v>
      </c>
      <c r="F6" s="113"/>
      <c r="G6" s="33">
        <v>6</v>
      </c>
      <c r="H6" s="11">
        <v>7</v>
      </c>
    </row>
    <row r="7" spans="1:8" s="8" customFormat="1" ht="17.25" customHeight="1" x14ac:dyDescent="0.2">
      <c r="A7" s="114" t="s">
        <v>73</v>
      </c>
      <c r="B7" s="114"/>
      <c r="C7" s="114"/>
      <c r="D7" s="114"/>
      <c r="E7" s="114"/>
      <c r="F7" s="114"/>
      <c r="G7" s="114"/>
      <c r="H7" s="114"/>
    </row>
    <row r="8" spans="1:8" s="8" customFormat="1" ht="76.5" customHeight="1" x14ac:dyDescent="0.2">
      <c r="A8" s="34" t="s">
        <v>20</v>
      </c>
      <c r="B8" s="12" t="s">
        <v>131</v>
      </c>
      <c r="C8" s="13" t="s">
        <v>29</v>
      </c>
      <c r="D8" s="14" t="s">
        <v>27</v>
      </c>
      <c r="E8" s="15" t="s">
        <v>46</v>
      </c>
      <c r="F8" s="15" t="s">
        <v>47</v>
      </c>
      <c r="G8" s="23" t="s">
        <v>92</v>
      </c>
      <c r="H8" s="14" t="s">
        <v>132</v>
      </c>
    </row>
    <row r="9" spans="1:8" s="8" customFormat="1" ht="47.25" customHeight="1" x14ac:dyDescent="0.2">
      <c r="A9" s="34" t="s">
        <v>21</v>
      </c>
      <c r="B9" s="12" t="s">
        <v>133</v>
      </c>
      <c r="C9" s="13" t="s">
        <v>29</v>
      </c>
      <c r="D9" s="16" t="s">
        <v>71</v>
      </c>
      <c r="E9" s="14" t="s">
        <v>46</v>
      </c>
      <c r="F9" s="14" t="s">
        <v>47</v>
      </c>
      <c r="G9" s="23" t="s">
        <v>48</v>
      </c>
      <c r="H9" s="14" t="s">
        <v>72</v>
      </c>
    </row>
    <row r="10" spans="1:8" s="8" customFormat="1" ht="49.5" customHeight="1" x14ac:dyDescent="0.2">
      <c r="A10" s="34" t="s">
        <v>67</v>
      </c>
      <c r="B10" s="12" t="s">
        <v>184</v>
      </c>
      <c r="C10" s="13" t="s">
        <v>29</v>
      </c>
      <c r="D10" s="14" t="s">
        <v>27</v>
      </c>
      <c r="E10" s="15" t="s">
        <v>46</v>
      </c>
      <c r="F10" s="15" t="s">
        <v>47</v>
      </c>
      <c r="G10" s="23" t="s">
        <v>48</v>
      </c>
      <c r="H10" s="14" t="s">
        <v>183</v>
      </c>
    </row>
    <row r="11" spans="1:8" s="8" customFormat="1" ht="47.25" customHeight="1" x14ac:dyDescent="0.2">
      <c r="A11" s="34" t="s">
        <v>68</v>
      </c>
      <c r="B11" s="12" t="s">
        <v>42</v>
      </c>
      <c r="C11" s="13" t="s">
        <v>29</v>
      </c>
      <c r="D11" s="16" t="s">
        <v>134</v>
      </c>
      <c r="E11" s="14" t="s">
        <v>26</v>
      </c>
      <c r="F11" s="14" t="s">
        <v>33</v>
      </c>
      <c r="G11" s="23" t="s">
        <v>48</v>
      </c>
      <c r="H11" s="14" t="s">
        <v>37</v>
      </c>
    </row>
    <row r="12" spans="1:8" s="8" customFormat="1" ht="79.5" customHeight="1" x14ac:dyDescent="0.2">
      <c r="A12" s="34" t="s">
        <v>69</v>
      </c>
      <c r="B12" s="12" t="s">
        <v>137</v>
      </c>
      <c r="C12" s="24" t="s">
        <v>29</v>
      </c>
      <c r="D12" s="16" t="s">
        <v>27</v>
      </c>
      <c r="E12" s="25" t="s">
        <v>65</v>
      </c>
      <c r="F12" s="25" t="s">
        <v>66</v>
      </c>
      <c r="G12" s="23" t="s">
        <v>48</v>
      </c>
      <c r="H12" s="14" t="s">
        <v>191</v>
      </c>
    </row>
    <row r="13" spans="1:8" s="8" customFormat="1" ht="22.5" customHeight="1" x14ac:dyDescent="0.2">
      <c r="A13" s="114" t="s">
        <v>3</v>
      </c>
      <c r="B13" s="114"/>
      <c r="C13" s="114"/>
      <c r="D13" s="114"/>
      <c r="E13" s="114"/>
      <c r="F13" s="114"/>
      <c r="G13" s="114"/>
      <c r="H13" s="114"/>
    </row>
    <row r="14" spans="1:8" ht="44.25" customHeight="1" x14ac:dyDescent="0.2">
      <c r="A14" s="34" t="s">
        <v>11</v>
      </c>
      <c r="B14" s="17" t="s">
        <v>45</v>
      </c>
      <c r="C14" s="13" t="s">
        <v>29</v>
      </c>
      <c r="D14" s="16" t="s">
        <v>27</v>
      </c>
      <c r="E14" s="14" t="s">
        <v>46</v>
      </c>
      <c r="F14" s="14" t="s">
        <v>47</v>
      </c>
      <c r="G14" s="18" t="s">
        <v>48</v>
      </c>
      <c r="H14" s="19" t="s">
        <v>130</v>
      </c>
    </row>
    <row r="15" spans="1:8" ht="44.25" customHeight="1" x14ac:dyDescent="0.2">
      <c r="A15" s="34" t="s">
        <v>12</v>
      </c>
      <c r="B15" s="20" t="s">
        <v>6</v>
      </c>
      <c r="C15" s="13" t="s">
        <v>29</v>
      </c>
      <c r="D15" s="16" t="s">
        <v>27</v>
      </c>
      <c r="E15" s="16" t="s">
        <v>46</v>
      </c>
      <c r="F15" s="16" t="s">
        <v>47</v>
      </c>
      <c r="G15" s="18" t="s">
        <v>48</v>
      </c>
      <c r="H15" s="19" t="s">
        <v>129</v>
      </c>
    </row>
    <row r="16" spans="1:8" ht="54" customHeight="1" x14ac:dyDescent="0.2">
      <c r="A16" s="34" t="s">
        <v>13</v>
      </c>
      <c r="B16" s="17" t="s">
        <v>7</v>
      </c>
      <c r="C16" s="13" t="s">
        <v>29</v>
      </c>
      <c r="D16" s="16" t="s">
        <v>27</v>
      </c>
      <c r="E16" s="16" t="s">
        <v>46</v>
      </c>
      <c r="F16" s="16" t="s">
        <v>47</v>
      </c>
      <c r="G16" s="18" t="s">
        <v>48</v>
      </c>
      <c r="H16" s="19" t="s">
        <v>24</v>
      </c>
    </row>
    <row r="17" spans="1:8" ht="40.5" customHeight="1" x14ac:dyDescent="0.2">
      <c r="A17" s="34" t="s">
        <v>14</v>
      </c>
      <c r="B17" s="17" t="s">
        <v>8</v>
      </c>
      <c r="C17" s="13" t="s">
        <v>29</v>
      </c>
      <c r="D17" s="16" t="s">
        <v>27</v>
      </c>
      <c r="E17" s="14" t="s">
        <v>46</v>
      </c>
      <c r="F17" s="14" t="s">
        <v>47</v>
      </c>
      <c r="G17" s="18" t="s">
        <v>48</v>
      </c>
      <c r="H17" s="19" t="s">
        <v>25</v>
      </c>
    </row>
    <row r="18" spans="1:8" ht="38.25" customHeight="1" x14ac:dyDescent="0.2">
      <c r="A18" s="34" t="s">
        <v>15</v>
      </c>
      <c r="B18" s="17" t="s">
        <v>23</v>
      </c>
      <c r="C18" s="13" t="s">
        <v>29</v>
      </c>
      <c r="D18" s="16" t="s">
        <v>27</v>
      </c>
      <c r="E18" s="14" t="s">
        <v>46</v>
      </c>
      <c r="F18" s="14" t="s">
        <v>47</v>
      </c>
      <c r="G18" s="18" t="s">
        <v>48</v>
      </c>
      <c r="H18" s="19" t="s">
        <v>38</v>
      </c>
    </row>
    <row r="19" spans="1:8" ht="58.5" customHeight="1" x14ac:dyDescent="0.2">
      <c r="A19" s="34" t="s">
        <v>16</v>
      </c>
      <c r="B19" s="17" t="s">
        <v>49</v>
      </c>
      <c r="C19" s="13" t="s">
        <v>29</v>
      </c>
      <c r="D19" s="16" t="s">
        <v>27</v>
      </c>
      <c r="E19" s="14" t="s">
        <v>46</v>
      </c>
      <c r="F19" s="14" t="s">
        <v>47</v>
      </c>
      <c r="G19" s="18" t="s">
        <v>48</v>
      </c>
      <c r="H19" s="19" t="s">
        <v>50</v>
      </c>
    </row>
    <row r="20" spans="1:8" ht="49.5" customHeight="1" x14ac:dyDescent="0.2">
      <c r="A20" s="34" t="s">
        <v>17</v>
      </c>
      <c r="B20" s="17" t="s">
        <v>51</v>
      </c>
      <c r="C20" s="13" t="s">
        <v>30</v>
      </c>
      <c r="D20" s="16" t="s">
        <v>27</v>
      </c>
      <c r="E20" s="14" t="s">
        <v>46</v>
      </c>
      <c r="F20" s="14" t="s">
        <v>47</v>
      </c>
      <c r="G20" s="18" t="s">
        <v>48</v>
      </c>
      <c r="H20" s="19" t="s">
        <v>52</v>
      </c>
    </row>
    <row r="21" spans="1:8" ht="43.5" customHeight="1" x14ac:dyDescent="0.2">
      <c r="A21" s="34" t="s">
        <v>18</v>
      </c>
      <c r="B21" s="20" t="s">
        <v>53</v>
      </c>
      <c r="C21" s="13" t="s">
        <v>30</v>
      </c>
      <c r="D21" s="16" t="s">
        <v>27</v>
      </c>
      <c r="E21" s="16" t="s">
        <v>46</v>
      </c>
      <c r="F21" s="16" t="s">
        <v>47</v>
      </c>
      <c r="G21" s="18" t="s">
        <v>48</v>
      </c>
      <c r="H21" s="19" t="s">
        <v>54</v>
      </c>
    </row>
    <row r="22" spans="1:8" ht="50.25" customHeight="1" x14ac:dyDescent="0.2">
      <c r="A22" s="34" t="s">
        <v>19</v>
      </c>
      <c r="B22" s="17" t="s">
        <v>125</v>
      </c>
      <c r="C22" s="13" t="s">
        <v>29</v>
      </c>
      <c r="D22" s="16" t="s">
        <v>27</v>
      </c>
      <c r="E22" s="16" t="s">
        <v>46</v>
      </c>
      <c r="F22" s="16" t="s">
        <v>47</v>
      </c>
      <c r="G22" s="18" t="s">
        <v>48</v>
      </c>
      <c r="H22" s="19" t="s">
        <v>122</v>
      </c>
    </row>
    <row r="23" spans="1:8" ht="62.25" customHeight="1" x14ac:dyDescent="0.2">
      <c r="A23" s="34" t="s">
        <v>22</v>
      </c>
      <c r="B23" s="21" t="s">
        <v>55</v>
      </c>
      <c r="C23" s="13" t="s">
        <v>29</v>
      </c>
      <c r="D23" s="16" t="s">
        <v>27</v>
      </c>
      <c r="E23" s="15" t="s">
        <v>46</v>
      </c>
      <c r="F23" s="15" t="s">
        <v>47</v>
      </c>
      <c r="G23" s="18" t="s">
        <v>48</v>
      </c>
      <c r="H23" s="19" t="s">
        <v>54</v>
      </c>
    </row>
    <row r="24" spans="1:8" ht="65.45" customHeight="1" x14ac:dyDescent="0.2">
      <c r="A24" s="34" t="s">
        <v>56</v>
      </c>
      <c r="B24" s="21" t="s">
        <v>135</v>
      </c>
      <c r="C24" s="13" t="s">
        <v>29</v>
      </c>
      <c r="D24" s="16" t="s">
        <v>27</v>
      </c>
      <c r="E24" s="15" t="s">
        <v>46</v>
      </c>
      <c r="F24" s="15" t="s">
        <v>47</v>
      </c>
      <c r="G24" s="18" t="s">
        <v>48</v>
      </c>
      <c r="H24" s="19" t="s">
        <v>54</v>
      </c>
    </row>
    <row r="25" spans="1:8" ht="123.75" customHeight="1" x14ac:dyDescent="0.2">
      <c r="A25" s="34" t="s">
        <v>57</v>
      </c>
      <c r="B25" s="22" t="s">
        <v>58</v>
      </c>
      <c r="C25" s="13" t="s">
        <v>29</v>
      </c>
      <c r="D25" s="16" t="s">
        <v>27</v>
      </c>
      <c r="E25" s="15" t="s">
        <v>46</v>
      </c>
      <c r="F25" s="15" t="s">
        <v>47</v>
      </c>
      <c r="G25" s="18" t="s">
        <v>48</v>
      </c>
      <c r="H25" s="19" t="s">
        <v>54</v>
      </c>
    </row>
    <row r="26" spans="1:8" ht="67.5" customHeight="1" x14ac:dyDescent="0.2">
      <c r="A26" s="34" t="s">
        <v>138</v>
      </c>
      <c r="B26" s="22" t="s">
        <v>59</v>
      </c>
      <c r="C26" s="13" t="s">
        <v>29</v>
      </c>
      <c r="D26" s="16" t="s">
        <v>27</v>
      </c>
      <c r="E26" s="15" t="s">
        <v>46</v>
      </c>
      <c r="F26" s="15" t="s">
        <v>47</v>
      </c>
      <c r="G26" s="18" t="s">
        <v>48</v>
      </c>
      <c r="H26" s="19" t="s">
        <v>60</v>
      </c>
    </row>
    <row r="27" spans="1:8" ht="36.75" customHeight="1" x14ac:dyDescent="0.2">
      <c r="A27" s="34" t="s">
        <v>61</v>
      </c>
      <c r="B27" s="40" t="s">
        <v>62</v>
      </c>
      <c r="C27" s="14" t="s">
        <v>29</v>
      </c>
      <c r="D27" s="16" t="s">
        <v>27</v>
      </c>
      <c r="E27" s="15" t="s">
        <v>46</v>
      </c>
      <c r="F27" s="15" t="s">
        <v>47</v>
      </c>
      <c r="G27" s="23" t="s">
        <v>48</v>
      </c>
      <c r="H27" s="19" t="s">
        <v>136</v>
      </c>
    </row>
    <row r="28" spans="1:8" ht="46.5" customHeight="1" x14ac:dyDescent="0.2">
      <c r="A28" s="34" t="s">
        <v>139</v>
      </c>
      <c r="B28" s="40" t="s">
        <v>63</v>
      </c>
      <c r="C28" s="14" t="s">
        <v>29</v>
      </c>
      <c r="D28" s="16" t="s">
        <v>27</v>
      </c>
      <c r="E28" s="15" t="s">
        <v>46</v>
      </c>
      <c r="F28" s="15" t="s">
        <v>47</v>
      </c>
      <c r="G28" s="23" t="s">
        <v>48</v>
      </c>
      <c r="H28" s="19" t="s">
        <v>64</v>
      </c>
    </row>
    <row r="29" spans="1:8" ht="24" customHeight="1" x14ac:dyDescent="0.2">
      <c r="A29" s="130" t="s">
        <v>4</v>
      </c>
      <c r="B29" s="130"/>
      <c r="C29" s="130"/>
      <c r="D29" s="130"/>
      <c r="E29" s="130"/>
      <c r="F29" s="130"/>
      <c r="G29" s="130"/>
      <c r="H29" s="130"/>
    </row>
    <row r="30" spans="1:8" s="9" customFormat="1" ht="83.25" customHeight="1" x14ac:dyDescent="0.2">
      <c r="A30" s="34" t="s">
        <v>10</v>
      </c>
      <c r="B30" s="40" t="s">
        <v>43</v>
      </c>
      <c r="C30" s="14" t="s">
        <v>29</v>
      </c>
      <c r="D30" s="16" t="s">
        <v>27</v>
      </c>
      <c r="E30" s="107" t="s">
        <v>140</v>
      </c>
      <c r="F30" s="15" t="s">
        <v>44</v>
      </c>
      <c r="G30" s="23" t="s">
        <v>141</v>
      </c>
      <c r="H30" s="14" t="s">
        <v>142</v>
      </c>
    </row>
    <row r="31" spans="1:8" ht="27.75" customHeight="1" x14ac:dyDescent="0.2">
      <c r="A31" s="131" t="s">
        <v>143</v>
      </c>
      <c r="B31" s="131"/>
      <c r="C31" s="131"/>
      <c r="D31" s="131"/>
      <c r="E31" s="131"/>
      <c r="F31" s="131"/>
      <c r="G31" s="131"/>
      <c r="H31" s="131"/>
    </row>
    <row r="32" spans="1:8" s="31" customFormat="1" ht="36" customHeight="1" x14ac:dyDescent="0.2">
      <c r="A32" s="34" t="s">
        <v>9</v>
      </c>
      <c r="B32" s="40" t="s">
        <v>74</v>
      </c>
      <c r="C32" s="39" t="s">
        <v>29</v>
      </c>
      <c r="D32" s="36" t="s">
        <v>27</v>
      </c>
      <c r="E32" s="37" t="s">
        <v>46</v>
      </c>
      <c r="F32" s="37" t="s">
        <v>47</v>
      </c>
      <c r="G32" s="41" t="s">
        <v>70</v>
      </c>
      <c r="H32" s="35" t="s">
        <v>84</v>
      </c>
    </row>
    <row r="33" spans="1:9" ht="32.25" customHeight="1" x14ac:dyDescent="0.2">
      <c r="A33" s="34" t="s">
        <v>144</v>
      </c>
      <c r="B33" s="40" t="s">
        <v>75</v>
      </c>
      <c r="C33" s="14" t="s">
        <v>29</v>
      </c>
      <c r="D33" s="16" t="s">
        <v>27</v>
      </c>
      <c r="E33" s="15" t="s">
        <v>46</v>
      </c>
      <c r="F33" s="15" t="s">
        <v>47</v>
      </c>
      <c r="G33" s="23" t="s">
        <v>70</v>
      </c>
      <c r="H33" s="14" t="s">
        <v>85</v>
      </c>
      <c r="I33" s="9"/>
    </row>
    <row r="34" spans="1:9" s="31" customFormat="1" ht="47.25" customHeight="1" x14ac:dyDescent="0.2">
      <c r="A34" s="34" t="s">
        <v>76</v>
      </c>
      <c r="B34" s="38" t="s">
        <v>77</v>
      </c>
      <c r="C34" s="39" t="s">
        <v>30</v>
      </c>
      <c r="D34" s="36" t="s">
        <v>27</v>
      </c>
      <c r="E34" s="37" t="s">
        <v>46</v>
      </c>
      <c r="F34" s="37" t="s">
        <v>47</v>
      </c>
      <c r="G34" s="42" t="s">
        <v>70</v>
      </c>
      <c r="H34" s="35" t="s">
        <v>86</v>
      </c>
    </row>
    <row r="35" spans="1:9" s="31" customFormat="1" ht="47.25" customHeight="1" x14ac:dyDescent="0.2">
      <c r="A35" s="34" t="s">
        <v>78</v>
      </c>
      <c r="B35" s="38" t="s">
        <v>79</v>
      </c>
      <c r="C35" s="39" t="s">
        <v>30</v>
      </c>
      <c r="D35" s="36" t="s">
        <v>27</v>
      </c>
      <c r="E35" s="37" t="s">
        <v>46</v>
      </c>
      <c r="F35" s="37" t="s">
        <v>47</v>
      </c>
      <c r="G35" s="42" t="s">
        <v>87</v>
      </c>
      <c r="H35" s="35" t="s">
        <v>88</v>
      </c>
    </row>
    <row r="36" spans="1:9" s="31" customFormat="1" ht="50.25" customHeight="1" x14ac:dyDescent="0.2">
      <c r="A36" s="34" t="s">
        <v>80</v>
      </c>
      <c r="B36" s="38" t="s">
        <v>81</v>
      </c>
      <c r="C36" s="39" t="s">
        <v>30</v>
      </c>
      <c r="D36" s="36" t="s">
        <v>27</v>
      </c>
      <c r="E36" s="37" t="s">
        <v>34</v>
      </c>
      <c r="F36" s="37" t="s">
        <v>35</v>
      </c>
      <c r="G36" s="42" t="s">
        <v>87</v>
      </c>
      <c r="H36" s="35" t="s">
        <v>89</v>
      </c>
    </row>
    <row r="37" spans="1:9" s="31" customFormat="1" ht="47.25" customHeight="1" x14ac:dyDescent="0.2">
      <c r="A37" s="34" t="s">
        <v>82</v>
      </c>
      <c r="B37" s="38" t="s">
        <v>83</v>
      </c>
      <c r="C37" s="39" t="s">
        <v>30</v>
      </c>
      <c r="D37" s="36" t="s">
        <v>27</v>
      </c>
      <c r="E37" s="37" t="s">
        <v>46</v>
      </c>
      <c r="F37" s="37" t="s">
        <v>47</v>
      </c>
      <c r="G37" s="42" t="s">
        <v>87</v>
      </c>
      <c r="H37" s="35" t="s">
        <v>90</v>
      </c>
    </row>
    <row r="38" spans="1:9" s="31" customFormat="1" ht="27" customHeight="1" x14ac:dyDescent="0.2">
      <c r="A38" s="130" t="s">
        <v>91</v>
      </c>
      <c r="B38" s="130"/>
      <c r="C38" s="130"/>
      <c r="D38" s="130"/>
      <c r="E38" s="130"/>
      <c r="F38" s="130"/>
      <c r="G38" s="130"/>
      <c r="H38" s="130"/>
      <c r="I38" s="9"/>
    </row>
    <row r="39" spans="1:9" ht="36" customHeight="1" x14ac:dyDescent="0.2">
      <c r="A39" s="34" t="s">
        <v>145</v>
      </c>
      <c r="B39" s="38" t="s">
        <v>146</v>
      </c>
      <c r="C39" s="39" t="s">
        <v>29</v>
      </c>
      <c r="D39" s="36" t="s">
        <v>27</v>
      </c>
      <c r="E39" s="37" t="s">
        <v>34</v>
      </c>
      <c r="F39" s="37" t="s">
        <v>35</v>
      </c>
      <c r="G39" s="42" t="s">
        <v>70</v>
      </c>
      <c r="H39" s="35" t="s">
        <v>147</v>
      </c>
      <c r="I39" s="31"/>
    </row>
    <row r="40" spans="1:9" ht="35.25" customHeight="1" x14ac:dyDescent="0.2">
      <c r="A40" s="34" t="s">
        <v>148</v>
      </c>
      <c r="B40" s="38" t="s">
        <v>149</v>
      </c>
      <c r="C40" s="39" t="s">
        <v>29</v>
      </c>
      <c r="D40" s="36" t="s">
        <v>27</v>
      </c>
      <c r="E40" s="37" t="s">
        <v>34</v>
      </c>
      <c r="F40" s="37" t="s">
        <v>35</v>
      </c>
      <c r="G40" s="42" t="s">
        <v>70</v>
      </c>
      <c r="H40" s="35" t="s">
        <v>150</v>
      </c>
      <c r="I40" s="31"/>
    </row>
    <row r="41" spans="1:9" ht="31.5" customHeight="1" x14ac:dyDescent="0.2">
      <c r="A41" s="34" t="s">
        <v>151</v>
      </c>
      <c r="B41" s="38" t="s">
        <v>192</v>
      </c>
      <c r="C41" s="39" t="s">
        <v>29</v>
      </c>
      <c r="D41" s="36" t="s">
        <v>27</v>
      </c>
      <c r="E41" s="37" t="s">
        <v>46</v>
      </c>
      <c r="F41" s="37" t="s">
        <v>47</v>
      </c>
      <c r="G41" s="42" t="s">
        <v>152</v>
      </c>
      <c r="H41" s="35" t="s">
        <v>153</v>
      </c>
      <c r="I41" s="31"/>
    </row>
    <row r="42" spans="1:9" ht="38.25" x14ac:dyDescent="0.2">
      <c r="A42" s="34" t="s">
        <v>154</v>
      </c>
      <c r="B42" s="38" t="s">
        <v>155</v>
      </c>
      <c r="C42" s="39" t="s">
        <v>29</v>
      </c>
      <c r="D42" s="36" t="s">
        <v>156</v>
      </c>
      <c r="E42" s="37" t="s">
        <v>46</v>
      </c>
      <c r="F42" s="37" t="s">
        <v>47</v>
      </c>
      <c r="G42" s="42" t="s">
        <v>157</v>
      </c>
      <c r="H42" s="35" t="s">
        <v>158</v>
      </c>
      <c r="I42" s="31"/>
    </row>
    <row r="43" spans="1:9" ht="87" customHeight="1" x14ac:dyDescent="0.2">
      <c r="A43" s="34" t="s">
        <v>159</v>
      </c>
      <c r="B43" s="38" t="s">
        <v>160</v>
      </c>
      <c r="C43" s="39" t="s">
        <v>29</v>
      </c>
      <c r="D43" s="36" t="s">
        <v>27</v>
      </c>
      <c r="E43" s="37" t="s">
        <v>34</v>
      </c>
      <c r="F43" s="37" t="s">
        <v>161</v>
      </c>
      <c r="G43" s="42" t="s">
        <v>162</v>
      </c>
      <c r="H43" s="35" t="s">
        <v>163</v>
      </c>
      <c r="I43" s="31"/>
    </row>
    <row r="44" spans="1:9" ht="16.5" customHeight="1" x14ac:dyDescent="0.2">
      <c r="A44" s="26"/>
      <c r="B44" s="27"/>
      <c r="C44" s="27"/>
      <c r="D44" s="28"/>
      <c r="E44" s="28"/>
      <c r="F44" s="28"/>
      <c r="G44" s="29"/>
      <c r="H44" s="30"/>
    </row>
    <row r="45" spans="1:9" x14ac:dyDescent="0.2">
      <c r="A45" s="32"/>
      <c r="B45" s="26"/>
      <c r="C45" s="27"/>
      <c r="D45" s="27"/>
      <c r="E45" s="28"/>
      <c r="F45" s="28"/>
      <c r="G45" s="28"/>
      <c r="H45" s="29"/>
    </row>
    <row r="46" spans="1:9" x14ac:dyDescent="0.2">
      <c r="B46" s="32"/>
      <c r="C46" s="61"/>
      <c r="D46" s="60"/>
      <c r="E46" s="60"/>
      <c r="F46" s="60"/>
      <c r="G46" s="62"/>
      <c r="H46" s="60"/>
    </row>
    <row r="47" spans="1:9" ht="30" x14ac:dyDescent="0.25">
      <c r="B47" s="1"/>
      <c r="C47" s="63" t="s">
        <v>185</v>
      </c>
      <c r="D47" s="108"/>
      <c r="E47" s="111" t="s">
        <v>186</v>
      </c>
      <c r="F47" s="109"/>
      <c r="G47" s="64"/>
      <c r="H47" s="108" t="s">
        <v>187</v>
      </c>
    </row>
    <row r="48" spans="1:9" ht="55.5" customHeight="1" x14ac:dyDescent="0.2">
      <c r="B48" s="1"/>
      <c r="D48" s="2"/>
      <c r="E48" s="110" t="s">
        <v>190</v>
      </c>
      <c r="G48" s="110" t="s">
        <v>188</v>
      </c>
      <c r="H48" s="82" t="s">
        <v>189</v>
      </c>
    </row>
    <row r="49" spans="1:9" ht="15" x14ac:dyDescent="0.25">
      <c r="B49" s="1"/>
      <c r="C49" s="63"/>
      <c r="D49" s="108"/>
      <c r="E49" s="65"/>
      <c r="F49" s="109"/>
      <c r="G49" s="64"/>
      <c r="H49" s="64"/>
    </row>
    <row r="50" spans="1:9" ht="15" x14ac:dyDescent="0.2">
      <c r="A50" s="66"/>
      <c r="B50" s="132" t="s">
        <v>164</v>
      </c>
      <c r="C50" s="133"/>
      <c r="D50" s="133"/>
      <c r="E50" s="133"/>
      <c r="F50" s="133"/>
      <c r="G50" s="133"/>
      <c r="H50" s="133"/>
      <c r="I50" s="133"/>
    </row>
    <row r="51" spans="1:9" x14ac:dyDescent="0.2">
      <c r="A51" s="66"/>
      <c r="B51" s="67" t="s">
        <v>93</v>
      </c>
      <c r="C51" s="134" t="s">
        <v>94</v>
      </c>
      <c r="D51" s="134"/>
      <c r="E51" s="134"/>
      <c r="F51" s="134"/>
      <c r="G51" s="134"/>
      <c r="H51" s="134"/>
      <c r="I51" s="134"/>
    </row>
    <row r="52" spans="1:9" x14ac:dyDescent="0.2">
      <c r="A52" s="66"/>
      <c r="B52" s="68" t="s">
        <v>95</v>
      </c>
      <c r="C52" s="134" t="s">
        <v>96</v>
      </c>
      <c r="D52" s="134"/>
      <c r="E52" s="134"/>
      <c r="F52" s="134"/>
      <c r="G52" s="134"/>
      <c r="H52" s="134"/>
      <c r="I52" s="134"/>
    </row>
    <row r="53" spans="1:9" x14ac:dyDescent="0.2">
      <c r="A53" s="66"/>
      <c r="B53" s="68" t="s">
        <v>97</v>
      </c>
      <c r="C53" s="134" t="s">
        <v>98</v>
      </c>
      <c r="D53" s="134"/>
      <c r="E53" s="134"/>
      <c r="F53" s="134"/>
      <c r="G53" s="134"/>
      <c r="H53" s="134"/>
      <c r="I53" s="134"/>
    </row>
    <row r="54" spans="1:9" x14ac:dyDescent="0.2">
      <c r="A54" s="66"/>
      <c r="B54" s="68" t="s">
        <v>99</v>
      </c>
      <c r="C54" s="135" t="s">
        <v>100</v>
      </c>
      <c r="D54" s="135"/>
      <c r="E54" s="135"/>
      <c r="F54" s="135"/>
      <c r="G54" s="135"/>
      <c r="H54" s="135"/>
      <c r="I54" s="135"/>
    </row>
    <row r="55" spans="1:9" x14ac:dyDescent="0.2">
      <c r="A55" s="66"/>
      <c r="B55" s="68" t="s">
        <v>101</v>
      </c>
      <c r="C55" s="136" t="s">
        <v>102</v>
      </c>
      <c r="D55" s="137"/>
      <c r="E55" s="137"/>
      <c r="F55" s="137"/>
      <c r="G55" s="137"/>
      <c r="H55" s="137"/>
      <c r="I55" s="138"/>
    </row>
    <row r="56" spans="1:9" x14ac:dyDescent="0.2">
      <c r="A56" s="66"/>
      <c r="B56" s="68" t="s">
        <v>103</v>
      </c>
      <c r="C56" s="139" t="s">
        <v>104</v>
      </c>
      <c r="D56" s="140"/>
      <c r="E56" s="140"/>
      <c r="F56" s="140"/>
      <c r="G56" s="140"/>
      <c r="H56" s="140"/>
      <c r="I56" s="141"/>
    </row>
    <row r="57" spans="1:9" x14ac:dyDescent="0.2">
      <c r="A57" s="66"/>
      <c r="G57" s="3"/>
      <c r="H57" s="2"/>
      <c r="I57" s="69"/>
    </row>
    <row r="58" spans="1:9" x14ac:dyDescent="0.2">
      <c r="A58" s="66"/>
      <c r="B58" s="123" t="s">
        <v>165</v>
      </c>
      <c r="C58" s="124"/>
      <c r="D58" s="124"/>
      <c r="E58" s="124"/>
      <c r="F58" s="124"/>
      <c r="G58" s="124"/>
      <c r="H58" s="124"/>
      <c r="I58" s="125"/>
    </row>
    <row r="59" spans="1:9" ht="15" x14ac:dyDescent="0.2">
      <c r="A59" s="66"/>
      <c r="B59" s="70"/>
      <c r="C59" s="71"/>
      <c r="D59" s="72"/>
      <c r="E59" s="72"/>
      <c r="F59" s="72"/>
      <c r="G59" s="72"/>
      <c r="H59" s="71"/>
      <c r="I59" s="73"/>
    </row>
    <row r="60" spans="1:9" x14ac:dyDescent="0.2">
      <c r="A60" s="66"/>
      <c r="B60" s="126" t="s">
        <v>166</v>
      </c>
      <c r="C60" s="127"/>
      <c r="D60" s="127"/>
      <c r="E60" s="127"/>
      <c r="F60" s="127"/>
      <c r="G60" s="127"/>
      <c r="H60" s="127"/>
      <c r="I60" s="128"/>
    </row>
    <row r="61" spans="1:9" x14ac:dyDescent="0.2">
      <c r="A61" s="66"/>
      <c r="B61" s="126" t="s">
        <v>105</v>
      </c>
      <c r="C61" s="127"/>
      <c r="D61" s="127"/>
      <c r="E61" s="127"/>
      <c r="F61" s="127"/>
      <c r="G61" s="127"/>
      <c r="H61" s="127"/>
      <c r="I61" s="128"/>
    </row>
    <row r="62" spans="1:9" ht="15" x14ac:dyDescent="0.2">
      <c r="A62" s="74"/>
      <c r="B62" s="75"/>
      <c r="C62" s="76"/>
      <c r="D62" s="77"/>
      <c r="E62" s="77"/>
      <c r="F62" s="77"/>
      <c r="G62" s="78"/>
      <c r="H62" s="79"/>
      <c r="I62" s="10"/>
    </row>
    <row r="63" spans="1:9" ht="15" x14ac:dyDescent="0.2">
      <c r="A63" s="80"/>
      <c r="B63" s="129" t="s">
        <v>167</v>
      </c>
      <c r="C63" s="129"/>
      <c r="D63" s="129"/>
      <c r="E63" s="129"/>
      <c r="F63" s="129"/>
      <c r="G63" s="129"/>
      <c r="H63" s="129"/>
    </row>
    <row r="64" spans="1:9" x14ac:dyDescent="0.2">
      <c r="A64" s="81"/>
      <c r="B64" s="129"/>
      <c r="C64" s="129"/>
      <c r="D64" s="129"/>
      <c r="E64" s="129"/>
      <c r="F64" s="129"/>
      <c r="G64" s="129"/>
      <c r="H64" s="129"/>
    </row>
    <row r="65" spans="1:8" x14ac:dyDescent="0.2">
      <c r="A65" s="81"/>
      <c r="B65" s="129"/>
      <c r="C65" s="129"/>
      <c r="D65" s="129"/>
      <c r="E65" s="129"/>
      <c r="F65" s="129"/>
      <c r="G65" s="129"/>
      <c r="H65" s="129"/>
    </row>
    <row r="66" spans="1:8" ht="15" x14ac:dyDescent="0.2">
      <c r="A66" s="80"/>
      <c r="B66" s="129"/>
      <c r="C66" s="129"/>
      <c r="D66" s="129"/>
      <c r="E66" s="129"/>
      <c r="F66" s="129"/>
      <c r="G66" s="129"/>
      <c r="H66" s="129"/>
    </row>
    <row r="67" spans="1:8" x14ac:dyDescent="0.2">
      <c r="B67" s="129"/>
      <c r="C67" s="129"/>
      <c r="D67" s="129"/>
      <c r="E67" s="129"/>
      <c r="F67" s="129"/>
      <c r="G67" s="129"/>
      <c r="H67" s="129"/>
    </row>
    <row r="68" spans="1:8" x14ac:dyDescent="0.2">
      <c r="B68" s="129"/>
      <c r="C68" s="129"/>
      <c r="D68" s="129"/>
      <c r="E68" s="129"/>
      <c r="F68" s="129"/>
      <c r="G68" s="129"/>
      <c r="H68" s="129"/>
    </row>
    <row r="69" spans="1:8" x14ac:dyDescent="0.2">
      <c r="B69" s="129"/>
      <c r="C69" s="129"/>
      <c r="D69" s="129"/>
      <c r="E69" s="129"/>
      <c r="F69" s="129"/>
      <c r="G69" s="129"/>
      <c r="H69" s="129"/>
    </row>
  </sheetData>
  <mergeCells count="26">
    <mergeCell ref="B58:I58"/>
    <mergeCell ref="B60:I60"/>
    <mergeCell ref="B61:I61"/>
    <mergeCell ref="B63:H69"/>
    <mergeCell ref="A13:H13"/>
    <mergeCell ref="A29:H29"/>
    <mergeCell ref="A31:H31"/>
    <mergeCell ref="A38:H38"/>
    <mergeCell ref="B50:I50"/>
    <mergeCell ref="C51:I51"/>
    <mergeCell ref="C52:I52"/>
    <mergeCell ref="C53:I53"/>
    <mergeCell ref="C54:I54"/>
    <mergeCell ref="C55:I55"/>
    <mergeCell ref="C56:I56"/>
    <mergeCell ref="E6:F6"/>
    <mergeCell ref="A7:H7"/>
    <mergeCell ref="A2:H2"/>
    <mergeCell ref="A3:H3"/>
    <mergeCell ref="A4:A5"/>
    <mergeCell ref="B4:B5"/>
    <mergeCell ref="C4:C5"/>
    <mergeCell ref="D4:D5"/>
    <mergeCell ref="E4:F4"/>
    <mergeCell ref="G4:G5"/>
    <mergeCell ref="H4:H5"/>
  </mergeCells>
  <printOptions horizontalCentered="1"/>
  <pageMargins left="0.39370078740157483" right="0.39370078740157483" top="0.59055118110236215" bottom="0.39370078740157483" header="0.31496062992125984" footer="0.31496062992125984"/>
  <pageSetup paperSize="9" scale="40" fitToHeight="0" orientation="landscape" r:id="rId1"/>
  <headerFooter alignWithMargins="0">
    <oddFooter>&amp;C&amp;"Times New Roman,обычный"&amp;8&amp;P</oddFooter>
  </headerFooter>
  <rowBreaks count="1" manualBreakCount="1">
    <brk id="27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selection activeCell="P10" sqref="P10"/>
    </sheetView>
  </sheetViews>
  <sheetFormatPr defaultColWidth="13.5703125" defaultRowHeight="12.75" x14ac:dyDescent="0.2"/>
  <cols>
    <col min="1" max="1" width="7.28515625" style="47" customWidth="1"/>
    <col min="2" max="2" width="36.85546875" style="47" customWidth="1"/>
    <col min="3" max="3" width="5.7109375" style="47" customWidth="1"/>
    <col min="4" max="4" width="12.28515625" style="47" customWidth="1"/>
    <col min="5" max="5" width="15.140625" style="47" customWidth="1"/>
    <col min="6" max="6" width="15" style="47" customWidth="1"/>
    <col min="7" max="7" width="17.28515625" style="47" customWidth="1"/>
    <col min="8" max="8" width="11.42578125" style="47" customWidth="1"/>
    <col min="9" max="9" width="11.7109375" style="47" customWidth="1"/>
    <col min="10" max="10" width="12" style="47" customWidth="1"/>
    <col min="11" max="11" width="14.5703125" style="47" customWidth="1"/>
    <col min="12" max="12" width="14.42578125" style="47" customWidth="1"/>
    <col min="13" max="16384" width="13.5703125" style="47"/>
  </cols>
  <sheetData>
    <row r="1" spans="1:14" x14ac:dyDescent="0.2">
      <c r="K1" s="85" t="s">
        <v>126</v>
      </c>
      <c r="L1" s="85"/>
    </row>
    <row r="3" spans="1:14" s="43" customFormat="1" ht="15.75" x14ac:dyDescent="0.2">
      <c r="J3" s="142" t="s">
        <v>106</v>
      </c>
      <c r="K3" s="142"/>
    </row>
    <row r="4" spans="1:14" s="43" customFormat="1" ht="15.75" x14ac:dyDescent="0.2">
      <c r="J4" s="44"/>
      <c r="K4" s="44" t="s">
        <v>107</v>
      </c>
    </row>
    <row r="5" spans="1:14" s="43" customFormat="1" ht="15.75" x14ac:dyDescent="0.2">
      <c r="J5" s="45"/>
      <c r="K5" s="45" t="s">
        <v>108</v>
      </c>
      <c r="L5" s="46"/>
    </row>
    <row r="6" spans="1:14" s="43" customFormat="1" ht="15.75" x14ac:dyDescent="0.2">
      <c r="J6" s="44"/>
      <c r="K6" s="44"/>
    </row>
    <row r="7" spans="1:14" s="43" customFormat="1" ht="15.75" x14ac:dyDescent="0.2">
      <c r="J7" s="44" t="s">
        <v>109</v>
      </c>
      <c r="K7" s="44" t="s">
        <v>110</v>
      </c>
    </row>
    <row r="9" spans="1:14" ht="76.5" customHeight="1" x14ac:dyDescent="0.25">
      <c r="A9" s="143" t="s">
        <v>194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5"/>
    </row>
    <row r="10" spans="1:14" ht="144.75" customHeight="1" x14ac:dyDescent="0.2">
      <c r="A10" s="146" t="s">
        <v>181</v>
      </c>
      <c r="B10" s="147"/>
      <c r="C10" s="147"/>
      <c r="D10" s="147"/>
      <c r="E10" s="147"/>
      <c r="F10" s="147"/>
      <c r="G10" s="147"/>
      <c r="H10" s="147"/>
      <c r="I10" s="147"/>
      <c r="J10" s="147"/>
      <c r="K10" s="147"/>
      <c r="L10" s="148"/>
      <c r="N10" s="86"/>
    </row>
    <row r="12" spans="1:14" ht="16.5" thickBot="1" x14ac:dyDescent="0.3">
      <c r="A12" s="149" t="s">
        <v>39</v>
      </c>
      <c r="B12" s="149"/>
    </row>
    <row r="13" spans="1:14" x14ac:dyDescent="0.2">
      <c r="A13" s="150" t="s">
        <v>111</v>
      </c>
      <c r="B13" s="153" t="s">
        <v>112</v>
      </c>
      <c r="C13" s="156" t="s">
        <v>113</v>
      </c>
      <c r="D13" s="157"/>
      <c r="E13" s="157"/>
      <c r="F13" s="157"/>
      <c r="G13" s="158"/>
      <c r="H13" s="159" t="s">
        <v>128</v>
      </c>
      <c r="I13" s="160"/>
      <c r="J13" s="160"/>
      <c r="K13" s="161"/>
      <c r="L13" s="162" t="s">
        <v>114</v>
      </c>
    </row>
    <row r="14" spans="1:14" x14ac:dyDescent="0.2">
      <c r="A14" s="151"/>
      <c r="B14" s="154"/>
      <c r="C14" s="156" t="s">
        <v>168</v>
      </c>
      <c r="D14" s="157"/>
      <c r="E14" s="157"/>
      <c r="F14" s="157"/>
      <c r="G14" s="158"/>
      <c r="H14" s="165" t="s">
        <v>169</v>
      </c>
      <c r="I14" s="160"/>
      <c r="J14" s="160"/>
      <c r="K14" s="161"/>
      <c r="L14" s="163"/>
    </row>
    <row r="15" spans="1:14" ht="12.75" customHeight="1" x14ac:dyDescent="0.2">
      <c r="A15" s="151"/>
      <c r="B15" s="154"/>
      <c r="C15" s="166" t="s">
        <v>115</v>
      </c>
      <c r="D15" s="166" t="s">
        <v>170</v>
      </c>
      <c r="E15" s="166" t="s">
        <v>171</v>
      </c>
      <c r="F15" s="166" t="s">
        <v>116</v>
      </c>
      <c r="G15" s="166" t="s">
        <v>182</v>
      </c>
      <c r="H15" s="168" t="s">
        <v>170</v>
      </c>
      <c r="I15" s="168" t="s">
        <v>171</v>
      </c>
      <c r="J15" s="168" t="s">
        <v>116</v>
      </c>
      <c r="K15" s="168" t="s">
        <v>182</v>
      </c>
      <c r="L15" s="164"/>
    </row>
    <row r="16" spans="1:14" x14ac:dyDescent="0.2">
      <c r="A16" s="152"/>
      <c r="B16" s="155"/>
      <c r="C16" s="167"/>
      <c r="D16" s="167"/>
      <c r="E16" s="167"/>
      <c r="F16" s="167"/>
      <c r="G16" s="167"/>
      <c r="H16" s="169"/>
      <c r="I16" s="169"/>
      <c r="J16" s="169"/>
      <c r="K16" s="169"/>
      <c r="L16" s="58"/>
    </row>
    <row r="17" spans="1:14" ht="38.25" x14ac:dyDescent="0.2">
      <c r="A17" s="87">
        <v>1</v>
      </c>
      <c r="B17" s="88" t="s">
        <v>123</v>
      </c>
      <c r="C17" s="89"/>
      <c r="D17" s="90"/>
      <c r="E17" s="48" t="e">
        <f>F17/D17</f>
        <v>#DIV/0!</v>
      </c>
      <c r="F17" s="91"/>
      <c r="G17" s="91"/>
      <c r="H17" s="92"/>
      <c r="I17" s="93" t="s">
        <v>172</v>
      </c>
      <c r="J17" s="49" t="e">
        <f t="shared" ref="J17:J18" si="0">H17*I17</f>
        <v>#VALUE!</v>
      </c>
      <c r="K17" s="94" t="e">
        <f t="shared" ref="K17:K18" si="1">J17*1.2</f>
        <v>#VALUE!</v>
      </c>
      <c r="L17" s="50" t="s">
        <v>117</v>
      </c>
    </row>
    <row r="18" spans="1:14" ht="38.25" x14ac:dyDescent="0.2">
      <c r="A18" s="87">
        <v>2</v>
      </c>
      <c r="B18" s="88" t="s">
        <v>124</v>
      </c>
      <c r="C18" s="89"/>
      <c r="D18" s="90"/>
      <c r="E18" s="48" t="e">
        <f t="shared" ref="E18" si="2">F18/D18</f>
        <v>#DIV/0!</v>
      </c>
      <c r="F18" s="91"/>
      <c r="G18" s="91"/>
      <c r="H18" s="92"/>
      <c r="I18" s="93" t="s">
        <v>172</v>
      </c>
      <c r="J18" s="49" t="e">
        <f t="shared" si="0"/>
        <v>#VALUE!</v>
      </c>
      <c r="K18" s="94" t="e">
        <f t="shared" si="1"/>
        <v>#VALUE!</v>
      </c>
      <c r="L18" s="50" t="s">
        <v>117</v>
      </c>
    </row>
    <row r="19" spans="1:14" x14ac:dyDescent="0.2">
      <c r="A19" s="95"/>
      <c r="B19" s="96" t="s">
        <v>118</v>
      </c>
      <c r="C19" s="51" t="s">
        <v>173</v>
      </c>
      <c r="D19" s="97">
        <f>SUM(D17:D18)</f>
        <v>0</v>
      </c>
      <c r="E19" s="51" t="e">
        <f>SUM(E17:E18)</f>
        <v>#DIV/0!</v>
      </c>
      <c r="F19" s="98"/>
      <c r="G19" s="99"/>
      <c r="H19" s="99" t="e">
        <f>SUM(#REF!)</f>
        <v>#REF!</v>
      </c>
      <c r="I19" s="99" t="e">
        <f>SUM(#REF!)</f>
        <v>#REF!</v>
      </c>
      <c r="J19" s="99" t="e">
        <f>SUM(#REF!)</f>
        <v>#REF!</v>
      </c>
      <c r="K19" s="99" t="e">
        <f>SUM(#REF!)</f>
        <v>#REF!</v>
      </c>
      <c r="L19" s="100"/>
    </row>
    <row r="20" spans="1:14" s="52" customFormat="1" x14ac:dyDescent="0.2">
      <c r="B20" s="172" t="s">
        <v>119</v>
      </c>
      <c r="C20" s="173"/>
      <c r="D20" s="174"/>
      <c r="E20" s="84"/>
      <c r="F20" s="53"/>
      <c r="G20" s="54" t="e">
        <f>SUM(H20:L20)</f>
        <v>#REF!</v>
      </c>
      <c r="H20" s="53"/>
      <c r="I20" s="53"/>
      <c r="J20" s="53"/>
      <c r="K20" s="54" t="e">
        <f>K19</f>
        <v>#REF!</v>
      </c>
      <c r="L20" s="55"/>
      <c r="N20" s="47"/>
    </row>
    <row r="21" spans="1:14" s="52" customFormat="1" x14ac:dyDescent="0.2">
      <c r="B21" s="172" t="s">
        <v>120</v>
      </c>
      <c r="C21" s="173"/>
      <c r="D21" s="174"/>
      <c r="E21" s="84"/>
      <c r="F21" s="53"/>
      <c r="G21" s="56" t="e">
        <f>SUM(H21:L21)</f>
        <v>#REF!</v>
      </c>
      <c r="H21" s="53"/>
      <c r="I21" s="53"/>
      <c r="J21" s="53"/>
      <c r="K21" s="101" t="e">
        <f>G19-K20</f>
        <v>#REF!</v>
      </c>
      <c r="L21" s="55"/>
    </row>
    <row r="22" spans="1:14" s="52" customFormat="1" ht="25.5" x14ac:dyDescent="0.2">
      <c r="B22" s="83" t="s">
        <v>121</v>
      </c>
      <c r="C22" s="57"/>
      <c r="D22" s="57"/>
      <c r="E22" s="57"/>
      <c r="F22" s="57"/>
      <c r="G22" s="57"/>
      <c r="H22" s="47"/>
      <c r="I22" s="47"/>
      <c r="J22" s="47"/>
      <c r="K22" s="47"/>
      <c r="L22" s="47"/>
    </row>
    <row r="23" spans="1:14" s="52" customFormat="1" x14ac:dyDescent="0.2"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</row>
    <row r="24" spans="1:14" ht="15.75" x14ac:dyDescent="0.25">
      <c r="B24" s="102" t="s">
        <v>174</v>
      </c>
      <c r="F24" s="103"/>
      <c r="G24" s="103"/>
      <c r="H24" s="103"/>
    </row>
    <row r="25" spans="1:14" ht="15" x14ac:dyDescent="0.2">
      <c r="B25" s="170" t="s">
        <v>175</v>
      </c>
      <c r="C25" s="170"/>
      <c r="D25" s="170"/>
      <c r="E25" s="104"/>
      <c r="F25" s="171" t="s">
        <v>176</v>
      </c>
      <c r="G25" s="171"/>
    </row>
    <row r="26" spans="1:14" s="105" customFormat="1" ht="15" x14ac:dyDescent="0.2"/>
    <row r="27" spans="1:14" s="105" customFormat="1" ht="15.75" x14ac:dyDescent="0.25">
      <c r="B27" s="102" t="s">
        <v>177</v>
      </c>
    </row>
    <row r="28" spans="1:14" s="105" customFormat="1" ht="15" x14ac:dyDescent="0.2">
      <c r="B28" s="170" t="s">
        <v>178</v>
      </c>
      <c r="C28" s="170"/>
      <c r="D28" s="170"/>
      <c r="E28" s="104"/>
      <c r="F28" s="171" t="s">
        <v>176</v>
      </c>
      <c r="G28" s="171"/>
    </row>
    <row r="29" spans="1:14" s="105" customFormat="1" ht="15" x14ac:dyDescent="0.2"/>
    <row r="30" spans="1:14" s="105" customFormat="1" ht="15.75" x14ac:dyDescent="0.25">
      <c r="B30" s="106" t="s">
        <v>179</v>
      </c>
    </row>
    <row r="31" spans="1:14" s="105" customFormat="1" ht="15" x14ac:dyDescent="0.2">
      <c r="B31" s="170" t="s">
        <v>180</v>
      </c>
      <c r="C31" s="170"/>
      <c r="D31" s="170"/>
      <c r="E31" s="104"/>
      <c r="F31" s="171" t="s">
        <v>176</v>
      </c>
      <c r="G31" s="171"/>
    </row>
  </sheetData>
  <mergeCells count="28">
    <mergeCell ref="H15:H16"/>
    <mergeCell ref="I15:I16"/>
    <mergeCell ref="J15:J16"/>
    <mergeCell ref="K15:K16"/>
    <mergeCell ref="B31:D31"/>
    <mergeCell ref="F31:G31"/>
    <mergeCell ref="B20:D20"/>
    <mergeCell ref="B21:D21"/>
    <mergeCell ref="B25:D25"/>
    <mergeCell ref="F25:G25"/>
    <mergeCell ref="B28:D28"/>
    <mergeCell ref="F28:G28"/>
    <mergeCell ref="J3:K3"/>
    <mergeCell ref="A9:L9"/>
    <mergeCell ref="A10:L10"/>
    <mergeCell ref="A12:B12"/>
    <mergeCell ref="A13:A16"/>
    <mergeCell ref="B13:B16"/>
    <mergeCell ref="C13:G13"/>
    <mergeCell ref="H13:K13"/>
    <mergeCell ref="L13:L15"/>
    <mergeCell ref="C14:G14"/>
    <mergeCell ref="H14:K14"/>
    <mergeCell ref="C15:C16"/>
    <mergeCell ref="D15:D16"/>
    <mergeCell ref="E15:E16"/>
    <mergeCell ref="F15:F16"/>
    <mergeCell ref="G15:G16"/>
  </mergeCells>
  <dataValidations count="1">
    <dataValidation allowBlank="1" sqref="K8:L36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Критерии выбора (МТР)</vt:lpstr>
      <vt:lpstr>Методика оценки ценовых предл.</vt:lpstr>
      <vt:lpstr>'Критерии выбора (МТР)'!Заголовки_для_печати</vt:lpstr>
      <vt:lpstr>'Критерии выбора (МТР)'!Область_печати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Предварительная квалификация подрядчиков по ГРП</dc:title>
  <dc:creator>Бычков М.В.</dc:creator>
  <cp:lastModifiedBy>Насырова Файруза Фидановна</cp:lastModifiedBy>
  <cp:lastPrinted>2019-06-28T13:03:08Z</cp:lastPrinted>
  <dcterms:created xsi:type="dcterms:W3CDTF">2004-02-16T08:04:34Z</dcterms:created>
  <dcterms:modified xsi:type="dcterms:W3CDTF">2026-09-15T02:27:16Z</dcterms:modified>
</cp:coreProperties>
</file>