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energoneft-t.ru\files\Закупочные документы\Закупки 2026\Документация о закупке\ЗГД по ЗиОП\ОМТО\07-3026711-508-2026\ПЗД\!На размещение\Приложение 3. НМЦ\"/>
    </mc:Choice>
  </mc:AlternateContent>
  <bookViews>
    <workbookView xWindow="480" yWindow="90" windowWidth="15180" windowHeight="10905" tabRatio="665"/>
  </bookViews>
  <sheets>
    <sheet name="НМЦ ГПН " sheetId="1" r:id="rId1"/>
  </sheets>
  <definedNames>
    <definedName name="_xlnm._FilterDatabase" localSheetId="0" hidden="1">'НМЦ ГПН '!$A$16:$CX$112</definedName>
    <definedName name="Z_01966575_69BE_4634_B278_8922B22EFF3F_.wvu.FilterData" localSheetId="0" hidden="1">'НМЦ ГПН '!$A$16:$CI$112</definedName>
    <definedName name="Z_01EF87F1_FE2C_409A_B075_3FEF5DADD84C_.wvu.FilterData" localSheetId="0" hidden="1">'НМЦ ГПН '!$A$16:$CO$112</definedName>
    <definedName name="Z_0503C89D_9C63_4343_8454_D6B1A4A11420_.wvu.FilterData" localSheetId="0" hidden="1">'НМЦ ГПН '!$A$16:$CI$112</definedName>
    <definedName name="Z_05872448_4B16_487D_8185_C7127C1DEB2D_.wvu.FilterData" localSheetId="0" hidden="1">'НМЦ ГПН '!$A$16:$CI$112</definedName>
    <definedName name="Z_05E95153_33D6_44CA_B51D_647848045DAB_.wvu.FilterData" localSheetId="0" hidden="1">'НМЦ ГПН '!$A$16:$CO$112</definedName>
    <definedName name="Z_0788E31B_682C_4145_8CD4_93044EDAF62A_.wvu.FilterData" localSheetId="0" hidden="1">'НМЦ ГПН '!$A$16:$CO$112</definedName>
    <definedName name="Z_097F56C0_D59C_483D_8619_ED0F926408EB_.wvu.FilterData" localSheetId="0" hidden="1">'НМЦ ГПН '!$A$16:$CI$112</definedName>
    <definedName name="Z_0A4CE0F3_EE0F_42D4_94A5_A02E06FFDCD3_.wvu.FilterData" localSheetId="0" hidden="1">'НМЦ ГПН '!$A$16:$CI$112</definedName>
    <definedName name="Z_0A7E4509_0E12_4124_8F9E_2674DC680D44_.wvu.FilterData" localSheetId="0" hidden="1">'НМЦ ГПН '!$A$16:$CO$112</definedName>
    <definedName name="Z_0AB64FD3_D983_4CFA_A1E9_54D3E0B109A1_.wvu.FilterData" localSheetId="0" hidden="1">'НМЦ ГПН '!$A$16:$CO$112</definedName>
    <definedName name="Z_0E5F9FB8_7633_4407_8ECF_A353AD3B383F_.wvu.FilterData" localSheetId="0" hidden="1">'НМЦ ГПН '!$A$16:$CI$112</definedName>
    <definedName name="Z_0FF8AE57_C4D6_45A0_9AD6_0FD7CA96A598_.wvu.FilterData" localSheetId="0" hidden="1">'НМЦ ГПН '!$A$16:$CI$112</definedName>
    <definedName name="Z_10076A28_8308_47BC_A029_2F5C26110528_.wvu.FilterData" localSheetId="0" hidden="1">'НМЦ ГПН '!$A$16:$CO$112</definedName>
    <definedName name="Z_16202E11_E04B_479C_9BEF_6938DFB52D29_.wvu.FilterData" localSheetId="0" hidden="1">'НМЦ ГПН '!$A$16:$CO$112</definedName>
    <definedName name="Z_17AAB6DC_5507_429C_9446_D386A058941D_.wvu.FilterData" localSheetId="0" hidden="1">'НМЦ ГПН '!$A$16:$CI$112</definedName>
    <definedName name="Z_185BC56F_AD9A_4DAF_8D47_BB6455A27B81_.wvu.FilterData" localSheetId="0" hidden="1">'НМЦ ГПН '!$A$16:$CO$112</definedName>
    <definedName name="Z_1A362AA7_4A50_4B0B_A7D3_6B61CD5A8E01_.wvu.FilterData" localSheetId="0" hidden="1">'НМЦ ГПН '!$A$16:$CI$112</definedName>
    <definedName name="Z_1B51E641_3492_4E54_9EC5_D02646F39D31_.wvu.FilterData" localSheetId="0" hidden="1">'НМЦ ГПН '!$A$16:$CI$112</definedName>
    <definedName name="Z_1B648FB3_B2F2_4FDF_A42D_E2BCC603C3A7_.wvu.FilterData" localSheetId="0" hidden="1">'НМЦ ГПН '!$A$16:$CI$112</definedName>
    <definedName name="Z_1DCAA1BC_B4D8_4C20_9275_7A23A0520B9B_.wvu.FilterData" localSheetId="0" hidden="1">'НМЦ ГПН '!$A$16:$CO$112</definedName>
    <definedName name="Z_1F19D052_9469_4DE2_91D8_4A058CA22CA6_.wvu.FilterData" localSheetId="0" hidden="1">'НМЦ ГПН '!$A$16:$CO$112</definedName>
    <definedName name="Z_22718CD2_68CE_482C_9712_1F8F600D9CF9_.wvu.FilterData" localSheetId="0" hidden="1">'НМЦ ГПН '!$A$16:$CI$112</definedName>
    <definedName name="Z_2327B403_D405_4390_811E_942438550562_.wvu.FilterData" localSheetId="0" hidden="1">'НМЦ ГПН '!$A$16:$CI$112</definedName>
    <definedName name="Z_23CD4437_7D92_4E37_AFF5_881B07A49FA4_.wvu.FilterData" localSheetId="0" hidden="1">'НМЦ ГПН '!$A$16:$CI$112</definedName>
    <definedName name="Z_24B07C55_2DB7_4500_BB40_892E0A804294_.wvu.FilterData" localSheetId="0" hidden="1">'НМЦ ГПН '!$A$16:$CI$112</definedName>
    <definedName name="Z_274D159C_155A_4985_8A83_2908E600E47C_.wvu.FilterData" localSheetId="0" hidden="1">'НМЦ ГПН '!$A$16:$CI$112</definedName>
    <definedName name="Z_27768839_921C_4B14_8FB4_14716E69E5C5_.wvu.FilterData" localSheetId="0" hidden="1">'НМЦ ГПН '!$A$16:$CO$112</definedName>
    <definedName name="Z_2A1473E9_29D3_44C0_8E84_4DE691DD6B7D_.wvu.FilterData" localSheetId="0" hidden="1">'НМЦ ГПН '!$A$16:$CO$112</definedName>
    <definedName name="Z_2A77DAFA_C6ED_4271_96E2_82A66691FCD1_.wvu.FilterData" localSheetId="0" hidden="1">'НМЦ ГПН '!$A$16:$CO$112</definedName>
    <definedName name="Z_2BCF7FBC_9A81_4507_90A6_B544B274B0F5_.wvu.FilterData" localSheetId="0" hidden="1">'НМЦ ГПН '!$A$16:$CO$112</definedName>
    <definedName name="Z_31703233_6246_42BA_907D_146892B9B993_.wvu.FilterData" localSheetId="0" hidden="1">'НМЦ ГПН '!$A$16:$CO$112</definedName>
    <definedName name="Z_3184E1E5_99A8_430C_9310_3927E4BD6970_.wvu.FilterData" localSheetId="0" hidden="1">'НМЦ ГПН '!$A$16:$CO$112</definedName>
    <definedName name="Z_35994FC4_D241_456D_80CE_EFC498C0F90D_.wvu.FilterData" localSheetId="0" hidden="1">'НМЦ ГПН '!$A$16:$CO$112</definedName>
    <definedName name="Z_36508186_0298_4EA7_A636_5C298E0F395A_.wvu.FilterData" localSheetId="0" hidden="1">'НМЦ ГПН '!$A$16:$CO$112</definedName>
    <definedName name="Z_386855D5_393E_4AD2_A433_CC1239EA44C6_.wvu.FilterData" localSheetId="0" hidden="1">'НМЦ ГПН '!$A$16:$CO$112</definedName>
    <definedName name="Z_40664BD8_47E7_4CD4_832D_11B75DC2340D_.wvu.FilterData" localSheetId="0" hidden="1">'НМЦ ГПН '!$A$16:$CO$112</definedName>
    <definedName name="Z_4268C9EC_5015_4422_9B93_DFF9B6DB2E5C_.wvu.FilterData" localSheetId="0" hidden="1">'НМЦ ГПН '!$A$16:$CO$112</definedName>
    <definedName name="Z_429FE8DC_A46E_4917_9EE7_9D4EE17A6132_.wvu.FilterData" localSheetId="0" hidden="1">'НМЦ ГПН '!$A$16:$CO$112</definedName>
    <definedName name="Z_4404933A_4B92_496B_BF84_4414A68B398B_.wvu.FilterData" localSheetId="0" hidden="1">'НМЦ ГПН '!$A$16:$CO$112</definedName>
    <definedName name="Z_44BB0BE8_904D_4257_B0FC_0E7AE8242CE4_.wvu.FilterData" localSheetId="0" hidden="1">'НМЦ ГПН '!$A$16:$CI$112</definedName>
    <definedName name="Z_452CE35C_9BEE_4266_A11C_DA2BF5236A7D_.wvu.FilterData" localSheetId="0" hidden="1">'НМЦ ГПН '!$A$16:$CO$112</definedName>
    <definedName name="Z_4A43D93B_8BC3_48A7_9C73_72794A6891EA_.wvu.FilterData" localSheetId="0" hidden="1">'НМЦ ГПН '!$A$16:$CO$112</definedName>
    <definedName name="Z_4A494442_A5FF_4782_8E16_A2ED39016EB6_.wvu.FilterData" localSheetId="0" hidden="1">'НМЦ ГПН '!$A$16:$CO$112</definedName>
    <definedName name="Z_4C2512F3_E8A1_4D9B_B633_D888FDF2D792_.wvu.FilterData" localSheetId="0" hidden="1">'НМЦ ГПН '!$A$16:$CO$112</definedName>
    <definedName name="Z_4E46824F_9E93_4F77_9BF5_F11A70FFCF8E_.wvu.FilterData" localSheetId="0" hidden="1">'НМЦ ГПН '!$A$16:$CO$112</definedName>
    <definedName name="Z_509FAEDB_1255_45ED_B8B4_DD70F8CE7F2E_.wvu.FilterData" localSheetId="0" hidden="1">'НМЦ ГПН '!$A$16:$CO$112</definedName>
    <definedName name="Z_53000259_4087_45ED_B28C_890741AB9BD8_.wvu.FilterData" localSheetId="0" hidden="1">'НМЦ ГПН '!$A$16:$CI$112</definedName>
    <definedName name="Z_54699748_B7DB_44C7_8DCB_EDD8AFC8F9E0_.wvu.FilterData" localSheetId="0" hidden="1">'НМЦ ГПН '!$A$16:$CI$112</definedName>
    <definedName name="Z_552B2A73_920C_4F0D_83C0_8716876F6734_.wvu.FilterData" localSheetId="0" hidden="1">'НМЦ ГПН '!$A$16:$CO$112</definedName>
    <definedName name="Z_582E7775_BF1A_4403_9499_DBCC225DF5B7_.wvu.FilterData" localSheetId="0" hidden="1">'НМЦ ГПН '!$A$16:$CO$112</definedName>
    <definedName name="Z_5AF90006_2571_4BEF_B735_F2833229A535_.wvu.FilterData" localSheetId="0" hidden="1">'НМЦ ГПН '!$A$16:$CO$112</definedName>
    <definedName name="Z_5DAEAF86_6797_4A2B_998B_5D53BA66706A_.wvu.FilterData" localSheetId="0" hidden="1">'НМЦ ГПН '!$A$16:$CI$112</definedName>
    <definedName name="Z_5E2524CB_20E6_473E_9DA3_C1A3825A2A5A_.wvu.FilterData" localSheetId="0" hidden="1">'НМЦ ГПН '!$A$16:$CI$112</definedName>
    <definedName name="Z_5E9520AB_6948_487B_86BE_B1E0B9AEF483_.wvu.FilterData" localSheetId="0" hidden="1">'НМЦ ГПН '!$A$16:$CO$112</definedName>
    <definedName name="Z_616D82FE_EA2B_493E_8DCA_0453809EC65D_.wvu.FilterData" localSheetId="0" hidden="1">'НМЦ ГПН '!$A$16:$CO$112</definedName>
    <definedName name="Z_62802879_D562_4426_974B_171F7DA60BA5_.wvu.FilterData" localSheetId="0" hidden="1">'НМЦ ГПН '!$A$16:$CO$112</definedName>
    <definedName name="Z_640F6ED3_DD93_4970_9BEF_22EBA5CC71EA_.wvu.FilterData" localSheetId="0" hidden="1">'НМЦ ГПН '!$A$16:$CO$112</definedName>
    <definedName name="Z_64C55536_5365_4E96_B569_42A9003593AA_.wvu.FilterData" localSheetId="0" hidden="1">'НМЦ ГПН '!$A$16:$CO$112</definedName>
    <definedName name="Z_650D830E_E0AD_4709_B16C_44996D698FCC_.wvu.FilterData" localSheetId="0" hidden="1">'НМЦ ГПН '!$A$16:$CI$112</definedName>
    <definedName name="Z_6784DF29_A2FD_412D_9869_F01A82D13826_.wvu.FilterData" localSheetId="0" hidden="1">'НМЦ ГПН '!$A$16:$CO$112</definedName>
    <definedName name="Z_6B49E97F_AF4B_4C26_89BE_C6CA5681C97F_.wvu.FilterData" localSheetId="0" hidden="1">'НМЦ ГПН '!$A$16:$CI$112</definedName>
    <definedName name="Z_6C702A1F_AA8F_4906_B8AE_D760C3FE3906_.wvu.FilterData" localSheetId="0" hidden="1">'НМЦ ГПН '!$A$16:$CO$112</definedName>
    <definedName name="Z_6FF1477A_7ED2_4D31_A555_7BC36F6954AB_.wvu.FilterData" localSheetId="0" hidden="1">'НМЦ ГПН '!$A$16:$CO$112</definedName>
    <definedName name="Z_705280D3_68B3_4D8B_A8AC_DD8B9BB460A4_.wvu.FilterData" localSheetId="0" hidden="1">'НМЦ ГПН '!$A$16:$CO$112</definedName>
    <definedName name="Z_70D8394F_6B5C_4E7B_829F_102607001FAB_.wvu.FilterData" localSheetId="0" hidden="1">'НМЦ ГПН '!$A$16:$CO$112</definedName>
    <definedName name="Z_7341CEF3_B52C_4644_AF8F_E56C3E318DF4_.wvu.FilterData" localSheetId="0" hidden="1">'НМЦ ГПН '!$A$16:$CO$112</definedName>
    <definedName name="Z_73CE43B5_F4D4_4870_B21B_B8161E33319C_.wvu.Cols" localSheetId="0" hidden="1">'НМЦ ГПН '!$CK:$CM</definedName>
    <definedName name="Z_73CE43B5_F4D4_4870_B21B_B8161E33319C_.wvu.FilterData" localSheetId="0" hidden="1">'НМЦ ГПН '!$A$16:$CO$112</definedName>
    <definedName name="Z_73CE43B5_F4D4_4870_B21B_B8161E33319C_.wvu.Rows" localSheetId="0" hidden="1">'НМЦ ГПН '!$1:$11,'НМЦ ГПН '!#REF!</definedName>
    <definedName name="Z_755A84C4_3B48_4FEA_AE41_B5E84900A73B_.wvu.FilterData" localSheetId="0" hidden="1">'НМЦ ГПН '!$A$16:$CI$112</definedName>
    <definedName name="Z_79E8AD7F_C033_4C8A_B09E_181866FDDCF4_.wvu.FilterData" localSheetId="0" hidden="1">'НМЦ ГПН '!$A$16:$CI$112</definedName>
    <definedName name="Z_7BB61F48_DC2E_4FE8_A01E_912FC3F21A93_.wvu.FilterData" localSheetId="0" hidden="1">'НМЦ ГПН '!$A$16:$CO$112</definedName>
    <definedName name="Z_7C6CC9FC_C35C_44C5_BF21_FDE654DCE65F_.wvu.FilterData" localSheetId="0" hidden="1">'НМЦ ГПН '!$A$16:$CO$112</definedName>
    <definedName name="Z_7CDD9FF7_A832_40AA_92E5_8763901C79F2_.wvu.FilterData" localSheetId="0" hidden="1">'НМЦ ГПН '!$A$16:$CI$112</definedName>
    <definedName name="Z_817032F5_660E_4D93_A28B_311EEABF0E2C_.wvu.FilterData" localSheetId="0" hidden="1">'НМЦ ГПН '!$A$16:$CI$112</definedName>
    <definedName name="Z_82001888_4F1A_46B5_A377_4EFF90624867_.wvu.FilterData" localSheetId="0" hidden="1">'НМЦ ГПН '!$A$16:$CI$112</definedName>
    <definedName name="Z_82A8A788_8697_4E91_811F_EF3C50DA3653_.wvu.FilterData" localSheetId="0" hidden="1">'НМЦ ГПН '!$A$16:$CI$112</definedName>
    <definedName name="Z_85EFF9E9_9E62_42CF_9535_1A90B97D5146_.wvu.FilterData" localSheetId="0" hidden="1">'НМЦ ГПН '!$A$16:$CI$112</definedName>
    <definedName name="Z_8617E310_2612_42D7_8389_39CF880CA8E5_.wvu.FilterData" localSheetId="0" hidden="1">'НМЦ ГПН '!$A$16:$CO$112</definedName>
    <definedName name="Z_87CE0ACC_ABFE_4600_A59D_53D843BE3D9F_.wvu.FilterData" localSheetId="0" hidden="1">'НМЦ ГПН '!$A$16:$CO$112</definedName>
    <definedName name="Z_8A5CA85B_E2AA_4A75_B336_96E52E11E4B8_.wvu.FilterData" localSheetId="0" hidden="1">'НМЦ ГПН '!$A$16:$CO$112</definedName>
    <definedName name="Z_8D2870E9_F103_4ED5_8B16_DF956D3FC9EE_.wvu.FilterData" localSheetId="0" hidden="1">'НМЦ ГПН '!$A$16:$CO$112</definedName>
    <definedName name="Z_8FD88EA2_E72B_4737_8A4E_CFEE7C8C5FD5_.wvu.FilterData" localSheetId="0" hidden="1">'НМЦ ГПН '!$A$16:$CO$112</definedName>
    <definedName name="Z_91DB084A_4083_452D_8FAC_9DFEE02719E6_.wvu.FilterData" localSheetId="0" hidden="1">'НМЦ ГПН '!$A$16:$CO$112</definedName>
    <definedName name="Z_9373C5EC_162F_4CE7_8E6C_D742721BA9A7_.wvu.FilterData" localSheetId="0" hidden="1">'НМЦ ГПН '!$A$16:$CO$112</definedName>
    <definedName name="Z_939751C9_3BCA_4A56_AB6C_8E20BCF5293B_.wvu.FilterData" localSheetId="0" hidden="1">'НМЦ ГПН '!$A$16:$CI$112</definedName>
    <definedName name="Z_9419F1E9_C241_40F5_964F_A3DC5BB9406F_.wvu.FilterData" localSheetId="0" hidden="1">'НМЦ ГПН '!$A$16:$CO$112</definedName>
    <definedName name="Z_94C13050_9AB7_4E42_8015_58FDA2292FBD_.wvu.FilterData" localSheetId="0" hidden="1">'НМЦ ГПН '!$A$16:$CI$112</definedName>
    <definedName name="Z_966E3007_D682_440D_81D2_C1CE8F8DFC1F_.wvu.FilterData" localSheetId="0" hidden="1">'НМЦ ГПН '!$A$16:$CI$112</definedName>
    <definedName name="Z_9ACEC1EA_5BF9_4910_B0BD_7F556A7AB9F7_.wvu.FilterData" localSheetId="0" hidden="1">'НМЦ ГПН '!$A$16:$CI$112</definedName>
    <definedName name="Z_9BD0969B_A86A_430E_B2B0_C8372A548382_.wvu.FilterData" localSheetId="0" hidden="1">'НМЦ ГПН '!$A$16:$CO$112</definedName>
    <definedName name="Z_A29AFC8A_48B5_4B9B_8D49_BA8F044E16EC_.wvu.FilterData" localSheetId="0" hidden="1">'НМЦ ГПН '!$A$16:$CO$112</definedName>
    <definedName name="Z_A334E52A_4BB3_4DB0_B903_734F730AC21B_.wvu.FilterData" localSheetId="0" hidden="1">'НМЦ ГПН '!$A$16:$CO$112</definedName>
    <definedName name="Z_A57C3DB2_FCC4_4077_901C_4FF8128FF072_.wvu.FilterData" localSheetId="0" hidden="1">'НМЦ ГПН '!$A$16:$CO$112</definedName>
    <definedName name="Z_AACBE65B_4F45_449C_8B02_45DE97375BBA_.wvu.FilterData" localSheetId="0" hidden="1">'НМЦ ГПН '!$A$16:$CI$112</definedName>
    <definedName name="Z_AB9C9D4F_2EC8_4C30_BCD9_CBC6FF87607F_.wvu.FilterData" localSheetId="0" hidden="1">'НМЦ ГПН '!$A$16:$CO$112</definedName>
    <definedName name="Z_AC2A35FB_BFC2_4DB7_AD0F_9F367DF469D1_.wvu.FilterData" localSheetId="0" hidden="1">'НМЦ ГПН '!$A$16:$CO$112</definedName>
    <definedName name="Z_B2DD67A7_E566_4782_8EC4_38BB224D75F0_.wvu.FilterData" localSheetId="0" hidden="1">'НМЦ ГПН '!$A$16:$CO$112</definedName>
    <definedName name="Z_B319418A_A81D_4C07_8532_0ABD9D95451B_.wvu.FilterData" localSheetId="0" hidden="1">'НМЦ ГПН '!$A$16:$CO$112</definedName>
    <definedName name="Z_B40EAB21_7FEA_4DF6_BBF6_321F445C6F6C_.wvu.FilterData" localSheetId="0" hidden="1">'НМЦ ГПН '!$A$16:$CI$112</definedName>
    <definedName name="Z_B414448A_EAF1_459D_88D7_B5C10EF94652_.wvu.FilterData" localSheetId="0" hidden="1">'НМЦ ГПН '!$A$16:$CI$112</definedName>
    <definedName name="Z_B466A064_2DDE_4F3D_8506_FEC4548DD9A8_.wvu.FilterData" localSheetId="0" hidden="1">'НМЦ ГПН '!$A$16:$CI$112</definedName>
    <definedName name="Z_B4AA4798_5A57_4610_A0F7_872D628A4741_.wvu.FilterData" localSheetId="0" hidden="1">'НМЦ ГПН '!$A$16:$CI$112</definedName>
    <definedName name="Z_B6C58B93_15D3_4FC7_9355_E77A5CCE8854_.wvu.FilterData" localSheetId="0" hidden="1">'НМЦ ГПН '!$A$16:$CO$112</definedName>
    <definedName name="Z_B6E99B67_42A4_4DCE_884E_326B6A62A68F_.wvu.FilterData" localSheetId="0" hidden="1">'НМЦ ГПН '!$A$16:$CI$112</definedName>
    <definedName name="Z_BBD423A8_1464_4704_8C8E_3A23C1F26654_.wvu.FilterData" localSheetId="0" hidden="1">'НМЦ ГПН '!$A$16:$CI$112</definedName>
    <definedName name="Z_BD406B0F_3F61_4BA0_875C_722284267637_.wvu.FilterData" localSheetId="0" hidden="1">'НМЦ ГПН '!$A$16:$CO$112</definedName>
    <definedName name="Z_BF379409_B376_4ACC_A5A0_5BC13CB4DC3B_.wvu.FilterData" localSheetId="0" hidden="1">'НМЦ ГПН '!$A$16:$CO$112</definedName>
    <definedName name="Z_BF39A6AA_EDC0_4856_858F_E4B27D1D5AF1_.wvu.FilterData" localSheetId="0" hidden="1">'НМЦ ГПН '!$A$16:$CI$112</definedName>
    <definedName name="Z_BF5BA27D_9148_43D7_A5D1_093F75AB773E_.wvu.FilterData" localSheetId="0" hidden="1">'НМЦ ГПН '!$A$16:$CQ$112</definedName>
    <definedName name="Z_BF5BAD78_A3B3_4D2A_B117_737B37134A5D_.wvu.FilterData" localSheetId="0" hidden="1">'НМЦ ГПН '!$A$16:$CO$112</definedName>
    <definedName name="Z_BF5DED3A_9749_4D07_9F45_7D7397001E97_.wvu.FilterData" localSheetId="0" hidden="1">'НМЦ ГПН '!$A$16:$CO$112</definedName>
    <definedName name="Z_C24B3D4C_CFE5_4DC7_B42A_33A27D4C8281_.wvu.FilterData" localSheetId="0" hidden="1">'НМЦ ГПН '!$A$16:$CO$112</definedName>
    <definedName name="Z_C4592934_E873_4EFB_B2C5_2204C588ECA9_.wvu.FilterData" localSheetId="0" hidden="1">'НМЦ ГПН '!$A$16:$CO$112</definedName>
    <definedName name="Z_C4687055_7FF4_466D_A666_1B6301E8A527_.wvu.FilterData" localSheetId="0" hidden="1">'НМЦ ГПН '!$A$16:$CO$112</definedName>
    <definedName name="Z_C552BBC4_64E3_472F_894C_A047029E798C_.wvu.FilterData" localSheetId="0" hidden="1">'НМЦ ГПН '!$A$16:$CI$112</definedName>
    <definedName name="Z_C79EF916_BD0B_42D9_A245_38FAE5C3BD55_.wvu.FilterData" localSheetId="0" hidden="1">'НМЦ ГПН '!$A$16:$CO$112</definedName>
    <definedName name="Z_C8FD1DCB_71C7_4DD8_ADE3_60E9EC8A2F34_.wvu.FilterData" localSheetId="0" hidden="1">'НМЦ ГПН '!$A$16:$CO$112</definedName>
    <definedName name="Z_C90B380F_B15E_458A_85A5_2BBD02024E79_.wvu.FilterData" localSheetId="0" hidden="1">'НМЦ ГПН '!$A$16:$CO$112</definedName>
    <definedName name="Z_CB8E7965_23F3_4CB2_AB50_2706ACC101BD_.wvu.FilterData" localSheetId="0" hidden="1">'НМЦ ГПН '!$A$16:$CI$112</definedName>
    <definedName name="Z_CCAB8EA4_BE3D_4150_8B03_29098679808B_.wvu.FilterData" localSheetId="0" hidden="1">'НМЦ ГПН '!$A$16:$CI$112</definedName>
    <definedName name="Z_CD723FD8_F7EF_42E2_8167_6EAB5A2501FB_.wvu.FilterData" localSheetId="0" hidden="1">'НМЦ ГПН '!$A$16:$CI$112</definedName>
    <definedName name="Z_CEC96341_4CDA_43B3_8674_00D5D5633894_.wvu.FilterData" localSheetId="0" hidden="1">'НМЦ ГПН '!$A$16:$CO$112</definedName>
    <definedName name="Z_CED24665_C50C_4A8B_8EB1_E81609EE410B_.wvu.FilterData" localSheetId="0" hidden="1">'НМЦ ГПН '!$A$16:$CO$112</definedName>
    <definedName name="Z_D0D33690_2FF4_40F4_87A7_E62D624F6081_.wvu.FilterData" localSheetId="0" hidden="1">'НМЦ ГПН '!$A$16:$CI$112</definedName>
    <definedName name="Z_D0E1F9F0_99D7_41FC_AB2B_BFFF42417BE8_.wvu.FilterData" localSheetId="0" hidden="1">'НМЦ ГПН '!$A$16:$CI$112</definedName>
    <definedName name="Z_D1511123_97B3_4B00_A692_71FFF623E8F4_.wvu.FilterData" localSheetId="0" hidden="1">'НМЦ ГПН '!$A$16:$CO$112</definedName>
    <definedName name="Z_D2AE80FF_E06C_423D_8DF3_9B810DE0020E_.wvu.FilterData" localSheetId="0" hidden="1">'НМЦ ГПН '!$A$16:$CO$112</definedName>
    <definedName name="Z_D2AE80FF_E06C_423D_8DF3_9B810DE0020E_.wvu.Rows" localSheetId="0" hidden="1">'НМЦ ГПН '!$1:$11,'НМЦ ГПН '!#REF!</definedName>
    <definedName name="Z_D2E65107_1130_4FC7_B123_8BF68ECC6A08_.wvu.FilterData" localSheetId="0" hidden="1">'НМЦ ГПН '!$A$16:$CO$112</definedName>
    <definedName name="Z_D415F7F1_E171_4755_9BB0_9A7143EBFD64_.wvu.FilterData" localSheetId="0" hidden="1">'НМЦ ГПН '!$A$16:$CO$112</definedName>
    <definedName name="Z_D881FF05_1926_48C6_89F8_C7A1A54B0C83_.wvu.FilterData" localSheetId="0" hidden="1">'НМЦ ГПН '!$A$16:$CI$112</definedName>
    <definedName name="Z_D9B3BA5F_4364_4B0C_9F67_90FCE6E7F4E6_.wvu.FilterData" localSheetId="0" hidden="1">'НМЦ ГПН '!$A$16:$CO$112</definedName>
    <definedName name="Z_D9CE98ED_6EEB_47AC_933A_CC598D45DF66_.wvu.FilterData" localSheetId="0" hidden="1">'НМЦ ГПН '!$A$16:$CO$112</definedName>
    <definedName name="Z_DADAF98A_9674_439F_9B8B_C7C96DDA2378_.wvu.FilterData" localSheetId="0" hidden="1">'НМЦ ГПН '!$A$16:$CO$112</definedName>
    <definedName name="Z_DB253F70_6D17_4F8A_BDD8_CCB1D5EF49DB_.wvu.FilterData" localSheetId="0" hidden="1">'НМЦ ГПН '!$A$16:$CO$112</definedName>
    <definedName name="Z_DC1692A3_FC0E_416B_8565_A76EAE88C069_.wvu.FilterData" localSheetId="0" hidden="1">'НМЦ ГПН '!$A$16:$CO$112</definedName>
    <definedName name="Z_DD399112_0CA4_4881_9F7A_424A4BD35B58_.wvu.FilterData" localSheetId="0" hidden="1">'НМЦ ГПН '!$A$16:$CO$112</definedName>
    <definedName name="Z_DD4DD36E_C115_4E44_88BC_99E3D8BA9A19_.wvu.FilterData" localSheetId="0" hidden="1">'НМЦ ГПН '!$A$16:$CO$112</definedName>
    <definedName name="Z_E2C6A633_E7FD_4EFC_870E_D89442D24610_.wvu.FilterData" localSheetId="0" hidden="1">'НМЦ ГПН '!$A$16:$CI$112</definedName>
    <definedName name="Z_E2F6000D_A087_4365_BA30_5BF07EBA29B2_.wvu.FilterData" localSheetId="0" hidden="1">'НМЦ ГПН '!$A$16:$CO$112</definedName>
    <definedName name="Z_E7700DCB_549F_4A65_B082_BA5EAFF94856_.wvu.FilterData" localSheetId="0" hidden="1">'НМЦ ГПН '!$A$16:$CO$112</definedName>
    <definedName name="Z_E8688911_393F_4965_B33C_44BF9E479318_.wvu.FilterData" localSheetId="0" hidden="1">'НМЦ ГПН '!$A$16:$CI$112</definedName>
    <definedName name="Z_E9129475_2877_4505_9648_FE66BC6F71CA_.wvu.FilterData" localSheetId="0" hidden="1">'НМЦ ГПН '!$A$16:$CO$112</definedName>
    <definedName name="Z_EA04F81D_070D_46AA_9B3A_8691282817F0_.wvu.FilterData" localSheetId="0" hidden="1">'НМЦ ГПН '!$A$16:$CO$112</definedName>
    <definedName name="Z_ECE2721E_75B2_41EF_9D1A_CAEE81D3D7E4_.wvu.FilterData" localSheetId="0" hidden="1">'НМЦ ГПН '!$A$16:$CI$112</definedName>
    <definedName name="Z_EE71E9A5_9698_4FE8_8534_D5B3FFBECF8A_.wvu.FilterData" localSheetId="0" hidden="1">'НМЦ ГПН '!$A$16:$CI$112</definedName>
    <definedName name="Z_EE8BDBF3_E955_42A0_8F56_1FEBDA2EE738_.wvu.FilterData" localSheetId="0" hidden="1">'НМЦ ГПН '!$A$16:$CI$112</definedName>
    <definedName name="Z_EEBC4D95_3203_4E7C_BF02_F8213B4B10E1_.wvu.FilterData" localSheetId="0" hidden="1">'НМЦ ГПН '!$A$16:$CO$112</definedName>
    <definedName name="Z_EF218515_76F8_4FE4_B76B_43905347AF80_.wvu.FilterData" localSheetId="0" hidden="1">'НМЦ ГПН '!$A$16:$CO$112</definedName>
    <definedName name="Z_F0DC394A_2B42_432E_BBE1_6E123000DAA5_.wvu.FilterData" localSheetId="0" hidden="1">'НМЦ ГПН '!$A$16:$CO$112</definedName>
    <definedName name="Z_F20E2858_529E_4CE4_833D_8A167C758744_.wvu.FilterData" localSheetId="0" hidden="1">'НМЦ ГПН '!$A$16:$CO$112</definedName>
    <definedName name="Z_F23567AF_E40B_4C73_A5EC_EB7392EB7B05_.wvu.FilterData" localSheetId="0" hidden="1">'НМЦ ГПН '!$A$16:$CO$112</definedName>
    <definedName name="Z_F38A974F_57D2_4566_A9CA_06ED6BEE61EE_.wvu.FilterData" localSheetId="0" hidden="1">'НМЦ ГПН '!$A$16:$CO$112</definedName>
    <definedName name="Z_F68B7E72_DF20_4AE8_96CA_8481553EAE45_.wvu.FilterData" localSheetId="0" hidden="1">'НМЦ ГПН '!$A$16:$CO$112</definedName>
    <definedName name="Z_F6BBC0A4_671A_49DA_B6E0_DFDBF03F5D30_.wvu.FilterData" localSheetId="0" hidden="1">'НМЦ ГПН '!$A$16:$CI$112</definedName>
    <definedName name="Z_FDB1264E_C081_4F9D_9C30_3AB1003C16EF_.wvu.FilterData" localSheetId="0" hidden="1">'НМЦ ГПН '!$A$16:$CO$112</definedName>
    <definedName name="_xlnm.Print_Area" localSheetId="0">'НМЦ ГПН '!$A$1:$CG$113</definedName>
  </definedNames>
  <calcPr calcId="152511"/>
  <customWorkbookViews>
    <customWorkbookView name="Комельков Дмитрий Анатольевич - Личное представление" guid="{D2AE80FF-E06C-423D-8DF3-9B810DE0020E}" mergeInterval="0" personalView="1" maximized="1" xWindow="-8" yWindow="-8" windowWidth="1936" windowHeight="1056" tabRatio="359" activeSheetId="1"/>
    <customWorkbookView name="Фаизов Денис Маратович - Личное представление" guid="{73CE43B5-F4D4-4870-B21B-B8161E33319C}" mergeInterval="0" personalView="1" maximized="1" xWindow="-8" yWindow="-8" windowWidth="1936" windowHeight="1176" tabRatio="665" activeSheetId="1"/>
    <customWorkbookView name="Гуреева Мария Владимировна - Личное представление" guid="{BF5BA27D-9148-43D7-A5D1-093F75AB773E}" mergeInterval="0" personalView="1" maximized="1" xWindow="-8" yWindow="-8" windowWidth="1936" windowHeight="1056" tabRatio="444" activeSheetId="1"/>
    <customWorkbookView name="Халтурин Александр Валерьевич - Личное представление" guid="{FF2CAEFB-0E56-4211-9924-DC285052CF73}" mergeInterval="0" personalView="1" maximized="1" xWindow="-8" yWindow="-8" windowWidth="1936" windowHeight="1056" tabRatio="359" activeSheetId="1"/>
  </customWorkbookViews>
</workbook>
</file>

<file path=xl/calcChain.xml><?xml version="1.0" encoding="utf-8"?>
<calcChain xmlns="http://schemas.openxmlformats.org/spreadsheetml/2006/main">
  <c r="CA23" i="1" l="1"/>
  <c r="CB23" i="1" s="1"/>
  <c r="CA31" i="1"/>
  <c r="CB31" i="1" s="1"/>
  <c r="CA47" i="1"/>
  <c r="CB47" i="1" s="1"/>
  <c r="CA55" i="1"/>
  <c r="CB55" i="1" s="1"/>
  <c r="CA71" i="1"/>
  <c r="CB71" i="1" s="1"/>
  <c r="CA79" i="1"/>
  <c r="CB79" i="1" s="1"/>
  <c r="CA95" i="1"/>
  <c r="CB95" i="1" s="1"/>
  <c r="CA103" i="1"/>
  <c r="CB103" i="1" s="1"/>
  <c r="BZ26" i="1"/>
  <c r="BZ38" i="1"/>
  <c r="BZ50" i="1"/>
  <c r="BZ62" i="1"/>
  <c r="BZ74" i="1"/>
  <c r="BZ86" i="1"/>
  <c r="BZ98" i="1"/>
  <c r="BZ110" i="1"/>
  <c r="BY18" i="1"/>
  <c r="BZ18" i="1" s="1"/>
  <c r="BY19" i="1"/>
  <c r="CA19" i="1" s="1"/>
  <c r="CB19" i="1" s="1"/>
  <c r="BY20" i="1"/>
  <c r="CA20" i="1" s="1"/>
  <c r="CB20" i="1" s="1"/>
  <c r="BY21" i="1"/>
  <c r="CA21" i="1" s="1"/>
  <c r="CB21" i="1" s="1"/>
  <c r="BY22" i="1"/>
  <c r="BZ22" i="1" s="1"/>
  <c r="BY23" i="1"/>
  <c r="BZ23" i="1" s="1"/>
  <c r="BY24" i="1"/>
  <c r="CA24" i="1" s="1"/>
  <c r="CB24" i="1" s="1"/>
  <c r="BY25" i="1"/>
  <c r="CA25" i="1" s="1"/>
  <c r="CB25" i="1" s="1"/>
  <c r="BY26" i="1"/>
  <c r="CA26" i="1" s="1"/>
  <c r="CB26" i="1" s="1"/>
  <c r="BY27" i="1"/>
  <c r="BZ27" i="1" s="1"/>
  <c r="BY28" i="1"/>
  <c r="BZ28" i="1" s="1"/>
  <c r="BY29" i="1"/>
  <c r="CA29" i="1" s="1"/>
  <c r="CB29" i="1" s="1"/>
  <c r="BY30" i="1"/>
  <c r="BZ30" i="1" s="1"/>
  <c r="BY31" i="1"/>
  <c r="BZ31" i="1" s="1"/>
  <c r="BY32" i="1"/>
  <c r="CA32" i="1" s="1"/>
  <c r="CB32" i="1" s="1"/>
  <c r="BY33" i="1"/>
  <c r="CA33" i="1" s="1"/>
  <c r="CB33" i="1" s="1"/>
  <c r="BY34" i="1"/>
  <c r="BZ34" i="1" s="1"/>
  <c r="BY35" i="1"/>
  <c r="BZ35" i="1" s="1"/>
  <c r="BY36" i="1"/>
  <c r="BZ36" i="1" s="1"/>
  <c r="BY37" i="1"/>
  <c r="BZ37" i="1" s="1"/>
  <c r="BY38" i="1"/>
  <c r="CA38" i="1" s="1"/>
  <c r="CB38" i="1" s="1"/>
  <c r="BY39" i="1"/>
  <c r="BZ39" i="1" s="1"/>
  <c r="BY40" i="1"/>
  <c r="BZ40" i="1" s="1"/>
  <c r="BY41" i="1"/>
  <c r="CA41" i="1" s="1"/>
  <c r="CB41" i="1" s="1"/>
  <c r="BY42" i="1"/>
  <c r="BZ42" i="1" s="1"/>
  <c r="BY43" i="1"/>
  <c r="CA43" i="1" s="1"/>
  <c r="CB43" i="1" s="1"/>
  <c r="BY44" i="1"/>
  <c r="CA44" i="1" s="1"/>
  <c r="CB44" i="1" s="1"/>
  <c r="BY45" i="1"/>
  <c r="CA45" i="1" s="1"/>
  <c r="CB45" i="1" s="1"/>
  <c r="BY46" i="1"/>
  <c r="BZ46" i="1" s="1"/>
  <c r="BY47" i="1"/>
  <c r="BZ47" i="1" s="1"/>
  <c r="BY48" i="1"/>
  <c r="CA48" i="1" s="1"/>
  <c r="CB48" i="1" s="1"/>
  <c r="BY49" i="1"/>
  <c r="CA49" i="1" s="1"/>
  <c r="CB49" i="1" s="1"/>
  <c r="BY50" i="1"/>
  <c r="CA50" i="1" s="1"/>
  <c r="CB50" i="1" s="1"/>
  <c r="BY51" i="1"/>
  <c r="BZ51" i="1" s="1"/>
  <c r="BY52" i="1"/>
  <c r="BZ52" i="1" s="1"/>
  <c r="BY53" i="1"/>
  <c r="CA53" i="1" s="1"/>
  <c r="CB53" i="1" s="1"/>
  <c r="BY54" i="1"/>
  <c r="BZ54" i="1" s="1"/>
  <c r="BY55" i="1"/>
  <c r="BZ55" i="1" s="1"/>
  <c r="BY56" i="1"/>
  <c r="CA56" i="1" s="1"/>
  <c r="CB56" i="1" s="1"/>
  <c r="BY57" i="1"/>
  <c r="CA57" i="1" s="1"/>
  <c r="CB57" i="1" s="1"/>
  <c r="BY58" i="1"/>
  <c r="BZ58" i="1" s="1"/>
  <c r="BY59" i="1"/>
  <c r="BZ59" i="1" s="1"/>
  <c r="BY60" i="1"/>
  <c r="BZ60" i="1" s="1"/>
  <c r="BY61" i="1"/>
  <c r="CA61" i="1" s="1"/>
  <c r="CB61" i="1" s="1"/>
  <c r="BY62" i="1"/>
  <c r="CA62" i="1" s="1"/>
  <c r="CB62" i="1" s="1"/>
  <c r="BY63" i="1"/>
  <c r="BZ63" i="1" s="1"/>
  <c r="BY64" i="1"/>
  <c r="BZ64" i="1" s="1"/>
  <c r="BY65" i="1"/>
  <c r="CA65" i="1" s="1"/>
  <c r="CB65" i="1" s="1"/>
  <c r="BY66" i="1"/>
  <c r="BZ66" i="1" s="1"/>
  <c r="BY67" i="1"/>
  <c r="CA67" i="1" s="1"/>
  <c r="CB67" i="1" s="1"/>
  <c r="BY68" i="1"/>
  <c r="CA68" i="1" s="1"/>
  <c r="CB68" i="1" s="1"/>
  <c r="BY69" i="1"/>
  <c r="CA69" i="1" s="1"/>
  <c r="CB69" i="1" s="1"/>
  <c r="BY70" i="1"/>
  <c r="BZ70" i="1" s="1"/>
  <c r="BY71" i="1"/>
  <c r="BZ71" i="1" s="1"/>
  <c r="BY72" i="1"/>
  <c r="CA72" i="1" s="1"/>
  <c r="CB72" i="1" s="1"/>
  <c r="BY73" i="1"/>
  <c r="CA73" i="1" s="1"/>
  <c r="CB73" i="1" s="1"/>
  <c r="BY74" i="1"/>
  <c r="CA74" i="1" s="1"/>
  <c r="CB74" i="1" s="1"/>
  <c r="BY75" i="1"/>
  <c r="BZ75" i="1" s="1"/>
  <c r="BY76" i="1"/>
  <c r="BZ76" i="1" s="1"/>
  <c r="BY77" i="1"/>
  <c r="CA77" i="1" s="1"/>
  <c r="CB77" i="1" s="1"/>
  <c r="BY78" i="1"/>
  <c r="BZ78" i="1" s="1"/>
  <c r="BY79" i="1"/>
  <c r="BZ79" i="1" s="1"/>
  <c r="BY80" i="1"/>
  <c r="CA80" i="1" s="1"/>
  <c r="CB80" i="1" s="1"/>
  <c r="BY81" i="1"/>
  <c r="CA81" i="1" s="1"/>
  <c r="CB81" i="1" s="1"/>
  <c r="BY82" i="1"/>
  <c r="BZ82" i="1" s="1"/>
  <c r="BY83" i="1"/>
  <c r="BZ83" i="1" s="1"/>
  <c r="BY84" i="1"/>
  <c r="BZ84" i="1" s="1"/>
  <c r="BY85" i="1"/>
  <c r="BZ85" i="1" s="1"/>
  <c r="BY86" i="1"/>
  <c r="CA86" i="1" s="1"/>
  <c r="CB86" i="1" s="1"/>
  <c r="BY87" i="1"/>
  <c r="BZ87" i="1" s="1"/>
  <c r="BY88" i="1"/>
  <c r="BZ88" i="1" s="1"/>
  <c r="BY89" i="1"/>
  <c r="CA89" i="1" s="1"/>
  <c r="CB89" i="1" s="1"/>
  <c r="BY90" i="1"/>
  <c r="BZ90" i="1" s="1"/>
  <c r="BY91" i="1"/>
  <c r="CA91" i="1" s="1"/>
  <c r="CB91" i="1" s="1"/>
  <c r="BY92" i="1"/>
  <c r="CA92" i="1" s="1"/>
  <c r="CB92" i="1" s="1"/>
  <c r="BY93" i="1"/>
  <c r="CA93" i="1" s="1"/>
  <c r="CB93" i="1" s="1"/>
  <c r="BY94" i="1"/>
  <c r="BZ94" i="1" s="1"/>
  <c r="BY95" i="1"/>
  <c r="BZ95" i="1" s="1"/>
  <c r="BY96" i="1"/>
  <c r="CA96" i="1" s="1"/>
  <c r="CB96" i="1" s="1"/>
  <c r="BY97" i="1"/>
  <c r="CA97" i="1" s="1"/>
  <c r="CB97" i="1" s="1"/>
  <c r="BY98" i="1"/>
  <c r="CA98" i="1" s="1"/>
  <c r="CB98" i="1" s="1"/>
  <c r="BY99" i="1"/>
  <c r="BZ99" i="1" s="1"/>
  <c r="BY100" i="1"/>
  <c r="BZ100" i="1" s="1"/>
  <c r="BY101" i="1"/>
  <c r="CA101" i="1" s="1"/>
  <c r="CB101" i="1" s="1"/>
  <c r="BY102" i="1"/>
  <c r="BZ102" i="1" s="1"/>
  <c r="BY103" i="1"/>
  <c r="BZ103" i="1" s="1"/>
  <c r="BY104" i="1"/>
  <c r="CA104" i="1" s="1"/>
  <c r="CB104" i="1" s="1"/>
  <c r="BY105" i="1"/>
  <c r="CA105" i="1" s="1"/>
  <c r="CB105" i="1" s="1"/>
  <c r="BY106" i="1"/>
  <c r="BZ106" i="1" s="1"/>
  <c r="BY107" i="1"/>
  <c r="BZ107" i="1" s="1"/>
  <c r="BY108" i="1"/>
  <c r="BZ108" i="1" s="1"/>
  <c r="BY109" i="1"/>
  <c r="CA109" i="1" s="1"/>
  <c r="CB109" i="1" s="1"/>
  <c r="BY110" i="1"/>
  <c r="CA110" i="1" s="1"/>
  <c r="CB110" i="1" s="1"/>
  <c r="BY111" i="1"/>
  <c r="BZ111" i="1" s="1"/>
  <c r="BY17" i="1"/>
  <c r="BZ17" i="1" s="1"/>
  <c r="BZ69" i="1" l="1"/>
  <c r="BZ45" i="1"/>
  <c r="BZ33" i="1"/>
  <c r="BZ21" i="1"/>
  <c r="CA85" i="1"/>
  <c r="CB85" i="1" s="1"/>
  <c r="CA37" i="1"/>
  <c r="CB37" i="1" s="1"/>
  <c r="BZ109" i="1"/>
  <c r="BZ104" i="1"/>
  <c r="BZ97" i="1"/>
  <c r="BZ92" i="1"/>
  <c r="BZ80" i="1"/>
  <c r="BZ73" i="1"/>
  <c r="BZ68" i="1"/>
  <c r="BZ61" i="1"/>
  <c r="BZ56" i="1"/>
  <c r="BZ49" i="1"/>
  <c r="BZ44" i="1"/>
  <c r="BZ32" i="1"/>
  <c r="BZ25" i="1"/>
  <c r="BZ20" i="1"/>
  <c r="CA108" i="1"/>
  <c r="CB108" i="1" s="1"/>
  <c r="CA100" i="1"/>
  <c r="CB100" i="1" s="1"/>
  <c r="CA84" i="1"/>
  <c r="CB84" i="1" s="1"/>
  <c r="CA76" i="1"/>
  <c r="CB76" i="1" s="1"/>
  <c r="CA60" i="1"/>
  <c r="CB60" i="1" s="1"/>
  <c r="CA52" i="1"/>
  <c r="CB52" i="1" s="1"/>
  <c r="CA36" i="1"/>
  <c r="CB36" i="1" s="1"/>
  <c r="CA28" i="1"/>
  <c r="CB28" i="1" s="1"/>
  <c r="BZ105" i="1"/>
  <c r="BZ93" i="1"/>
  <c r="BZ57" i="1"/>
  <c r="BZ96" i="1"/>
  <c r="BZ91" i="1"/>
  <c r="BZ72" i="1"/>
  <c r="BZ67" i="1"/>
  <c r="BZ48" i="1"/>
  <c r="BZ43" i="1"/>
  <c r="BZ24" i="1"/>
  <c r="BZ19" i="1"/>
  <c r="CA107" i="1"/>
  <c r="CB107" i="1" s="1"/>
  <c r="CA83" i="1"/>
  <c r="CB83" i="1" s="1"/>
  <c r="CA59" i="1"/>
  <c r="CB59" i="1" s="1"/>
  <c r="CA35" i="1"/>
  <c r="CB35" i="1" s="1"/>
  <c r="BZ81" i="1"/>
  <c r="BZ101" i="1"/>
  <c r="BZ89" i="1"/>
  <c r="BZ77" i="1"/>
  <c r="BZ65" i="1"/>
  <c r="BZ53" i="1"/>
  <c r="BZ41" i="1"/>
  <c r="BZ29" i="1"/>
  <c r="CA17" i="1"/>
  <c r="CB17" i="1" s="1"/>
  <c r="CA88" i="1"/>
  <c r="CB88" i="1" s="1"/>
  <c r="CA64" i="1"/>
  <c r="CB64" i="1" s="1"/>
  <c r="CA40" i="1"/>
  <c r="CB40" i="1" s="1"/>
  <c r="CA102" i="1"/>
  <c r="CB102" i="1" s="1"/>
  <c r="CA90" i="1"/>
  <c r="CB90" i="1" s="1"/>
  <c r="CA78" i="1"/>
  <c r="CB78" i="1" s="1"/>
  <c r="CA66" i="1"/>
  <c r="CB66" i="1" s="1"/>
  <c r="CA54" i="1"/>
  <c r="CB54" i="1" s="1"/>
  <c r="CA42" i="1"/>
  <c r="CB42" i="1" s="1"/>
  <c r="CA30" i="1"/>
  <c r="CB30" i="1" s="1"/>
  <c r="CA18" i="1"/>
  <c r="CB18" i="1" s="1"/>
  <c r="CA111" i="1"/>
  <c r="CB111" i="1" s="1"/>
  <c r="CA99" i="1"/>
  <c r="CB99" i="1" s="1"/>
  <c r="CA87" i="1"/>
  <c r="CB87" i="1" s="1"/>
  <c r="CA75" i="1"/>
  <c r="CB75" i="1" s="1"/>
  <c r="CA63" i="1"/>
  <c r="CB63" i="1" s="1"/>
  <c r="CA51" i="1"/>
  <c r="CB51" i="1" s="1"/>
  <c r="CA39" i="1"/>
  <c r="CB39" i="1" s="1"/>
  <c r="CA27" i="1"/>
  <c r="CB27" i="1" s="1"/>
  <c r="CA106" i="1"/>
  <c r="CB106" i="1" s="1"/>
  <c r="CA94" i="1"/>
  <c r="CB94" i="1" s="1"/>
  <c r="CA82" i="1"/>
  <c r="CB82" i="1" s="1"/>
  <c r="CA70" i="1"/>
  <c r="CB70" i="1" s="1"/>
  <c r="CA58" i="1"/>
  <c r="CB58" i="1" s="1"/>
  <c r="CA46" i="1"/>
  <c r="CB46" i="1" s="1"/>
  <c r="CA34" i="1"/>
  <c r="CB34" i="1" s="1"/>
  <c r="CA22" i="1"/>
  <c r="CB22" i="1" s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7" i="1"/>
  <c r="CA112" i="1" l="1"/>
  <c r="D112" i="1"/>
  <c r="BW111" i="1"/>
  <c r="BX111" i="1" s="1"/>
  <c r="BW110" i="1"/>
  <c r="BX110" i="1" s="1"/>
  <c r="BW109" i="1"/>
  <c r="BX109" i="1" s="1"/>
  <c r="BW108" i="1"/>
  <c r="BX108" i="1" s="1"/>
  <c r="BW107" i="1"/>
  <c r="BX107" i="1" s="1"/>
  <c r="BW106" i="1"/>
  <c r="BX106" i="1" s="1"/>
  <c r="BW105" i="1"/>
  <c r="BX105" i="1" s="1"/>
  <c r="BW104" i="1"/>
  <c r="BX104" i="1" s="1"/>
  <c r="BW103" i="1"/>
  <c r="BX103" i="1" s="1"/>
  <c r="BW102" i="1"/>
  <c r="BX102" i="1" s="1"/>
  <c r="BW101" i="1"/>
  <c r="BX101" i="1" s="1"/>
  <c r="BW100" i="1"/>
  <c r="BX100" i="1" s="1"/>
  <c r="BW99" i="1"/>
  <c r="BX99" i="1" s="1"/>
  <c r="BW98" i="1"/>
  <c r="BX98" i="1" s="1"/>
  <c r="BW97" i="1"/>
  <c r="BX97" i="1" s="1"/>
  <c r="BW96" i="1"/>
  <c r="BX96" i="1" s="1"/>
  <c r="BW95" i="1"/>
  <c r="BX95" i="1" s="1"/>
  <c r="BW94" i="1"/>
  <c r="BX94" i="1" s="1"/>
  <c r="BW93" i="1"/>
  <c r="BX93" i="1" s="1"/>
  <c r="BW92" i="1"/>
  <c r="BX92" i="1" s="1"/>
  <c r="BW91" i="1"/>
  <c r="BX91" i="1" s="1"/>
  <c r="BW90" i="1"/>
  <c r="BX90" i="1" s="1"/>
  <c r="BW89" i="1"/>
  <c r="BX89" i="1" s="1"/>
  <c r="BW88" i="1"/>
  <c r="BX88" i="1" s="1"/>
  <c r="BW87" i="1"/>
  <c r="BX87" i="1" s="1"/>
  <c r="BW86" i="1"/>
  <c r="BX86" i="1" s="1"/>
  <c r="BW85" i="1"/>
  <c r="BX85" i="1" s="1"/>
  <c r="BW84" i="1"/>
  <c r="BX84" i="1" s="1"/>
  <c r="BW83" i="1"/>
  <c r="BX83" i="1" s="1"/>
  <c r="BW82" i="1"/>
  <c r="BX82" i="1" s="1"/>
  <c r="BW81" i="1"/>
  <c r="BX81" i="1" s="1"/>
  <c r="BW80" i="1"/>
  <c r="BX80" i="1" s="1"/>
  <c r="BW79" i="1"/>
  <c r="BX79" i="1" s="1"/>
  <c r="BW78" i="1"/>
  <c r="BX78" i="1" s="1"/>
  <c r="BW77" i="1"/>
  <c r="BX77" i="1" s="1"/>
  <c r="BW76" i="1"/>
  <c r="BX76" i="1" s="1"/>
  <c r="BW75" i="1"/>
  <c r="BX75" i="1" s="1"/>
  <c r="BW74" i="1"/>
  <c r="BX74" i="1" s="1"/>
  <c r="BW73" i="1"/>
  <c r="BX73" i="1" s="1"/>
  <c r="BW72" i="1"/>
  <c r="BX72" i="1" s="1"/>
  <c r="BW71" i="1"/>
  <c r="BX71" i="1" s="1"/>
  <c r="BW70" i="1"/>
  <c r="BX70" i="1" s="1"/>
  <c r="BW69" i="1"/>
  <c r="BX69" i="1" s="1"/>
  <c r="BW68" i="1"/>
  <c r="BX68" i="1" s="1"/>
  <c r="BW67" i="1"/>
  <c r="BX67" i="1" s="1"/>
  <c r="BW66" i="1"/>
  <c r="BX66" i="1" s="1"/>
  <c r="BW65" i="1"/>
  <c r="BX65" i="1" s="1"/>
  <c r="BW64" i="1"/>
  <c r="BX64" i="1" s="1"/>
  <c r="BW63" i="1"/>
  <c r="BX63" i="1" s="1"/>
  <c r="BW62" i="1"/>
  <c r="BX62" i="1" s="1"/>
  <c r="BW61" i="1"/>
  <c r="BX61" i="1" s="1"/>
  <c r="BW60" i="1"/>
  <c r="BX60" i="1" s="1"/>
  <c r="BW59" i="1"/>
  <c r="BX59" i="1" s="1"/>
  <c r="BW58" i="1"/>
  <c r="BX58" i="1" s="1"/>
  <c r="BW57" i="1"/>
  <c r="BX57" i="1" s="1"/>
  <c r="BW56" i="1"/>
  <c r="BX56" i="1" s="1"/>
  <c r="BW55" i="1"/>
  <c r="BX55" i="1" s="1"/>
  <c r="BW54" i="1"/>
  <c r="BX54" i="1" s="1"/>
  <c r="BW53" i="1"/>
  <c r="BX53" i="1" s="1"/>
  <c r="BW52" i="1"/>
  <c r="BX52" i="1" s="1"/>
  <c r="BW51" i="1"/>
  <c r="BX51" i="1" s="1"/>
  <c r="BW50" i="1"/>
  <c r="BX50" i="1" s="1"/>
  <c r="BW49" i="1"/>
  <c r="BX49" i="1" s="1"/>
  <c r="BW48" i="1"/>
  <c r="BX48" i="1" s="1"/>
  <c r="BW47" i="1"/>
  <c r="BX47" i="1" s="1"/>
  <c r="BW46" i="1"/>
  <c r="BX46" i="1" s="1"/>
  <c r="BW45" i="1"/>
  <c r="BX45" i="1" s="1"/>
  <c r="BW44" i="1"/>
  <c r="BX44" i="1" s="1"/>
  <c r="BW43" i="1"/>
  <c r="BX43" i="1" s="1"/>
  <c r="BW42" i="1"/>
  <c r="BX42" i="1" s="1"/>
  <c r="BW41" i="1"/>
  <c r="BX41" i="1" s="1"/>
  <c r="BW40" i="1"/>
  <c r="BX40" i="1" s="1"/>
  <c r="BW39" i="1"/>
  <c r="BX39" i="1" s="1"/>
  <c r="BW38" i="1"/>
  <c r="BX38" i="1" s="1"/>
  <c r="BW37" i="1"/>
  <c r="BX37" i="1" s="1"/>
  <c r="BW36" i="1"/>
  <c r="BX36" i="1" s="1"/>
  <c r="BW35" i="1"/>
  <c r="BX35" i="1" s="1"/>
  <c r="BW34" i="1"/>
  <c r="BX34" i="1" s="1"/>
  <c r="BW33" i="1"/>
  <c r="BX33" i="1" s="1"/>
  <c r="BW32" i="1"/>
  <c r="BX32" i="1" s="1"/>
  <c r="BW31" i="1"/>
  <c r="BX31" i="1" s="1"/>
  <c r="BW30" i="1"/>
  <c r="BX30" i="1" s="1"/>
  <c r="BW29" i="1"/>
  <c r="BX29" i="1" s="1"/>
  <c r="BW28" i="1"/>
  <c r="BX28" i="1" s="1"/>
  <c r="BW27" i="1"/>
  <c r="BX27" i="1" s="1"/>
  <c r="BW26" i="1"/>
  <c r="BX26" i="1" s="1"/>
  <c r="BW25" i="1"/>
  <c r="BX25" i="1" s="1"/>
  <c r="BW24" i="1"/>
  <c r="BX24" i="1" s="1"/>
  <c r="BW23" i="1"/>
  <c r="BX23" i="1" s="1"/>
  <c r="BW22" i="1"/>
  <c r="BX22" i="1" s="1"/>
  <c r="BW21" i="1"/>
  <c r="BX21" i="1" s="1"/>
  <c r="BW20" i="1"/>
  <c r="BX20" i="1" s="1"/>
  <c r="BW19" i="1"/>
  <c r="BX19" i="1" s="1"/>
  <c r="BW18" i="1"/>
  <c r="BX18" i="1" s="1"/>
  <c r="BW17" i="1"/>
  <c r="BX17" i="1" s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7" i="1"/>
  <c r="BX112" i="1" l="1"/>
  <c r="CO70" i="1"/>
  <c r="CO74" i="1"/>
  <c r="CN79" i="1"/>
  <c r="CN83" i="1"/>
  <c r="CQ83" i="1" s="1"/>
  <c r="CV70" i="1"/>
  <c r="CT70" i="1"/>
  <c r="BT70" i="1"/>
  <c r="BU70" i="1" s="1"/>
  <c r="BQ70" i="1"/>
  <c r="BR70" i="1" s="1"/>
  <c r="BN70" i="1"/>
  <c r="BO70" i="1" s="1"/>
  <c r="BK70" i="1"/>
  <c r="BL70" i="1" s="1"/>
  <c r="BH70" i="1"/>
  <c r="BI70" i="1" s="1"/>
  <c r="BE70" i="1"/>
  <c r="BF70" i="1" s="1"/>
  <c r="BC70" i="1"/>
  <c r="AY70" i="1"/>
  <c r="AZ70" i="1" s="1"/>
  <c r="AV70" i="1"/>
  <c r="AW70" i="1" s="1"/>
  <c r="AS70" i="1"/>
  <c r="AT70" i="1" s="1"/>
  <c r="AP70" i="1"/>
  <c r="AQ70" i="1" s="1"/>
  <c r="AM70" i="1"/>
  <c r="AN70" i="1" s="1"/>
  <c r="AJ70" i="1"/>
  <c r="AK70" i="1" s="1"/>
  <c r="AG70" i="1"/>
  <c r="AH70" i="1" s="1"/>
  <c r="AD70" i="1"/>
  <c r="AE70" i="1" s="1"/>
  <c r="AA70" i="1"/>
  <c r="AB70" i="1" s="1"/>
  <c r="X70" i="1"/>
  <c r="Y70" i="1" s="1"/>
  <c r="U70" i="1"/>
  <c r="V70" i="1" s="1"/>
  <c r="R70" i="1"/>
  <c r="S70" i="1" s="1"/>
  <c r="O70" i="1"/>
  <c r="P70" i="1" s="1"/>
  <c r="L70" i="1"/>
  <c r="M70" i="1" s="1"/>
  <c r="J70" i="1"/>
  <c r="CV69" i="1"/>
  <c r="CT69" i="1"/>
  <c r="BT69" i="1"/>
  <c r="BU69" i="1" s="1"/>
  <c r="BQ69" i="1"/>
  <c r="BR69" i="1" s="1"/>
  <c r="BN69" i="1"/>
  <c r="BO69" i="1" s="1"/>
  <c r="BK69" i="1"/>
  <c r="BL69" i="1" s="1"/>
  <c r="BH69" i="1"/>
  <c r="BI69" i="1" s="1"/>
  <c r="BE69" i="1"/>
  <c r="BF69" i="1" s="1"/>
  <c r="BC69" i="1"/>
  <c r="AY69" i="1"/>
  <c r="AZ69" i="1" s="1"/>
  <c r="AV69" i="1"/>
  <c r="AW69" i="1" s="1"/>
  <c r="AS69" i="1"/>
  <c r="AT69" i="1" s="1"/>
  <c r="AP69" i="1"/>
  <c r="AQ69" i="1" s="1"/>
  <c r="AM69" i="1"/>
  <c r="AN69" i="1" s="1"/>
  <c r="AJ69" i="1"/>
  <c r="AK69" i="1" s="1"/>
  <c r="AG69" i="1"/>
  <c r="AH69" i="1" s="1"/>
  <c r="AD69" i="1"/>
  <c r="AE69" i="1" s="1"/>
  <c r="AA69" i="1"/>
  <c r="AB69" i="1" s="1"/>
  <c r="X69" i="1"/>
  <c r="Y69" i="1" s="1"/>
  <c r="U69" i="1"/>
  <c r="V69" i="1" s="1"/>
  <c r="R69" i="1"/>
  <c r="S69" i="1" s="1"/>
  <c r="O69" i="1"/>
  <c r="P69" i="1" s="1"/>
  <c r="L69" i="1"/>
  <c r="M69" i="1" s="1"/>
  <c r="J69" i="1"/>
  <c r="CV68" i="1"/>
  <c r="CT68" i="1"/>
  <c r="BT68" i="1"/>
  <c r="BU68" i="1" s="1"/>
  <c r="BQ68" i="1"/>
  <c r="BR68" i="1" s="1"/>
  <c r="BN68" i="1"/>
  <c r="BO68" i="1" s="1"/>
  <c r="BK68" i="1"/>
  <c r="BL68" i="1" s="1"/>
  <c r="BH68" i="1"/>
  <c r="BI68" i="1" s="1"/>
  <c r="BE68" i="1"/>
  <c r="BF68" i="1" s="1"/>
  <c r="BC68" i="1"/>
  <c r="AY68" i="1"/>
  <c r="AZ68" i="1" s="1"/>
  <c r="AV68" i="1"/>
  <c r="AW68" i="1" s="1"/>
  <c r="AS68" i="1"/>
  <c r="AT68" i="1" s="1"/>
  <c r="AP68" i="1"/>
  <c r="AQ68" i="1" s="1"/>
  <c r="AM68" i="1"/>
  <c r="AN68" i="1" s="1"/>
  <c r="AJ68" i="1"/>
  <c r="AK68" i="1" s="1"/>
  <c r="AG68" i="1"/>
  <c r="AH68" i="1" s="1"/>
  <c r="AD68" i="1"/>
  <c r="AE68" i="1" s="1"/>
  <c r="AA68" i="1"/>
  <c r="AB68" i="1" s="1"/>
  <c r="X68" i="1"/>
  <c r="Y68" i="1" s="1"/>
  <c r="U68" i="1"/>
  <c r="V68" i="1" s="1"/>
  <c r="R68" i="1"/>
  <c r="S68" i="1" s="1"/>
  <c r="O68" i="1"/>
  <c r="P68" i="1" s="1"/>
  <c r="L68" i="1"/>
  <c r="M68" i="1" s="1"/>
  <c r="J68" i="1"/>
  <c r="CV67" i="1"/>
  <c r="CT67" i="1"/>
  <c r="BT67" i="1"/>
  <c r="BU67" i="1" s="1"/>
  <c r="BQ67" i="1"/>
  <c r="BR67" i="1" s="1"/>
  <c r="BN67" i="1"/>
  <c r="BO67" i="1" s="1"/>
  <c r="BK67" i="1"/>
  <c r="BL67" i="1" s="1"/>
  <c r="BH67" i="1"/>
  <c r="BI67" i="1" s="1"/>
  <c r="BE67" i="1"/>
  <c r="BF67" i="1" s="1"/>
  <c r="BC67" i="1"/>
  <c r="AY67" i="1"/>
  <c r="AZ67" i="1" s="1"/>
  <c r="AV67" i="1"/>
  <c r="AW67" i="1" s="1"/>
  <c r="AS67" i="1"/>
  <c r="AT67" i="1" s="1"/>
  <c r="AP67" i="1"/>
  <c r="AQ67" i="1" s="1"/>
  <c r="AM67" i="1"/>
  <c r="AN67" i="1" s="1"/>
  <c r="AJ67" i="1"/>
  <c r="AK67" i="1" s="1"/>
  <c r="AG67" i="1"/>
  <c r="AH67" i="1" s="1"/>
  <c r="AD67" i="1"/>
  <c r="AE67" i="1" s="1"/>
  <c r="AA67" i="1"/>
  <c r="AB67" i="1" s="1"/>
  <c r="X67" i="1"/>
  <c r="Y67" i="1" s="1"/>
  <c r="U67" i="1"/>
  <c r="V67" i="1" s="1"/>
  <c r="R67" i="1"/>
  <c r="S67" i="1" s="1"/>
  <c r="O67" i="1"/>
  <c r="P67" i="1" s="1"/>
  <c r="L67" i="1"/>
  <c r="M67" i="1" s="1"/>
  <c r="J67" i="1"/>
  <c r="CV66" i="1"/>
  <c r="CT66" i="1"/>
  <c r="BT66" i="1"/>
  <c r="BU66" i="1" s="1"/>
  <c r="BQ66" i="1"/>
  <c r="BR66" i="1" s="1"/>
  <c r="BN66" i="1"/>
  <c r="BO66" i="1" s="1"/>
  <c r="BK66" i="1"/>
  <c r="BL66" i="1" s="1"/>
  <c r="BH66" i="1"/>
  <c r="BI66" i="1" s="1"/>
  <c r="BE66" i="1"/>
  <c r="BF66" i="1" s="1"/>
  <c r="BC66" i="1"/>
  <c r="AY66" i="1"/>
  <c r="AZ66" i="1" s="1"/>
  <c r="AV66" i="1"/>
  <c r="AW66" i="1" s="1"/>
  <c r="AS66" i="1"/>
  <c r="AT66" i="1" s="1"/>
  <c r="AP66" i="1"/>
  <c r="AQ66" i="1" s="1"/>
  <c r="AM66" i="1"/>
  <c r="AN66" i="1" s="1"/>
  <c r="AJ66" i="1"/>
  <c r="AK66" i="1" s="1"/>
  <c r="AG66" i="1"/>
  <c r="AH66" i="1" s="1"/>
  <c r="AD66" i="1"/>
  <c r="AE66" i="1" s="1"/>
  <c r="AA66" i="1"/>
  <c r="AB66" i="1" s="1"/>
  <c r="X66" i="1"/>
  <c r="Y66" i="1" s="1"/>
  <c r="U66" i="1"/>
  <c r="V66" i="1" s="1"/>
  <c r="R66" i="1"/>
  <c r="S66" i="1" s="1"/>
  <c r="O66" i="1"/>
  <c r="P66" i="1" s="1"/>
  <c r="L66" i="1"/>
  <c r="M66" i="1" s="1"/>
  <c r="J66" i="1"/>
  <c r="CV65" i="1"/>
  <c r="CT65" i="1"/>
  <c r="BT65" i="1"/>
  <c r="BU65" i="1" s="1"/>
  <c r="BQ65" i="1"/>
  <c r="BR65" i="1" s="1"/>
  <c r="BN65" i="1"/>
  <c r="BO65" i="1" s="1"/>
  <c r="BK65" i="1"/>
  <c r="BL65" i="1" s="1"/>
  <c r="BH65" i="1"/>
  <c r="BI65" i="1" s="1"/>
  <c r="BE65" i="1"/>
  <c r="BF65" i="1" s="1"/>
  <c r="BC65" i="1"/>
  <c r="AY65" i="1"/>
  <c r="AZ65" i="1" s="1"/>
  <c r="AV65" i="1"/>
  <c r="AW65" i="1" s="1"/>
  <c r="AS65" i="1"/>
  <c r="AT65" i="1" s="1"/>
  <c r="AP65" i="1"/>
  <c r="AQ65" i="1" s="1"/>
  <c r="AM65" i="1"/>
  <c r="AN65" i="1" s="1"/>
  <c r="AJ65" i="1"/>
  <c r="AK65" i="1" s="1"/>
  <c r="AG65" i="1"/>
  <c r="AH65" i="1" s="1"/>
  <c r="AD65" i="1"/>
  <c r="AE65" i="1" s="1"/>
  <c r="AA65" i="1"/>
  <c r="AB65" i="1" s="1"/>
  <c r="X65" i="1"/>
  <c r="Y65" i="1" s="1"/>
  <c r="U65" i="1"/>
  <c r="V65" i="1" s="1"/>
  <c r="R65" i="1"/>
  <c r="S65" i="1" s="1"/>
  <c r="O65" i="1"/>
  <c r="L65" i="1"/>
  <c r="M65" i="1" s="1"/>
  <c r="J65" i="1"/>
  <c r="CV64" i="1"/>
  <c r="CT64" i="1"/>
  <c r="BT64" i="1"/>
  <c r="BU64" i="1" s="1"/>
  <c r="BQ64" i="1"/>
  <c r="BR64" i="1" s="1"/>
  <c r="BN64" i="1"/>
  <c r="BO64" i="1" s="1"/>
  <c r="BK64" i="1"/>
  <c r="BL64" i="1" s="1"/>
  <c r="BH64" i="1"/>
  <c r="BI64" i="1" s="1"/>
  <c r="BE64" i="1"/>
  <c r="BF64" i="1" s="1"/>
  <c r="BC64" i="1"/>
  <c r="AY64" i="1"/>
  <c r="AZ64" i="1" s="1"/>
  <c r="AV64" i="1"/>
  <c r="AW64" i="1" s="1"/>
  <c r="AS64" i="1"/>
  <c r="AT64" i="1" s="1"/>
  <c r="AP64" i="1"/>
  <c r="AQ64" i="1" s="1"/>
  <c r="AM64" i="1"/>
  <c r="AN64" i="1" s="1"/>
  <c r="AJ64" i="1"/>
  <c r="AK64" i="1" s="1"/>
  <c r="AG64" i="1"/>
  <c r="AH64" i="1" s="1"/>
  <c r="AD64" i="1"/>
  <c r="AE64" i="1" s="1"/>
  <c r="AA64" i="1"/>
  <c r="AB64" i="1" s="1"/>
  <c r="X64" i="1"/>
  <c r="Y64" i="1" s="1"/>
  <c r="U64" i="1"/>
  <c r="V64" i="1" s="1"/>
  <c r="R64" i="1"/>
  <c r="S64" i="1" s="1"/>
  <c r="O64" i="1"/>
  <c r="P64" i="1" s="1"/>
  <c r="L64" i="1"/>
  <c r="M64" i="1" s="1"/>
  <c r="J64" i="1"/>
  <c r="CV63" i="1"/>
  <c r="CT63" i="1"/>
  <c r="BT63" i="1"/>
  <c r="BU63" i="1" s="1"/>
  <c r="BQ63" i="1"/>
  <c r="BR63" i="1" s="1"/>
  <c r="BN63" i="1"/>
  <c r="BO63" i="1" s="1"/>
  <c r="BK63" i="1"/>
  <c r="BL63" i="1" s="1"/>
  <c r="BH63" i="1"/>
  <c r="BI63" i="1" s="1"/>
  <c r="BE63" i="1"/>
  <c r="BF63" i="1" s="1"/>
  <c r="BC63" i="1"/>
  <c r="AY63" i="1"/>
  <c r="AZ63" i="1" s="1"/>
  <c r="AV63" i="1"/>
  <c r="AW63" i="1" s="1"/>
  <c r="AS63" i="1"/>
  <c r="AT63" i="1" s="1"/>
  <c r="AP63" i="1"/>
  <c r="AQ63" i="1" s="1"/>
  <c r="AM63" i="1"/>
  <c r="AN63" i="1" s="1"/>
  <c r="AJ63" i="1"/>
  <c r="AK63" i="1" s="1"/>
  <c r="AG63" i="1"/>
  <c r="AH63" i="1" s="1"/>
  <c r="AD63" i="1"/>
  <c r="AE63" i="1" s="1"/>
  <c r="AA63" i="1"/>
  <c r="AB63" i="1" s="1"/>
  <c r="X63" i="1"/>
  <c r="Y63" i="1" s="1"/>
  <c r="U63" i="1"/>
  <c r="V63" i="1" s="1"/>
  <c r="R63" i="1"/>
  <c r="S63" i="1" s="1"/>
  <c r="O63" i="1"/>
  <c r="P63" i="1" s="1"/>
  <c r="L63" i="1"/>
  <c r="M63" i="1" s="1"/>
  <c r="J63" i="1"/>
  <c r="CV62" i="1"/>
  <c r="CT62" i="1"/>
  <c r="BT62" i="1"/>
  <c r="BU62" i="1" s="1"/>
  <c r="BQ62" i="1"/>
  <c r="BR62" i="1" s="1"/>
  <c r="BN62" i="1"/>
  <c r="BO62" i="1" s="1"/>
  <c r="BK62" i="1"/>
  <c r="BL62" i="1" s="1"/>
  <c r="BH62" i="1"/>
  <c r="BI62" i="1" s="1"/>
  <c r="BE62" i="1"/>
  <c r="BF62" i="1" s="1"/>
  <c r="BC62" i="1"/>
  <c r="AY62" i="1"/>
  <c r="AZ62" i="1" s="1"/>
  <c r="AV62" i="1"/>
  <c r="AW62" i="1" s="1"/>
  <c r="AS62" i="1"/>
  <c r="AT62" i="1" s="1"/>
  <c r="AP62" i="1"/>
  <c r="AQ62" i="1" s="1"/>
  <c r="AM62" i="1"/>
  <c r="AN62" i="1" s="1"/>
  <c r="AJ62" i="1"/>
  <c r="AK62" i="1" s="1"/>
  <c r="AG62" i="1"/>
  <c r="AH62" i="1" s="1"/>
  <c r="AD62" i="1"/>
  <c r="AE62" i="1" s="1"/>
  <c r="AA62" i="1"/>
  <c r="AB62" i="1" s="1"/>
  <c r="X62" i="1"/>
  <c r="Y62" i="1" s="1"/>
  <c r="U62" i="1"/>
  <c r="V62" i="1" s="1"/>
  <c r="R62" i="1"/>
  <c r="S62" i="1" s="1"/>
  <c r="O62" i="1"/>
  <c r="P62" i="1" s="1"/>
  <c r="L62" i="1"/>
  <c r="M62" i="1" s="1"/>
  <c r="J62" i="1"/>
  <c r="CV61" i="1"/>
  <c r="CT61" i="1"/>
  <c r="BT61" i="1"/>
  <c r="BU61" i="1" s="1"/>
  <c r="BQ61" i="1"/>
  <c r="BR61" i="1" s="1"/>
  <c r="BN61" i="1"/>
  <c r="BO61" i="1" s="1"/>
  <c r="BK61" i="1"/>
  <c r="BL61" i="1" s="1"/>
  <c r="BH61" i="1"/>
  <c r="BI61" i="1" s="1"/>
  <c r="BE61" i="1"/>
  <c r="BF61" i="1" s="1"/>
  <c r="BC61" i="1"/>
  <c r="AY61" i="1"/>
  <c r="AZ61" i="1" s="1"/>
  <c r="AV61" i="1"/>
  <c r="AW61" i="1" s="1"/>
  <c r="AS61" i="1"/>
  <c r="AT61" i="1" s="1"/>
  <c r="AP61" i="1"/>
  <c r="AQ61" i="1" s="1"/>
  <c r="AM61" i="1"/>
  <c r="AN61" i="1" s="1"/>
  <c r="AJ61" i="1"/>
  <c r="AK61" i="1" s="1"/>
  <c r="AG61" i="1"/>
  <c r="AH61" i="1" s="1"/>
  <c r="AD61" i="1"/>
  <c r="AE61" i="1" s="1"/>
  <c r="AA61" i="1"/>
  <c r="AB61" i="1" s="1"/>
  <c r="X61" i="1"/>
  <c r="Y61" i="1" s="1"/>
  <c r="U61" i="1"/>
  <c r="V61" i="1" s="1"/>
  <c r="R61" i="1"/>
  <c r="S61" i="1" s="1"/>
  <c r="O61" i="1"/>
  <c r="P61" i="1" s="1"/>
  <c r="L61" i="1"/>
  <c r="M61" i="1" s="1"/>
  <c r="J61" i="1"/>
  <c r="CV60" i="1"/>
  <c r="CT60" i="1"/>
  <c r="BT60" i="1"/>
  <c r="BU60" i="1" s="1"/>
  <c r="BQ60" i="1"/>
  <c r="BR60" i="1" s="1"/>
  <c r="BN60" i="1"/>
  <c r="BO60" i="1" s="1"/>
  <c r="BK60" i="1"/>
  <c r="BL60" i="1" s="1"/>
  <c r="BH60" i="1"/>
  <c r="BI60" i="1" s="1"/>
  <c r="BE60" i="1"/>
  <c r="BF60" i="1" s="1"/>
  <c r="BC60" i="1"/>
  <c r="AY60" i="1"/>
  <c r="AZ60" i="1" s="1"/>
  <c r="AV60" i="1"/>
  <c r="AW60" i="1" s="1"/>
  <c r="AS60" i="1"/>
  <c r="AT60" i="1" s="1"/>
  <c r="AP60" i="1"/>
  <c r="AQ60" i="1" s="1"/>
  <c r="AM60" i="1"/>
  <c r="AN60" i="1" s="1"/>
  <c r="AJ60" i="1"/>
  <c r="AK60" i="1" s="1"/>
  <c r="AG60" i="1"/>
  <c r="AH60" i="1" s="1"/>
  <c r="AD60" i="1"/>
  <c r="AE60" i="1" s="1"/>
  <c r="AA60" i="1"/>
  <c r="AB60" i="1" s="1"/>
  <c r="X60" i="1"/>
  <c r="Y60" i="1" s="1"/>
  <c r="U60" i="1"/>
  <c r="V60" i="1" s="1"/>
  <c r="R60" i="1"/>
  <c r="S60" i="1" s="1"/>
  <c r="O60" i="1"/>
  <c r="P60" i="1" s="1"/>
  <c r="L60" i="1"/>
  <c r="M60" i="1" s="1"/>
  <c r="J60" i="1"/>
  <c r="CV59" i="1"/>
  <c r="CT59" i="1"/>
  <c r="BT59" i="1"/>
  <c r="BU59" i="1" s="1"/>
  <c r="BQ59" i="1"/>
  <c r="BR59" i="1" s="1"/>
  <c r="BN59" i="1"/>
  <c r="BO59" i="1" s="1"/>
  <c r="BK59" i="1"/>
  <c r="BL59" i="1" s="1"/>
  <c r="BH59" i="1"/>
  <c r="BI59" i="1" s="1"/>
  <c r="BE59" i="1"/>
  <c r="BF59" i="1" s="1"/>
  <c r="BC59" i="1"/>
  <c r="AY59" i="1"/>
  <c r="AZ59" i="1" s="1"/>
  <c r="AV59" i="1"/>
  <c r="AW59" i="1" s="1"/>
  <c r="AS59" i="1"/>
  <c r="AT59" i="1" s="1"/>
  <c r="AP59" i="1"/>
  <c r="AQ59" i="1" s="1"/>
  <c r="AM59" i="1"/>
  <c r="AN59" i="1" s="1"/>
  <c r="AJ59" i="1"/>
  <c r="AK59" i="1" s="1"/>
  <c r="AG59" i="1"/>
  <c r="AH59" i="1" s="1"/>
  <c r="AD59" i="1"/>
  <c r="AE59" i="1" s="1"/>
  <c r="AA59" i="1"/>
  <c r="AB59" i="1" s="1"/>
  <c r="X59" i="1"/>
  <c r="Y59" i="1" s="1"/>
  <c r="U59" i="1"/>
  <c r="V59" i="1" s="1"/>
  <c r="R59" i="1"/>
  <c r="S59" i="1" s="1"/>
  <c r="O59" i="1"/>
  <c r="P59" i="1" s="1"/>
  <c r="L59" i="1"/>
  <c r="M59" i="1" s="1"/>
  <c r="J59" i="1"/>
  <c r="CV58" i="1"/>
  <c r="CT58" i="1"/>
  <c r="BT58" i="1"/>
  <c r="BU58" i="1" s="1"/>
  <c r="BQ58" i="1"/>
  <c r="BR58" i="1" s="1"/>
  <c r="BN58" i="1"/>
  <c r="BO58" i="1" s="1"/>
  <c r="BK58" i="1"/>
  <c r="BL58" i="1" s="1"/>
  <c r="BH58" i="1"/>
  <c r="BI58" i="1" s="1"/>
  <c r="BE58" i="1"/>
  <c r="BF58" i="1" s="1"/>
  <c r="BC58" i="1"/>
  <c r="AY58" i="1"/>
  <c r="AZ58" i="1" s="1"/>
  <c r="AV58" i="1"/>
  <c r="AW58" i="1" s="1"/>
  <c r="AS58" i="1"/>
  <c r="AT58" i="1" s="1"/>
  <c r="AP58" i="1"/>
  <c r="AQ58" i="1" s="1"/>
  <c r="AM58" i="1"/>
  <c r="AN58" i="1" s="1"/>
  <c r="AJ58" i="1"/>
  <c r="AK58" i="1" s="1"/>
  <c r="AG58" i="1"/>
  <c r="AH58" i="1" s="1"/>
  <c r="AD58" i="1"/>
  <c r="AE58" i="1" s="1"/>
  <c r="AA58" i="1"/>
  <c r="AB58" i="1" s="1"/>
  <c r="X58" i="1"/>
  <c r="Y58" i="1" s="1"/>
  <c r="U58" i="1"/>
  <c r="V58" i="1" s="1"/>
  <c r="R58" i="1"/>
  <c r="S58" i="1" s="1"/>
  <c r="O58" i="1"/>
  <c r="P58" i="1" s="1"/>
  <c r="L58" i="1"/>
  <c r="M58" i="1" s="1"/>
  <c r="J58" i="1"/>
  <c r="CV57" i="1"/>
  <c r="CT57" i="1"/>
  <c r="BT57" i="1"/>
  <c r="BU57" i="1" s="1"/>
  <c r="BQ57" i="1"/>
  <c r="BR57" i="1" s="1"/>
  <c r="BN57" i="1"/>
  <c r="BO57" i="1" s="1"/>
  <c r="BK57" i="1"/>
  <c r="BL57" i="1" s="1"/>
  <c r="BH57" i="1"/>
  <c r="BI57" i="1" s="1"/>
  <c r="BE57" i="1"/>
  <c r="BF57" i="1" s="1"/>
  <c r="BC57" i="1"/>
  <c r="AY57" i="1"/>
  <c r="AZ57" i="1" s="1"/>
  <c r="AV57" i="1"/>
  <c r="AW57" i="1" s="1"/>
  <c r="AS57" i="1"/>
  <c r="AT57" i="1" s="1"/>
  <c r="AP57" i="1"/>
  <c r="AQ57" i="1" s="1"/>
  <c r="AM57" i="1"/>
  <c r="AN57" i="1" s="1"/>
  <c r="AJ57" i="1"/>
  <c r="AK57" i="1" s="1"/>
  <c r="AG57" i="1"/>
  <c r="AH57" i="1" s="1"/>
  <c r="AD57" i="1"/>
  <c r="AE57" i="1" s="1"/>
  <c r="AA57" i="1"/>
  <c r="AB57" i="1" s="1"/>
  <c r="X57" i="1"/>
  <c r="Y57" i="1" s="1"/>
  <c r="U57" i="1"/>
  <c r="V57" i="1" s="1"/>
  <c r="R57" i="1"/>
  <c r="S57" i="1" s="1"/>
  <c r="O57" i="1"/>
  <c r="P57" i="1" s="1"/>
  <c r="L57" i="1"/>
  <c r="M57" i="1" s="1"/>
  <c r="J57" i="1"/>
  <c r="CV56" i="1"/>
  <c r="CT56" i="1"/>
  <c r="BT56" i="1"/>
  <c r="BU56" i="1" s="1"/>
  <c r="BQ56" i="1"/>
  <c r="BR56" i="1" s="1"/>
  <c r="BN56" i="1"/>
  <c r="BO56" i="1" s="1"/>
  <c r="BK56" i="1"/>
  <c r="BL56" i="1" s="1"/>
  <c r="BH56" i="1"/>
  <c r="BI56" i="1" s="1"/>
  <c r="BE56" i="1"/>
  <c r="BF56" i="1" s="1"/>
  <c r="BC56" i="1"/>
  <c r="AY56" i="1"/>
  <c r="AZ56" i="1" s="1"/>
  <c r="AV56" i="1"/>
  <c r="AW56" i="1" s="1"/>
  <c r="AS56" i="1"/>
  <c r="AT56" i="1" s="1"/>
  <c r="AP56" i="1"/>
  <c r="AQ56" i="1" s="1"/>
  <c r="AM56" i="1"/>
  <c r="AN56" i="1" s="1"/>
  <c r="AJ56" i="1"/>
  <c r="AK56" i="1" s="1"/>
  <c r="AG56" i="1"/>
  <c r="AH56" i="1" s="1"/>
  <c r="AD56" i="1"/>
  <c r="AE56" i="1" s="1"/>
  <c r="AA56" i="1"/>
  <c r="AB56" i="1" s="1"/>
  <c r="X56" i="1"/>
  <c r="Y56" i="1" s="1"/>
  <c r="U56" i="1"/>
  <c r="V56" i="1" s="1"/>
  <c r="R56" i="1"/>
  <c r="S56" i="1" s="1"/>
  <c r="O56" i="1"/>
  <c r="P56" i="1" s="1"/>
  <c r="L56" i="1"/>
  <c r="M56" i="1" s="1"/>
  <c r="J56" i="1"/>
  <c r="CV55" i="1"/>
  <c r="CT55" i="1"/>
  <c r="BT55" i="1"/>
  <c r="BU55" i="1" s="1"/>
  <c r="BQ55" i="1"/>
  <c r="BR55" i="1" s="1"/>
  <c r="BN55" i="1"/>
  <c r="BO55" i="1" s="1"/>
  <c r="BK55" i="1"/>
  <c r="BL55" i="1" s="1"/>
  <c r="BH55" i="1"/>
  <c r="BI55" i="1" s="1"/>
  <c r="BE55" i="1"/>
  <c r="BF55" i="1" s="1"/>
  <c r="BC55" i="1"/>
  <c r="AY55" i="1"/>
  <c r="AZ55" i="1" s="1"/>
  <c r="AV55" i="1"/>
  <c r="AW55" i="1" s="1"/>
  <c r="AS55" i="1"/>
  <c r="AT55" i="1" s="1"/>
  <c r="AP55" i="1"/>
  <c r="AQ55" i="1" s="1"/>
  <c r="AM55" i="1"/>
  <c r="AN55" i="1" s="1"/>
  <c r="AJ55" i="1"/>
  <c r="AK55" i="1" s="1"/>
  <c r="AG55" i="1"/>
  <c r="AH55" i="1" s="1"/>
  <c r="AD55" i="1"/>
  <c r="AE55" i="1" s="1"/>
  <c r="AA55" i="1"/>
  <c r="AB55" i="1" s="1"/>
  <c r="X55" i="1"/>
  <c r="Y55" i="1" s="1"/>
  <c r="U55" i="1"/>
  <c r="V55" i="1" s="1"/>
  <c r="R55" i="1"/>
  <c r="S55" i="1" s="1"/>
  <c r="O55" i="1"/>
  <c r="P55" i="1" s="1"/>
  <c r="L55" i="1"/>
  <c r="M55" i="1" s="1"/>
  <c r="J55" i="1"/>
  <c r="CV54" i="1"/>
  <c r="CT54" i="1"/>
  <c r="BT54" i="1"/>
  <c r="BU54" i="1" s="1"/>
  <c r="BQ54" i="1"/>
  <c r="BR54" i="1" s="1"/>
  <c r="BN54" i="1"/>
  <c r="BO54" i="1" s="1"/>
  <c r="BK54" i="1"/>
  <c r="BL54" i="1" s="1"/>
  <c r="BH54" i="1"/>
  <c r="BI54" i="1" s="1"/>
  <c r="BE54" i="1"/>
  <c r="BF54" i="1" s="1"/>
  <c r="BC54" i="1"/>
  <c r="AY54" i="1"/>
  <c r="AZ54" i="1" s="1"/>
  <c r="AV54" i="1"/>
  <c r="AW54" i="1" s="1"/>
  <c r="AS54" i="1"/>
  <c r="AT54" i="1" s="1"/>
  <c r="AP54" i="1"/>
  <c r="AQ54" i="1" s="1"/>
  <c r="AM54" i="1"/>
  <c r="AN54" i="1" s="1"/>
  <c r="AJ54" i="1"/>
  <c r="AK54" i="1" s="1"/>
  <c r="AG54" i="1"/>
  <c r="AH54" i="1" s="1"/>
  <c r="AD54" i="1"/>
  <c r="AE54" i="1" s="1"/>
  <c r="AA54" i="1"/>
  <c r="AB54" i="1" s="1"/>
  <c r="X54" i="1"/>
  <c r="Y54" i="1" s="1"/>
  <c r="U54" i="1"/>
  <c r="V54" i="1" s="1"/>
  <c r="R54" i="1"/>
  <c r="S54" i="1" s="1"/>
  <c r="O54" i="1"/>
  <c r="P54" i="1" s="1"/>
  <c r="L54" i="1"/>
  <c r="M54" i="1" s="1"/>
  <c r="J54" i="1"/>
  <c r="CV53" i="1"/>
  <c r="CT53" i="1"/>
  <c r="BT53" i="1"/>
  <c r="BU53" i="1" s="1"/>
  <c r="BQ53" i="1"/>
  <c r="BR53" i="1" s="1"/>
  <c r="BN53" i="1"/>
  <c r="BO53" i="1" s="1"/>
  <c r="BK53" i="1"/>
  <c r="BL53" i="1" s="1"/>
  <c r="BH53" i="1"/>
  <c r="BI53" i="1" s="1"/>
  <c r="BE53" i="1"/>
  <c r="BF53" i="1" s="1"/>
  <c r="BC53" i="1"/>
  <c r="AY53" i="1"/>
  <c r="AZ53" i="1" s="1"/>
  <c r="AV53" i="1"/>
  <c r="AW53" i="1" s="1"/>
  <c r="AS53" i="1"/>
  <c r="AT53" i="1" s="1"/>
  <c r="AP53" i="1"/>
  <c r="AQ53" i="1" s="1"/>
  <c r="AM53" i="1"/>
  <c r="AN53" i="1" s="1"/>
  <c r="AJ53" i="1"/>
  <c r="AK53" i="1" s="1"/>
  <c r="AG53" i="1"/>
  <c r="AH53" i="1" s="1"/>
  <c r="AD53" i="1"/>
  <c r="AE53" i="1" s="1"/>
  <c r="AA53" i="1"/>
  <c r="AB53" i="1" s="1"/>
  <c r="X53" i="1"/>
  <c r="Y53" i="1" s="1"/>
  <c r="U53" i="1"/>
  <c r="V53" i="1" s="1"/>
  <c r="R53" i="1"/>
  <c r="S53" i="1" s="1"/>
  <c r="O53" i="1"/>
  <c r="P53" i="1" s="1"/>
  <c r="L53" i="1"/>
  <c r="M53" i="1" s="1"/>
  <c r="J53" i="1"/>
  <c r="CV52" i="1"/>
  <c r="CT52" i="1"/>
  <c r="BT52" i="1"/>
  <c r="BU52" i="1" s="1"/>
  <c r="BQ52" i="1"/>
  <c r="BR52" i="1" s="1"/>
  <c r="BN52" i="1"/>
  <c r="BO52" i="1" s="1"/>
  <c r="BK52" i="1"/>
  <c r="BL52" i="1" s="1"/>
  <c r="BH52" i="1"/>
  <c r="BI52" i="1" s="1"/>
  <c r="BE52" i="1"/>
  <c r="BF52" i="1" s="1"/>
  <c r="BC52" i="1"/>
  <c r="AY52" i="1"/>
  <c r="AZ52" i="1" s="1"/>
  <c r="AV52" i="1"/>
  <c r="AW52" i="1" s="1"/>
  <c r="AS52" i="1"/>
  <c r="AT52" i="1" s="1"/>
  <c r="AP52" i="1"/>
  <c r="AQ52" i="1" s="1"/>
  <c r="AM52" i="1"/>
  <c r="AN52" i="1" s="1"/>
  <c r="AJ52" i="1"/>
  <c r="AK52" i="1" s="1"/>
  <c r="AG52" i="1"/>
  <c r="AH52" i="1" s="1"/>
  <c r="AD52" i="1"/>
  <c r="AE52" i="1" s="1"/>
  <c r="AA52" i="1"/>
  <c r="AB52" i="1" s="1"/>
  <c r="X52" i="1"/>
  <c r="Y52" i="1" s="1"/>
  <c r="U52" i="1"/>
  <c r="V52" i="1" s="1"/>
  <c r="R52" i="1"/>
  <c r="S52" i="1" s="1"/>
  <c r="O52" i="1"/>
  <c r="P52" i="1" s="1"/>
  <c r="L52" i="1"/>
  <c r="M52" i="1" s="1"/>
  <c r="J52" i="1"/>
  <c r="CV51" i="1"/>
  <c r="CT51" i="1"/>
  <c r="BT51" i="1"/>
  <c r="BU51" i="1" s="1"/>
  <c r="BQ51" i="1"/>
  <c r="BR51" i="1" s="1"/>
  <c r="BN51" i="1"/>
  <c r="BO51" i="1" s="1"/>
  <c r="BK51" i="1"/>
  <c r="BL51" i="1" s="1"/>
  <c r="BH51" i="1"/>
  <c r="BI51" i="1" s="1"/>
  <c r="BE51" i="1"/>
  <c r="BF51" i="1" s="1"/>
  <c r="BC51" i="1"/>
  <c r="AY51" i="1"/>
  <c r="AZ51" i="1" s="1"/>
  <c r="AV51" i="1"/>
  <c r="AW51" i="1" s="1"/>
  <c r="AS51" i="1"/>
  <c r="AT51" i="1" s="1"/>
  <c r="AP51" i="1"/>
  <c r="AQ51" i="1" s="1"/>
  <c r="AM51" i="1"/>
  <c r="AN51" i="1" s="1"/>
  <c r="AJ51" i="1"/>
  <c r="AK51" i="1" s="1"/>
  <c r="AG51" i="1"/>
  <c r="AH51" i="1" s="1"/>
  <c r="AD51" i="1"/>
  <c r="AE51" i="1" s="1"/>
  <c r="AA51" i="1"/>
  <c r="AB51" i="1" s="1"/>
  <c r="X51" i="1"/>
  <c r="Y51" i="1" s="1"/>
  <c r="U51" i="1"/>
  <c r="V51" i="1" s="1"/>
  <c r="R51" i="1"/>
  <c r="S51" i="1" s="1"/>
  <c r="O51" i="1"/>
  <c r="P51" i="1" s="1"/>
  <c r="L51" i="1"/>
  <c r="M51" i="1" s="1"/>
  <c r="J51" i="1"/>
  <c r="CV50" i="1"/>
  <c r="CT50" i="1"/>
  <c r="BT50" i="1"/>
  <c r="BU50" i="1" s="1"/>
  <c r="BQ50" i="1"/>
  <c r="BR50" i="1" s="1"/>
  <c r="BN50" i="1"/>
  <c r="BO50" i="1" s="1"/>
  <c r="BK50" i="1"/>
  <c r="BL50" i="1" s="1"/>
  <c r="BH50" i="1"/>
  <c r="BI50" i="1" s="1"/>
  <c r="BE50" i="1"/>
  <c r="BF50" i="1" s="1"/>
  <c r="BC50" i="1"/>
  <c r="AY50" i="1"/>
  <c r="AZ50" i="1" s="1"/>
  <c r="AV50" i="1"/>
  <c r="AW50" i="1" s="1"/>
  <c r="AS50" i="1"/>
  <c r="AT50" i="1" s="1"/>
  <c r="AP50" i="1"/>
  <c r="AQ50" i="1" s="1"/>
  <c r="AM50" i="1"/>
  <c r="AN50" i="1" s="1"/>
  <c r="AJ50" i="1"/>
  <c r="AK50" i="1" s="1"/>
  <c r="AG50" i="1"/>
  <c r="AH50" i="1" s="1"/>
  <c r="AD50" i="1"/>
  <c r="AE50" i="1" s="1"/>
  <c r="AA50" i="1"/>
  <c r="AB50" i="1" s="1"/>
  <c r="X50" i="1"/>
  <c r="Y50" i="1" s="1"/>
  <c r="U50" i="1"/>
  <c r="V50" i="1" s="1"/>
  <c r="R50" i="1"/>
  <c r="S50" i="1" s="1"/>
  <c r="O50" i="1"/>
  <c r="P50" i="1" s="1"/>
  <c r="L50" i="1"/>
  <c r="M50" i="1" s="1"/>
  <c r="J50" i="1"/>
  <c r="CV49" i="1"/>
  <c r="CT49" i="1"/>
  <c r="BT49" i="1"/>
  <c r="BU49" i="1" s="1"/>
  <c r="BQ49" i="1"/>
  <c r="BR49" i="1" s="1"/>
  <c r="BN49" i="1"/>
  <c r="BO49" i="1" s="1"/>
  <c r="BK49" i="1"/>
  <c r="BL49" i="1" s="1"/>
  <c r="BH49" i="1"/>
  <c r="BI49" i="1" s="1"/>
  <c r="BE49" i="1"/>
  <c r="BF49" i="1" s="1"/>
  <c r="BC49" i="1"/>
  <c r="AY49" i="1"/>
  <c r="AZ49" i="1" s="1"/>
  <c r="AV49" i="1"/>
  <c r="AW49" i="1" s="1"/>
  <c r="AS49" i="1"/>
  <c r="AT49" i="1" s="1"/>
  <c r="AP49" i="1"/>
  <c r="AQ49" i="1" s="1"/>
  <c r="AM49" i="1"/>
  <c r="AN49" i="1" s="1"/>
  <c r="AJ49" i="1"/>
  <c r="AK49" i="1" s="1"/>
  <c r="AG49" i="1"/>
  <c r="AH49" i="1" s="1"/>
  <c r="AD49" i="1"/>
  <c r="AE49" i="1" s="1"/>
  <c r="AA49" i="1"/>
  <c r="AB49" i="1" s="1"/>
  <c r="X49" i="1"/>
  <c r="Y49" i="1" s="1"/>
  <c r="U49" i="1"/>
  <c r="V49" i="1" s="1"/>
  <c r="R49" i="1"/>
  <c r="S49" i="1" s="1"/>
  <c r="O49" i="1"/>
  <c r="P49" i="1" s="1"/>
  <c r="L49" i="1"/>
  <c r="M49" i="1" s="1"/>
  <c r="J49" i="1"/>
  <c r="CV48" i="1"/>
  <c r="CT48" i="1"/>
  <c r="BT48" i="1"/>
  <c r="BU48" i="1" s="1"/>
  <c r="BQ48" i="1"/>
  <c r="BR48" i="1" s="1"/>
  <c r="BN48" i="1"/>
  <c r="BO48" i="1" s="1"/>
  <c r="BK48" i="1"/>
  <c r="BL48" i="1" s="1"/>
  <c r="BH48" i="1"/>
  <c r="BI48" i="1" s="1"/>
  <c r="BE48" i="1"/>
  <c r="BF48" i="1" s="1"/>
  <c r="BC48" i="1"/>
  <c r="AY48" i="1"/>
  <c r="AZ48" i="1" s="1"/>
  <c r="AV48" i="1"/>
  <c r="AW48" i="1" s="1"/>
  <c r="AS48" i="1"/>
  <c r="AT48" i="1" s="1"/>
  <c r="AP48" i="1"/>
  <c r="AQ48" i="1" s="1"/>
  <c r="AM48" i="1"/>
  <c r="AN48" i="1" s="1"/>
  <c r="AJ48" i="1"/>
  <c r="AK48" i="1" s="1"/>
  <c r="AG48" i="1"/>
  <c r="AH48" i="1" s="1"/>
  <c r="AD48" i="1"/>
  <c r="AE48" i="1" s="1"/>
  <c r="AA48" i="1"/>
  <c r="AB48" i="1" s="1"/>
  <c r="X48" i="1"/>
  <c r="Y48" i="1" s="1"/>
  <c r="U48" i="1"/>
  <c r="V48" i="1" s="1"/>
  <c r="R48" i="1"/>
  <c r="S48" i="1" s="1"/>
  <c r="O48" i="1"/>
  <c r="P48" i="1" s="1"/>
  <c r="L48" i="1"/>
  <c r="M48" i="1" s="1"/>
  <c r="J48" i="1"/>
  <c r="CV47" i="1"/>
  <c r="CT47" i="1"/>
  <c r="BT47" i="1"/>
  <c r="BU47" i="1" s="1"/>
  <c r="BQ47" i="1"/>
  <c r="BR47" i="1" s="1"/>
  <c r="BN47" i="1"/>
  <c r="BO47" i="1" s="1"/>
  <c r="BK47" i="1"/>
  <c r="BL47" i="1" s="1"/>
  <c r="BH47" i="1"/>
  <c r="BI47" i="1" s="1"/>
  <c r="BE47" i="1"/>
  <c r="BF47" i="1" s="1"/>
  <c r="BC47" i="1"/>
  <c r="AY47" i="1"/>
  <c r="AZ47" i="1" s="1"/>
  <c r="AV47" i="1"/>
  <c r="AW47" i="1" s="1"/>
  <c r="AS47" i="1"/>
  <c r="AT47" i="1" s="1"/>
  <c r="AP47" i="1"/>
  <c r="AQ47" i="1" s="1"/>
  <c r="AM47" i="1"/>
  <c r="AN47" i="1" s="1"/>
  <c r="AJ47" i="1"/>
  <c r="AK47" i="1" s="1"/>
  <c r="AG47" i="1"/>
  <c r="AH47" i="1" s="1"/>
  <c r="AD47" i="1"/>
  <c r="AE47" i="1" s="1"/>
  <c r="AA47" i="1"/>
  <c r="AB47" i="1" s="1"/>
  <c r="X47" i="1"/>
  <c r="Y47" i="1" s="1"/>
  <c r="U47" i="1"/>
  <c r="V47" i="1" s="1"/>
  <c r="R47" i="1"/>
  <c r="S47" i="1" s="1"/>
  <c r="O47" i="1"/>
  <c r="P47" i="1" s="1"/>
  <c r="L47" i="1"/>
  <c r="M47" i="1" s="1"/>
  <c r="J47" i="1"/>
  <c r="CV46" i="1"/>
  <c r="CT46" i="1"/>
  <c r="BT46" i="1"/>
  <c r="BU46" i="1" s="1"/>
  <c r="BQ46" i="1"/>
  <c r="BR46" i="1" s="1"/>
  <c r="BN46" i="1"/>
  <c r="BO46" i="1" s="1"/>
  <c r="BK46" i="1"/>
  <c r="BL46" i="1" s="1"/>
  <c r="BH46" i="1"/>
  <c r="BI46" i="1" s="1"/>
  <c r="BE46" i="1"/>
  <c r="BF46" i="1" s="1"/>
  <c r="BC46" i="1"/>
  <c r="AY46" i="1"/>
  <c r="AZ46" i="1" s="1"/>
  <c r="AV46" i="1"/>
  <c r="AW46" i="1" s="1"/>
  <c r="AS46" i="1"/>
  <c r="AT46" i="1" s="1"/>
  <c r="AP46" i="1"/>
  <c r="AQ46" i="1" s="1"/>
  <c r="AM46" i="1"/>
  <c r="AN46" i="1" s="1"/>
  <c r="AJ46" i="1"/>
  <c r="AK46" i="1" s="1"/>
  <c r="AG46" i="1"/>
  <c r="AH46" i="1" s="1"/>
  <c r="AD46" i="1"/>
  <c r="AE46" i="1" s="1"/>
  <c r="AA46" i="1"/>
  <c r="AB46" i="1" s="1"/>
  <c r="X46" i="1"/>
  <c r="Y46" i="1" s="1"/>
  <c r="U46" i="1"/>
  <c r="V46" i="1" s="1"/>
  <c r="R46" i="1"/>
  <c r="S46" i="1" s="1"/>
  <c r="O46" i="1"/>
  <c r="P46" i="1" s="1"/>
  <c r="L46" i="1"/>
  <c r="M46" i="1" s="1"/>
  <c r="J46" i="1"/>
  <c r="CV45" i="1"/>
  <c r="CT45" i="1"/>
  <c r="BT45" i="1"/>
  <c r="BU45" i="1" s="1"/>
  <c r="BQ45" i="1"/>
  <c r="BR45" i="1" s="1"/>
  <c r="BN45" i="1"/>
  <c r="BO45" i="1" s="1"/>
  <c r="BK45" i="1"/>
  <c r="BL45" i="1" s="1"/>
  <c r="BH45" i="1"/>
  <c r="BI45" i="1" s="1"/>
  <c r="BE45" i="1"/>
  <c r="BF45" i="1" s="1"/>
  <c r="BC45" i="1"/>
  <c r="AY45" i="1"/>
  <c r="AZ45" i="1" s="1"/>
  <c r="AV45" i="1"/>
  <c r="AW45" i="1" s="1"/>
  <c r="AS45" i="1"/>
  <c r="AT45" i="1" s="1"/>
  <c r="AP45" i="1"/>
  <c r="AQ45" i="1" s="1"/>
  <c r="AM45" i="1"/>
  <c r="AN45" i="1" s="1"/>
  <c r="AJ45" i="1"/>
  <c r="AK45" i="1" s="1"/>
  <c r="AG45" i="1"/>
  <c r="AH45" i="1" s="1"/>
  <c r="AD45" i="1"/>
  <c r="AE45" i="1" s="1"/>
  <c r="AA45" i="1"/>
  <c r="AB45" i="1" s="1"/>
  <c r="X45" i="1"/>
  <c r="Y45" i="1" s="1"/>
  <c r="U45" i="1"/>
  <c r="V45" i="1" s="1"/>
  <c r="R45" i="1"/>
  <c r="S45" i="1" s="1"/>
  <c r="O45" i="1"/>
  <c r="P45" i="1" s="1"/>
  <c r="L45" i="1"/>
  <c r="M45" i="1" s="1"/>
  <c r="J45" i="1"/>
  <c r="CV44" i="1"/>
  <c r="CT44" i="1"/>
  <c r="BT44" i="1"/>
  <c r="BU44" i="1" s="1"/>
  <c r="BQ44" i="1"/>
  <c r="BR44" i="1" s="1"/>
  <c r="BN44" i="1"/>
  <c r="BO44" i="1" s="1"/>
  <c r="BK44" i="1"/>
  <c r="BL44" i="1" s="1"/>
  <c r="BH44" i="1"/>
  <c r="BI44" i="1" s="1"/>
  <c r="BE44" i="1"/>
  <c r="BF44" i="1" s="1"/>
  <c r="BC44" i="1"/>
  <c r="AY44" i="1"/>
  <c r="AZ44" i="1" s="1"/>
  <c r="AV44" i="1"/>
  <c r="AW44" i="1" s="1"/>
  <c r="AS44" i="1"/>
  <c r="AT44" i="1" s="1"/>
  <c r="AP44" i="1"/>
  <c r="AQ44" i="1" s="1"/>
  <c r="AM44" i="1"/>
  <c r="AN44" i="1" s="1"/>
  <c r="AJ44" i="1"/>
  <c r="AK44" i="1" s="1"/>
  <c r="AG44" i="1"/>
  <c r="AH44" i="1" s="1"/>
  <c r="AD44" i="1"/>
  <c r="AE44" i="1" s="1"/>
  <c r="AA44" i="1"/>
  <c r="AB44" i="1" s="1"/>
  <c r="X44" i="1"/>
  <c r="Y44" i="1" s="1"/>
  <c r="U44" i="1"/>
  <c r="V44" i="1" s="1"/>
  <c r="R44" i="1"/>
  <c r="S44" i="1" s="1"/>
  <c r="O44" i="1"/>
  <c r="P44" i="1" s="1"/>
  <c r="L44" i="1"/>
  <c r="M44" i="1" s="1"/>
  <c r="J44" i="1"/>
  <c r="CV43" i="1"/>
  <c r="CT43" i="1"/>
  <c r="BT43" i="1"/>
  <c r="BU43" i="1" s="1"/>
  <c r="BQ43" i="1"/>
  <c r="BR43" i="1" s="1"/>
  <c r="BN43" i="1"/>
  <c r="BO43" i="1" s="1"/>
  <c r="BK43" i="1"/>
  <c r="BL43" i="1" s="1"/>
  <c r="BH43" i="1"/>
  <c r="BI43" i="1" s="1"/>
  <c r="BE43" i="1"/>
  <c r="BF43" i="1" s="1"/>
  <c r="BC43" i="1"/>
  <c r="AY43" i="1"/>
  <c r="AZ43" i="1" s="1"/>
  <c r="AV43" i="1"/>
  <c r="AW43" i="1" s="1"/>
  <c r="AS43" i="1"/>
  <c r="AT43" i="1" s="1"/>
  <c r="AP43" i="1"/>
  <c r="AQ43" i="1" s="1"/>
  <c r="AM43" i="1"/>
  <c r="AN43" i="1" s="1"/>
  <c r="AJ43" i="1"/>
  <c r="AK43" i="1" s="1"/>
  <c r="AG43" i="1"/>
  <c r="AH43" i="1" s="1"/>
  <c r="AD43" i="1"/>
  <c r="AE43" i="1" s="1"/>
  <c r="AA43" i="1"/>
  <c r="AB43" i="1" s="1"/>
  <c r="X43" i="1"/>
  <c r="Y43" i="1" s="1"/>
  <c r="U43" i="1"/>
  <c r="V43" i="1" s="1"/>
  <c r="R43" i="1"/>
  <c r="S43" i="1" s="1"/>
  <c r="O43" i="1"/>
  <c r="P43" i="1" s="1"/>
  <c r="L43" i="1"/>
  <c r="M43" i="1" s="1"/>
  <c r="J43" i="1"/>
  <c r="CV42" i="1"/>
  <c r="CT42" i="1"/>
  <c r="BT42" i="1"/>
  <c r="BU42" i="1" s="1"/>
  <c r="BQ42" i="1"/>
  <c r="BR42" i="1" s="1"/>
  <c r="BN42" i="1"/>
  <c r="BO42" i="1" s="1"/>
  <c r="BK42" i="1"/>
  <c r="BL42" i="1" s="1"/>
  <c r="BH42" i="1"/>
  <c r="BI42" i="1" s="1"/>
  <c r="BE42" i="1"/>
  <c r="BF42" i="1" s="1"/>
  <c r="BC42" i="1"/>
  <c r="AY42" i="1"/>
  <c r="AZ42" i="1" s="1"/>
  <c r="AV42" i="1"/>
  <c r="AW42" i="1" s="1"/>
  <c r="AS42" i="1"/>
  <c r="AT42" i="1" s="1"/>
  <c r="AP42" i="1"/>
  <c r="AQ42" i="1" s="1"/>
  <c r="AM42" i="1"/>
  <c r="AN42" i="1" s="1"/>
  <c r="AJ42" i="1"/>
  <c r="AK42" i="1" s="1"/>
  <c r="AG42" i="1"/>
  <c r="AH42" i="1" s="1"/>
  <c r="AD42" i="1"/>
  <c r="AE42" i="1" s="1"/>
  <c r="AA42" i="1"/>
  <c r="AB42" i="1" s="1"/>
  <c r="X42" i="1"/>
  <c r="Y42" i="1" s="1"/>
  <c r="U42" i="1"/>
  <c r="V42" i="1" s="1"/>
  <c r="R42" i="1"/>
  <c r="S42" i="1" s="1"/>
  <c r="O42" i="1"/>
  <c r="P42" i="1" s="1"/>
  <c r="L42" i="1"/>
  <c r="M42" i="1" s="1"/>
  <c r="J42" i="1"/>
  <c r="CV41" i="1"/>
  <c r="CT41" i="1"/>
  <c r="BT41" i="1"/>
  <c r="BU41" i="1" s="1"/>
  <c r="BQ41" i="1"/>
  <c r="BR41" i="1" s="1"/>
  <c r="BN41" i="1"/>
  <c r="BO41" i="1" s="1"/>
  <c r="BK41" i="1"/>
  <c r="BL41" i="1" s="1"/>
  <c r="BH41" i="1"/>
  <c r="BI41" i="1" s="1"/>
  <c r="BE41" i="1"/>
  <c r="BF41" i="1" s="1"/>
  <c r="BC41" i="1"/>
  <c r="AY41" i="1"/>
  <c r="AZ41" i="1" s="1"/>
  <c r="AV41" i="1"/>
  <c r="AW41" i="1" s="1"/>
  <c r="AS41" i="1"/>
  <c r="AT41" i="1" s="1"/>
  <c r="AP41" i="1"/>
  <c r="AQ41" i="1" s="1"/>
  <c r="AM41" i="1"/>
  <c r="AN41" i="1" s="1"/>
  <c r="AJ41" i="1"/>
  <c r="AK41" i="1" s="1"/>
  <c r="AG41" i="1"/>
  <c r="AH41" i="1" s="1"/>
  <c r="AD41" i="1"/>
  <c r="AE41" i="1" s="1"/>
  <c r="AA41" i="1"/>
  <c r="AB41" i="1" s="1"/>
  <c r="X41" i="1"/>
  <c r="Y41" i="1" s="1"/>
  <c r="U41" i="1"/>
  <c r="V41" i="1" s="1"/>
  <c r="R41" i="1"/>
  <c r="S41" i="1" s="1"/>
  <c r="O41" i="1"/>
  <c r="P41" i="1" s="1"/>
  <c r="L41" i="1"/>
  <c r="M41" i="1" s="1"/>
  <c r="J41" i="1"/>
  <c r="CV40" i="1"/>
  <c r="CT40" i="1"/>
  <c r="BT40" i="1"/>
  <c r="BU40" i="1" s="1"/>
  <c r="BQ40" i="1"/>
  <c r="BR40" i="1" s="1"/>
  <c r="BN40" i="1"/>
  <c r="BO40" i="1" s="1"/>
  <c r="BK40" i="1"/>
  <c r="BL40" i="1" s="1"/>
  <c r="BH40" i="1"/>
  <c r="BI40" i="1" s="1"/>
  <c r="BE40" i="1"/>
  <c r="BF40" i="1" s="1"/>
  <c r="BC40" i="1"/>
  <c r="AY40" i="1"/>
  <c r="AZ40" i="1" s="1"/>
  <c r="AV40" i="1"/>
  <c r="AW40" i="1" s="1"/>
  <c r="AS40" i="1"/>
  <c r="AT40" i="1" s="1"/>
  <c r="AP40" i="1"/>
  <c r="AQ40" i="1" s="1"/>
  <c r="AM40" i="1"/>
  <c r="AN40" i="1" s="1"/>
  <c r="AJ40" i="1"/>
  <c r="AK40" i="1" s="1"/>
  <c r="AG40" i="1"/>
  <c r="AH40" i="1" s="1"/>
  <c r="AD40" i="1"/>
  <c r="AE40" i="1" s="1"/>
  <c r="AA40" i="1"/>
  <c r="AB40" i="1" s="1"/>
  <c r="X40" i="1"/>
  <c r="Y40" i="1" s="1"/>
  <c r="U40" i="1"/>
  <c r="V40" i="1" s="1"/>
  <c r="R40" i="1"/>
  <c r="S40" i="1" s="1"/>
  <c r="O40" i="1"/>
  <c r="P40" i="1" s="1"/>
  <c r="L40" i="1"/>
  <c r="M40" i="1" s="1"/>
  <c r="J40" i="1"/>
  <c r="CV39" i="1"/>
  <c r="CT39" i="1"/>
  <c r="BT39" i="1"/>
  <c r="BU39" i="1" s="1"/>
  <c r="BQ39" i="1"/>
  <c r="BR39" i="1" s="1"/>
  <c r="BN39" i="1"/>
  <c r="BO39" i="1" s="1"/>
  <c r="BK39" i="1"/>
  <c r="BL39" i="1" s="1"/>
  <c r="BH39" i="1"/>
  <c r="BI39" i="1" s="1"/>
  <c r="BE39" i="1"/>
  <c r="BF39" i="1" s="1"/>
  <c r="BC39" i="1"/>
  <c r="AY39" i="1"/>
  <c r="AZ39" i="1" s="1"/>
  <c r="AV39" i="1"/>
  <c r="AW39" i="1" s="1"/>
  <c r="AS39" i="1"/>
  <c r="AT39" i="1" s="1"/>
  <c r="AP39" i="1"/>
  <c r="AQ39" i="1" s="1"/>
  <c r="AM39" i="1"/>
  <c r="AN39" i="1" s="1"/>
  <c r="AJ39" i="1"/>
  <c r="AK39" i="1" s="1"/>
  <c r="AG39" i="1"/>
  <c r="AH39" i="1" s="1"/>
  <c r="AD39" i="1"/>
  <c r="AE39" i="1" s="1"/>
  <c r="AA39" i="1"/>
  <c r="AB39" i="1" s="1"/>
  <c r="X39" i="1"/>
  <c r="Y39" i="1" s="1"/>
  <c r="U39" i="1"/>
  <c r="V39" i="1" s="1"/>
  <c r="R39" i="1"/>
  <c r="S39" i="1" s="1"/>
  <c r="O39" i="1"/>
  <c r="P39" i="1" s="1"/>
  <c r="L39" i="1"/>
  <c r="M39" i="1" s="1"/>
  <c r="J39" i="1"/>
  <c r="CV38" i="1"/>
  <c r="CT38" i="1"/>
  <c r="BT38" i="1"/>
  <c r="BU38" i="1" s="1"/>
  <c r="BQ38" i="1"/>
  <c r="BR38" i="1" s="1"/>
  <c r="BN38" i="1"/>
  <c r="BO38" i="1" s="1"/>
  <c r="BK38" i="1"/>
  <c r="BL38" i="1" s="1"/>
  <c r="BH38" i="1"/>
  <c r="BI38" i="1" s="1"/>
  <c r="BE38" i="1"/>
  <c r="BF38" i="1" s="1"/>
  <c r="BC38" i="1"/>
  <c r="AY38" i="1"/>
  <c r="AZ38" i="1" s="1"/>
  <c r="AV38" i="1"/>
  <c r="AW38" i="1" s="1"/>
  <c r="AS38" i="1"/>
  <c r="AT38" i="1" s="1"/>
  <c r="AP38" i="1"/>
  <c r="AQ38" i="1" s="1"/>
  <c r="AM38" i="1"/>
  <c r="AN38" i="1" s="1"/>
  <c r="AJ38" i="1"/>
  <c r="AK38" i="1" s="1"/>
  <c r="AG38" i="1"/>
  <c r="AH38" i="1" s="1"/>
  <c r="AD38" i="1"/>
  <c r="AE38" i="1" s="1"/>
  <c r="AA38" i="1"/>
  <c r="AB38" i="1" s="1"/>
  <c r="X38" i="1"/>
  <c r="Y38" i="1" s="1"/>
  <c r="U38" i="1"/>
  <c r="V38" i="1" s="1"/>
  <c r="R38" i="1"/>
  <c r="S38" i="1" s="1"/>
  <c r="O38" i="1"/>
  <c r="P38" i="1" s="1"/>
  <c r="L38" i="1"/>
  <c r="M38" i="1" s="1"/>
  <c r="J38" i="1"/>
  <c r="CV37" i="1"/>
  <c r="CT37" i="1"/>
  <c r="BT37" i="1"/>
  <c r="BU37" i="1" s="1"/>
  <c r="BQ37" i="1"/>
  <c r="BR37" i="1" s="1"/>
  <c r="BN37" i="1"/>
  <c r="BO37" i="1" s="1"/>
  <c r="BK37" i="1"/>
  <c r="BL37" i="1" s="1"/>
  <c r="BH37" i="1"/>
  <c r="BI37" i="1" s="1"/>
  <c r="BE37" i="1"/>
  <c r="BF37" i="1" s="1"/>
  <c r="BC37" i="1"/>
  <c r="AY37" i="1"/>
  <c r="AZ37" i="1" s="1"/>
  <c r="AV37" i="1"/>
  <c r="AW37" i="1" s="1"/>
  <c r="AS37" i="1"/>
  <c r="AT37" i="1" s="1"/>
  <c r="AP37" i="1"/>
  <c r="AQ37" i="1" s="1"/>
  <c r="AM37" i="1"/>
  <c r="AN37" i="1" s="1"/>
  <c r="AJ37" i="1"/>
  <c r="AK37" i="1" s="1"/>
  <c r="AG37" i="1"/>
  <c r="AH37" i="1" s="1"/>
  <c r="AD37" i="1"/>
  <c r="AE37" i="1" s="1"/>
  <c r="AA37" i="1"/>
  <c r="AB37" i="1" s="1"/>
  <c r="X37" i="1"/>
  <c r="Y37" i="1" s="1"/>
  <c r="U37" i="1"/>
  <c r="V37" i="1" s="1"/>
  <c r="R37" i="1"/>
  <c r="S37" i="1" s="1"/>
  <c r="O37" i="1"/>
  <c r="P37" i="1" s="1"/>
  <c r="L37" i="1"/>
  <c r="M37" i="1" s="1"/>
  <c r="J37" i="1"/>
  <c r="CV36" i="1"/>
  <c r="CT36" i="1"/>
  <c r="BT36" i="1"/>
  <c r="BU36" i="1" s="1"/>
  <c r="BQ36" i="1"/>
  <c r="BR36" i="1" s="1"/>
  <c r="BN36" i="1"/>
  <c r="BO36" i="1" s="1"/>
  <c r="BK36" i="1"/>
  <c r="BL36" i="1" s="1"/>
  <c r="BH36" i="1"/>
  <c r="BI36" i="1" s="1"/>
  <c r="BE36" i="1"/>
  <c r="BF36" i="1" s="1"/>
  <c r="BC36" i="1"/>
  <c r="AY36" i="1"/>
  <c r="AZ36" i="1" s="1"/>
  <c r="AV36" i="1"/>
  <c r="AW36" i="1" s="1"/>
  <c r="AS36" i="1"/>
  <c r="AT36" i="1" s="1"/>
  <c r="AP36" i="1"/>
  <c r="AQ36" i="1" s="1"/>
  <c r="AM36" i="1"/>
  <c r="AN36" i="1" s="1"/>
  <c r="AJ36" i="1"/>
  <c r="AK36" i="1" s="1"/>
  <c r="AG36" i="1"/>
  <c r="AH36" i="1" s="1"/>
  <c r="AD36" i="1"/>
  <c r="AE36" i="1" s="1"/>
  <c r="AA36" i="1"/>
  <c r="AB36" i="1" s="1"/>
  <c r="X36" i="1"/>
  <c r="Y36" i="1" s="1"/>
  <c r="U36" i="1"/>
  <c r="V36" i="1" s="1"/>
  <c r="R36" i="1"/>
  <c r="S36" i="1" s="1"/>
  <c r="O36" i="1"/>
  <c r="P36" i="1" s="1"/>
  <c r="L36" i="1"/>
  <c r="M36" i="1" s="1"/>
  <c r="J36" i="1"/>
  <c r="CV35" i="1"/>
  <c r="CT35" i="1"/>
  <c r="BT35" i="1"/>
  <c r="BU35" i="1" s="1"/>
  <c r="BQ35" i="1"/>
  <c r="BR35" i="1" s="1"/>
  <c r="BN35" i="1"/>
  <c r="BO35" i="1" s="1"/>
  <c r="BK35" i="1"/>
  <c r="BL35" i="1" s="1"/>
  <c r="BH35" i="1"/>
  <c r="BI35" i="1" s="1"/>
  <c r="BE35" i="1"/>
  <c r="BF35" i="1" s="1"/>
  <c r="BC35" i="1"/>
  <c r="AY35" i="1"/>
  <c r="AZ35" i="1" s="1"/>
  <c r="AV35" i="1"/>
  <c r="AW35" i="1" s="1"/>
  <c r="AS35" i="1"/>
  <c r="AT35" i="1" s="1"/>
  <c r="AP35" i="1"/>
  <c r="AQ35" i="1" s="1"/>
  <c r="AM35" i="1"/>
  <c r="AN35" i="1" s="1"/>
  <c r="AJ35" i="1"/>
  <c r="AK35" i="1" s="1"/>
  <c r="AG35" i="1"/>
  <c r="AH35" i="1" s="1"/>
  <c r="AD35" i="1"/>
  <c r="AE35" i="1" s="1"/>
  <c r="AA35" i="1"/>
  <c r="AB35" i="1" s="1"/>
  <c r="X35" i="1"/>
  <c r="Y35" i="1" s="1"/>
  <c r="U35" i="1"/>
  <c r="V35" i="1" s="1"/>
  <c r="R35" i="1"/>
  <c r="S35" i="1" s="1"/>
  <c r="O35" i="1"/>
  <c r="P35" i="1" s="1"/>
  <c r="L35" i="1"/>
  <c r="M35" i="1" s="1"/>
  <c r="J35" i="1"/>
  <c r="CV34" i="1"/>
  <c r="CT34" i="1"/>
  <c r="BT34" i="1"/>
  <c r="BU34" i="1" s="1"/>
  <c r="BQ34" i="1"/>
  <c r="BR34" i="1" s="1"/>
  <c r="BN34" i="1"/>
  <c r="BO34" i="1" s="1"/>
  <c r="BK34" i="1"/>
  <c r="BL34" i="1" s="1"/>
  <c r="BH34" i="1"/>
  <c r="BI34" i="1" s="1"/>
  <c r="BE34" i="1"/>
  <c r="BF34" i="1" s="1"/>
  <c r="BC34" i="1"/>
  <c r="AY34" i="1"/>
  <c r="AZ34" i="1" s="1"/>
  <c r="AV34" i="1"/>
  <c r="AW34" i="1" s="1"/>
  <c r="AS34" i="1"/>
  <c r="AT34" i="1" s="1"/>
  <c r="AP34" i="1"/>
  <c r="AQ34" i="1" s="1"/>
  <c r="AM34" i="1"/>
  <c r="AN34" i="1" s="1"/>
  <c r="AJ34" i="1"/>
  <c r="AK34" i="1" s="1"/>
  <c r="AG34" i="1"/>
  <c r="AH34" i="1" s="1"/>
  <c r="AD34" i="1"/>
  <c r="AE34" i="1" s="1"/>
  <c r="AA34" i="1"/>
  <c r="AB34" i="1" s="1"/>
  <c r="X34" i="1"/>
  <c r="Y34" i="1" s="1"/>
  <c r="U34" i="1"/>
  <c r="V34" i="1" s="1"/>
  <c r="R34" i="1"/>
  <c r="S34" i="1" s="1"/>
  <c r="O34" i="1"/>
  <c r="P34" i="1" s="1"/>
  <c r="L34" i="1"/>
  <c r="M34" i="1" s="1"/>
  <c r="J34" i="1"/>
  <c r="CV33" i="1"/>
  <c r="CT33" i="1"/>
  <c r="BT33" i="1"/>
  <c r="BU33" i="1" s="1"/>
  <c r="BQ33" i="1"/>
  <c r="BR33" i="1" s="1"/>
  <c r="BN33" i="1"/>
  <c r="BO33" i="1" s="1"/>
  <c r="BK33" i="1"/>
  <c r="BL33" i="1" s="1"/>
  <c r="BH33" i="1"/>
  <c r="BI33" i="1" s="1"/>
  <c r="BE33" i="1"/>
  <c r="BF33" i="1" s="1"/>
  <c r="BC33" i="1"/>
  <c r="AY33" i="1"/>
  <c r="AZ33" i="1" s="1"/>
  <c r="AV33" i="1"/>
  <c r="AW33" i="1" s="1"/>
  <c r="AS33" i="1"/>
  <c r="AT33" i="1" s="1"/>
  <c r="AP33" i="1"/>
  <c r="AQ33" i="1" s="1"/>
  <c r="AM33" i="1"/>
  <c r="AN33" i="1" s="1"/>
  <c r="AJ33" i="1"/>
  <c r="AK33" i="1" s="1"/>
  <c r="AG33" i="1"/>
  <c r="AH33" i="1" s="1"/>
  <c r="AD33" i="1"/>
  <c r="AE33" i="1" s="1"/>
  <c r="AA33" i="1"/>
  <c r="AB33" i="1" s="1"/>
  <c r="X33" i="1"/>
  <c r="Y33" i="1" s="1"/>
  <c r="U33" i="1"/>
  <c r="V33" i="1" s="1"/>
  <c r="R33" i="1"/>
  <c r="S33" i="1" s="1"/>
  <c r="O33" i="1"/>
  <c r="P33" i="1" s="1"/>
  <c r="L33" i="1"/>
  <c r="M33" i="1" s="1"/>
  <c r="J33" i="1"/>
  <c r="CV32" i="1"/>
  <c r="CT32" i="1"/>
  <c r="BT32" i="1"/>
  <c r="BU32" i="1" s="1"/>
  <c r="BQ32" i="1"/>
  <c r="BR32" i="1" s="1"/>
  <c r="BN32" i="1"/>
  <c r="BO32" i="1" s="1"/>
  <c r="BK32" i="1"/>
  <c r="BL32" i="1" s="1"/>
  <c r="BH32" i="1"/>
  <c r="BI32" i="1" s="1"/>
  <c r="BE32" i="1"/>
  <c r="BF32" i="1" s="1"/>
  <c r="BC32" i="1"/>
  <c r="AY32" i="1"/>
  <c r="AZ32" i="1" s="1"/>
  <c r="AV32" i="1"/>
  <c r="AW32" i="1" s="1"/>
  <c r="AS32" i="1"/>
  <c r="AT32" i="1" s="1"/>
  <c r="AP32" i="1"/>
  <c r="AQ32" i="1" s="1"/>
  <c r="AM32" i="1"/>
  <c r="AN32" i="1" s="1"/>
  <c r="AJ32" i="1"/>
  <c r="AK32" i="1" s="1"/>
  <c r="AG32" i="1"/>
  <c r="AH32" i="1" s="1"/>
  <c r="AD32" i="1"/>
  <c r="AE32" i="1" s="1"/>
  <c r="AA32" i="1"/>
  <c r="AB32" i="1" s="1"/>
  <c r="X32" i="1"/>
  <c r="Y32" i="1" s="1"/>
  <c r="U32" i="1"/>
  <c r="V32" i="1" s="1"/>
  <c r="R32" i="1"/>
  <c r="S32" i="1" s="1"/>
  <c r="O32" i="1"/>
  <c r="P32" i="1" s="1"/>
  <c r="L32" i="1"/>
  <c r="M32" i="1" s="1"/>
  <c r="J32" i="1"/>
  <c r="CV31" i="1"/>
  <c r="CT31" i="1"/>
  <c r="BT31" i="1"/>
  <c r="BU31" i="1" s="1"/>
  <c r="BQ31" i="1"/>
  <c r="BR31" i="1" s="1"/>
  <c r="BN31" i="1"/>
  <c r="BO31" i="1" s="1"/>
  <c r="BK31" i="1"/>
  <c r="BL31" i="1" s="1"/>
  <c r="BH31" i="1"/>
  <c r="BI31" i="1" s="1"/>
  <c r="BE31" i="1"/>
  <c r="BF31" i="1" s="1"/>
  <c r="BC31" i="1"/>
  <c r="AY31" i="1"/>
  <c r="AZ31" i="1" s="1"/>
  <c r="AV31" i="1"/>
  <c r="AW31" i="1" s="1"/>
  <c r="AS31" i="1"/>
  <c r="AT31" i="1" s="1"/>
  <c r="AP31" i="1"/>
  <c r="AQ31" i="1" s="1"/>
  <c r="AM31" i="1"/>
  <c r="AN31" i="1" s="1"/>
  <c r="AJ31" i="1"/>
  <c r="AK31" i="1" s="1"/>
  <c r="AG31" i="1"/>
  <c r="AH31" i="1" s="1"/>
  <c r="AD31" i="1"/>
  <c r="AE31" i="1" s="1"/>
  <c r="AA31" i="1"/>
  <c r="AB31" i="1" s="1"/>
  <c r="X31" i="1"/>
  <c r="Y31" i="1" s="1"/>
  <c r="U31" i="1"/>
  <c r="V31" i="1" s="1"/>
  <c r="R31" i="1"/>
  <c r="S31" i="1" s="1"/>
  <c r="O31" i="1"/>
  <c r="P31" i="1" s="1"/>
  <c r="L31" i="1"/>
  <c r="M31" i="1" s="1"/>
  <c r="J31" i="1"/>
  <c r="CV30" i="1"/>
  <c r="CT30" i="1"/>
  <c r="BT30" i="1"/>
  <c r="BU30" i="1" s="1"/>
  <c r="BQ30" i="1"/>
  <c r="BR30" i="1" s="1"/>
  <c r="BN30" i="1"/>
  <c r="BO30" i="1" s="1"/>
  <c r="BK30" i="1"/>
  <c r="BL30" i="1" s="1"/>
  <c r="BH30" i="1"/>
  <c r="BI30" i="1" s="1"/>
  <c r="BE30" i="1"/>
  <c r="BF30" i="1" s="1"/>
  <c r="BC30" i="1"/>
  <c r="AY30" i="1"/>
  <c r="AZ30" i="1" s="1"/>
  <c r="AV30" i="1"/>
  <c r="AW30" i="1" s="1"/>
  <c r="AS30" i="1"/>
  <c r="AT30" i="1" s="1"/>
  <c r="AP30" i="1"/>
  <c r="AQ30" i="1" s="1"/>
  <c r="AM30" i="1"/>
  <c r="AN30" i="1" s="1"/>
  <c r="AJ30" i="1"/>
  <c r="AK30" i="1" s="1"/>
  <c r="AG30" i="1"/>
  <c r="AH30" i="1" s="1"/>
  <c r="AD30" i="1"/>
  <c r="AE30" i="1" s="1"/>
  <c r="AA30" i="1"/>
  <c r="AB30" i="1" s="1"/>
  <c r="X30" i="1"/>
  <c r="Y30" i="1" s="1"/>
  <c r="U30" i="1"/>
  <c r="V30" i="1" s="1"/>
  <c r="R30" i="1"/>
  <c r="S30" i="1" s="1"/>
  <c r="O30" i="1"/>
  <c r="P30" i="1" s="1"/>
  <c r="L30" i="1"/>
  <c r="M30" i="1" s="1"/>
  <c r="J30" i="1"/>
  <c r="CV29" i="1"/>
  <c r="CT29" i="1"/>
  <c r="BT29" i="1"/>
  <c r="BU29" i="1" s="1"/>
  <c r="BQ29" i="1"/>
  <c r="BR29" i="1" s="1"/>
  <c r="BN29" i="1"/>
  <c r="BO29" i="1" s="1"/>
  <c r="BK29" i="1"/>
  <c r="BL29" i="1" s="1"/>
  <c r="BH29" i="1"/>
  <c r="BI29" i="1" s="1"/>
  <c r="BE29" i="1"/>
  <c r="BF29" i="1" s="1"/>
  <c r="BC29" i="1"/>
  <c r="AY29" i="1"/>
  <c r="AZ29" i="1" s="1"/>
  <c r="AV29" i="1"/>
  <c r="AW29" i="1" s="1"/>
  <c r="AS29" i="1"/>
  <c r="AT29" i="1" s="1"/>
  <c r="AP29" i="1"/>
  <c r="AQ29" i="1" s="1"/>
  <c r="AM29" i="1"/>
  <c r="AN29" i="1" s="1"/>
  <c r="AJ29" i="1"/>
  <c r="AK29" i="1" s="1"/>
  <c r="AG29" i="1"/>
  <c r="AH29" i="1" s="1"/>
  <c r="AD29" i="1"/>
  <c r="AE29" i="1" s="1"/>
  <c r="AA29" i="1"/>
  <c r="AB29" i="1" s="1"/>
  <c r="X29" i="1"/>
  <c r="Y29" i="1" s="1"/>
  <c r="U29" i="1"/>
  <c r="V29" i="1" s="1"/>
  <c r="R29" i="1"/>
  <c r="S29" i="1" s="1"/>
  <c r="O29" i="1"/>
  <c r="P29" i="1" s="1"/>
  <c r="L29" i="1"/>
  <c r="M29" i="1" s="1"/>
  <c r="J29" i="1"/>
  <c r="CV28" i="1"/>
  <c r="CT28" i="1"/>
  <c r="BT28" i="1"/>
  <c r="BU28" i="1" s="1"/>
  <c r="BQ28" i="1"/>
  <c r="BR28" i="1" s="1"/>
  <c r="BN28" i="1"/>
  <c r="BO28" i="1" s="1"/>
  <c r="BK28" i="1"/>
  <c r="BL28" i="1" s="1"/>
  <c r="BH28" i="1"/>
  <c r="BI28" i="1" s="1"/>
  <c r="BE28" i="1"/>
  <c r="BF28" i="1" s="1"/>
  <c r="BC28" i="1"/>
  <c r="AY28" i="1"/>
  <c r="AZ28" i="1" s="1"/>
  <c r="AV28" i="1"/>
  <c r="AW28" i="1" s="1"/>
  <c r="AS28" i="1"/>
  <c r="AT28" i="1" s="1"/>
  <c r="AP28" i="1"/>
  <c r="AQ28" i="1" s="1"/>
  <c r="AM28" i="1"/>
  <c r="AN28" i="1" s="1"/>
  <c r="AJ28" i="1"/>
  <c r="AK28" i="1" s="1"/>
  <c r="AG28" i="1"/>
  <c r="AH28" i="1" s="1"/>
  <c r="AD28" i="1"/>
  <c r="AE28" i="1" s="1"/>
  <c r="AA28" i="1"/>
  <c r="AB28" i="1" s="1"/>
  <c r="X28" i="1"/>
  <c r="Y28" i="1" s="1"/>
  <c r="U28" i="1"/>
  <c r="V28" i="1" s="1"/>
  <c r="R28" i="1"/>
  <c r="S28" i="1" s="1"/>
  <c r="O28" i="1"/>
  <c r="P28" i="1" s="1"/>
  <c r="L28" i="1"/>
  <c r="M28" i="1" s="1"/>
  <c r="J28" i="1"/>
  <c r="CV27" i="1"/>
  <c r="CT27" i="1"/>
  <c r="BT27" i="1"/>
  <c r="BU27" i="1" s="1"/>
  <c r="BQ27" i="1"/>
  <c r="BR27" i="1" s="1"/>
  <c r="BN27" i="1"/>
  <c r="BO27" i="1" s="1"/>
  <c r="BK27" i="1"/>
  <c r="BL27" i="1" s="1"/>
  <c r="BH27" i="1"/>
  <c r="BI27" i="1" s="1"/>
  <c r="BE27" i="1"/>
  <c r="BF27" i="1" s="1"/>
  <c r="BC27" i="1"/>
  <c r="AY27" i="1"/>
  <c r="AZ27" i="1" s="1"/>
  <c r="AV27" i="1"/>
  <c r="AW27" i="1" s="1"/>
  <c r="AS27" i="1"/>
  <c r="AT27" i="1" s="1"/>
  <c r="AP27" i="1"/>
  <c r="AQ27" i="1" s="1"/>
  <c r="AM27" i="1"/>
  <c r="AN27" i="1" s="1"/>
  <c r="AJ27" i="1"/>
  <c r="AK27" i="1" s="1"/>
  <c r="AG27" i="1"/>
  <c r="AH27" i="1" s="1"/>
  <c r="AD27" i="1"/>
  <c r="AE27" i="1" s="1"/>
  <c r="AA27" i="1"/>
  <c r="AB27" i="1" s="1"/>
  <c r="X27" i="1"/>
  <c r="Y27" i="1" s="1"/>
  <c r="U27" i="1"/>
  <c r="V27" i="1" s="1"/>
  <c r="R27" i="1"/>
  <c r="S27" i="1" s="1"/>
  <c r="O27" i="1"/>
  <c r="P27" i="1" s="1"/>
  <c r="L27" i="1"/>
  <c r="M27" i="1" s="1"/>
  <c r="J27" i="1"/>
  <c r="CV108" i="1"/>
  <c r="CT108" i="1"/>
  <c r="BT108" i="1"/>
  <c r="BU108" i="1" s="1"/>
  <c r="BQ108" i="1"/>
  <c r="BR108" i="1" s="1"/>
  <c r="BN108" i="1"/>
  <c r="BO108" i="1" s="1"/>
  <c r="BK108" i="1"/>
  <c r="BL108" i="1" s="1"/>
  <c r="BH108" i="1"/>
  <c r="BI108" i="1" s="1"/>
  <c r="BE108" i="1"/>
  <c r="BF108" i="1" s="1"/>
  <c r="BC108" i="1"/>
  <c r="AY108" i="1"/>
  <c r="AZ108" i="1" s="1"/>
  <c r="AV108" i="1"/>
  <c r="AW108" i="1" s="1"/>
  <c r="AS108" i="1"/>
  <c r="AT108" i="1" s="1"/>
  <c r="AP108" i="1"/>
  <c r="AQ108" i="1" s="1"/>
  <c r="AM108" i="1"/>
  <c r="AN108" i="1" s="1"/>
  <c r="AJ108" i="1"/>
  <c r="AK108" i="1" s="1"/>
  <c r="AG108" i="1"/>
  <c r="AH108" i="1" s="1"/>
  <c r="AD108" i="1"/>
  <c r="AE108" i="1" s="1"/>
  <c r="AA108" i="1"/>
  <c r="AB108" i="1" s="1"/>
  <c r="X108" i="1"/>
  <c r="Y108" i="1" s="1"/>
  <c r="U108" i="1"/>
  <c r="V108" i="1" s="1"/>
  <c r="R108" i="1"/>
  <c r="S108" i="1" s="1"/>
  <c r="O108" i="1"/>
  <c r="P108" i="1" s="1"/>
  <c r="L108" i="1"/>
  <c r="M108" i="1" s="1"/>
  <c r="J108" i="1"/>
  <c r="CV107" i="1"/>
  <c r="CT107" i="1"/>
  <c r="BT107" i="1"/>
  <c r="BU107" i="1" s="1"/>
  <c r="BQ107" i="1"/>
  <c r="BR107" i="1" s="1"/>
  <c r="BN107" i="1"/>
  <c r="BO107" i="1" s="1"/>
  <c r="BK107" i="1"/>
  <c r="BL107" i="1" s="1"/>
  <c r="BH107" i="1"/>
  <c r="BI107" i="1" s="1"/>
  <c r="BE107" i="1"/>
  <c r="BF107" i="1" s="1"/>
  <c r="BC107" i="1"/>
  <c r="AY107" i="1"/>
  <c r="AZ107" i="1" s="1"/>
  <c r="AV107" i="1"/>
  <c r="AW107" i="1" s="1"/>
  <c r="AS107" i="1"/>
  <c r="AT107" i="1" s="1"/>
  <c r="AP107" i="1"/>
  <c r="AQ107" i="1" s="1"/>
  <c r="AM107" i="1"/>
  <c r="AN107" i="1" s="1"/>
  <c r="AJ107" i="1"/>
  <c r="AK107" i="1" s="1"/>
  <c r="AG107" i="1"/>
  <c r="AH107" i="1" s="1"/>
  <c r="AD107" i="1"/>
  <c r="AE107" i="1" s="1"/>
  <c r="AA107" i="1"/>
  <c r="AB107" i="1" s="1"/>
  <c r="X107" i="1"/>
  <c r="Y107" i="1" s="1"/>
  <c r="U107" i="1"/>
  <c r="V107" i="1" s="1"/>
  <c r="R107" i="1"/>
  <c r="S107" i="1" s="1"/>
  <c r="O107" i="1"/>
  <c r="P107" i="1" s="1"/>
  <c r="L107" i="1"/>
  <c r="M107" i="1" s="1"/>
  <c r="J107" i="1"/>
  <c r="CV106" i="1"/>
  <c r="CT106" i="1"/>
  <c r="BT106" i="1"/>
  <c r="BU106" i="1" s="1"/>
  <c r="BQ106" i="1"/>
  <c r="BR106" i="1" s="1"/>
  <c r="BN106" i="1"/>
  <c r="BO106" i="1" s="1"/>
  <c r="BK106" i="1"/>
  <c r="BL106" i="1" s="1"/>
  <c r="BH106" i="1"/>
  <c r="BI106" i="1" s="1"/>
  <c r="BE106" i="1"/>
  <c r="BF106" i="1" s="1"/>
  <c r="BC106" i="1"/>
  <c r="AY106" i="1"/>
  <c r="AZ106" i="1" s="1"/>
  <c r="AV106" i="1"/>
  <c r="AW106" i="1" s="1"/>
  <c r="AS106" i="1"/>
  <c r="AT106" i="1" s="1"/>
  <c r="AP106" i="1"/>
  <c r="AQ106" i="1" s="1"/>
  <c r="AM106" i="1"/>
  <c r="AN106" i="1" s="1"/>
  <c r="AJ106" i="1"/>
  <c r="AK106" i="1" s="1"/>
  <c r="AG106" i="1"/>
  <c r="AH106" i="1" s="1"/>
  <c r="AD106" i="1"/>
  <c r="AE106" i="1" s="1"/>
  <c r="AA106" i="1"/>
  <c r="AB106" i="1" s="1"/>
  <c r="X106" i="1"/>
  <c r="Y106" i="1" s="1"/>
  <c r="U106" i="1"/>
  <c r="V106" i="1" s="1"/>
  <c r="R106" i="1"/>
  <c r="S106" i="1" s="1"/>
  <c r="O106" i="1"/>
  <c r="P106" i="1" s="1"/>
  <c r="L106" i="1"/>
  <c r="M106" i="1" s="1"/>
  <c r="J106" i="1"/>
  <c r="CV105" i="1"/>
  <c r="CT105" i="1"/>
  <c r="BT105" i="1"/>
  <c r="BU105" i="1" s="1"/>
  <c r="BQ105" i="1"/>
  <c r="BR105" i="1" s="1"/>
  <c r="BN105" i="1"/>
  <c r="BO105" i="1" s="1"/>
  <c r="BK105" i="1"/>
  <c r="BL105" i="1" s="1"/>
  <c r="BH105" i="1"/>
  <c r="BI105" i="1" s="1"/>
  <c r="BE105" i="1"/>
  <c r="BF105" i="1" s="1"/>
  <c r="BC105" i="1"/>
  <c r="AY105" i="1"/>
  <c r="AZ105" i="1" s="1"/>
  <c r="AV105" i="1"/>
  <c r="AW105" i="1" s="1"/>
  <c r="AS105" i="1"/>
  <c r="AT105" i="1" s="1"/>
  <c r="AP105" i="1"/>
  <c r="AQ105" i="1" s="1"/>
  <c r="AM105" i="1"/>
  <c r="AN105" i="1" s="1"/>
  <c r="AJ105" i="1"/>
  <c r="AK105" i="1" s="1"/>
  <c r="AG105" i="1"/>
  <c r="AH105" i="1" s="1"/>
  <c r="AD105" i="1"/>
  <c r="AE105" i="1" s="1"/>
  <c r="AA105" i="1"/>
  <c r="AB105" i="1" s="1"/>
  <c r="X105" i="1"/>
  <c r="Y105" i="1" s="1"/>
  <c r="U105" i="1"/>
  <c r="V105" i="1" s="1"/>
  <c r="R105" i="1"/>
  <c r="S105" i="1" s="1"/>
  <c r="O105" i="1"/>
  <c r="P105" i="1" s="1"/>
  <c r="L105" i="1"/>
  <c r="M105" i="1" s="1"/>
  <c r="J105" i="1"/>
  <c r="CV104" i="1"/>
  <c r="CT104" i="1"/>
  <c r="BT104" i="1"/>
  <c r="BU104" i="1" s="1"/>
  <c r="BQ104" i="1"/>
  <c r="BR104" i="1" s="1"/>
  <c r="BN104" i="1"/>
  <c r="BO104" i="1" s="1"/>
  <c r="BK104" i="1"/>
  <c r="BL104" i="1" s="1"/>
  <c r="BH104" i="1"/>
  <c r="BI104" i="1" s="1"/>
  <c r="BE104" i="1"/>
  <c r="BF104" i="1" s="1"/>
  <c r="BC104" i="1"/>
  <c r="AY104" i="1"/>
  <c r="AZ104" i="1" s="1"/>
  <c r="AV104" i="1"/>
  <c r="AW104" i="1" s="1"/>
  <c r="AS104" i="1"/>
  <c r="AT104" i="1" s="1"/>
  <c r="AP104" i="1"/>
  <c r="AQ104" i="1" s="1"/>
  <c r="AM104" i="1"/>
  <c r="AN104" i="1" s="1"/>
  <c r="AJ104" i="1"/>
  <c r="AK104" i="1" s="1"/>
  <c r="AG104" i="1"/>
  <c r="AH104" i="1" s="1"/>
  <c r="AD104" i="1"/>
  <c r="AE104" i="1" s="1"/>
  <c r="AA104" i="1"/>
  <c r="AB104" i="1" s="1"/>
  <c r="X104" i="1"/>
  <c r="Y104" i="1" s="1"/>
  <c r="U104" i="1"/>
  <c r="V104" i="1" s="1"/>
  <c r="R104" i="1"/>
  <c r="S104" i="1" s="1"/>
  <c r="O104" i="1"/>
  <c r="P104" i="1" s="1"/>
  <c r="L104" i="1"/>
  <c r="M104" i="1" s="1"/>
  <c r="J104" i="1"/>
  <c r="CV103" i="1"/>
  <c r="CT103" i="1"/>
  <c r="BT103" i="1"/>
  <c r="BU103" i="1" s="1"/>
  <c r="BQ103" i="1"/>
  <c r="BR103" i="1" s="1"/>
  <c r="BN103" i="1"/>
  <c r="BO103" i="1" s="1"/>
  <c r="BK103" i="1"/>
  <c r="BL103" i="1" s="1"/>
  <c r="BH103" i="1"/>
  <c r="BI103" i="1" s="1"/>
  <c r="BE103" i="1"/>
  <c r="BF103" i="1" s="1"/>
  <c r="BC103" i="1"/>
  <c r="AY103" i="1"/>
  <c r="AZ103" i="1" s="1"/>
  <c r="AV103" i="1"/>
  <c r="AW103" i="1" s="1"/>
  <c r="AS103" i="1"/>
  <c r="AT103" i="1" s="1"/>
  <c r="AP103" i="1"/>
  <c r="AQ103" i="1" s="1"/>
  <c r="AM103" i="1"/>
  <c r="AN103" i="1" s="1"/>
  <c r="AJ103" i="1"/>
  <c r="AK103" i="1" s="1"/>
  <c r="AG103" i="1"/>
  <c r="AH103" i="1" s="1"/>
  <c r="AD103" i="1"/>
  <c r="AE103" i="1" s="1"/>
  <c r="AA103" i="1"/>
  <c r="AB103" i="1" s="1"/>
  <c r="X103" i="1"/>
  <c r="Y103" i="1" s="1"/>
  <c r="U103" i="1"/>
  <c r="V103" i="1" s="1"/>
  <c r="R103" i="1"/>
  <c r="S103" i="1" s="1"/>
  <c r="O103" i="1"/>
  <c r="P103" i="1" s="1"/>
  <c r="L103" i="1"/>
  <c r="M103" i="1" s="1"/>
  <c r="J103" i="1"/>
  <c r="CV102" i="1"/>
  <c r="CT102" i="1"/>
  <c r="BT102" i="1"/>
  <c r="BU102" i="1" s="1"/>
  <c r="BQ102" i="1"/>
  <c r="BR102" i="1" s="1"/>
  <c r="BN102" i="1"/>
  <c r="BO102" i="1" s="1"/>
  <c r="BK102" i="1"/>
  <c r="BL102" i="1" s="1"/>
  <c r="BH102" i="1"/>
  <c r="BI102" i="1" s="1"/>
  <c r="BE102" i="1"/>
  <c r="BF102" i="1" s="1"/>
  <c r="BC102" i="1"/>
  <c r="AY102" i="1"/>
  <c r="AZ102" i="1" s="1"/>
  <c r="AV102" i="1"/>
  <c r="AW102" i="1" s="1"/>
  <c r="AS102" i="1"/>
  <c r="AT102" i="1" s="1"/>
  <c r="AP102" i="1"/>
  <c r="AQ102" i="1" s="1"/>
  <c r="AM102" i="1"/>
  <c r="AN102" i="1" s="1"/>
  <c r="AJ102" i="1"/>
  <c r="AK102" i="1" s="1"/>
  <c r="AG102" i="1"/>
  <c r="AH102" i="1" s="1"/>
  <c r="AD102" i="1"/>
  <c r="AE102" i="1" s="1"/>
  <c r="AA102" i="1"/>
  <c r="AB102" i="1" s="1"/>
  <c r="X102" i="1"/>
  <c r="Y102" i="1" s="1"/>
  <c r="U102" i="1"/>
  <c r="V102" i="1" s="1"/>
  <c r="R102" i="1"/>
  <c r="S102" i="1" s="1"/>
  <c r="O102" i="1"/>
  <c r="P102" i="1" s="1"/>
  <c r="L102" i="1"/>
  <c r="M102" i="1" s="1"/>
  <c r="J102" i="1"/>
  <c r="CV101" i="1"/>
  <c r="CT101" i="1"/>
  <c r="BT101" i="1"/>
  <c r="BU101" i="1" s="1"/>
  <c r="BQ101" i="1"/>
  <c r="BR101" i="1" s="1"/>
  <c r="BN101" i="1"/>
  <c r="BO101" i="1" s="1"/>
  <c r="BK101" i="1"/>
  <c r="BL101" i="1" s="1"/>
  <c r="BH101" i="1"/>
  <c r="BI101" i="1" s="1"/>
  <c r="BE101" i="1"/>
  <c r="BF101" i="1" s="1"/>
  <c r="BC101" i="1"/>
  <c r="AY101" i="1"/>
  <c r="AZ101" i="1" s="1"/>
  <c r="AV101" i="1"/>
  <c r="AW101" i="1" s="1"/>
  <c r="AS101" i="1"/>
  <c r="AT101" i="1" s="1"/>
  <c r="AP101" i="1"/>
  <c r="AQ101" i="1" s="1"/>
  <c r="AM101" i="1"/>
  <c r="AN101" i="1" s="1"/>
  <c r="AJ101" i="1"/>
  <c r="AK101" i="1" s="1"/>
  <c r="AG101" i="1"/>
  <c r="AH101" i="1" s="1"/>
  <c r="AD101" i="1"/>
  <c r="AE101" i="1" s="1"/>
  <c r="AA101" i="1"/>
  <c r="AB101" i="1" s="1"/>
  <c r="X101" i="1"/>
  <c r="Y101" i="1" s="1"/>
  <c r="U101" i="1"/>
  <c r="V101" i="1" s="1"/>
  <c r="R101" i="1"/>
  <c r="S101" i="1" s="1"/>
  <c r="O101" i="1"/>
  <c r="P101" i="1" s="1"/>
  <c r="L101" i="1"/>
  <c r="M101" i="1" s="1"/>
  <c r="J101" i="1"/>
  <c r="CV100" i="1"/>
  <c r="CT100" i="1"/>
  <c r="BT100" i="1"/>
  <c r="BU100" i="1" s="1"/>
  <c r="BQ100" i="1"/>
  <c r="BR100" i="1" s="1"/>
  <c r="BN100" i="1"/>
  <c r="BO100" i="1" s="1"/>
  <c r="BK100" i="1"/>
  <c r="BL100" i="1" s="1"/>
  <c r="BH100" i="1"/>
  <c r="BI100" i="1" s="1"/>
  <c r="BE100" i="1"/>
  <c r="BF100" i="1" s="1"/>
  <c r="BC100" i="1"/>
  <c r="AY100" i="1"/>
  <c r="AZ100" i="1" s="1"/>
  <c r="AV100" i="1"/>
  <c r="AW100" i="1" s="1"/>
  <c r="AS100" i="1"/>
  <c r="AT100" i="1" s="1"/>
  <c r="AP100" i="1"/>
  <c r="AQ100" i="1" s="1"/>
  <c r="AM100" i="1"/>
  <c r="AN100" i="1" s="1"/>
  <c r="AJ100" i="1"/>
  <c r="AK100" i="1" s="1"/>
  <c r="AG100" i="1"/>
  <c r="AH100" i="1" s="1"/>
  <c r="AD100" i="1"/>
  <c r="AE100" i="1" s="1"/>
  <c r="AA100" i="1"/>
  <c r="AB100" i="1" s="1"/>
  <c r="X100" i="1"/>
  <c r="Y100" i="1" s="1"/>
  <c r="U100" i="1"/>
  <c r="V100" i="1" s="1"/>
  <c r="R100" i="1"/>
  <c r="S100" i="1" s="1"/>
  <c r="O100" i="1"/>
  <c r="P100" i="1" s="1"/>
  <c r="L100" i="1"/>
  <c r="M100" i="1" s="1"/>
  <c r="J100" i="1"/>
  <c r="CV99" i="1"/>
  <c r="CT99" i="1"/>
  <c r="BT99" i="1"/>
  <c r="BU99" i="1" s="1"/>
  <c r="BQ99" i="1"/>
  <c r="BR99" i="1" s="1"/>
  <c r="BN99" i="1"/>
  <c r="BO99" i="1" s="1"/>
  <c r="BK99" i="1"/>
  <c r="BL99" i="1" s="1"/>
  <c r="BH99" i="1"/>
  <c r="BI99" i="1" s="1"/>
  <c r="BE99" i="1"/>
  <c r="BF99" i="1" s="1"/>
  <c r="BC99" i="1"/>
  <c r="AY99" i="1"/>
  <c r="AZ99" i="1" s="1"/>
  <c r="AV99" i="1"/>
  <c r="AW99" i="1" s="1"/>
  <c r="AS99" i="1"/>
  <c r="AT99" i="1" s="1"/>
  <c r="AP99" i="1"/>
  <c r="AQ99" i="1" s="1"/>
  <c r="AM99" i="1"/>
  <c r="AN99" i="1" s="1"/>
  <c r="AJ99" i="1"/>
  <c r="AK99" i="1" s="1"/>
  <c r="AG99" i="1"/>
  <c r="AH99" i="1" s="1"/>
  <c r="AD99" i="1"/>
  <c r="AE99" i="1" s="1"/>
  <c r="AA99" i="1"/>
  <c r="AB99" i="1" s="1"/>
  <c r="X99" i="1"/>
  <c r="Y99" i="1" s="1"/>
  <c r="U99" i="1"/>
  <c r="V99" i="1" s="1"/>
  <c r="R99" i="1"/>
  <c r="S99" i="1" s="1"/>
  <c r="O99" i="1"/>
  <c r="P99" i="1" s="1"/>
  <c r="L99" i="1"/>
  <c r="M99" i="1" s="1"/>
  <c r="J99" i="1"/>
  <c r="CV98" i="1"/>
  <c r="CT98" i="1"/>
  <c r="BT98" i="1"/>
  <c r="BU98" i="1" s="1"/>
  <c r="BQ98" i="1"/>
  <c r="BR98" i="1" s="1"/>
  <c r="BN98" i="1"/>
  <c r="BO98" i="1" s="1"/>
  <c r="BK98" i="1"/>
  <c r="BL98" i="1" s="1"/>
  <c r="BH98" i="1"/>
  <c r="BI98" i="1" s="1"/>
  <c r="BE98" i="1"/>
  <c r="BF98" i="1" s="1"/>
  <c r="BC98" i="1"/>
  <c r="AY98" i="1"/>
  <c r="AZ98" i="1" s="1"/>
  <c r="AV98" i="1"/>
  <c r="AW98" i="1" s="1"/>
  <c r="AS98" i="1"/>
  <c r="AT98" i="1" s="1"/>
  <c r="AP98" i="1"/>
  <c r="AQ98" i="1" s="1"/>
  <c r="AM98" i="1"/>
  <c r="AN98" i="1" s="1"/>
  <c r="AJ98" i="1"/>
  <c r="AK98" i="1" s="1"/>
  <c r="AG98" i="1"/>
  <c r="AH98" i="1" s="1"/>
  <c r="AD98" i="1"/>
  <c r="AE98" i="1" s="1"/>
  <c r="AA98" i="1"/>
  <c r="AB98" i="1" s="1"/>
  <c r="X98" i="1"/>
  <c r="Y98" i="1" s="1"/>
  <c r="U98" i="1"/>
  <c r="V98" i="1" s="1"/>
  <c r="R98" i="1"/>
  <c r="S98" i="1" s="1"/>
  <c r="O98" i="1"/>
  <c r="P98" i="1" s="1"/>
  <c r="L98" i="1"/>
  <c r="J98" i="1"/>
  <c r="CV97" i="1"/>
  <c r="CT97" i="1"/>
  <c r="BT97" i="1"/>
  <c r="BU97" i="1" s="1"/>
  <c r="BQ97" i="1"/>
  <c r="BR97" i="1" s="1"/>
  <c r="BN97" i="1"/>
  <c r="BO97" i="1" s="1"/>
  <c r="BK97" i="1"/>
  <c r="BL97" i="1" s="1"/>
  <c r="BH97" i="1"/>
  <c r="BI97" i="1" s="1"/>
  <c r="BE97" i="1"/>
  <c r="BF97" i="1" s="1"/>
  <c r="BC97" i="1"/>
  <c r="AY97" i="1"/>
  <c r="AZ97" i="1" s="1"/>
  <c r="AV97" i="1"/>
  <c r="AW97" i="1" s="1"/>
  <c r="AS97" i="1"/>
  <c r="AT97" i="1" s="1"/>
  <c r="AP97" i="1"/>
  <c r="AQ97" i="1" s="1"/>
  <c r="AM97" i="1"/>
  <c r="AN97" i="1" s="1"/>
  <c r="AJ97" i="1"/>
  <c r="AK97" i="1" s="1"/>
  <c r="AG97" i="1"/>
  <c r="AH97" i="1" s="1"/>
  <c r="AD97" i="1"/>
  <c r="AE97" i="1" s="1"/>
  <c r="AA97" i="1"/>
  <c r="AB97" i="1" s="1"/>
  <c r="X97" i="1"/>
  <c r="Y97" i="1" s="1"/>
  <c r="U97" i="1"/>
  <c r="V97" i="1" s="1"/>
  <c r="R97" i="1"/>
  <c r="S97" i="1" s="1"/>
  <c r="O97" i="1"/>
  <c r="P97" i="1" s="1"/>
  <c r="L97" i="1"/>
  <c r="M97" i="1" s="1"/>
  <c r="J97" i="1"/>
  <c r="CV96" i="1"/>
  <c r="CT96" i="1"/>
  <c r="BT96" i="1"/>
  <c r="BU96" i="1" s="1"/>
  <c r="BQ96" i="1"/>
  <c r="BR96" i="1" s="1"/>
  <c r="BN96" i="1"/>
  <c r="BO96" i="1" s="1"/>
  <c r="BK96" i="1"/>
  <c r="BL96" i="1" s="1"/>
  <c r="BH96" i="1"/>
  <c r="BI96" i="1" s="1"/>
  <c r="BE96" i="1"/>
  <c r="BF96" i="1" s="1"/>
  <c r="BC96" i="1"/>
  <c r="AY96" i="1"/>
  <c r="AZ96" i="1" s="1"/>
  <c r="AV96" i="1"/>
  <c r="AW96" i="1" s="1"/>
  <c r="AS96" i="1"/>
  <c r="AT96" i="1" s="1"/>
  <c r="AP96" i="1"/>
  <c r="AQ96" i="1" s="1"/>
  <c r="AM96" i="1"/>
  <c r="AN96" i="1" s="1"/>
  <c r="AJ96" i="1"/>
  <c r="AK96" i="1" s="1"/>
  <c r="AG96" i="1"/>
  <c r="AH96" i="1" s="1"/>
  <c r="AD96" i="1"/>
  <c r="AE96" i="1" s="1"/>
  <c r="AA96" i="1"/>
  <c r="AB96" i="1" s="1"/>
  <c r="X96" i="1"/>
  <c r="Y96" i="1" s="1"/>
  <c r="U96" i="1"/>
  <c r="V96" i="1" s="1"/>
  <c r="R96" i="1"/>
  <c r="S96" i="1" s="1"/>
  <c r="O96" i="1"/>
  <c r="P96" i="1" s="1"/>
  <c r="L96" i="1"/>
  <c r="M96" i="1" s="1"/>
  <c r="J96" i="1"/>
  <c r="CV95" i="1"/>
  <c r="CT95" i="1"/>
  <c r="BT95" i="1"/>
  <c r="BU95" i="1" s="1"/>
  <c r="BQ95" i="1"/>
  <c r="BR95" i="1" s="1"/>
  <c r="BN95" i="1"/>
  <c r="BO95" i="1" s="1"/>
  <c r="BK95" i="1"/>
  <c r="BL95" i="1" s="1"/>
  <c r="BH95" i="1"/>
  <c r="BI95" i="1" s="1"/>
  <c r="BE95" i="1"/>
  <c r="BF95" i="1" s="1"/>
  <c r="BC95" i="1"/>
  <c r="AY95" i="1"/>
  <c r="AZ95" i="1" s="1"/>
  <c r="AV95" i="1"/>
  <c r="AW95" i="1" s="1"/>
  <c r="AS95" i="1"/>
  <c r="AT95" i="1" s="1"/>
  <c r="AP95" i="1"/>
  <c r="AQ95" i="1" s="1"/>
  <c r="AM95" i="1"/>
  <c r="AN95" i="1" s="1"/>
  <c r="AJ95" i="1"/>
  <c r="AK95" i="1" s="1"/>
  <c r="AG95" i="1"/>
  <c r="AH95" i="1" s="1"/>
  <c r="AD95" i="1"/>
  <c r="AE95" i="1" s="1"/>
  <c r="AA95" i="1"/>
  <c r="AB95" i="1" s="1"/>
  <c r="X95" i="1"/>
  <c r="Y95" i="1" s="1"/>
  <c r="U95" i="1"/>
  <c r="V95" i="1" s="1"/>
  <c r="R95" i="1"/>
  <c r="S95" i="1" s="1"/>
  <c r="O95" i="1"/>
  <c r="P95" i="1" s="1"/>
  <c r="L95" i="1"/>
  <c r="M95" i="1" s="1"/>
  <c r="J95" i="1"/>
  <c r="CV94" i="1"/>
  <c r="CT94" i="1"/>
  <c r="BT94" i="1"/>
  <c r="BU94" i="1" s="1"/>
  <c r="BQ94" i="1"/>
  <c r="BR94" i="1" s="1"/>
  <c r="BN94" i="1"/>
  <c r="BO94" i="1" s="1"/>
  <c r="BK94" i="1"/>
  <c r="BL94" i="1" s="1"/>
  <c r="BH94" i="1"/>
  <c r="BI94" i="1" s="1"/>
  <c r="BE94" i="1"/>
  <c r="BF94" i="1" s="1"/>
  <c r="BC94" i="1"/>
  <c r="AY94" i="1"/>
  <c r="AZ94" i="1" s="1"/>
  <c r="AV94" i="1"/>
  <c r="AW94" i="1" s="1"/>
  <c r="AS94" i="1"/>
  <c r="AT94" i="1" s="1"/>
  <c r="AP94" i="1"/>
  <c r="AQ94" i="1" s="1"/>
  <c r="AM94" i="1"/>
  <c r="AN94" i="1" s="1"/>
  <c r="AJ94" i="1"/>
  <c r="AK94" i="1" s="1"/>
  <c r="AG94" i="1"/>
  <c r="AH94" i="1" s="1"/>
  <c r="AD94" i="1"/>
  <c r="AE94" i="1" s="1"/>
  <c r="AA94" i="1"/>
  <c r="AB94" i="1" s="1"/>
  <c r="X94" i="1"/>
  <c r="Y94" i="1" s="1"/>
  <c r="U94" i="1"/>
  <c r="V94" i="1" s="1"/>
  <c r="R94" i="1"/>
  <c r="S94" i="1" s="1"/>
  <c r="O94" i="1"/>
  <c r="P94" i="1" s="1"/>
  <c r="L94" i="1"/>
  <c r="M94" i="1" s="1"/>
  <c r="J94" i="1"/>
  <c r="CV93" i="1"/>
  <c r="CT93" i="1"/>
  <c r="BT93" i="1"/>
  <c r="BU93" i="1" s="1"/>
  <c r="BQ93" i="1"/>
  <c r="BR93" i="1" s="1"/>
  <c r="BN93" i="1"/>
  <c r="BO93" i="1" s="1"/>
  <c r="BK93" i="1"/>
  <c r="BL93" i="1" s="1"/>
  <c r="BH93" i="1"/>
  <c r="BI93" i="1" s="1"/>
  <c r="BE93" i="1"/>
  <c r="BF93" i="1" s="1"/>
  <c r="BC93" i="1"/>
  <c r="AY93" i="1"/>
  <c r="AZ93" i="1" s="1"/>
  <c r="AV93" i="1"/>
  <c r="AW93" i="1" s="1"/>
  <c r="AS93" i="1"/>
  <c r="AT93" i="1" s="1"/>
  <c r="AP93" i="1"/>
  <c r="AQ93" i="1" s="1"/>
  <c r="AM93" i="1"/>
  <c r="AN93" i="1" s="1"/>
  <c r="AJ93" i="1"/>
  <c r="AK93" i="1" s="1"/>
  <c r="AG93" i="1"/>
  <c r="AH93" i="1" s="1"/>
  <c r="AD93" i="1"/>
  <c r="AE93" i="1" s="1"/>
  <c r="AA93" i="1"/>
  <c r="AB93" i="1" s="1"/>
  <c r="X93" i="1"/>
  <c r="Y93" i="1" s="1"/>
  <c r="U93" i="1"/>
  <c r="V93" i="1" s="1"/>
  <c r="R93" i="1"/>
  <c r="S93" i="1" s="1"/>
  <c r="O93" i="1"/>
  <c r="P93" i="1" s="1"/>
  <c r="L93" i="1"/>
  <c r="M93" i="1" s="1"/>
  <c r="J93" i="1"/>
  <c r="CV92" i="1"/>
  <c r="CT92" i="1"/>
  <c r="BT92" i="1"/>
  <c r="BU92" i="1" s="1"/>
  <c r="BQ92" i="1"/>
  <c r="BR92" i="1" s="1"/>
  <c r="BN92" i="1"/>
  <c r="BO92" i="1" s="1"/>
  <c r="BK92" i="1"/>
  <c r="BL92" i="1" s="1"/>
  <c r="BH92" i="1"/>
  <c r="BI92" i="1" s="1"/>
  <c r="BE92" i="1"/>
  <c r="BF92" i="1" s="1"/>
  <c r="BC92" i="1"/>
  <c r="AY92" i="1"/>
  <c r="AZ92" i="1" s="1"/>
  <c r="AV92" i="1"/>
  <c r="AW92" i="1" s="1"/>
  <c r="AS92" i="1"/>
  <c r="AT92" i="1" s="1"/>
  <c r="AP92" i="1"/>
  <c r="AQ92" i="1" s="1"/>
  <c r="AM92" i="1"/>
  <c r="AN92" i="1" s="1"/>
  <c r="AJ92" i="1"/>
  <c r="AK92" i="1" s="1"/>
  <c r="AG92" i="1"/>
  <c r="AH92" i="1" s="1"/>
  <c r="AD92" i="1"/>
  <c r="AE92" i="1" s="1"/>
  <c r="AA92" i="1"/>
  <c r="AB92" i="1" s="1"/>
  <c r="X92" i="1"/>
  <c r="Y92" i="1" s="1"/>
  <c r="U92" i="1"/>
  <c r="V92" i="1" s="1"/>
  <c r="R92" i="1"/>
  <c r="S92" i="1" s="1"/>
  <c r="O92" i="1"/>
  <c r="P92" i="1" s="1"/>
  <c r="L92" i="1"/>
  <c r="M92" i="1" s="1"/>
  <c r="J92" i="1"/>
  <c r="CV91" i="1"/>
  <c r="CT91" i="1"/>
  <c r="BT91" i="1"/>
  <c r="BU91" i="1" s="1"/>
  <c r="BQ91" i="1"/>
  <c r="BR91" i="1" s="1"/>
  <c r="BN91" i="1"/>
  <c r="BO91" i="1" s="1"/>
  <c r="BK91" i="1"/>
  <c r="BL91" i="1" s="1"/>
  <c r="BH91" i="1"/>
  <c r="BI91" i="1" s="1"/>
  <c r="BE91" i="1"/>
  <c r="BF91" i="1" s="1"/>
  <c r="BC91" i="1"/>
  <c r="AY91" i="1"/>
  <c r="AZ91" i="1" s="1"/>
  <c r="AV91" i="1"/>
  <c r="AW91" i="1" s="1"/>
  <c r="AS91" i="1"/>
  <c r="AT91" i="1" s="1"/>
  <c r="AP91" i="1"/>
  <c r="AQ91" i="1" s="1"/>
  <c r="AM91" i="1"/>
  <c r="AN91" i="1" s="1"/>
  <c r="AJ91" i="1"/>
  <c r="AK91" i="1" s="1"/>
  <c r="AG91" i="1"/>
  <c r="AH91" i="1" s="1"/>
  <c r="AD91" i="1"/>
  <c r="AE91" i="1" s="1"/>
  <c r="AA91" i="1"/>
  <c r="AB91" i="1" s="1"/>
  <c r="X91" i="1"/>
  <c r="Y91" i="1" s="1"/>
  <c r="U91" i="1"/>
  <c r="V91" i="1" s="1"/>
  <c r="R91" i="1"/>
  <c r="S91" i="1" s="1"/>
  <c r="O91" i="1"/>
  <c r="P91" i="1" s="1"/>
  <c r="L91" i="1"/>
  <c r="M91" i="1" s="1"/>
  <c r="J91" i="1"/>
  <c r="CV90" i="1"/>
  <c r="CT90" i="1"/>
  <c r="BT90" i="1"/>
  <c r="BU90" i="1" s="1"/>
  <c r="BQ90" i="1"/>
  <c r="BR90" i="1" s="1"/>
  <c r="BN90" i="1"/>
  <c r="BO90" i="1" s="1"/>
  <c r="BK90" i="1"/>
  <c r="BL90" i="1" s="1"/>
  <c r="BH90" i="1"/>
  <c r="BI90" i="1" s="1"/>
  <c r="BE90" i="1"/>
  <c r="BF90" i="1" s="1"/>
  <c r="BC90" i="1"/>
  <c r="AY90" i="1"/>
  <c r="AZ90" i="1" s="1"/>
  <c r="AV90" i="1"/>
  <c r="AW90" i="1" s="1"/>
  <c r="AS90" i="1"/>
  <c r="AT90" i="1" s="1"/>
  <c r="AP90" i="1"/>
  <c r="AQ90" i="1" s="1"/>
  <c r="AM90" i="1"/>
  <c r="AN90" i="1" s="1"/>
  <c r="AJ90" i="1"/>
  <c r="AK90" i="1" s="1"/>
  <c r="AG90" i="1"/>
  <c r="AH90" i="1" s="1"/>
  <c r="AD90" i="1"/>
  <c r="AE90" i="1" s="1"/>
  <c r="AA90" i="1"/>
  <c r="AB90" i="1" s="1"/>
  <c r="X90" i="1"/>
  <c r="Y90" i="1" s="1"/>
  <c r="U90" i="1"/>
  <c r="V90" i="1" s="1"/>
  <c r="R90" i="1"/>
  <c r="S90" i="1" s="1"/>
  <c r="O90" i="1"/>
  <c r="P90" i="1" s="1"/>
  <c r="L90" i="1"/>
  <c r="M90" i="1" s="1"/>
  <c r="J90" i="1"/>
  <c r="CV89" i="1"/>
  <c r="CT89" i="1"/>
  <c r="BT89" i="1"/>
  <c r="BU89" i="1" s="1"/>
  <c r="BQ89" i="1"/>
  <c r="BR89" i="1" s="1"/>
  <c r="BN89" i="1"/>
  <c r="BO89" i="1" s="1"/>
  <c r="BK89" i="1"/>
  <c r="BL89" i="1" s="1"/>
  <c r="BH89" i="1"/>
  <c r="BI89" i="1" s="1"/>
  <c r="BE89" i="1"/>
  <c r="BF89" i="1" s="1"/>
  <c r="BC89" i="1"/>
  <c r="AY89" i="1"/>
  <c r="AZ89" i="1" s="1"/>
  <c r="AV89" i="1"/>
  <c r="AW89" i="1" s="1"/>
  <c r="AS89" i="1"/>
  <c r="AT89" i="1" s="1"/>
  <c r="AP89" i="1"/>
  <c r="AQ89" i="1" s="1"/>
  <c r="AM89" i="1"/>
  <c r="AN89" i="1" s="1"/>
  <c r="AJ89" i="1"/>
  <c r="AK89" i="1" s="1"/>
  <c r="AG89" i="1"/>
  <c r="AH89" i="1" s="1"/>
  <c r="AD89" i="1"/>
  <c r="AE89" i="1" s="1"/>
  <c r="AA89" i="1"/>
  <c r="AB89" i="1" s="1"/>
  <c r="X89" i="1"/>
  <c r="Y89" i="1" s="1"/>
  <c r="U89" i="1"/>
  <c r="V89" i="1" s="1"/>
  <c r="R89" i="1"/>
  <c r="S89" i="1" s="1"/>
  <c r="O89" i="1"/>
  <c r="P89" i="1" s="1"/>
  <c r="L89" i="1"/>
  <c r="M89" i="1" s="1"/>
  <c r="J89" i="1"/>
  <c r="CV88" i="1"/>
  <c r="CT88" i="1"/>
  <c r="BT88" i="1"/>
  <c r="BU88" i="1" s="1"/>
  <c r="BQ88" i="1"/>
  <c r="BR88" i="1" s="1"/>
  <c r="BN88" i="1"/>
  <c r="BO88" i="1" s="1"/>
  <c r="BK88" i="1"/>
  <c r="BL88" i="1" s="1"/>
  <c r="BH88" i="1"/>
  <c r="BI88" i="1" s="1"/>
  <c r="BE88" i="1"/>
  <c r="BF88" i="1" s="1"/>
  <c r="BC88" i="1"/>
  <c r="AY88" i="1"/>
  <c r="AZ88" i="1" s="1"/>
  <c r="AV88" i="1"/>
  <c r="AW88" i="1" s="1"/>
  <c r="AS88" i="1"/>
  <c r="AT88" i="1" s="1"/>
  <c r="AP88" i="1"/>
  <c r="AQ88" i="1" s="1"/>
  <c r="AM88" i="1"/>
  <c r="AN88" i="1" s="1"/>
  <c r="AJ88" i="1"/>
  <c r="AK88" i="1" s="1"/>
  <c r="AG88" i="1"/>
  <c r="AH88" i="1" s="1"/>
  <c r="AD88" i="1"/>
  <c r="AE88" i="1" s="1"/>
  <c r="AA88" i="1"/>
  <c r="AB88" i="1" s="1"/>
  <c r="X88" i="1"/>
  <c r="Y88" i="1" s="1"/>
  <c r="U88" i="1"/>
  <c r="V88" i="1" s="1"/>
  <c r="R88" i="1"/>
  <c r="S88" i="1" s="1"/>
  <c r="O88" i="1"/>
  <c r="P88" i="1" s="1"/>
  <c r="L88" i="1"/>
  <c r="M88" i="1" s="1"/>
  <c r="J88" i="1"/>
  <c r="CV87" i="1"/>
  <c r="CT87" i="1"/>
  <c r="BT87" i="1"/>
  <c r="BU87" i="1" s="1"/>
  <c r="BQ87" i="1"/>
  <c r="BR87" i="1" s="1"/>
  <c r="BN87" i="1"/>
  <c r="BO87" i="1" s="1"/>
  <c r="BK87" i="1"/>
  <c r="BL87" i="1" s="1"/>
  <c r="BH87" i="1"/>
  <c r="BI87" i="1" s="1"/>
  <c r="BE87" i="1"/>
  <c r="BF87" i="1" s="1"/>
  <c r="BC87" i="1"/>
  <c r="AY87" i="1"/>
  <c r="AZ87" i="1" s="1"/>
  <c r="AV87" i="1"/>
  <c r="AW87" i="1" s="1"/>
  <c r="AS87" i="1"/>
  <c r="AT87" i="1" s="1"/>
  <c r="AP87" i="1"/>
  <c r="AQ87" i="1" s="1"/>
  <c r="AM87" i="1"/>
  <c r="AN87" i="1" s="1"/>
  <c r="AJ87" i="1"/>
  <c r="AK87" i="1" s="1"/>
  <c r="AG87" i="1"/>
  <c r="AH87" i="1" s="1"/>
  <c r="AD87" i="1"/>
  <c r="AE87" i="1" s="1"/>
  <c r="AA87" i="1"/>
  <c r="AB87" i="1" s="1"/>
  <c r="X87" i="1"/>
  <c r="Y87" i="1" s="1"/>
  <c r="U87" i="1"/>
  <c r="V87" i="1" s="1"/>
  <c r="R87" i="1"/>
  <c r="S87" i="1" s="1"/>
  <c r="O87" i="1"/>
  <c r="P87" i="1" s="1"/>
  <c r="L87" i="1"/>
  <c r="M87" i="1" s="1"/>
  <c r="J87" i="1"/>
  <c r="CV86" i="1"/>
  <c r="CT86" i="1"/>
  <c r="BT86" i="1"/>
  <c r="BU86" i="1" s="1"/>
  <c r="BQ86" i="1"/>
  <c r="BR86" i="1" s="1"/>
  <c r="BN86" i="1"/>
  <c r="BO86" i="1" s="1"/>
  <c r="BK86" i="1"/>
  <c r="BL86" i="1" s="1"/>
  <c r="BH86" i="1"/>
  <c r="BI86" i="1" s="1"/>
  <c r="BE86" i="1"/>
  <c r="BF86" i="1" s="1"/>
  <c r="BC86" i="1"/>
  <c r="AY86" i="1"/>
  <c r="AZ86" i="1" s="1"/>
  <c r="AV86" i="1"/>
  <c r="AW86" i="1" s="1"/>
  <c r="AS86" i="1"/>
  <c r="AT86" i="1" s="1"/>
  <c r="AP86" i="1"/>
  <c r="AQ86" i="1" s="1"/>
  <c r="AM86" i="1"/>
  <c r="AN86" i="1" s="1"/>
  <c r="AJ86" i="1"/>
  <c r="AK86" i="1" s="1"/>
  <c r="AG86" i="1"/>
  <c r="AH86" i="1" s="1"/>
  <c r="AD86" i="1"/>
  <c r="AE86" i="1" s="1"/>
  <c r="AA86" i="1"/>
  <c r="AB86" i="1" s="1"/>
  <c r="X86" i="1"/>
  <c r="Y86" i="1" s="1"/>
  <c r="U86" i="1"/>
  <c r="V86" i="1" s="1"/>
  <c r="R86" i="1"/>
  <c r="S86" i="1" s="1"/>
  <c r="O86" i="1"/>
  <c r="P86" i="1" s="1"/>
  <c r="L86" i="1"/>
  <c r="M86" i="1" s="1"/>
  <c r="J86" i="1"/>
  <c r="CV85" i="1"/>
  <c r="CT85" i="1"/>
  <c r="BT85" i="1"/>
  <c r="BU85" i="1" s="1"/>
  <c r="BQ85" i="1"/>
  <c r="BR85" i="1" s="1"/>
  <c r="BN85" i="1"/>
  <c r="BO85" i="1" s="1"/>
  <c r="BK85" i="1"/>
  <c r="BL85" i="1" s="1"/>
  <c r="BH85" i="1"/>
  <c r="BI85" i="1" s="1"/>
  <c r="BE85" i="1"/>
  <c r="BF85" i="1" s="1"/>
  <c r="BC85" i="1"/>
  <c r="AY85" i="1"/>
  <c r="AZ85" i="1" s="1"/>
  <c r="AV85" i="1"/>
  <c r="AW85" i="1" s="1"/>
  <c r="AS85" i="1"/>
  <c r="AT85" i="1" s="1"/>
  <c r="AP85" i="1"/>
  <c r="AQ85" i="1" s="1"/>
  <c r="AM85" i="1"/>
  <c r="AN85" i="1" s="1"/>
  <c r="AJ85" i="1"/>
  <c r="AK85" i="1" s="1"/>
  <c r="AG85" i="1"/>
  <c r="AH85" i="1" s="1"/>
  <c r="AD85" i="1"/>
  <c r="AE85" i="1" s="1"/>
  <c r="AA85" i="1"/>
  <c r="AB85" i="1" s="1"/>
  <c r="X85" i="1"/>
  <c r="Y85" i="1" s="1"/>
  <c r="U85" i="1"/>
  <c r="V85" i="1" s="1"/>
  <c r="R85" i="1"/>
  <c r="S85" i="1" s="1"/>
  <c r="O85" i="1"/>
  <c r="P85" i="1" s="1"/>
  <c r="L85" i="1"/>
  <c r="M85" i="1" s="1"/>
  <c r="J85" i="1"/>
  <c r="CV84" i="1"/>
  <c r="CT84" i="1"/>
  <c r="BT84" i="1"/>
  <c r="BU84" i="1" s="1"/>
  <c r="BQ84" i="1"/>
  <c r="BR84" i="1" s="1"/>
  <c r="BN84" i="1"/>
  <c r="BO84" i="1" s="1"/>
  <c r="BK84" i="1"/>
  <c r="BL84" i="1" s="1"/>
  <c r="BH84" i="1"/>
  <c r="BI84" i="1" s="1"/>
  <c r="BE84" i="1"/>
  <c r="BF84" i="1" s="1"/>
  <c r="BC84" i="1"/>
  <c r="AY84" i="1"/>
  <c r="AZ84" i="1" s="1"/>
  <c r="AV84" i="1"/>
  <c r="AW84" i="1" s="1"/>
  <c r="AS84" i="1"/>
  <c r="AT84" i="1" s="1"/>
  <c r="AP84" i="1"/>
  <c r="AQ84" i="1" s="1"/>
  <c r="AM84" i="1"/>
  <c r="AN84" i="1" s="1"/>
  <c r="AJ84" i="1"/>
  <c r="AK84" i="1" s="1"/>
  <c r="AG84" i="1"/>
  <c r="AH84" i="1" s="1"/>
  <c r="AD84" i="1"/>
  <c r="AE84" i="1" s="1"/>
  <c r="AA84" i="1"/>
  <c r="AB84" i="1" s="1"/>
  <c r="X84" i="1"/>
  <c r="Y84" i="1" s="1"/>
  <c r="U84" i="1"/>
  <c r="V84" i="1" s="1"/>
  <c r="R84" i="1"/>
  <c r="S84" i="1" s="1"/>
  <c r="O84" i="1"/>
  <c r="P84" i="1" s="1"/>
  <c r="L84" i="1"/>
  <c r="M84" i="1" s="1"/>
  <c r="J84" i="1"/>
  <c r="CV83" i="1"/>
  <c r="CT83" i="1"/>
  <c r="BT83" i="1"/>
  <c r="BU83" i="1" s="1"/>
  <c r="BQ83" i="1"/>
  <c r="BR83" i="1" s="1"/>
  <c r="BN83" i="1"/>
  <c r="BO83" i="1" s="1"/>
  <c r="BK83" i="1"/>
  <c r="BL83" i="1" s="1"/>
  <c r="BH83" i="1"/>
  <c r="BI83" i="1" s="1"/>
  <c r="BE83" i="1"/>
  <c r="BF83" i="1" s="1"/>
  <c r="BC83" i="1"/>
  <c r="AY83" i="1"/>
  <c r="AZ83" i="1" s="1"/>
  <c r="AV83" i="1"/>
  <c r="AW83" i="1" s="1"/>
  <c r="AS83" i="1"/>
  <c r="AT83" i="1" s="1"/>
  <c r="AP83" i="1"/>
  <c r="AQ83" i="1" s="1"/>
  <c r="AM83" i="1"/>
  <c r="AN83" i="1" s="1"/>
  <c r="AJ83" i="1"/>
  <c r="AK83" i="1" s="1"/>
  <c r="AG83" i="1"/>
  <c r="AH83" i="1" s="1"/>
  <c r="AD83" i="1"/>
  <c r="AE83" i="1" s="1"/>
  <c r="AA83" i="1"/>
  <c r="AB83" i="1" s="1"/>
  <c r="X83" i="1"/>
  <c r="Y83" i="1" s="1"/>
  <c r="U83" i="1"/>
  <c r="V83" i="1" s="1"/>
  <c r="R83" i="1"/>
  <c r="S83" i="1" s="1"/>
  <c r="O83" i="1"/>
  <c r="P83" i="1" s="1"/>
  <c r="L83" i="1"/>
  <c r="M83" i="1" s="1"/>
  <c r="CV82" i="1"/>
  <c r="CT82" i="1"/>
  <c r="BT82" i="1"/>
  <c r="BU82" i="1" s="1"/>
  <c r="BQ82" i="1"/>
  <c r="BR82" i="1" s="1"/>
  <c r="BN82" i="1"/>
  <c r="BO82" i="1" s="1"/>
  <c r="BK82" i="1"/>
  <c r="BL82" i="1" s="1"/>
  <c r="BH82" i="1"/>
  <c r="BI82" i="1" s="1"/>
  <c r="BE82" i="1"/>
  <c r="BF82" i="1" s="1"/>
  <c r="BC82" i="1"/>
  <c r="AY82" i="1"/>
  <c r="AZ82" i="1" s="1"/>
  <c r="AV82" i="1"/>
  <c r="AW82" i="1" s="1"/>
  <c r="AS82" i="1"/>
  <c r="AT82" i="1" s="1"/>
  <c r="AP82" i="1"/>
  <c r="AQ82" i="1" s="1"/>
  <c r="AM82" i="1"/>
  <c r="AN82" i="1" s="1"/>
  <c r="AJ82" i="1"/>
  <c r="AK82" i="1" s="1"/>
  <c r="AG82" i="1"/>
  <c r="AH82" i="1" s="1"/>
  <c r="AD82" i="1"/>
  <c r="AE82" i="1" s="1"/>
  <c r="AA82" i="1"/>
  <c r="AB82" i="1" s="1"/>
  <c r="X82" i="1"/>
  <c r="Y82" i="1" s="1"/>
  <c r="U82" i="1"/>
  <c r="V82" i="1" s="1"/>
  <c r="R82" i="1"/>
  <c r="S82" i="1" s="1"/>
  <c r="O82" i="1"/>
  <c r="P82" i="1" s="1"/>
  <c r="L82" i="1"/>
  <c r="M82" i="1" s="1"/>
  <c r="J82" i="1"/>
  <c r="CV81" i="1"/>
  <c r="CT81" i="1"/>
  <c r="BT81" i="1"/>
  <c r="BU81" i="1" s="1"/>
  <c r="BQ81" i="1"/>
  <c r="BR81" i="1" s="1"/>
  <c r="BN81" i="1"/>
  <c r="BO81" i="1" s="1"/>
  <c r="BK81" i="1"/>
  <c r="BL81" i="1" s="1"/>
  <c r="BH81" i="1"/>
  <c r="BI81" i="1" s="1"/>
  <c r="BE81" i="1"/>
  <c r="BF81" i="1" s="1"/>
  <c r="BC81" i="1"/>
  <c r="AY81" i="1"/>
  <c r="AZ81" i="1" s="1"/>
  <c r="AV81" i="1"/>
  <c r="AW81" i="1" s="1"/>
  <c r="AS81" i="1"/>
  <c r="AT81" i="1" s="1"/>
  <c r="AP81" i="1"/>
  <c r="AQ81" i="1" s="1"/>
  <c r="AM81" i="1"/>
  <c r="AN81" i="1" s="1"/>
  <c r="AJ81" i="1"/>
  <c r="AK81" i="1" s="1"/>
  <c r="AG81" i="1"/>
  <c r="AH81" i="1" s="1"/>
  <c r="AD81" i="1"/>
  <c r="AE81" i="1" s="1"/>
  <c r="AA81" i="1"/>
  <c r="AB81" i="1" s="1"/>
  <c r="X81" i="1"/>
  <c r="Y81" i="1" s="1"/>
  <c r="U81" i="1"/>
  <c r="V81" i="1" s="1"/>
  <c r="R81" i="1"/>
  <c r="S81" i="1" s="1"/>
  <c r="O81" i="1"/>
  <c r="P81" i="1" s="1"/>
  <c r="L81" i="1"/>
  <c r="M81" i="1" s="1"/>
  <c r="J81" i="1"/>
  <c r="CV80" i="1"/>
  <c r="CT80" i="1"/>
  <c r="BT80" i="1"/>
  <c r="BU80" i="1" s="1"/>
  <c r="BQ80" i="1"/>
  <c r="BR80" i="1" s="1"/>
  <c r="BN80" i="1"/>
  <c r="BO80" i="1" s="1"/>
  <c r="BK80" i="1"/>
  <c r="BL80" i="1" s="1"/>
  <c r="BH80" i="1"/>
  <c r="BI80" i="1" s="1"/>
  <c r="BE80" i="1"/>
  <c r="BF80" i="1" s="1"/>
  <c r="BC80" i="1"/>
  <c r="AY80" i="1"/>
  <c r="AZ80" i="1" s="1"/>
  <c r="AV80" i="1"/>
  <c r="AW80" i="1" s="1"/>
  <c r="AS80" i="1"/>
  <c r="AT80" i="1" s="1"/>
  <c r="AP80" i="1"/>
  <c r="AQ80" i="1" s="1"/>
  <c r="AM80" i="1"/>
  <c r="AN80" i="1" s="1"/>
  <c r="AJ80" i="1"/>
  <c r="AK80" i="1" s="1"/>
  <c r="AG80" i="1"/>
  <c r="AH80" i="1" s="1"/>
  <c r="AD80" i="1"/>
  <c r="AE80" i="1" s="1"/>
  <c r="AA80" i="1"/>
  <c r="AB80" i="1" s="1"/>
  <c r="X80" i="1"/>
  <c r="Y80" i="1" s="1"/>
  <c r="U80" i="1"/>
  <c r="V80" i="1" s="1"/>
  <c r="R80" i="1"/>
  <c r="S80" i="1" s="1"/>
  <c r="O80" i="1"/>
  <c r="P80" i="1" s="1"/>
  <c r="L80" i="1"/>
  <c r="M80" i="1" s="1"/>
  <c r="J80" i="1"/>
  <c r="U18" i="1"/>
  <c r="V18" i="1" s="1"/>
  <c r="U19" i="1"/>
  <c r="V19" i="1" s="1"/>
  <c r="U20" i="1"/>
  <c r="V20" i="1" s="1"/>
  <c r="U21" i="1"/>
  <c r="V21" i="1" s="1"/>
  <c r="U22" i="1"/>
  <c r="V22" i="1" s="1"/>
  <c r="U23" i="1"/>
  <c r="V23" i="1" s="1"/>
  <c r="U24" i="1"/>
  <c r="V24" i="1" s="1"/>
  <c r="U25" i="1"/>
  <c r="V25" i="1" s="1"/>
  <c r="U26" i="1"/>
  <c r="V26" i="1" s="1"/>
  <c r="U71" i="1"/>
  <c r="V71" i="1" s="1"/>
  <c r="U72" i="1"/>
  <c r="V72" i="1" s="1"/>
  <c r="U73" i="1"/>
  <c r="V73" i="1" s="1"/>
  <c r="U74" i="1"/>
  <c r="V74" i="1" s="1"/>
  <c r="U75" i="1"/>
  <c r="V75" i="1" s="1"/>
  <c r="U76" i="1"/>
  <c r="V76" i="1" s="1"/>
  <c r="U77" i="1"/>
  <c r="V77" i="1" s="1"/>
  <c r="U78" i="1"/>
  <c r="V78" i="1" s="1"/>
  <c r="U79" i="1"/>
  <c r="V79" i="1" s="1"/>
  <c r="U109" i="1"/>
  <c r="V109" i="1" s="1"/>
  <c r="U110" i="1"/>
  <c r="V110" i="1" s="1"/>
  <c r="U111" i="1"/>
  <c r="V111" i="1" s="1"/>
  <c r="X18" i="1"/>
  <c r="Y18" i="1" s="1"/>
  <c r="X19" i="1"/>
  <c r="Y19" i="1" s="1"/>
  <c r="X20" i="1"/>
  <c r="Y20" i="1" s="1"/>
  <c r="X21" i="1"/>
  <c r="Y21" i="1" s="1"/>
  <c r="X22" i="1"/>
  <c r="Y22" i="1" s="1"/>
  <c r="X23" i="1"/>
  <c r="Y23" i="1" s="1"/>
  <c r="X24" i="1"/>
  <c r="Y24" i="1" s="1"/>
  <c r="X25" i="1"/>
  <c r="Y25" i="1" s="1"/>
  <c r="X26" i="1"/>
  <c r="Y26" i="1" s="1"/>
  <c r="X71" i="1"/>
  <c r="Y71" i="1" s="1"/>
  <c r="X72" i="1"/>
  <c r="Y72" i="1" s="1"/>
  <c r="X73" i="1"/>
  <c r="Y73" i="1" s="1"/>
  <c r="X74" i="1"/>
  <c r="Y74" i="1" s="1"/>
  <c r="X75" i="1"/>
  <c r="Y75" i="1" s="1"/>
  <c r="X76" i="1"/>
  <c r="Y76" i="1" s="1"/>
  <c r="X77" i="1"/>
  <c r="Y77" i="1" s="1"/>
  <c r="X78" i="1"/>
  <c r="Y78" i="1" s="1"/>
  <c r="X79" i="1"/>
  <c r="Y79" i="1" s="1"/>
  <c r="X109" i="1"/>
  <c r="Y109" i="1" s="1"/>
  <c r="X110" i="1"/>
  <c r="Y110" i="1" s="1"/>
  <c r="X111" i="1"/>
  <c r="Y111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79" i="1"/>
  <c r="AB79" i="1" s="1"/>
  <c r="AA109" i="1"/>
  <c r="AB109" i="1" s="1"/>
  <c r="AA110" i="1"/>
  <c r="AB110" i="1" s="1"/>
  <c r="AA111" i="1"/>
  <c r="AB111" i="1" s="1"/>
  <c r="AM18" i="1"/>
  <c r="AN18" i="1" s="1"/>
  <c r="AM19" i="1"/>
  <c r="AN19" i="1" s="1"/>
  <c r="AM20" i="1"/>
  <c r="AN20" i="1" s="1"/>
  <c r="AM21" i="1"/>
  <c r="AN21" i="1" s="1"/>
  <c r="AM22" i="1"/>
  <c r="AN22" i="1" s="1"/>
  <c r="AM23" i="1"/>
  <c r="AN23" i="1" s="1"/>
  <c r="AM24" i="1"/>
  <c r="AN24" i="1" s="1"/>
  <c r="AM25" i="1"/>
  <c r="AN25" i="1" s="1"/>
  <c r="AM26" i="1"/>
  <c r="AN26" i="1" s="1"/>
  <c r="AM71" i="1"/>
  <c r="AN71" i="1" s="1"/>
  <c r="AM72" i="1"/>
  <c r="AN72" i="1" s="1"/>
  <c r="AM73" i="1"/>
  <c r="AN73" i="1" s="1"/>
  <c r="AM74" i="1"/>
  <c r="AN74" i="1" s="1"/>
  <c r="AM75" i="1"/>
  <c r="AN75" i="1" s="1"/>
  <c r="AM76" i="1"/>
  <c r="AN76" i="1" s="1"/>
  <c r="AM77" i="1"/>
  <c r="AN77" i="1" s="1"/>
  <c r="AM78" i="1"/>
  <c r="AN78" i="1" s="1"/>
  <c r="AM79" i="1"/>
  <c r="AN79" i="1" s="1"/>
  <c r="AM109" i="1"/>
  <c r="AN109" i="1" s="1"/>
  <c r="AM110" i="1"/>
  <c r="AN110" i="1" s="1"/>
  <c r="AM111" i="1"/>
  <c r="AN111" i="1" s="1"/>
  <c r="AP18" i="1"/>
  <c r="AQ18" i="1" s="1"/>
  <c r="AP19" i="1"/>
  <c r="AQ19" i="1" s="1"/>
  <c r="AP20" i="1"/>
  <c r="AQ20" i="1" s="1"/>
  <c r="AP21" i="1"/>
  <c r="AQ21" i="1" s="1"/>
  <c r="AP22" i="1"/>
  <c r="AQ22" i="1" s="1"/>
  <c r="AP23" i="1"/>
  <c r="AQ23" i="1" s="1"/>
  <c r="AP24" i="1"/>
  <c r="AQ24" i="1" s="1"/>
  <c r="AP25" i="1"/>
  <c r="AQ25" i="1" s="1"/>
  <c r="AP26" i="1"/>
  <c r="AQ26" i="1" s="1"/>
  <c r="AP71" i="1"/>
  <c r="AQ71" i="1" s="1"/>
  <c r="AP72" i="1"/>
  <c r="AQ72" i="1" s="1"/>
  <c r="AP73" i="1"/>
  <c r="AQ73" i="1" s="1"/>
  <c r="AP74" i="1"/>
  <c r="AQ74" i="1" s="1"/>
  <c r="AP75" i="1"/>
  <c r="AQ75" i="1" s="1"/>
  <c r="AP76" i="1"/>
  <c r="AQ76" i="1" s="1"/>
  <c r="AP77" i="1"/>
  <c r="AQ77" i="1" s="1"/>
  <c r="AP78" i="1"/>
  <c r="AQ78" i="1" s="1"/>
  <c r="AP79" i="1"/>
  <c r="AQ79" i="1" s="1"/>
  <c r="AP109" i="1"/>
  <c r="AQ109" i="1" s="1"/>
  <c r="AP110" i="1"/>
  <c r="AQ110" i="1" s="1"/>
  <c r="AP111" i="1"/>
  <c r="AQ111" i="1" s="1"/>
  <c r="AV18" i="1"/>
  <c r="AW18" i="1" s="1"/>
  <c r="AV19" i="1"/>
  <c r="AW19" i="1" s="1"/>
  <c r="AV20" i="1"/>
  <c r="AW20" i="1" s="1"/>
  <c r="AV21" i="1"/>
  <c r="AW21" i="1" s="1"/>
  <c r="AV22" i="1"/>
  <c r="AW22" i="1" s="1"/>
  <c r="AV23" i="1"/>
  <c r="AW23" i="1" s="1"/>
  <c r="AV24" i="1"/>
  <c r="AW24" i="1" s="1"/>
  <c r="AV25" i="1"/>
  <c r="AW25" i="1" s="1"/>
  <c r="AV26" i="1"/>
  <c r="AW26" i="1" s="1"/>
  <c r="AV71" i="1"/>
  <c r="AW71" i="1" s="1"/>
  <c r="AV72" i="1"/>
  <c r="AW72" i="1" s="1"/>
  <c r="AV73" i="1"/>
  <c r="AW73" i="1" s="1"/>
  <c r="AV74" i="1"/>
  <c r="AW74" i="1" s="1"/>
  <c r="AV75" i="1"/>
  <c r="AW75" i="1" s="1"/>
  <c r="AV76" i="1"/>
  <c r="AW76" i="1" s="1"/>
  <c r="AV77" i="1"/>
  <c r="AW77" i="1" s="1"/>
  <c r="AV78" i="1"/>
  <c r="AW78" i="1" s="1"/>
  <c r="AV79" i="1"/>
  <c r="AW79" i="1" s="1"/>
  <c r="AV109" i="1"/>
  <c r="AW109" i="1" s="1"/>
  <c r="AV110" i="1"/>
  <c r="AW110" i="1" s="1"/>
  <c r="AV111" i="1"/>
  <c r="AW111" i="1" s="1"/>
  <c r="AY18" i="1"/>
  <c r="AZ18" i="1" s="1"/>
  <c r="AY19" i="1"/>
  <c r="AZ19" i="1" s="1"/>
  <c r="AY20" i="1"/>
  <c r="AZ20" i="1" s="1"/>
  <c r="AY21" i="1"/>
  <c r="AZ21" i="1" s="1"/>
  <c r="AY22" i="1"/>
  <c r="AZ22" i="1" s="1"/>
  <c r="AY23" i="1"/>
  <c r="AZ23" i="1" s="1"/>
  <c r="AY24" i="1"/>
  <c r="AZ24" i="1" s="1"/>
  <c r="AY25" i="1"/>
  <c r="AZ25" i="1" s="1"/>
  <c r="AY26" i="1"/>
  <c r="AZ26" i="1" s="1"/>
  <c r="AY71" i="1"/>
  <c r="AZ71" i="1" s="1"/>
  <c r="AY72" i="1"/>
  <c r="AZ72" i="1" s="1"/>
  <c r="AY73" i="1"/>
  <c r="AZ73" i="1" s="1"/>
  <c r="AY74" i="1"/>
  <c r="AZ74" i="1" s="1"/>
  <c r="AY75" i="1"/>
  <c r="AZ75" i="1" s="1"/>
  <c r="AY76" i="1"/>
  <c r="AZ76" i="1" s="1"/>
  <c r="AY77" i="1"/>
  <c r="AZ77" i="1" s="1"/>
  <c r="AY78" i="1"/>
  <c r="AZ78" i="1" s="1"/>
  <c r="AY79" i="1"/>
  <c r="AZ79" i="1" s="1"/>
  <c r="AY109" i="1"/>
  <c r="AZ109" i="1" s="1"/>
  <c r="AY110" i="1"/>
  <c r="AZ110" i="1" s="1"/>
  <c r="AY111" i="1"/>
  <c r="AZ111" i="1" s="1"/>
  <c r="BC18" i="1"/>
  <c r="BC19" i="1"/>
  <c r="BC20" i="1"/>
  <c r="BC21" i="1"/>
  <c r="BC22" i="1"/>
  <c r="BC23" i="1"/>
  <c r="BC24" i="1"/>
  <c r="BC25" i="1"/>
  <c r="BC26" i="1"/>
  <c r="BC71" i="1"/>
  <c r="BC72" i="1"/>
  <c r="BC73" i="1"/>
  <c r="BC74" i="1"/>
  <c r="BC75" i="1"/>
  <c r="BC76" i="1"/>
  <c r="BC77" i="1"/>
  <c r="BC78" i="1"/>
  <c r="BC79" i="1"/>
  <c r="BC109" i="1"/>
  <c r="BC110" i="1"/>
  <c r="BC111" i="1"/>
  <c r="BE18" i="1"/>
  <c r="BF18" i="1" s="1"/>
  <c r="BE19" i="1"/>
  <c r="BF19" i="1" s="1"/>
  <c r="BE20" i="1"/>
  <c r="BF20" i="1" s="1"/>
  <c r="BE21" i="1"/>
  <c r="BF21" i="1" s="1"/>
  <c r="BE22" i="1"/>
  <c r="BF22" i="1" s="1"/>
  <c r="BE23" i="1"/>
  <c r="BF23" i="1" s="1"/>
  <c r="BE24" i="1"/>
  <c r="BF24" i="1" s="1"/>
  <c r="BE25" i="1"/>
  <c r="BF25" i="1" s="1"/>
  <c r="BE26" i="1"/>
  <c r="BF26" i="1" s="1"/>
  <c r="BE71" i="1"/>
  <c r="BF71" i="1" s="1"/>
  <c r="BE72" i="1"/>
  <c r="BF72" i="1" s="1"/>
  <c r="BE73" i="1"/>
  <c r="BF73" i="1" s="1"/>
  <c r="BE74" i="1"/>
  <c r="BF74" i="1" s="1"/>
  <c r="BE75" i="1"/>
  <c r="BF75" i="1" s="1"/>
  <c r="BE76" i="1"/>
  <c r="BF76" i="1" s="1"/>
  <c r="BE77" i="1"/>
  <c r="BF77" i="1" s="1"/>
  <c r="BE78" i="1"/>
  <c r="BF78" i="1" s="1"/>
  <c r="BE79" i="1"/>
  <c r="BF79" i="1" s="1"/>
  <c r="BE109" i="1"/>
  <c r="BF109" i="1" s="1"/>
  <c r="BE110" i="1"/>
  <c r="BF110" i="1" s="1"/>
  <c r="BE111" i="1"/>
  <c r="BF111" i="1" s="1"/>
  <c r="BH18" i="1"/>
  <c r="BI18" i="1" s="1"/>
  <c r="BH19" i="1"/>
  <c r="BI19" i="1" s="1"/>
  <c r="BH20" i="1"/>
  <c r="BI20" i="1" s="1"/>
  <c r="BH21" i="1"/>
  <c r="BI21" i="1" s="1"/>
  <c r="BH22" i="1"/>
  <c r="BI22" i="1" s="1"/>
  <c r="BH23" i="1"/>
  <c r="BI23" i="1" s="1"/>
  <c r="BH24" i="1"/>
  <c r="BI24" i="1" s="1"/>
  <c r="BH25" i="1"/>
  <c r="BI25" i="1" s="1"/>
  <c r="BH26" i="1"/>
  <c r="BI26" i="1" s="1"/>
  <c r="BH71" i="1"/>
  <c r="BI71" i="1" s="1"/>
  <c r="BH72" i="1"/>
  <c r="BI72" i="1" s="1"/>
  <c r="BH73" i="1"/>
  <c r="BI73" i="1" s="1"/>
  <c r="BH74" i="1"/>
  <c r="BI74" i="1" s="1"/>
  <c r="BH75" i="1"/>
  <c r="BI75" i="1" s="1"/>
  <c r="BH76" i="1"/>
  <c r="BI76" i="1" s="1"/>
  <c r="BH77" i="1"/>
  <c r="BI77" i="1" s="1"/>
  <c r="BH78" i="1"/>
  <c r="BI78" i="1" s="1"/>
  <c r="BH79" i="1"/>
  <c r="BI79" i="1" s="1"/>
  <c r="BH109" i="1"/>
  <c r="BI109" i="1" s="1"/>
  <c r="BH110" i="1"/>
  <c r="BI110" i="1" s="1"/>
  <c r="BH111" i="1"/>
  <c r="BI111" i="1" s="1"/>
  <c r="BK18" i="1"/>
  <c r="BL18" i="1" s="1"/>
  <c r="BK19" i="1"/>
  <c r="BL19" i="1" s="1"/>
  <c r="BK20" i="1"/>
  <c r="BL20" i="1" s="1"/>
  <c r="BK21" i="1"/>
  <c r="BL21" i="1" s="1"/>
  <c r="BK22" i="1"/>
  <c r="BL22" i="1" s="1"/>
  <c r="BK23" i="1"/>
  <c r="BL23" i="1" s="1"/>
  <c r="BK24" i="1"/>
  <c r="BL24" i="1" s="1"/>
  <c r="BK25" i="1"/>
  <c r="BL25" i="1" s="1"/>
  <c r="BK26" i="1"/>
  <c r="BL26" i="1" s="1"/>
  <c r="BK71" i="1"/>
  <c r="BL71" i="1" s="1"/>
  <c r="BK72" i="1"/>
  <c r="BL72" i="1" s="1"/>
  <c r="BK73" i="1"/>
  <c r="BL73" i="1" s="1"/>
  <c r="BK74" i="1"/>
  <c r="BL74" i="1" s="1"/>
  <c r="BK75" i="1"/>
  <c r="BL75" i="1" s="1"/>
  <c r="BK76" i="1"/>
  <c r="BL76" i="1" s="1"/>
  <c r="BK77" i="1"/>
  <c r="BL77" i="1" s="1"/>
  <c r="BK78" i="1"/>
  <c r="BL78" i="1" s="1"/>
  <c r="BK79" i="1"/>
  <c r="BL79" i="1" s="1"/>
  <c r="BK109" i="1"/>
  <c r="BL109" i="1" s="1"/>
  <c r="BK110" i="1"/>
  <c r="BL110" i="1" s="1"/>
  <c r="BK111" i="1"/>
  <c r="BL111" i="1" s="1"/>
  <c r="BK17" i="1"/>
  <c r="BL17" i="1" s="1"/>
  <c r="BH17" i="1"/>
  <c r="BI17" i="1" s="1"/>
  <c r="BE17" i="1"/>
  <c r="BF17" i="1" s="1"/>
  <c r="BC17" i="1"/>
  <c r="AY17" i="1"/>
  <c r="AZ17" i="1" s="1"/>
  <c r="AV17" i="1"/>
  <c r="AW17" i="1" s="1"/>
  <c r="AP17" i="1"/>
  <c r="AQ17" i="1" s="1"/>
  <c r="AM17" i="1"/>
  <c r="AN17" i="1" s="1"/>
  <c r="AA17" i="1"/>
  <c r="AB17" i="1" s="1"/>
  <c r="X17" i="1"/>
  <c r="Y17" i="1" s="1"/>
  <c r="U17" i="1"/>
  <c r="V17" i="1" s="1"/>
  <c r="J18" i="1"/>
  <c r="J19" i="1"/>
  <c r="J20" i="1"/>
  <c r="J21" i="1"/>
  <c r="J22" i="1"/>
  <c r="J23" i="1"/>
  <c r="J24" i="1"/>
  <c r="J25" i="1"/>
  <c r="J26" i="1"/>
  <c r="J71" i="1"/>
  <c r="J72" i="1"/>
  <c r="J73" i="1"/>
  <c r="J74" i="1"/>
  <c r="J75" i="1"/>
  <c r="J76" i="1"/>
  <c r="J77" i="1"/>
  <c r="J78" i="1"/>
  <c r="J79" i="1"/>
  <c r="J109" i="1"/>
  <c r="J110" i="1"/>
  <c r="J111" i="1"/>
  <c r="J17" i="1"/>
  <c r="CV111" i="1"/>
  <c r="CT111" i="1"/>
  <c r="BT111" i="1"/>
  <c r="BU111" i="1" s="1"/>
  <c r="BQ111" i="1"/>
  <c r="BR111" i="1" s="1"/>
  <c r="BN111" i="1"/>
  <c r="BO111" i="1" s="1"/>
  <c r="AS111" i="1"/>
  <c r="AT111" i="1" s="1"/>
  <c r="AJ111" i="1"/>
  <c r="AK111" i="1" s="1"/>
  <c r="AG111" i="1"/>
  <c r="AH111" i="1" s="1"/>
  <c r="AD111" i="1"/>
  <c r="AE111" i="1" s="1"/>
  <c r="R111" i="1"/>
  <c r="S111" i="1" s="1"/>
  <c r="O111" i="1"/>
  <c r="P111" i="1" s="1"/>
  <c r="L111" i="1"/>
  <c r="M111" i="1" s="1"/>
  <c r="CV110" i="1"/>
  <c r="CT110" i="1"/>
  <c r="BT110" i="1"/>
  <c r="BU110" i="1" s="1"/>
  <c r="BQ110" i="1"/>
  <c r="BR110" i="1" s="1"/>
  <c r="BN110" i="1"/>
  <c r="BO110" i="1" s="1"/>
  <c r="AS110" i="1"/>
  <c r="AT110" i="1" s="1"/>
  <c r="AJ110" i="1"/>
  <c r="AK110" i="1" s="1"/>
  <c r="AG110" i="1"/>
  <c r="AH110" i="1" s="1"/>
  <c r="AD110" i="1"/>
  <c r="AE110" i="1" s="1"/>
  <c r="R110" i="1"/>
  <c r="S110" i="1" s="1"/>
  <c r="O110" i="1"/>
  <c r="P110" i="1" s="1"/>
  <c r="L110" i="1"/>
  <c r="M110" i="1" s="1"/>
  <c r="CV109" i="1"/>
  <c r="CT109" i="1"/>
  <c r="BT109" i="1"/>
  <c r="BU109" i="1" s="1"/>
  <c r="BQ109" i="1"/>
  <c r="BR109" i="1" s="1"/>
  <c r="BN109" i="1"/>
  <c r="BO109" i="1" s="1"/>
  <c r="AS109" i="1"/>
  <c r="AT109" i="1" s="1"/>
  <c r="AJ109" i="1"/>
  <c r="AK109" i="1" s="1"/>
  <c r="AG109" i="1"/>
  <c r="AH109" i="1" s="1"/>
  <c r="AD109" i="1"/>
  <c r="AE109" i="1" s="1"/>
  <c r="R109" i="1"/>
  <c r="S109" i="1" s="1"/>
  <c r="O109" i="1"/>
  <c r="P109" i="1" s="1"/>
  <c r="L109" i="1"/>
  <c r="M109" i="1" s="1"/>
  <c r="CV79" i="1"/>
  <c r="CT79" i="1"/>
  <c r="BT79" i="1"/>
  <c r="BU79" i="1" s="1"/>
  <c r="BQ79" i="1"/>
  <c r="BR79" i="1" s="1"/>
  <c r="BN79" i="1"/>
  <c r="BO79" i="1" s="1"/>
  <c r="AS79" i="1"/>
  <c r="AT79" i="1" s="1"/>
  <c r="AJ79" i="1"/>
  <c r="AK79" i="1" s="1"/>
  <c r="AG79" i="1"/>
  <c r="AH79" i="1" s="1"/>
  <c r="AD79" i="1"/>
  <c r="AE79" i="1" s="1"/>
  <c r="R79" i="1"/>
  <c r="S79" i="1" s="1"/>
  <c r="O79" i="1"/>
  <c r="P79" i="1" s="1"/>
  <c r="L79" i="1"/>
  <c r="M79" i="1" s="1"/>
  <c r="CV78" i="1"/>
  <c r="CT78" i="1"/>
  <c r="BT78" i="1"/>
  <c r="BU78" i="1" s="1"/>
  <c r="BQ78" i="1"/>
  <c r="BR78" i="1" s="1"/>
  <c r="BN78" i="1"/>
  <c r="BO78" i="1" s="1"/>
  <c r="AS78" i="1"/>
  <c r="AT78" i="1" s="1"/>
  <c r="AJ78" i="1"/>
  <c r="AK78" i="1" s="1"/>
  <c r="AG78" i="1"/>
  <c r="AH78" i="1" s="1"/>
  <c r="AD78" i="1"/>
  <c r="AE78" i="1" s="1"/>
  <c r="R78" i="1"/>
  <c r="S78" i="1" s="1"/>
  <c r="O78" i="1"/>
  <c r="P78" i="1" s="1"/>
  <c r="L78" i="1"/>
  <c r="M78" i="1" s="1"/>
  <c r="CV77" i="1"/>
  <c r="CT77" i="1"/>
  <c r="BT77" i="1"/>
  <c r="BU77" i="1" s="1"/>
  <c r="BQ77" i="1"/>
  <c r="BR77" i="1" s="1"/>
  <c r="BN77" i="1"/>
  <c r="BO77" i="1" s="1"/>
  <c r="AS77" i="1"/>
  <c r="AT77" i="1" s="1"/>
  <c r="AJ77" i="1"/>
  <c r="AK77" i="1" s="1"/>
  <c r="AG77" i="1"/>
  <c r="AH77" i="1" s="1"/>
  <c r="AD77" i="1"/>
  <c r="AE77" i="1" s="1"/>
  <c r="R77" i="1"/>
  <c r="S77" i="1" s="1"/>
  <c r="O77" i="1"/>
  <c r="P77" i="1" s="1"/>
  <c r="L77" i="1"/>
  <c r="M77" i="1" s="1"/>
  <c r="CV76" i="1"/>
  <c r="CT76" i="1"/>
  <c r="BT76" i="1"/>
  <c r="BU76" i="1" s="1"/>
  <c r="BQ76" i="1"/>
  <c r="BR76" i="1" s="1"/>
  <c r="BN76" i="1"/>
  <c r="BO76" i="1" s="1"/>
  <c r="AS76" i="1"/>
  <c r="AT76" i="1" s="1"/>
  <c r="AJ76" i="1"/>
  <c r="AK76" i="1" s="1"/>
  <c r="AG76" i="1"/>
  <c r="AH76" i="1" s="1"/>
  <c r="AD76" i="1"/>
  <c r="AE76" i="1" s="1"/>
  <c r="R76" i="1"/>
  <c r="S76" i="1" s="1"/>
  <c r="O76" i="1"/>
  <c r="P76" i="1" s="1"/>
  <c r="L76" i="1"/>
  <c r="M76" i="1" s="1"/>
  <c r="CV75" i="1"/>
  <c r="CT75" i="1"/>
  <c r="BT75" i="1"/>
  <c r="BU75" i="1" s="1"/>
  <c r="BQ75" i="1"/>
  <c r="BR75" i="1" s="1"/>
  <c r="BN75" i="1"/>
  <c r="BO75" i="1" s="1"/>
  <c r="AS75" i="1"/>
  <c r="AT75" i="1" s="1"/>
  <c r="AJ75" i="1"/>
  <c r="AK75" i="1" s="1"/>
  <c r="AG75" i="1"/>
  <c r="AH75" i="1" s="1"/>
  <c r="AD75" i="1"/>
  <c r="AE75" i="1" s="1"/>
  <c r="R75" i="1"/>
  <c r="S75" i="1" s="1"/>
  <c r="O75" i="1"/>
  <c r="P75" i="1" s="1"/>
  <c r="L75" i="1"/>
  <c r="M75" i="1" s="1"/>
  <c r="CV74" i="1"/>
  <c r="CT74" i="1"/>
  <c r="BT74" i="1"/>
  <c r="BU74" i="1" s="1"/>
  <c r="BQ74" i="1"/>
  <c r="BR74" i="1" s="1"/>
  <c r="BN74" i="1"/>
  <c r="BO74" i="1" s="1"/>
  <c r="AS74" i="1"/>
  <c r="AT74" i="1" s="1"/>
  <c r="AJ74" i="1"/>
  <c r="AK74" i="1" s="1"/>
  <c r="AG74" i="1"/>
  <c r="AH74" i="1" s="1"/>
  <c r="AD74" i="1"/>
  <c r="AE74" i="1" s="1"/>
  <c r="R74" i="1"/>
  <c r="S74" i="1" s="1"/>
  <c r="O74" i="1"/>
  <c r="P74" i="1" s="1"/>
  <c r="L74" i="1"/>
  <c r="M74" i="1" s="1"/>
  <c r="CV73" i="1"/>
  <c r="CT73" i="1"/>
  <c r="BT73" i="1"/>
  <c r="BU73" i="1" s="1"/>
  <c r="BQ73" i="1"/>
  <c r="BR73" i="1" s="1"/>
  <c r="BN73" i="1"/>
  <c r="BO73" i="1" s="1"/>
  <c r="AS73" i="1"/>
  <c r="AT73" i="1" s="1"/>
  <c r="AJ73" i="1"/>
  <c r="AK73" i="1" s="1"/>
  <c r="AG73" i="1"/>
  <c r="AH73" i="1" s="1"/>
  <c r="AD73" i="1"/>
  <c r="AE73" i="1" s="1"/>
  <c r="R73" i="1"/>
  <c r="S73" i="1" s="1"/>
  <c r="O73" i="1"/>
  <c r="P73" i="1" s="1"/>
  <c r="L73" i="1"/>
  <c r="M73" i="1" s="1"/>
  <c r="CV72" i="1"/>
  <c r="CT72" i="1"/>
  <c r="BT72" i="1"/>
  <c r="BU72" i="1" s="1"/>
  <c r="BQ72" i="1"/>
  <c r="BR72" i="1" s="1"/>
  <c r="BN72" i="1"/>
  <c r="BO72" i="1" s="1"/>
  <c r="AS72" i="1"/>
  <c r="AT72" i="1" s="1"/>
  <c r="AJ72" i="1"/>
  <c r="AK72" i="1" s="1"/>
  <c r="AG72" i="1"/>
  <c r="AH72" i="1" s="1"/>
  <c r="AD72" i="1"/>
  <c r="AE72" i="1" s="1"/>
  <c r="R72" i="1"/>
  <c r="S72" i="1" s="1"/>
  <c r="O72" i="1"/>
  <c r="P72" i="1" s="1"/>
  <c r="L72" i="1"/>
  <c r="M72" i="1" s="1"/>
  <c r="CV71" i="1"/>
  <c r="CT71" i="1"/>
  <c r="BT71" i="1"/>
  <c r="BU71" i="1" s="1"/>
  <c r="BQ71" i="1"/>
  <c r="BR71" i="1" s="1"/>
  <c r="BN71" i="1"/>
  <c r="BO71" i="1" s="1"/>
  <c r="AS71" i="1"/>
  <c r="AT71" i="1" s="1"/>
  <c r="AJ71" i="1"/>
  <c r="AK71" i="1" s="1"/>
  <c r="AG71" i="1"/>
  <c r="AH71" i="1" s="1"/>
  <c r="AD71" i="1"/>
  <c r="AE71" i="1" s="1"/>
  <c r="R71" i="1"/>
  <c r="S71" i="1" s="1"/>
  <c r="O71" i="1"/>
  <c r="P71" i="1" s="1"/>
  <c r="L71" i="1"/>
  <c r="M71" i="1" s="1"/>
  <c r="CV26" i="1"/>
  <c r="CT26" i="1"/>
  <c r="BT26" i="1"/>
  <c r="BU26" i="1" s="1"/>
  <c r="BQ26" i="1"/>
  <c r="BR26" i="1" s="1"/>
  <c r="BN26" i="1"/>
  <c r="BO26" i="1" s="1"/>
  <c r="AS26" i="1"/>
  <c r="AT26" i="1" s="1"/>
  <c r="AJ26" i="1"/>
  <c r="AK26" i="1" s="1"/>
  <c r="AG26" i="1"/>
  <c r="AH26" i="1" s="1"/>
  <c r="AD26" i="1"/>
  <c r="AE26" i="1" s="1"/>
  <c r="R26" i="1"/>
  <c r="S26" i="1" s="1"/>
  <c r="O26" i="1"/>
  <c r="P26" i="1" s="1"/>
  <c r="L26" i="1"/>
  <c r="M26" i="1" s="1"/>
  <c r="CV25" i="1"/>
  <c r="CT25" i="1"/>
  <c r="BT25" i="1"/>
  <c r="BU25" i="1" s="1"/>
  <c r="BQ25" i="1"/>
  <c r="BR25" i="1" s="1"/>
  <c r="BN25" i="1"/>
  <c r="BO25" i="1" s="1"/>
  <c r="AS25" i="1"/>
  <c r="AT25" i="1" s="1"/>
  <c r="AJ25" i="1"/>
  <c r="AK25" i="1" s="1"/>
  <c r="AG25" i="1"/>
  <c r="AH25" i="1" s="1"/>
  <c r="AD25" i="1"/>
  <c r="AE25" i="1" s="1"/>
  <c r="R25" i="1"/>
  <c r="S25" i="1" s="1"/>
  <c r="O25" i="1"/>
  <c r="P25" i="1" s="1"/>
  <c r="L25" i="1"/>
  <c r="M25" i="1" s="1"/>
  <c r="E112" i="1"/>
  <c r="CV18" i="1"/>
  <c r="CV19" i="1"/>
  <c r="CV20" i="1"/>
  <c r="CV21" i="1"/>
  <c r="CV22" i="1"/>
  <c r="CV23" i="1"/>
  <c r="CV24" i="1"/>
  <c r="CV17" i="1"/>
  <c r="CW112" i="1"/>
  <c r="CT18" i="1"/>
  <c r="CT19" i="1"/>
  <c r="CT20" i="1"/>
  <c r="CT21" i="1"/>
  <c r="CT22" i="1"/>
  <c r="CT23" i="1"/>
  <c r="CT24" i="1"/>
  <c r="CT17" i="1"/>
  <c r="BT24" i="1"/>
  <c r="BU24" i="1" s="1"/>
  <c r="BT21" i="1"/>
  <c r="BU21" i="1" s="1"/>
  <c r="BT20" i="1"/>
  <c r="BU20" i="1" s="1"/>
  <c r="BQ24" i="1"/>
  <c r="BR24" i="1" s="1"/>
  <c r="BQ21" i="1"/>
  <c r="BR21" i="1" s="1"/>
  <c r="BN24" i="1"/>
  <c r="BO24" i="1" s="1"/>
  <c r="BN21" i="1"/>
  <c r="BO21" i="1" s="1"/>
  <c r="BN20" i="1"/>
  <c r="BO20" i="1" s="1"/>
  <c r="BN18" i="1"/>
  <c r="BO18" i="1" s="1"/>
  <c r="BN17" i="1"/>
  <c r="BO17" i="1" s="1"/>
  <c r="BQ20" i="1"/>
  <c r="BR20" i="1" s="1"/>
  <c r="BT18" i="1"/>
  <c r="BU18" i="1" s="1"/>
  <c r="BQ18" i="1"/>
  <c r="BR18" i="1" s="1"/>
  <c r="BQ17" i="1"/>
  <c r="BR17" i="1" s="1"/>
  <c r="L17" i="1"/>
  <c r="M17" i="1" s="1"/>
  <c r="O17" i="1"/>
  <c r="P17" i="1" s="1"/>
  <c r="R17" i="1"/>
  <c r="S17" i="1" s="1"/>
  <c r="AD17" i="1"/>
  <c r="AE17" i="1" s="1"/>
  <c r="AG17" i="1"/>
  <c r="AH17" i="1" s="1"/>
  <c r="AJ17" i="1"/>
  <c r="AK17" i="1" s="1"/>
  <c r="AS17" i="1"/>
  <c r="AT17" i="1" s="1"/>
  <c r="BT17" i="1"/>
  <c r="BU17" i="1" s="1"/>
  <c r="CN17" i="1"/>
  <c r="CO17" i="1"/>
  <c r="L18" i="1"/>
  <c r="M18" i="1" s="1"/>
  <c r="O18" i="1"/>
  <c r="P18" i="1" s="1"/>
  <c r="R18" i="1"/>
  <c r="S18" i="1" s="1"/>
  <c r="AD18" i="1"/>
  <c r="AE18" i="1" s="1"/>
  <c r="AG18" i="1"/>
  <c r="AH18" i="1" s="1"/>
  <c r="AJ18" i="1"/>
  <c r="AK18" i="1" s="1"/>
  <c r="AS18" i="1"/>
  <c r="AT18" i="1" s="1"/>
  <c r="L19" i="1"/>
  <c r="M19" i="1" s="1"/>
  <c r="O19" i="1"/>
  <c r="P19" i="1" s="1"/>
  <c r="R19" i="1"/>
  <c r="S19" i="1" s="1"/>
  <c r="AD19" i="1"/>
  <c r="AE19" i="1" s="1"/>
  <c r="AG19" i="1"/>
  <c r="AH19" i="1" s="1"/>
  <c r="AJ19" i="1"/>
  <c r="AK19" i="1" s="1"/>
  <c r="AS19" i="1"/>
  <c r="AT19" i="1" s="1"/>
  <c r="BN19" i="1"/>
  <c r="BO19" i="1" s="1"/>
  <c r="BT19" i="1"/>
  <c r="BU19" i="1" s="1"/>
  <c r="L20" i="1"/>
  <c r="M20" i="1" s="1"/>
  <c r="O20" i="1"/>
  <c r="P20" i="1" s="1"/>
  <c r="R20" i="1"/>
  <c r="S20" i="1" s="1"/>
  <c r="AD20" i="1"/>
  <c r="AE20" i="1" s="1"/>
  <c r="AG20" i="1"/>
  <c r="AH20" i="1" s="1"/>
  <c r="AJ20" i="1"/>
  <c r="AK20" i="1" s="1"/>
  <c r="AS20" i="1"/>
  <c r="AT20" i="1" s="1"/>
  <c r="L21" i="1"/>
  <c r="M21" i="1" s="1"/>
  <c r="O21" i="1"/>
  <c r="P21" i="1" s="1"/>
  <c r="R21" i="1"/>
  <c r="S21" i="1" s="1"/>
  <c r="AD21" i="1"/>
  <c r="AE21" i="1" s="1"/>
  <c r="AG21" i="1"/>
  <c r="AH21" i="1" s="1"/>
  <c r="AJ21" i="1"/>
  <c r="AK21" i="1" s="1"/>
  <c r="AS21" i="1"/>
  <c r="AT21" i="1" s="1"/>
  <c r="L22" i="1"/>
  <c r="M22" i="1" s="1"/>
  <c r="O22" i="1"/>
  <c r="P22" i="1" s="1"/>
  <c r="R22" i="1"/>
  <c r="S22" i="1" s="1"/>
  <c r="AD22" i="1"/>
  <c r="AE22" i="1" s="1"/>
  <c r="AG22" i="1"/>
  <c r="AH22" i="1" s="1"/>
  <c r="AJ22" i="1"/>
  <c r="AK22" i="1" s="1"/>
  <c r="AS22" i="1"/>
  <c r="AT22" i="1" s="1"/>
  <c r="BN22" i="1"/>
  <c r="BO22" i="1" s="1"/>
  <c r="BT22" i="1"/>
  <c r="BU22" i="1" s="1"/>
  <c r="L23" i="1"/>
  <c r="M23" i="1" s="1"/>
  <c r="O23" i="1"/>
  <c r="P23" i="1" s="1"/>
  <c r="R23" i="1"/>
  <c r="S23" i="1" s="1"/>
  <c r="AD23" i="1"/>
  <c r="AE23" i="1" s="1"/>
  <c r="AG23" i="1"/>
  <c r="AH23" i="1" s="1"/>
  <c r="AJ23" i="1"/>
  <c r="AK23" i="1" s="1"/>
  <c r="AS23" i="1"/>
  <c r="AT23" i="1" s="1"/>
  <c r="BN23" i="1"/>
  <c r="BO23" i="1" s="1"/>
  <c r="BT23" i="1"/>
  <c r="BU23" i="1" s="1"/>
  <c r="L24" i="1"/>
  <c r="M24" i="1" s="1"/>
  <c r="O24" i="1"/>
  <c r="P24" i="1" s="1"/>
  <c r="R24" i="1"/>
  <c r="S24" i="1" s="1"/>
  <c r="AD24" i="1"/>
  <c r="AE24" i="1" s="1"/>
  <c r="AG24" i="1"/>
  <c r="AH24" i="1" s="1"/>
  <c r="AJ24" i="1"/>
  <c r="AK24" i="1" s="1"/>
  <c r="AS24" i="1"/>
  <c r="AT24" i="1" s="1"/>
  <c r="F112" i="1"/>
  <c r="BC112" i="1" l="1"/>
  <c r="CN71" i="1"/>
  <c r="CN67" i="1"/>
  <c r="CQ67" i="1" s="1"/>
  <c r="CO63" i="1"/>
  <c r="CN59" i="1"/>
  <c r="CQ59" i="1" s="1"/>
  <c r="CN111" i="1"/>
  <c r="CQ111" i="1" s="1"/>
  <c r="CN107" i="1"/>
  <c r="CQ107" i="1" s="1"/>
  <c r="CN103" i="1"/>
  <c r="CQ103" i="1" s="1"/>
  <c r="CN99" i="1"/>
  <c r="CN95" i="1"/>
  <c r="CN91" i="1"/>
  <c r="CN87" i="1"/>
  <c r="CQ87" i="1" s="1"/>
  <c r="CN75" i="1"/>
  <c r="CO83" i="1"/>
  <c r="CP83" i="1" s="1"/>
  <c r="CO51" i="1"/>
  <c r="CN35" i="1"/>
  <c r="CO72" i="1"/>
  <c r="CO43" i="1"/>
  <c r="CO60" i="1"/>
  <c r="CO59" i="1"/>
  <c r="CO99" i="1"/>
  <c r="CO106" i="1"/>
  <c r="CO98" i="1"/>
  <c r="CO90" i="1"/>
  <c r="CO82" i="1"/>
  <c r="CO58" i="1"/>
  <c r="CO50" i="1"/>
  <c r="CO42" i="1"/>
  <c r="CO26" i="1"/>
  <c r="CO71" i="1"/>
  <c r="CO75" i="1"/>
  <c r="CO56" i="1"/>
  <c r="CN52" i="1"/>
  <c r="CO48" i="1"/>
  <c r="CN44" i="1"/>
  <c r="CQ44" i="1" s="1"/>
  <c r="CN40" i="1"/>
  <c r="CQ40" i="1" s="1"/>
  <c r="CO36" i="1"/>
  <c r="CO20" i="1"/>
  <c r="CO110" i="1"/>
  <c r="CO102" i="1"/>
  <c r="CO94" i="1"/>
  <c r="CO86" i="1"/>
  <c r="CO78" i="1"/>
  <c r="CN54" i="1"/>
  <c r="CO46" i="1"/>
  <c r="CO30" i="1"/>
  <c r="CO22" i="1"/>
  <c r="CO95" i="1"/>
  <c r="CP95" i="1" s="1"/>
  <c r="CN55" i="1"/>
  <c r="CN51" i="1"/>
  <c r="CN47" i="1"/>
  <c r="CN43" i="1"/>
  <c r="CQ43" i="1" s="1"/>
  <c r="CN39" i="1"/>
  <c r="CQ39" i="1" s="1"/>
  <c r="CO35" i="1"/>
  <c r="CN31" i="1"/>
  <c r="CN23" i="1"/>
  <c r="CN19" i="1"/>
  <c r="CO79" i="1"/>
  <c r="CP79" i="1" s="1"/>
  <c r="CO103" i="1"/>
  <c r="CO111" i="1"/>
  <c r="CP111" i="1" s="1"/>
  <c r="CO87" i="1"/>
  <c r="CO107" i="1"/>
  <c r="CO91" i="1"/>
  <c r="CO96" i="1"/>
  <c r="CO76" i="1"/>
  <c r="CO68" i="1"/>
  <c r="CP17" i="1"/>
  <c r="CO67" i="1"/>
  <c r="CO62" i="1"/>
  <c r="CH34" i="1"/>
  <c r="CI34" i="1" s="1"/>
  <c r="CN63" i="1"/>
  <c r="CQ63" i="1" s="1"/>
  <c r="CN29" i="1"/>
  <c r="CH104" i="1"/>
  <c r="CI104" i="1" s="1"/>
  <c r="CO66" i="1"/>
  <c r="CO32" i="1"/>
  <c r="CN24" i="1"/>
  <c r="CN18" i="1"/>
  <c r="CH28" i="1"/>
  <c r="CI28" i="1" s="1"/>
  <c r="CH39" i="1"/>
  <c r="CI39" i="1" s="1"/>
  <c r="CH106" i="1"/>
  <c r="CI106" i="1" s="1"/>
  <c r="CH81" i="1"/>
  <c r="CI81" i="1" s="1"/>
  <c r="CN105" i="1"/>
  <c r="CQ105" i="1" s="1"/>
  <c r="CN97" i="1"/>
  <c r="CQ97" i="1" s="1"/>
  <c r="CN89" i="1"/>
  <c r="CN81" i="1"/>
  <c r="CQ81" i="1" s="1"/>
  <c r="CN73" i="1"/>
  <c r="CN65" i="1"/>
  <c r="CN53" i="1"/>
  <c r="CQ53" i="1" s="1"/>
  <c r="CO45" i="1"/>
  <c r="CO41" i="1"/>
  <c r="CO33" i="1"/>
  <c r="CO25" i="1"/>
  <c r="CO21" i="1"/>
  <c r="CO54" i="1"/>
  <c r="CN50" i="1"/>
  <c r="CP50" i="1" s="1"/>
  <c r="CN108" i="1"/>
  <c r="CQ108" i="1" s="1"/>
  <c r="CN104" i="1"/>
  <c r="CQ104" i="1" s="1"/>
  <c r="CN100" i="1"/>
  <c r="CN96" i="1"/>
  <c r="CN92" i="1"/>
  <c r="CN88" i="1"/>
  <c r="CQ88" i="1" s="1"/>
  <c r="CN84" i="1"/>
  <c r="CQ84" i="1" s="1"/>
  <c r="CN80" i="1"/>
  <c r="CN76" i="1"/>
  <c r="CN72" i="1"/>
  <c r="CN68" i="1"/>
  <c r="CQ68" i="1" s="1"/>
  <c r="CN64" i="1"/>
  <c r="CQ64" i="1" s="1"/>
  <c r="CN60" i="1"/>
  <c r="CQ60" i="1" s="1"/>
  <c r="CN109" i="1"/>
  <c r="CN101" i="1"/>
  <c r="CQ101" i="1" s="1"/>
  <c r="CN93" i="1"/>
  <c r="CN85" i="1"/>
  <c r="CQ85" i="1" s="1"/>
  <c r="CN77" i="1"/>
  <c r="CQ77" i="1" s="1"/>
  <c r="CN69" i="1"/>
  <c r="CQ69" i="1" s="1"/>
  <c r="CN61" i="1"/>
  <c r="CQ61" i="1" s="1"/>
  <c r="CN28" i="1"/>
  <c r="CO57" i="1"/>
  <c r="CO49" i="1"/>
  <c r="CO37" i="1"/>
  <c r="CN58" i="1"/>
  <c r="CQ58" i="1" s="1"/>
  <c r="CN46" i="1"/>
  <c r="CN42" i="1"/>
  <c r="CQ42" i="1" s="1"/>
  <c r="CN22" i="1"/>
  <c r="CH32" i="1"/>
  <c r="CI32" i="1" s="1"/>
  <c r="CH42" i="1"/>
  <c r="CI42" i="1" s="1"/>
  <c r="CH59" i="1"/>
  <c r="CI59" i="1" s="1"/>
  <c r="CH58" i="1"/>
  <c r="CI58" i="1" s="1"/>
  <c r="CH63" i="1"/>
  <c r="CI63" i="1" s="1"/>
  <c r="CO88" i="1"/>
  <c r="CO105" i="1"/>
  <c r="CO19" i="1"/>
  <c r="CO64" i="1"/>
  <c r="CO47" i="1"/>
  <c r="CO100" i="1"/>
  <c r="CO80" i="1"/>
  <c r="CN48" i="1"/>
  <c r="CP48" i="1" s="1"/>
  <c r="CO23" i="1"/>
  <c r="CH31" i="1"/>
  <c r="CI31" i="1" s="1"/>
  <c r="CH47" i="1"/>
  <c r="CI47" i="1" s="1"/>
  <c r="CN33" i="1"/>
  <c r="CQ33" i="1" s="1"/>
  <c r="CH43" i="1"/>
  <c r="CI43" i="1" s="1"/>
  <c r="CO85" i="1"/>
  <c r="CH40" i="1"/>
  <c r="CI40" i="1" s="1"/>
  <c r="CO40" i="1"/>
  <c r="CN36" i="1"/>
  <c r="CH94" i="1"/>
  <c r="CI94" i="1" s="1"/>
  <c r="CO55" i="1"/>
  <c r="CO61" i="1"/>
  <c r="CO24" i="1"/>
  <c r="CN32" i="1"/>
  <c r="CH44" i="1"/>
  <c r="CI44" i="1" s="1"/>
  <c r="CN38" i="1"/>
  <c r="CQ38" i="1" s="1"/>
  <c r="CN34" i="1"/>
  <c r="CH97" i="1"/>
  <c r="CI97" i="1" s="1"/>
  <c r="CH50" i="1"/>
  <c r="CI50" i="1" s="1"/>
  <c r="CH85" i="1"/>
  <c r="CI85" i="1" s="1"/>
  <c r="CH91" i="1"/>
  <c r="CI91" i="1" s="1"/>
  <c r="CH101" i="1"/>
  <c r="CI101" i="1" s="1"/>
  <c r="CH103" i="1"/>
  <c r="CI103" i="1" s="1"/>
  <c r="CH76" i="1"/>
  <c r="CI76" i="1" s="1"/>
  <c r="CO52" i="1"/>
  <c r="CO28" i="1"/>
  <c r="CH62" i="1"/>
  <c r="CI62" i="1" s="1"/>
  <c r="CH108" i="1"/>
  <c r="CI108" i="1" s="1"/>
  <c r="CO44" i="1"/>
  <c r="CN41" i="1"/>
  <c r="CQ41" i="1" s="1"/>
  <c r="M98" i="1"/>
  <c r="CH98" i="1" s="1"/>
  <c r="CI98" i="1" s="1"/>
  <c r="CO89" i="1"/>
  <c r="CO81" i="1"/>
  <c r="CH30" i="1"/>
  <c r="CI30" i="1" s="1"/>
  <c r="CH100" i="1"/>
  <c r="CI100" i="1" s="1"/>
  <c r="CH69" i="1"/>
  <c r="CI69" i="1" s="1"/>
  <c r="CH60" i="1"/>
  <c r="CI60" i="1" s="1"/>
  <c r="CH82" i="1"/>
  <c r="CI82" i="1" s="1"/>
  <c r="CH78" i="1"/>
  <c r="CI78" i="1" s="1"/>
  <c r="P65" i="1"/>
  <c r="CH65" i="1" s="1"/>
  <c r="CI65" i="1" s="1"/>
  <c r="CN27" i="1"/>
  <c r="CO27" i="1"/>
  <c r="CO34" i="1"/>
  <c r="CH56" i="1"/>
  <c r="CI56" i="1" s="1"/>
  <c r="CH90" i="1"/>
  <c r="CI90" i="1" s="1"/>
  <c r="CO31" i="1"/>
  <c r="CH54" i="1"/>
  <c r="CI54" i="1" s="1"/>
  <c r="CH95" i="1"/>
  <c r="CI95" i="1" s="1"/>
  <c r="CH37" i="1"/>
  <c r="CI37" i="1" s="1"/>
  <c r="CH41" i="1"/>
  <c r="CI41" i="1" s="1"/>
  <c r="CH55" i="1"/>
  <c r="CI55" i="1" s="1"/>
  <c r="CO97" i="1"/>
  <c r="CH66" i="1"/>
  <c r="CI66" i="1" s="1"/>
  <c r="CH35" i="1"/>
  <c r="CI35" i="1" s="1"/>
  <c r="CH99" i="1"/>
  <c r="CI99" i="1" s="1"/>
  <c r="CO92" i="1"/>
  <c r="CO93" i="1"/>
  <c r="CH46" i="1"/>
  <c r="CI46" i="1" s="1"/>
  <c r="CH48" i="1"/>
  <c r="CI48" i="1" s="1"/>
  <c r="CO53" i="1"/>
  <c r="CO84" i="1"/>
  <c r="CO39" i="1"/>
  <c r="CH70" i="1"/>
  <c r="CI70" i="1" s="1"/>
  <c r="CH88" i="1"/>
  <c r="CI88" i="1" s="1"/>
  <c r="CO108" i="1"/>
  <c r="CH89" i="1"/>
  <c r="CI89" i="1" s="1"/>
  <c r="CO104" i="1"/>
  <c r="CH52" i="1"/>
  <c r="CI52" i="1" s="1"/>
  <c r="CH107" i="1"/>
  <c r="CI107" i="1" s="1"/>
  <c r="CH29" i="1"/>
  <c r="CI29" i="1" s="1"/>
  <c r="CH64" i="1"/>
  <c r="CI64" i="1" s="1"/>
  <c r="CH102" i="1"/>
  <c r="CI102" i="1" s="1"/>
  <c r="CH24" i="1"/>
  <c r="CI24" i="1" s="1"/>
  <c r="CN30" i="1"/>
  <c r="CN26" i="1"/>
  <c r="CH18" i="1"/>
  <c r="CI18" i="1" s="1"/>
  <c r="CO73" i="1"/>
  <c r="CO65" i="1"/>
  <c r="CO77" i="1"/>
  <c r="CH86" i="1"/>
  <c r="CI86" i="1" s="1"/>
  <c r="CH105" i="1"/>
  <c r="CI105" i="1" s="1"/>
  <c r="CH51" i="1"/>
  <c r="CI51" i="1" s="1"/>
  <c r="CH61" i="1"/>
  <c r="CI61" i="1" s="1"/>
  <c r="CH93" i="1"/>
  <c r="CI93" i="1" s="1"/>
  <c r="CH33" i="1"/>
  <c r="CI33" i="1" s="1"/>
  <c r="CO109" i="1"/>
  <c r="CO101" i="1"/>
  <c r="CO38" i="1"/>
  <c r="CN20" i="1"/>
  <c r="CQ20" i="1" s="1"/>
  <c r="CO18" i="1"/>
  <c r="CH87" i="1"/>
  <c r="CI87" i="1" s="1"/>
  <c r="CH57" i="1"/>
  <c r="CI57" i="1" s="1"/>
  <c r="CH96" i="1"/>
  <c r="CI96" i="1" s="1"/>
  <c r="CH92" i="1"/>
  <c r="CI92" i="1" s="1"/>
  <c r="CH45" i="1"/>
  <c r="CI45" i="1" s="1"/>
  <c r="CH36" i="1"/>
  <c r="CI36" i="1" s="1"/>
  <c r="CH84" i="1"/>
  <c r="CI84" i="1" s="1"/>
  <c r="CH68" i="1"/>
  <c r="CI68" i="1" s="1"/>
  <c r="CH53" i="1"/>
  <c r="CI53" i="1" s="1"/>
  <c r="CH67" i="1"/>
  <c r="CI67" i="1" s="1"/>
  <c r="CH38" i="1"/>
  <c r="CI38" i="1" s="1"/>
  <c r="CH27" i="1"/>
  <c r="CI27" i="1" s="1"/>
  <c r="CO69" i="1"/>
  <c r="CH49" i="1"/>
  <c r="CI49" i="1" s="1"/>
  <c r="CO29" i="1"/>
  <c r="CH26" i="1"/>
  <c r="CI26" i="1" s="1"/>
  <c r="CH79" i="1"/>
  <c r="CI79" i="1" s="1"/>
  <c r="J83" i="1"/>
  <c r="CH83" i="1" s="1"/>
  <c r="CI83" i="1" s="1"/>
  <c r="CN57" i="1"/>
  <c r="CQ57" i="1" s="1"/>
  <c r="CN49" i="1"/>
  <c r="CN45" i="1"/>
  <c r="CN37" i="1"/>
  <c r="CQ37" i="1" s="1"/>
  <c r="CN25" i="1"/>
  <c r="CN21" i="1"/>
  <c r="CN110" i="1"/>
  <c r="CN106" i="1"/>
  <c r="CQ106" i="1" s="1"/>
  <c r="CN102" i="1"/>
  <c r="CN98" i="1"/>
  <c r="CN94" i="1"/>
  <c r="CN90" i="1"/>
  <c r="CN86" i="1"/>
  <c r="CN82" i="1"/>
  <c r="CQ82" i="1" s="1"/>
  <c r="CN78" i="1"/>
  <c r="CP78" i="1" s="1"/>
  <c r="CN74" i="1"/>
  <c r="CP74" i="1" s="1"/>
  <c r="CN70" i="1"/>
  <c r="CQ70" i="1" s="1"/>
  <c r="CN66" i="1"/>
  <c r="CN62" i="1"/>
  <c r="CQ62" i="1" s="1"/>
  <c r="CH80" i="1"/>
  <c r="CI80" i="1" s="1"/>
  <c r="CH75" i="1"/>
  <c r="CI75" i="1" s="1"/>
  <c r="CH74" i="1"/>
  <c r="CI74" i="1" s="1"/>
  <c r="CH22" i="1"/>
  <c r="CI22" i="1" s="1"/>
  <c r="CH72" i="1"/>
  <c r="CI72" i="1" s="1"/>
  <c r="CH110" i="1"/>
  <c r="CI110" i="1" s="1"/>
  <c r="CH111" i="1"/>
  <c r="CI111" i="1" s="1"/>
  <c r="CH23" i="1"/>
  <c r="CI23" i="1" s="1"/>
  <c r="CH20" i="1"/>
  <c r="CI20" i="1" s="1"/>
  <c r="CH73" i="1"/>
  <c r="CI73" i="1" s="1"/>
  <c r="CH109" i="1"/>
  <c r="CI109" i="1" s="1"/>
  <c r="CH77" i="1"/>
  <c r="CI77" i="1" s="1"/>
  <c r="CH71" i="1"/>
  <c r="CI71" i="1" s="1"/>
  <c r="CH21" i="1"/>
  <c r="CI21" i="1" s="1"/>
  <c r="CH17" i="1"/>
  <c r="CI17" i="1" s="1"/>
  <c r="CH19" i="1"/>
  <c r="CI19" i="1" s="1"/>
  <c r="CH25" i="1"/>
  <c r="CI25" i="1" s="1"/>
  <c r="CN56" i="1"/>
  <c r="CP71" i="1" l="1"/>
  <c r="CP22" i="1"/>
  <c r="CP91" i="1"/>
  <c r="CD100" i="1"/>
  <c r="CE100" i="1"/>
  <c r="CC100" i="1"/>
  <c r="CD39" i="1"/>
  <c r="CE39" i="1"/>
  <c r="CC39" i="1"/>
  <c r="CD92" i="1"/>
  <c r="CE92" i="1"/>
  <c r="CC92" i="1"/>
  <c r="CD51" i="1"/>
  <c r="CE51" i="1"/>
  <c r="CC51" i="1"/>
  <c r="CD46" i="1"/>
  <c r="CC46" i="1"/>
  <c r="CE46" i="1"/>
  <c r="CD41" i="1"/>
  <c r="CE41" i="1"/>
  <c r="CC41" i="1"/>
  <c r="CD82" i="1"/>
  <c r="CC82" i="1"/>
  <c r="CE82" i="1"/>
  <c r="CD101" i="1"/>
  <c r="CC101" i="1"/>
  <c r="CE101" i="1"/>
  <c r="CD59" i="1"/>
  <c r="CE59" i="1"/>
  <c r="CC59" i="1"/>
  <c r="CD55" i="1"/>
  <c r="CE55" i="1"/>
  <c r="CC55" i="1"/>
  <c r="CD98" i="1"/>
  <c r="CC98" i="1"/>
  <c r="CE98" i="1"/>
  <c r="CD40" i="1"/>
  <c r="CE40" i="1"/>
  <c r="CC40" i="1"/>
  <c r="CD37" i="1"/>
  <c r="CE37" i="1"/>
  <c r="CC37" i="1"/>
  <c r="CP87" i="1"/>
  <c r="CD79" i="1"/>
  <c r="CE79" i="1"/>
  <c r="CC79" i="1"/>
  <c r="CD61" i="1"/>
  <c r="CE61" i="1"/>
  <c r="CC61" i="1"/>
  <c r="CD83" i="1"/>
  <c r="CE83" i="1"/>
  <c r="CC83" i="1"/>
  <c r="CD57" i="1"/>
  <c r="CE57" i="1"/>
  <c r="CC57" i="1"/>
  <c r="CD93" i="1"/>
  <c r="CC93" i="1"/>
  <c r="CE93" i="1"/>
  <c r="CD95" i="1"/>
  <c r="CE95" i="1"/>
  <c r="CC95" i="1"/>
  <c r="J112" i="1"/>
  <c r="CP67" i="1"/>
  <c r="CP107" i="1"/>
  <c r="CP99" i="1"/>
  <c r="CP59" i="1"/>
  <c r="CP103" i="1"/>
  <c r="CP75" i="1"/>
  <c r="CP98" i="1"/>
  <c r="CP31" i="1"/>
  <c r="CP51" i="1"/>
  <c r="CP44" i="1"/>
  <c r="CP47" i="1"/>
  <c r="CP35" i="1"/>
  <c r="CP94" i="1"/>
  <c r="CP26" i="1"/>
  <c r="CP55" i="1"/>
  <c r="CP19" i="1"/>
  <c r="CP96" i="1"/>
  <c r="CP76" i="1"/>
  <c r="CP56" i="1"/>
  <c r="CP23" i="1"/>
  <c r="CP90" i="1"/>
  <c r="CP53" i="1"/>
  <c r="CP40" i="1"/>
  <c r="CP72" i="1"/>
  <c r="CP54" i="1"/>
  <c r="CP89" i="1"/>
  <c r="CP18" i="1"/>
  <c r="CP30" i="1"/>
  <c r="CP39" i="1"/>
  <c r="CP52" i="1"/>
  <c r="CP36" i="1"/>
  <c r="CP46" i="1"/>
  <c r="CP43" i="1"/>
  <c r="CP104" i="1"/>
  <c r="CP108" i="1"/>
  <c r="CP81" i="1"/>
  <c r="CP105" i="1"/>
  <c r="CP61" i="1"/>
  <c r="CP97" i="1"/>
  <c r="CP64" i="1"/>
  <c r="CP25" i="1"/>
  <c r="CP29" i="1"/>
  <c r="CP24" i="1"/>
  <c r="CP63" i="1"/>
  <c r="CP38" i="1"/>
  <c r="CP45" i="1"/>
  <c r="CP69" i="1"/>
  <c r="CP101" i="1"/>
  <c r="CP77" i="1"/>
  <c r="CP32" i="1"/>
  <c r="CP80" i="1"/>
  <c r="CP33" i="1"/>
  <c r="CP92" i="1"/>
  <c r="CP21" i="1"/>
  <c r="CP49" i="1"/>
  <c r="CP109" i="1"/>
  <c r="CP20" i="1"/>
  <c r="CP58" i="1"/>
  <c r="CP65" i="1"/>
  <c r="CP27" i="1"/>
  <c r="CP28" i="1"/>
  <c r="CP88" i="1"/>
  <c r="CP68" i="1"/>
  <c r="CP34" i="1"/>
  <c r="CP100" i="1"/>
  <c r="CP73" i="1"/>
  <c r="CP84" i="1"/>
  <c r="CP93" i="1"/>
  <c r="CP85" i="1"/>
  <c r="CP60" i="1"/>
  <c r="CP42" i="1"/>
  <c r="CQ66" i="1"/>
  <c r="CP66" i="1"/>
  <c r="CP106" i="1"/>
  <c r="CQ86" i="1"/>
  <c r="CP86" i="1"/>
  <c r="CQ102" i="1"/>
  <c r="CP102" i="1"/>
  <c r="CP82" i="1"/>
  <c r="CF40" i="1"/>
  <c r="CP41" i="1"/>
  <c r="CP70" i="1"/>
  <c r="CP37" i="1"/>
  <c r="CP57" i="1"/>
  <c r="CQ110" i="1"/>
  <c r="CP110" i="1"/>
  <c r="CP62" i="1"/>
  <c r="CF59" i="1"/>
  <c r="CO14" i="1"/>
  <c r="CP14" i="1" s="1"/>
  <c r="CE35" i="1" l="1"/>
  <c r="CC35" i="1"/>
  <c r="CD109" i="1"/>
  <c r="CC109" i="1"/>
  <c r="CE109" i="1"/>
  <c r="CD81" i="1"/>
  <c r="CC81" i="1"/>
  <c r="CE81" i="1"/>
  <c r="CD103" i="1"/>
  <c r="CE103" i="1"/>
  <c r="CC103" i="1"/>
  <c r="CD87" i="1"/>
  <c r="CE87" i="1"/>
  <c r="CC87" i="1"/>
  <c r="CE76" i="1"/>
  <c r="CC76" i="1"/>
  <c r="CE91" i="1"/>
  <c r="CC91" i="1"/>
  <c r="CD21" i="1"/>
  <c r="CE21" i="1"/>
  <c r="CC21" i="1"/>
  <c r="CC94" i="1"/>
  <c r="CE94" i="1"/>
  <c r="CD89" i="1"/>
  <c r="CC89" i="1"/>
  <c r="CE89" i="1"/>
  <c r="CF26" i="1"/>
  <c r="CC26" i="1"/>
  <c r="CE26" i="1"/>
  <c r="CC106" i="1"/>
  <c r="CE106" i="1"/>
  <c r="CD65" i="1"/>
  <c r="CC65" i="1"/>
  <c r="CE65" i="1"/>
  <c r="CD49" i="1"/>
  <c r="CE49" i="1"/>
  <c r="CC49" i="1"/>
  <c r="CF42" i="1"/>
  <c r="CC42" i="1"/>
  <c r="CE42" i="1"/>
  <c r="CD84" i="1"/>
  <c r="CE84" i="1"/>
  <c r="CC84" i="1"/>
  <c r="CE47" i="1"/>
  <c r="CC47" i="1"/>
  <c r="CC62" i="1"/>
  <c r="CE62" i="1"/>
  <c r="CD48" i="1"/>
  <c r="CE48" i="1"/>
  <c r="CC48" i="1"/>
  <c r="CD45" i="1"/>
  <c r="CE45" i="1"/>
  <c r="CC45" i="1"/>
  <c r="CD77" i="1"/>
  <c r="CC77" i="1"/>
  <c r="CE77" i="1"/>
  <c r="CD69" i="1"/>
  <c r="CC69" i="1"/>
  <c r="CE69" i="1"/>
  <c r="CF36" i="1"/>
  <c r="CE36" i="1"/>
  <c r="CC36" i="1"/>
  <c r="CD25" i="1"/>
  <c r="CE25" i="1"/>
  <c r="CC25" i="1"/>
  <c r="CD90" i="1"/>
  <c r="CC90" i="1"/>
  <c r="CE90" i="1"/>
  <c r="CD96" i="1"/>
  <c r="CE96" i="1"/>
  <c r="CC96" i="1"/>
  <c r="CE17" i="1"/>
  <c r="CC17" i="1"/>
  <c r="CD27" i="1"/>
  <c r="CE27" i="1"/>
  <c r="CC27" i="1"/>
  <c r="CD86" i="1"/>
  <c r="CC86" i="1"/>
  <c r="CE86" i="1"/>
  <c r="CD58" i="1"/>
  <c r="CC58" i="1"/>
  <c r="CE58" i="1"/>
  <c r="CE99" i="1"/>
  <c r="CC99" i="1"/>
  <c r="CD23" i="1"/>
  <c r="CE23" i="1"/>
  <c r="CC23" i="1"/>
  <c r="CD71" i="1"/>
  <c r="CE71" i="1"/>
  <c r="CC71" i="1"/>
  <c r="CE33" i="1"/>
  <c r="CC33" i="1"/>
  <c r="CC34" i="1"/>
  <c r="CE34" i="1"/>
  <c r="CD97" i="1"/>
  <c r="CC97" i="1"/>
  <c r="CE97" i="1"/>
  <c r="CD29" i="1"/>
  <c r="CE29" i="1"/>
  <c r="CC29" i="1"/>
  <c r="CD74" i="1"/>
  <c r="CC74" i="1"/>
  <c r="CE74" i="1"/>
  <c r="CE63" i="1"/>
  <c r="CC63" i="1"/>
  <c r="CF88" i="1"/>
  <c r="CE88" i="1"/>
  <c r="CC88" i="1"/>
  <c r="CD72" i="1"/>
  <c r="CE72" i="1"/>
  <c r="CC72" i="1"/>
  <c r="CE60" i="1"/>
  <c r="CC60" i="1"/>
  <c r="CD75" i="1"/>
  <c r="CE75" i="1"/>
  <c r="CC75" i="1"/>
  <c r="CF44" i="1"/>
  <c r="CE44" i="1"/>
  <c r="CC44" i="1"/>
  <c r="CD78" i="1"/>
  <c r="CC78" i="1"/>
  <c r="CE78" i="1"/>
  <c r="CD70" i="1"/>
  <c r="CC70" i="1"/>
  <c r="CE70" i="1"/>
  <c r="CE53" i="1"/>
  <c r="CC53" i="1"/>
  <c r="CD19" i="1"/>
  <c r="CC19" i="1"/>
  <c r="CE19" i="1"/>
  <c r="CD56" i="1"/>
  <c r="CE56" i="1"/>
  <c r="CC56" i="1"/>
  <c r="CE67" i="1"/>
  <c r="CC67" i="1"/>
  <c r="CE104" i="1"/>
  <c r="CC104" i="1"/>
  <c r="CD66" i="1"/>
  <c r="CC66" i="1"/>
  <c r="CE66" i="1"/>
  <c r="CD38" i="1"/>
  <c r="CC38" i="1"/>
  <c r="CE38" i="1"/>
  <c r="CE31" i="1"/>
  <c r="CC31" i="1"/>
  <c r="CD108" i="1"/>
  <c r="CE108" i="1"/>
  <c r="CC108" i="1"/>
  <c r="CD105" i="1"/>
  <c r="CC105" i="1"/>
  <c r="CE105" i="1"/>
  <c r="CD18" i="1"/>
  <c r="CC18" i="1"/>
  <c r="CE18" i="1"/>
  <c r="CF39" i="1"/>
  <c r="CG39" i="1" s="1"/>
  <c r="CE28" i="1"/>
  <c r="CC28" i="1"/>
  <c r="CC30" i="1"/>
  <c r="CE30" i="1"/>
  <c r="CF68" i="1"/>
  <c r="CE68" i="1"/>
  <c r="CC68" i="1"/>
  <c r="CD111" i="1"/>
  <c r="CE111" i="1"/>
  <c r="CC111" i="1"/>
  <c r="CC85" i="1"/>
  <c r="CE85" i="1"/>
  <c r="CD102" i="1"/>
  <c r="CC102" i="1"/>
  <c r="CE102" i="1"/>
  <c r="CD20" i="1"/>
  <c r="CE20" i="1"/>
  <c r="CC20" i="1"/>
  <c r="CE24" i="1"/>
  <c r="CC24" i="1"/>
  <c r="CD73" i="1"/>
  <c r="CC73" i="1"/>
  <c r="CE73" i="1"/>
  <c r="CF50" i="1"/>
  <c r="CC50" i="1"/>
  <c r="CE50" i="1"/>
  <c r="CD54" i="1"/>
  <c r="CC54" i="1"/>
  <c r="CE54" i="1"/>
  <c r="CD64" i="1"/>
  <c r="CE64" i="1"/>
  <c r="CC64" i="1"/>
  <c r="CD22" i="1"/>
  <c r="CC22" i="1"/>
  <c r="CE22" i="1"/>
  <c r="CE32" i="1"/>
  <c r="CC32" i="1"/>
  <c r="CE52" i="1"/>
  <c r="CC52" i="1"/>
  <c r="CD80" i="1"/>
  <c r="CE80" i="1"/>
  <c r="CC80" i="1"/>
  <c r="CF43" i="1"/>
  <c r="CE43" i="1"/>
  <c r="CC43" i="1"/>
  <c r="CD107" i="1"/>
  <c r="CE107" i="1"/>
  <c r="CC107" i="1"/>
  <c r="CD110" i="1"/>
  <c r="CC110" i="1"/>
  <c r="CE110" i="1"/>
  <c r="CF35" i="1"/>
  <c r="CF34" i="1"/>
  <c r="CF84" i="1"/>
  <c r="CG84" i="1" s="1"/>
  <c r="CF58" i="1"/>
  <c r="CF32" i="1"/>
  <c r="CF27" i="1"/>
  <c r="CG27" i="1" s="1"/>
  <c r="CF108" i="1"/>
  <c r="CF30" i="1"/>
  <c r="CF60" i="1"/>
  <c r="CF81" i="1"/>
  <c r="CG81" i="1" s="1"/>
  <c r="CF62" i="1"/>
  <c r="CG59" i="1"/>
  <c r="CF31" i="1"/>
  <c r="CF53" i="1"/>
  <c r="CF64" i="1"/>
  <c r="CG64" i="1" s="1"/>
  <c r="CF99" i="1"/>
  <c r="CF63" i="1"/>
  <c r="CF70" i="1"/>
  <c r="CG40" i="1"/>
  <c r="CF23" i="1"/>
  <c r="CF37" i="1"/>
  <c r="CF77" i="1"/>
  <c r="CF73" i="1"/>
  <c r="CF41" i="1"/>
  <c r="CF102" i="1"/>
  <c r="CF79" i="1"/>
  <c r="CF87" i="1"/>
  <c r="CF90" i="1"/>
  <c r="CF75" i="1"/>
  <c r="CF61" i="1"/>
  <c r="CF65" i="1"/>
  <c r="CF100" i="1"/>
  <c r="CF83" i="1"/>
  <c r="CF92" i="1"/>
  <c r="CF55" i="1"/>
  <c r="CF98" i="1"/>
  <c r="CF74" i="1"/>
  <c r="CF101" i="1"/>
  <c r="CF57" i="1"/>
  <c r="CF51" i="1"/>
  <c r="CF20" i="1"/>
  <c r="CF80" i="1"/>
  <c r="CF95" i="1"/>
  <c r="CF82" i="1"/>
  <c r="CF46" i="1"/>
  <c r="CF93" i="1"/>
  <c r="CF111" i="1"/>
  <c r="CG108" i="1" l="1"/>
  <c r="CG58" i="1"/>
  <c r="CG70" i="1"/>
  <c r="CF110" i="1"/>
  <c r="CG110" i="1" s="1"/>
  <c r="CF66" i="1"/>
  <c r="CG66" i="1" s="1"/>
  <c r="CF107" i="1"/>
  <c r="CG107" i="1" s="1"/>
  <c r="CF19" i="1"/>
  <c r="CF25" i="1"/>
  <c r="CG25" i="1" s="1"/>
  <c r="CF45" i="1"/>
  <c r="CG45" i="1" s="1"/>
  <c r="CF105" i="1"/>
  <c r="CG105" i="1" s="1"/>
  <c r="CF54" i="1"/>
  <c r="CG54" i="1" s="1"/>
  <c r="CF97" i="1"/>
  <c r="CG97" i="1" s="1"/>
  <c r="CF21" i="1"/>
  <c r="CF48" i="1"/>
  <c r="CG48" i="1" s="1"/>
  <c r="CF103" i="1"/>
  <c r="CG103" i="1" s="1"/>
  <c r="CD85" i="1"/>
  <c r="CD62" i="1"/>
  <c r="CG62" i="1" s="1"/>
  <c r="CD76" i="1"/>
  <c r="CF76" i="1"/>
  <c r="CF78" i="1"/>
  <c r="CG78" i="1" s="1"/>
  <c r="CF96" i="1"/>
  <c r="CG96" i="1" s="1"/>
  <c r="CD32" i="1"/>
  <c r="CG32" i="1" s="1"/>
  <c r="CD50" i="1"/>
  <c r="CG50" i="1" s="1"/>
  <c r="CD30" i="1"/>
  <c r="CG30" i="1" s="1"/>
  <c r="CD31" i="1"/>
  <c r="CG31" i="1" s="1"/>
  <c r="CF67" i="1"/>
  <c r="CD67" i="1"/>
  <c r="CD60" i="1"/>
  <c r="CG60" i="1" s="1"/>
  <c r="CD33" i="1"/>
  <c r="CF33" i="1"/>
  <c r="CE112" i="1"/>
  <c r="CD36" i="1"/>
  <c r="CG36" i="1" s="1"/>
  <c r="CD42" i="1"/>
  <c r="CG42" i="1" s="1"/>
  <c r="CD26" i="1"/>
  <c r="CG26" i="1" s="1"/>
  <c r="CD91" i="1"/>
  <c r="CF91" i="1"/>
  <c r="CC112" i="1"/>
  <c r="CF71" i="1"/>
  <c r="CF85" i="1"/>
  <c r="CF49" i="1"/>
  <c r="CG49" i="1" s="1"/>
  <c r="CF52" i="1"/>
  <c r="CD52" i="1"/>
  <c r="CD68" i="1"/>
  <c r="CG68" i="1" s="1"/>
  <c r="CF104" i="1"/>
  <c r="CD104" i="1"/>
  <c r="CD53" i="1"/>
  <c r="CG53" i="1" s="1"/>
  <c r="CD63" i="1"/>
  <c r="CG63" i="1" s="1"/>
  <c r="CD34" i="1"/>
  <c r="CG34" i="1" s="1"/>
  <c r="CD99" i="1"/>
  <c r="CG99" i="1" s="1"/>
  <c r="CF106" i="1"/>
  <c r="CD106" i="1"/>
  <c r="CD43" i="1"/>
  <c r="CG43" i="1" s="1"/>
  <c r="CF28" i="1"/>
  <c r="CD28" i="1"/>
  <c r="CF38" i="1"/>
  <c r="CG38" i="1" s="1"/>
  <c r="CF18" i="1"/>
  <c r="CG18" i="1" s="1"/>
  <c r="CF109" i="1"/>
  <c r="CG109" i="1" s="1"/>
  <c r="CF86" i="1"/>
  <c r="CF22" i="1"/>
  <c r="CG22" i="1" s="1"/>
  <c r="CF72" i="1"/>
  <c r="CG72" i="1" s="1"/>
  <c r="CF29" i="1"/>
  <c r="CG29" i="1" s="1"/>
  <c r="CF89" i="1"/>
  <c r="CG89" i="1" s="1"/>
  <c r="CF56" i="1"/>
  <c r="CG56" i="1" s="1"/>
  <c r="CF69" i="1"/>
  <c r="CG69" i="1" s="1"/>
  <c r="CD24" i="1"/>
  <c r="CF24" i="1"/>
  <c r="CD44" i="1"/>
  <c r="CG44" i="1" s="1"/>
  <c r="CD88" i="1"/>
  <c r="CG88" i="1" s="1"/>
  <c r="CF47" i="1"/>
  <c r="CD47" i="1"/>
  <c r="CF94" i="1"/>
  <c r="CD94" i="1"/>
  <c r="CD35" i="1"/>
  <c r="CG35" i="1" s="1"/>
  <c r="CG83" i="1"/>
  <c r="CG98" i="1"/>
  <c r="CG90" i="1"/>
  <c r="CG93" i="1"/>
  <c r="CG86" i="1"/>
  <c r="CG101" i="1"/>
  <c r="CG65" i="1"/>
  <c r="CG82" i="1"/>
  <c r="CG92" i="1"/>
  <c r="CG79" i="1"/>
  <c r="CF17" i="1"/>
  <c r="CD17" i="1"/>
  <c r="CG46" i="1"/>
  <c r="CG100" i="1"/>
  <c r="CG61" i="1"/>
  <c r="CG41" i="1"/>
  <c r="CG37" i="1"/>
  <c r="CG55" i="1"/>
  <c r="CG87" i="1"/>
  <c r="CG102" i="1"/>
  <c r="CG95" i="1"/>
  <c r="CG51" i="1"/>
  <c r="CG57" i="1"/>
  <c r="CG74" i="1"/>
  <c r="CG71" i="1"/>
  <c r="CG19" i="1"/>
  <c r="CG23" i="1"/>
  <c r="CG20" i="1"/>
  <c r="CG73" i="1"/>
  <c r="CG77" i="1"/>
  <c r="CG75" i="1"/>
  <c r="CG80" i="1"/>
  <c r="CG21" i="1"/>
  <c r="CG111" i="1"/>
  <c r="CG85" i="1" l="1"/>
  <c r="CD112" i="1"/>
  <c r="CG24" i="1"/>
  <c r="CG47" i="1"/>
  <c r="CG104" i="1"/>
  <c r="CG52" i="1"/>
  <c r="CG67" i="1"/>
  <c r="CG91" i="1"/>
  <c r="CF112" i="1"/>
  <c r="CB112" i="1"/>
  <c r="CG33" i="1"/>
  <c r="CG94" i="1"/>
  <c r="CG28" i="1"/>
  <c r="CG106" i="1"/>
  <c r="CG76" i="1"/>
  <c r="CG17" i="1"/>
  <c r="CG112" i="1" l="1"/>
</calcChain>
</file>

<file path=xl/sharedStrings.xml><?xml version="1.0" encoding="utf-8"?>
<sst xmlns="http://schemas.openxmlformats.org/spreadsheetml/2006/main" count="578" uniqueCount="157">
  <si>
    <t>Итого:</t>
  </si>
  <si>
    <t>Методы используемые для определения НМЦ</t>
  </si>
  <si>
    <t>№п/п</t>
  </si>
  <si>
    <t>Наименование МТР</t>
  </si>
  <si>
    <t>Контактные данные поставщиков</t>
  </si>
  <si>
    <t>Цена без НДС</t>
  </si>
  <si>
    <t>Цена с НДС</t>
  </si>
  <si>
    <t>Ст-ть с НДС</t>
  </si>
  <si>
    <t xml:space="preserve">без НДС </t>
  </si>
  <si>
    <t xml:space="preserve">с НДС </t>
  </si>
  <si>
    <t xml:space="preserve">Наименование процедуры выбора </t>
  </si>
  <si>
    <t>Единица измерения</t>
  </si>
  <si>
    <t xml:space="preserve"> Метод сопоставления рыночных цен</t>
  </si>
  <si>
    <t xml:space="preserve">Сумма, полученная методом (аналитический метод),
руб. </t>
  </si>
  <si>
    <t>-</t>
  </si>
  <si>
    <t xml:space="preserve">Расчёт начальной максимальной цены (сопоставление рыночных цен) </t>
  </si>
  <si>
    <t>Номер лота/наименование лота:</t>
  </si>
  <si>
    <t>шт</t>
  </si>
  <si>
    <t>АО «Химреактивснаб»</t>
  </si>
  <si>
    <t>Кол-во гарантированный объем</t>
  </si>
  <si>
    <t>Кол-во не гарантированный объем</t>
  </si>
  <si>
    <t xml:space="preserve"> ООО "ТК СИБТОРГ"</t>
  </si>
  <si>
    <t>ООО "ТЕМПЕР"</t>
  </si>
  <si>
    <t>ООО "ЭТК-Пермь"</t>
  </si>
  <si>
    <t>ЗАО Электрокомплектсервис</t>
  </si>
  <si>
    <t>ООО СПК "СОЮЗЭНЕРГО"</t>
  </si>
  <si>
    <t>ООО "Система"</t>
  </si>
  <si>
    <t>ИП Макаров А.Н.</t>
  </si>
  <si>
    <t>ООО "СТРОЙТЕХСНАБЖЕНИЕ"</t>
  </si>
  <si>
    <t>ООО «Элтэк»</t>
  </si>
  <si>
    <t>ООО "КРАСНОДАРЭЛЕКТРО"</t>
  </si>
  <si>
    <t>ООО «АльфаТорг»</t>
  </si>
  <si>
    <t>ООО "ПРОМЭНЕРГО"</t>
  </si>
  <si>
    <t>ООО «Промэко»</t>
  </si>
  <si>
    <t>ООО Торговый дом "Сфера"</t>
  </si>
  <si>
    <t>ООО «СФЕРАПРО»</t>
  </si>
  <si>
    <t>ООО "МТО-Комплектсервис"</t>
  </si>
  <si>
    <t>ООО «Импортсервис»</t>
  </si>
  <si>
    <t>ООО ТК "ПКС"</t>
  </si>
  <si>
    <t>АО "ТД "ЭЛЕКТРОТЕХМОНТАЖ"</t>
  </si>
  <si>
    <t>мин цена</t>
  </si>
  <si>
    <t>макс цена</t>
  </si>
  <si>
    <t>%</t>
  </si>
  <si>
    <t>30% от мин</t>
  </si>
  <si>
    <t>Дополнительные данные о материале</t>
  </si>
  <si>
    <t>Кол-во новое</t>
  </si>
  <si>
    <t>Кол-во ранее</t>
  </si>
  <si>
    <t>Кол-во негарант</t>
  </si>
  <si>
    <t>Общая сумма с НДС (гарант + негарант)</t>
  </si>
  <si>
    <t>м</t>
  </si>
  <si>
    <t>упак</t>
  </si>
  <si>
    <t>Припой оловянно-свинцовый ПОС 61, трубка с канифолью, проволока 0,8 мм, катушка 100 г ЗУБР/55450-100-08C</t>
  </si>
  <si>
    <t>Уголок В-75х75х6 ГОСТ 8509-93 С245-4 ГОСТ 27772-2021, ударная вязкость KCV не менее 34 Дж/см2 при t-20 град.С</t>
  </si>
  <si>
    <t>Уголок В-45х45х4 ГОСТ 8509-93 Ст3сп5 ГОСТ 535-2005</t>
  </si>
  <si>
    <t>Прокат стальной горячекатаный круглый d=18 мм, Ст3сп</t>
  </si>
  <si>
    <t>Круг обычной точности прокатки, II класс кривизны, немерной длины, диаметр 22 мм, сталь 345-5 по ГОСТ 19281-2014</t>
  </si>
  <si>
    <t>Труба стальная водогазопроводная 40х3,5 ГОСТ 3262-75</t>
  </si>
  <si>
    <t>Катанка d=6 мм сталь Ст3сп</t>
  </si>
  <si>
    <t>Металлорукав гибкий Р3-ЦП с наружным ПВХ-покрытием пониженной горючести, номинальный диаметр 10 мм ТУ 4833-004-97341529-2012</t>
  </si>
  <si>
    <t>Металлорукав гибкий с защитной оболочкой из поливинилхлорида пониженной горючести из стальной оцинкованной ленты Р3-ЦП-НГ диаметром условного прохода 15 мм ТУ 4833-004-16755367-2014</t>
  </si>
  <si>
    <t>Металлорукав гибкий с защитной оболочкой из поливинилхлорида пониженной горючести из стальной оцинкованной ленты Р3-ЦП-НГ диаметром условного прохода 20 мм ТУ 4833-004-16755367-2014</t>
  </si>
  <si>
    <t>Подшипник SKF/6201 2RS</t>
  </si>
  <si>
    <t>Подшипник шариковый радиальный однорядный закрытый 6202-2RS</t>
  </si>
  <si>
    <t>Подшипник шариковый радиальный однорядный 6203-2RS</t>
  </si>
  <si>
    <t>Подшипник SKF/6204 2RS</t>
  </si>
  <si>
    <t>Подшипник шариковый однорядный ZKL/6205-2RS</t>
  </si>
  <si>
    <t>Подшипник шариковый радиальный однорядный FBJ/6206-2RS</t>
  </si>
  <si>
    <t>Подшипник шариковый радиальный однорядный FBJ/6207-2RS</t>
  </si>
  <si>
    <t>Подшипник шариковый радиальный однорядный с двухсторонним контактным уплотнением FKL/6208-2RS</t>
  </si>
  <si>
    <t>Подшипник шариковый закрытый однорядный 180209 (6209.2RS) ГОСТ 520-2011</t>
  </si>
  <si>
    <t>Подшипник шариковый радиальный однорядный 180212 DPI/6212 2RS</t>
  </si>
  <si>
    <t>Подшипник 6214-2RS1 70х125х24 мм SKF</t>
  </si>
  <si>
    <t>Полоса стальная горячекатаная общего назначения, 6000х40х4 мм Cт3</t>
  </si>
  <si>
    <t>Электрод для сварки углеродистых и низколегированных сталей OK 46.00Р 3х350 мм ESAB/4600303AE0 ТУ 1272-124-55224353-2013</t>
  </si>
  <si>
    <t>Электрод для сварки углеродистых и низколегированных сталей OK 46.00Р 4х450 мм ESAB/4600404AE0 ТУ 1272-124-55224353-2013</t>
  </si>
  <si>
    <t>Припой оловянно-свинцовый ПОС 61, трубка с канифолью, проволока 1 мм, катушка 100 г ЗУБР/55450-050-10C</t>
  </si>
  <si>
    <t>Саморез с полусферической головкой, пресс-шайбой и крестообразным шлицем, наконечник сверло, оцинкованный 4,2х14 мм</t>
  </si>
  <si>
    <t>Саморез 4,2х32 мм с прессшайбой, сверло по металлу, наконечник острый, оцинкованный</t>
  </si>
  <si>
    <t>Саморез с прессшайбой оцинкованный острый 4,2х51 мм Zitar/B02204205132R07</t>
  </si>
  <si>
    <t>Заклепка алюминиевая 3,2х10 мм, 50 шт/упак TOPEX/43E302</t>
  </si>
  <si>
    <t>Заклепка алюминиевые 4х12 мм 50шт/упак Stayer/3120-40-12</t>
  </si>
  <si>
    <t>Заклепка алюминиевые 4,8х16 мм 50шт/упак Stayer/3120-48-16</t>
  </si>
  <si>
    <t>Болт с шестигранной уменьшенной головкой М8-6gх10.58 ГОСТ 7796-70</t>
  </si>
  <si>
    <t>Болт с шестигранной головкой, полная резьба DIN 933 М8х30 оцинкованный Tech-Krep</t>
  </si>
  <si>
    <t>Болт с шестигранной головкой, полная резьба М8х50-8.8, оцинкованный DIN933</t>
  </si>
  <si>
    <t>Болт с шестигранной головкой, полная резьба М10х20-8.8 DIN 933</t>
  </si>
  <si>
    <t>Болт с шестигранной головкой, полная резьба М10х30-8.8, оцинкованный DIN 933</t>
  </si>
  <si>
    <t>Болт с шестигранной головкой М10х50-8.8, оцинкованный, полная резьба DIN 933</t>
  </si>
  <si>
    <t>Болт с шестигранной головкой М12х30-5.8 DIN 933</t>
  </si>
  <si>
    <t>Болт с шестигранной головкой М12х50-5.6 ГОСТ Р ИСО 4014-2013</t>
  </si>
  <si>
    <t>Болт с шестигранной головкой М16х40-8.8 ГОСТ Р ИСО 4014-2013</t>
  </si>
  <si>
    <t>Болт М20-6gх100.88 ГОСТ 7798-70</t>
  </si>
  <si>
    <t>Гайка шестигранная М8-8 DIN 934</t>
  </si>
  <si>
    <t>Гайка шестигранная М10-8 DIN 934</t>
  </si>
  <si>
    <t>Гайка шестигранная М12-8 DIN 934</t>
  </si>
  <si>
    <t>Гайка шестигранная М16-8 DIN 934</t>
  </si>
  <si>
    <t>Гайка шестигранная М20-8 DIN 934</t>
  </si>
  <si>
    <t>Шайба плоская увеличенная М8-140 HV-A DIN 9021 оцинкованная</t>
  </si>
  <si>
    <t>Шайба пружинная М8.A2 форма B DIN 127</t>
  </si>
  <si>
    <t>Шайба увеличенная плоская DIN 9021 М10 Tech-KREP</t>
  </si>
  <si>
    <t>Шайба пружинная гроверная DIN 127 М10 Tech-Krep</t>
  </si>
  <si>
    <t>Шайба плоская М12, толщина 2,5 мм, углеродистая сталь, гальваническое цинкование</t>
  </si>
  <si>
    <t>Шайба пружинная гроверная DIN 127 М12 Tech-Krep</t>
  </si>
  <si>
    <t>Шайба плоская М16.A4 форма А DIN 125</t>
  </si>
  <si>
    <t>Шайба пружинная М16.A2 форма B DIN 127</t>
  </si>
  <si>
    <t>Шайба плоская М20 ГОСТ 32484.6-2013</t>
  </si>
  <si>
    <t>Шайба пружинная М20 форма B DIN 127</t>
  </si>
  <si>
    <t>Уголок В-25х25х4 ГОСТ 8509-93 Ст3пс4 ГОСТ 535-2005</t>
  </si>
  <si>
    <t>Уголок В-35х35х3 ГОСТ 8509-93 С245-ГК ГОСТ 27772-2015</t>
  </si>
  <si>
    <t>Уголок 45х45 ст.3СП</t>
  </si>
  <si>
    <t>Уголок В-63х63х4 ГОСТ 8509-93 Ст3сп4 ГОСТ 535-2005</t>
  </si>
  <si>
    <t>Швеллер В-10П ГОСТ 8240-97 Ст3пс ГОСТ 535-2005</t>
  </si>
  <si>
    <t>Швеллер 14П Ст3пс5 ГОСТ 8240-97</t>
  </si>
  <si>
    <t>Лист стальной просечно-вытяжной, тип ромб 1000х3000 мм, толщина 4 мм, С255-4</t>
  </si>
  <si>
    <t>Полоса стальная горячекатанная 4х40мм Ст3пс ГОСТ 103-2006</t>
  </si>
  <si>
    <t>Лента стальная горячекатаная 2х40 БСт3пс ГОСТ 6009-74</t>
  </si>
  <si>
    <t>Прокат листовой горячекатаный 1,5мм Ст.3сп4 ГОСТ 19903-74</t>
  </si>
  <si>
    <t>Прокат листовой горячекатаный 2мм ГОСТ 19903-74, ст.20 ГОСТ 16523-97</t>
  </si>
  <si>
    <t>Болт с шестигранной головкой М8х10-5.8 оцинкованный DIN 933</t>
  </si>
  <si>
    <t>Болт с шестигранной головкой, метрической резьбой, легированная сталь М8х30</t>
  </si>
  <si>
    <t>Болт с шестигранной головкой М10х20-5.8 ГОСТ Р ИСО 4014-2013</t>
  </si>
  <si>
    <t>Болт с шестигранной головкой, полная резьба DIN 933 М10х40, оцинкованный Речицкий Метизный завод/М0000601</t>
  </si>
  <si>
    <t>Болт с шестигранной головкой М10-6gх50.58 (S16) ГОСТ 7805-70</t>
  </si>
  <si>
    <t>Болт М12х20-8.8 EN ISO 4017</t>
  </si>
  <si>
    <t>Болт с шестигранной уменьшенной головкой класса точности В М12-6gх30.88.019 ГОСТ 7796-70</t>
  </si>
  <si>
    <t>Болт с шестигранной уменьшенной головкой М12-6gх40.58 ГОСТ 7796-70 в комплекте с 1 гайкой АМ12-6H.35.III.2 ГОСТ 9064-75</t>
  </si>
  <si>
    <t>Болт с шестигранной уменьшенной головкой класса точности В М12-6gх50.88.019 ГОСТ 7796-70</t>
  </si>
  <si>
    <t>Шайба плоская DIN 125 М8, цинк Стройметиз</t>
  </si>
  <si>
    <t>Шайба плоская М10.A4 форма A DIN 125</t>
  </si>
  <si>
    <t>Шайба плоская DIN 125 М12, цинк Стройметиз</t>
  </si>
  <si>
    <t>Шайба пружинная М10.A4 форма B DIN 127</t>
  </si>
  <si>
    <t>Шайба пружинная волнистая М12.A4 форма B DIN 137</t>
  </si>
  <si>
    <t>Гайка шестигранная нормальная М8, класс прочности 10, сталь марки 40Х, покрытие кадмиевое, хроматированное, толщина покрытия 9 мкм</t>
  </si>
  <si>
    <t>Гайка шестигранная нормальная М10, класс прочности 10, сталь марки 40Х, покрытие кадмиевое, хроматированное, толщина покрытия 9 мкм</t>
  </si>
  <si>
    <t>Гайка шестигранная нормальная М12, класс прочности 10, сталь марки 40Х, покрытие кадмиевое, хроматированное, толщина покрытия 9 мкм</t>
  </si>
  <si>
    <t>Электроды для сварки углеродистых и низколегированных конструкционных сталей Э46А-ОК 46.00-3,0-УД/Е-43 3(2)-Р11 ГОСТ 9466-75, ГОСТ 9467-75</t>
  </si>
  <si>
    <t>Болт с шестигранной головкой М10х60-8.8 DIN 931 оцинкованный</t>
  </si>
  <si>
    <t>Болт с шестигранной головкой М20-6gх100.58 (S30) ГОСТ 7798-70</t>
  </si>
  <si>
    <t>Болт с шестигранной головкой класса точности В М16-6gх40.56.35 ГОСТ 7798-70</t>
  </si>
  <si>
    <t>Шайба плоская М20.A4 форма А DIN 125</t>
  </si>
  <si>
    <t>Шайба пружинная волнистая М16.A4 форма B DIN 137</t>
  </si>
  <si>
    <t>Дюбель-гвоздь с потайным бортиком SM-L, 6х40, шлиц PZ2, полиамид</t>
  </si>
  <si>
    <t>т</t>
  </si>
  <si>
    <t>кг</t>
  </si>
  <si>
    <t>Поставка металлоизделий</t>
  </si>
  <si>
    <t>у.е.</t>
  </si>
  <si>
    <t>РЗА</t>
  </si>
  <si>
    <t>ЭТС</t>
  </si>
  <si>
    <t>БРОЭ</t>
  </si>
  <si>
    <t>Определение начальной (максимальной) цены договора (предмета закупки) осуществляется с применением: метода сопоставимых рыночных цен (анализ рынка) п. 4.2.1 Положения о закупках товаров, работ, услуг OOО "Энергонефть Томск"</t>
  </si>
  <si>
    <t>Кол-во ВСЕГО</t>
  </si>
  <si>
    <t xml:space="preserve">Принятая к утверждению НМЦ,  руб. 
Гарантированный объем </t>
  </si>
  <si>
    <t xml:space="preserve">Принятая к утверждению НМЦ,  руб. 
Негарантированный объем </t>
  </si>
  <si>
    <t xml:space="preserve">Цена за единицу, по аналитическому методу, 
руб. </t>
  </si>
  <si>
    <t xml:space="preserve">Контрагент №1 </t>
  </si>
  <si>
    <t>Контрагент №2</t>
  </si>
  <si>
    <t>Контрагент №3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</si>
</sst>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0.0"/>
    <numFmt numFmtId="165" formatCode="_-* #,##0.00_р_._-;\-* #,##0.00_р_._-;_-* \-??_р_._-;_-@_-"/>
    <numFmt numFmtId="166" formatCode="\ * #,##0.00&quot;    &quot;;\-* #,##0.00&quot;    &quot;;\ * \-#&quot;    &quot;;@\ "/>
    <numFmt numFmtId="167" formatCode="[$-419]General"/>
    <numFmt numFmtId="168" formatCode="_-* #,##0.000\ _₽_-;\-* #,##0.000\ _₽_-;_-* &quot;-&quot;??\ _₽_-;_-@_-"/>
  </numFmts>
  <fonts count="24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name val="Arial Cyr"/>
      <charset val="204"/>
    </font>
    <font>
      <sz val="13"/>
      <name val="Arial Cyr"/>
      <charset val="204"/>
    </font>
    <font>
      <b/>
      <sz val="10"/>
      <name val="Arial Cyr"/>
      <charset val="204"/>
    </font>
    <font>
      <b/>
      <sz val="16"/>
      <name val="Arial Cyr"/>
      <charset val="204"/>
    </font>
    <font>
      <b/>
      <sz val="18"/>
      <name val="Arial Cyr"/>
      <charset val="204"/>
    </font>
    <font>
      <b/>
      <sz val="13"/>
      <name val="Arial Cyr"/>
      <charset val="204"/>
    </font>
    <font>
      <b/>
      <sz val="11"/>
      <name val="Arial Cyr"/>
      <charset val="204"/>
    </font>
    <font>
      <sz val="11"/>
      <name val="Arial Cyr"/>
      <charset val="204"/>
    </font>
    <font>
      <b/>
      <sz val="12"/>
      <name val="Arial Cyr"/>
      <charset val="204"/>
    </font>
    <font>
      <sz val="10"/>
      <name val="Arial CYR"/>
      <family val="2"/>
      <charset val="204"/>
    </font>
    <font>
      <b/>
      <sz val="22"/>
      <name val="Arial Cyr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3"/>
      <color theme="0"/>
      <name val="Arial Cyr"/>
      <charset val="204"/>
    </font>
    <font>
      <sz val="13"/>
      <color theme="0" tint="-0.34998626667073579"/>
      <name val="Arial Cyr"/>
      <charset val="204"/>
    </font>
    <font>
      <sz val="16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7" fontId="19" fillId="0" borderId="0"/>
    <xf numFmtId="0" fontId="1" fillId="0" borderId="0"/>
    <xf numFmtId="0" fontId="15" fillId="0" borderId="0"/>
    <xf numFmtId="0" fontId="15" fillId="0" borderId="0"/>
    <xf numFmtId="0" fontId="20" fillId="0" borderId="0"/>
    <xf numFmtId="166" fontId="15" fillId="0" borderId="0" applyFill="0" applyBorder="0" applyAlignment="0" applyProtection="0"/>
    <xf numFmtId="165" fontId="4" fillId="0" borderId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/>
    <xf numFmtId="0" fontId="7" fillId="0" borderId="0" xfId="0" applyFont="1"/>
    <xf numFmtId="0" fontId="7" fillId="0" borderId="0" xfId="0" applyFont="1" applyFill="1"/>
    <xf numFmtId="0" fontId="8" fillId="0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Fill="1" applyAlignment="1">
      <alignment horizontal="left"/>
    </xf>
    <xf numFmtId="0" fontId="9" fillId="0" borderId="0" xfId="0" applyFont="1" applyBorder="1" applyAlignment="1">
      <alignment horizontal="left"/>
    </xf>
    <xf numFmtId="0" fontId="13" fillId="0" borderId="0" xfId="0" applyFont="1"/>
    <xf numFmtId="0" fontId="0" fillId="0" borderId="0" xfId="0" applyFont="1"/>
    <xf numFmtId="0" fontId="11" fillId="0" borderId="0" xfId="0" applyFont="1"/>
    <xf numFmtId="0" fontId="7" fillId="0" borderId="0" xfId="0" applyFont="1" applyFill="1" applyAlignment="1">
      <alignment vertical="center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 wrapText="1"/>
    </xf>
    <xf numFmtId="0" fontId="9" fillId="0" borderId="0" xfId="0" applyFont="1" applyFill="1" applyBorder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2" fontId="3" fillId="0" borderId="3" xfId="0" applyNumberFormat="1" applyFont="1" applyFill="1" applyBorder="1" applyAlignment="1">
      <alignment horizontal="center" vertical="center" wrapText="1"/>
    </xf>
    <xf numFmtId="4" fontId="5" fillId="0" borderId="3" xfId="0" applyNumberFormat="1" applyFont="1" applyFill="1" applyBorder="1" applyAlignment="1">
      <alignment horizontal="center" vertical="center"/>
    </xf>
    <xf numFmtId="4" fontId="5" fillId="0" borderId="3" xfId="0" applyNumberFormat="1" applyFont="1" applyFill="1" applyBorder="1" applyAlignment="1">
      <alignment horizontal="center" vertical="center" wrapText="1"/>
    </xf>
    <xf numFmtId="4" fontId="14" fillId="2" borderId="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0" xfId="0" applyFont="1" applyBorder="1" applyAlignment="1">
      <alignment vertical="center"/>
    </xf>
    <xf numFmtId="43" fontId="9" fillId="0" borderId="0" xfId="0" applyNumberFormat="1" applyFont="1" applyFill="1" applyBorder="1" applyAlignment="1">
      <alignment horizontal="left"/>
    </xf>
    <xf numFmtId="0" fontId="21" fillId="0" borderId="0" xfId="0" applyFont="1" applyFill="1"/>
    <xf numFmtId="0" fontId="7" fillId="0" borderId="0" xfId="0" applyFont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9" fillId="0" borderId="0" xfId="0" applyFont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22" fillId="0" borderId="0" xfId="0" applyFont="1" applyFill="1"/>
    <xf numFmtId="0" fontId="22" fillId="0" borderId="0" xfId="0" applyFont="1"/>
    <xf numFmtId="0" fontId="17" fillId="0" borderId="0" xfId="0" applyFont="1" applyFill="1" applyAlignment="1">
      <alignment horizontal="center" vertical="center"/>
    </xf>
    <xf numFmtId="3" fontId="7" fillId="0" borderId="3" xfId="0" applyNumberFormat="1" applyFont="1" applyFill="1" applyBorder="1" applyAlignment="1">
      <alignment horizontal="center" vertical="center"/>
    </xf>
    <xf numFmtId="4" fontId="7" fillId="0" borderId="0" xfId="0" applyNumberFormat="1" applyFont="1"/>
    <xf numFmtId="4" fontId="13" fillId="0" borderId="0" xfId="0" applyNumberFormat="1" applyFont="1"/>
    <xf numFmtId="4" fontId="8" fillId="2" borderId="2" xfId="0" applyNumberFormat="1" applyFont="1" applyFill="1" applyBorder="1" applyAlignment="1">
      <alignment horizontal="center" vertical="center" wrapText="1"/>
    </xf>
    <xf numFmtId="4" fontId="0" fillId="0" borderId="0" xfId="0" applyNumberFormat="1" applyFont="1"/>
    <xf numFmtId="4" fontId="7" fillId="0" borderId="0" xfId="0" applyNumberFormat="1" applyFont="1" applyFill="1"/>
    <xf numFmtId="4" fontId="7" fillId="0" borderId="0" xfId="0" applyNumberFormat="1" applyFont="1" applyFill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164" fontId="8" fillId="0" borderId="5" xfId="0" applyNumberFormat="1" applyFont="1" applyFill="1" applyBorder="1" applyAlignment="1">
      <alignment horizontal="center" vertical="center" wrapText="1"/>
    </xf>
    <xf numFmtId="49" fontId="18" fillId="0" borderId="3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Border="1" applyAlignment="1">
      <alignment horizontal="left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" fontId="14" fillId="2" borderId="6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4" fontId="5" fillId="0" borderId="3" xfId="7" applyNumberFormat="1" applyFont="1" applyFill="1" applyBorder="1" applyAlignment="1" applyProtection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/>
    </xf>
    <xf numFmtId="4" fontId="5" fillId="0" borderId="3" xfId="7" applyNumberFormat="1" applyFont="1" applyFill="1" applyBorder="1" applyAlignment="1" applyProtection="1">
      <alignment horizontal="center" vertical="center" wrapText="1"/>
      <protection hidden="1"/>
    </xf>
    <xf numFmtId="49" fontId="23" fillId="0" borderId="3" xfId="0" applyNumberFormat="1" applyFont="1" applyFill="1" applyBorder="1" applyAlignment="1">
      <alignment horizontal="left" vertical="center" wrapText="1"/>
    </xf>
    <xf numFmtId="2" fontId="23" fillId="0" borderId="3" xfId="0" applyNumberFormat="1" applyFont="1" applyFill="1" applyBorder="1" applyAlignment="1">
      <alignment horizontal="left" vertical="center" wrapText="1"/>
    </xf>
    <xf numFmtId="49" fontId="23" fillId="0" borderId="3" xfId="0" quotePrefix="1" applyNumberFormat="1" applyFont="1" applyFill="1" applyBorder="1" applyAlignment="1">
      <alignment horizontal="left" vertical="center" wrapText="1"/>
    </xf>
    <xf numFmtId="4" fontId="14" fillId="7" borderId="6" xfId="0" applyNumberFormat="1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4" fontId="14" fillId="2" borderId="15" xfId="0" applyNumberFormat="1" applyFont="1" applyFill="1" applyBorder="1" applyAlignment="1">
      <alignment horizontal="right" vertical="center"/>
    </xf>
    <xf numFmtId="4" fontId="14" fillId="2" borderId="16" xfId="0" applyNumberFormat="1" applyFont="1" applyFill="1" applyBorder="1" applyAlignment="1">
      <alignment horizontal="right" vertical="center"/>
    </xf>
    <xf numFmtId="4" fontId="14" fillId="2" borderId="17" xfId="0" applyNumberFormat="1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6" fillId="0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168" fontId="3" fillId="0" borderId="3" xfId="8" applyNumberFormat="1" applyFont="1" applyFill="1" applyBorder="1" applyAlignment="1">
      <alignment horizontal="center" vertical="center" wrapText="1"/>
    </xf>
    <xf numFmtId="168" fontId="14" fillId="2" borderId="6" xfId="8" applyNumberFormat="1" applyFont="1" applyFill="1" applyBorder="1" applyAlignment="1">
      <alignment horizontal="center" vertical="center"/>
    </xf>
  </cellXfs>
  <cellStyles count="9">
    <cellStyle name="Excel Built-in Normal" xfId="1"/>
    <cellStyle name="Обычный" xfId="0" builtinId="0"/>
    <cellStyle name="Обычный 2" xfId="2"/>
    <cellStyle name="Обычный 2 2" xfId="3"/>
    <cellStyle name="Обычный 3" xfId="4"/>
    <cellStyle name="Обычный 4" xfId="5"/>
    <cellStyle name="Финансовый" xfId="8" builtinId="3"/>
    <cellStyle name="Финансовый 10" xfId="6"/>
    <cellStyle name="Финансовый 10 2 2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Z117"/>
  <sheetViews>
    <sheetView tabSelected="1" view="pageBreakPreview" topLeftCell="D103" zoomScale="60" zoomScaleNormal="40" workbookViewId="0">
      <selection activeCell="I108" sqref="I108"/>
    </sheetView>
  </sheetViews>
  <sheetFormatPr defaultRowHeight="16.5" outlineLevelCol="1" x14ac:dyDescent="0.25"/>
  <cols>
    <col min="1" max="1" width="15.7109375" style="3" customWidth="1"/>
    <col min="2" max="2" width="47.28515625" style="28" customWidth="1"/>
    <col min="3" max="3" width="25.7109375" style="28" customWidth="1"/>
    <col min="4" max="6" width="18.85546875" style="3" customWidth="1"/>
    <col min="7" max="7" width="15.7109375" style="3" customWidth="1"/>
    <col min="8" max="10" width="18.7109375" style="4" customWidth="1"/>
    <col min="11" max="11" width="19" style="4" hidden="1" customWidth="1"/>
    <col min="12" max="13" width="18.140625" style="4" hidden="1" customWidth="1"/>
    <col min="14" max="14" width="18.42578125" style="4" hidden="1" customWidth="1"/>
    <col min="15" max="16" width="18.140625" style="4" hidden="1" customWidth="1"/>
    <col min="17" max="17" width="20.7109375" style="4" hidden="1" customWidth="1"/>
    <col min="18" max="19" width="18.140625" style="4" hidden="1" customWidth="1"/>
    <col min="20" max="20" width="20.7109375" style="4" hidden="1" customWidth="1"/>
    <col min="21" max="22" width="18.140625" style="4" hidden="1" customWidth="1"/>
    <col min="23" max="23" width="16.85546875" style="4" hidden="1" customWidth="1"/>
    <col min="24" max="24" width="18.140625" style="4" hidden="1" customWidth="1"/>
    <col min="25" max="52" width="16.5703125" style="4" hidden="1" customWidth="1"/>
    <col min="53" max="55" width="18.7109375" style="4" customWidth="1"/>
    <col min="56" max="73" width="16.5703125" style="4" hidden="1" customWidth="1"/>
    <col min="74" max="77" width="18.7109375" style="4" customWidth="1"/>
    <col min="78" max="83" width="18.7109375" style="3" customWidth="1"/>
    <col min="84" max="84" width="18.7109375" style="32" customWidth="1"/>
    <col min="85" max="85" width="22.7109375" style="32" customWidth="1"/>
    <col min="86" max="86" width="4.85546875" style="4" hidden="1" customWidth="1"/>
    <col min="87" max="87" width="19.42578125" style="3" hidden="1" customWidth="1"/>
    <col min="88" max="88" width="9.28515625" style="3" hidden="1" customWidth="1"/>
    <col min="89" max="89" width="11.7109375" style="3" hidden="1" customWidth="1"/>
    <col min="90" max="90" width="8" style="3" hidden="1" customWidth="1"/>
    <col min="91" max="91" width="7.85546875" style="3" hidden="1" customWidth="1"/>
    <col min="92" max="92" width="10.28515625" style="3" hidden="1" customWidth="1" outlineLevel="1"/>
    <col min="93" max="93" width="10.5703125" style="3" hidden="1" customWidth="1" outlineLevel="1"/>
    <col min="94" max="94" width="12" style="3" hidden="1" customWidth="1" outlineLevel="1"/>
    <col min="95" max="95" width="14.42578125" style="36" hidden="1" customWidth="1" outlineLevel="1"/>
    <col min="96" max="96" width="9.140625" style="3" hidden="1" customWidth="1"/>
    <col min="97" max="98" width="12.5703125" style="3" hidden="1" customWidth="1"/>
    <col min="99" max="99" width="15.42578125" style="3" hidden="1" customWidth="1"/>
    <col min="100" max="100" width="12.5703125" style="3" hidden="1" customWidth="1"/>
    <col min="101" max="101" width="13.7109375" style="3" hidden="1" customWidth="1"/>
    <col min="102" max="102" width="9.140625" style="3" hidden="1" customWidth="1"/>
    <col min="103" max="103" width="7.140625" style="3" hidden="1" customWidth="1"/>
    <col min="104" max="104" width="0" style="3" hidden="1" customWidth="1"/>
    <col min="105" max="16384" width="9.140625" style="3"/>
  </cols>
  <sheetData>
    <row r="1" spans="1:101" ht="18" x14ac:dyDescent="0.25">
      <c r="A1" s="1"/>
      <c r="D1" s="2"/>
      <c r="E1" s="2"/>
      <c r="F1" s="2"/>
      <c r="CF1" s="33"/>
      <c r="CG1" s="33"/>
      <c r="CH1" s="32"/>
      <c r="CI1" s="33"/>
      <c r="CJ1" s="33"/>
      <c r="CK1" s="33"/>
      <c r="CL1" s="33"/>
      <c r="CM1" s="33"/>
      <c r="CN1" s="33"/>
      <c r="CQ1" s="3"/>
    </row>
    <row r="2" spans="1:101" ht="27.75" x14ac:dyDescent="0.25">
      <c r="A2" s="86" t="s">
        <v>15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49"/>
      <c r="CQ2" s="3"/>
    </row>
    <row r="3" spans="1:101" x14ac:dyDescent="0.25">
      <c r="A3" s="87"/>
      <c r="B3" s="87"/>
      <c r="C3" s="87"/>
      <c r="D3" s="87"/>
      <c r="E3" s="87"/>
      <c r="F3" s="87"/>
      <c r="G3" s="8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6"/>
      <c r="CA3" s="6"/>
      <c r="CQ3" s="3"/>
    </row>
    <row r="4" spans="1:101" ht="23.25" x14ac:dyDescent="0.35">
      <c r="A4" s="88" t="s">
        <v>10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7"/>
      <c r="BX4" s="7"/>
      <c r="BY4" s="7"/>
      <c r="CQ4" s="3"/>
    </row>
    <row r="5" spans="1:101" ht="20.25" x14ac:dyDescent="0.3">
      <c r="A5" s="90"/>
      <c r="B5" s="90"/>
      <c r="C5" s="90"/>
      <c r="D5" s="90"/>
      <c r="E5" s="90"/>
      <c r="F5" s="90"/>
      <c r="G5" s="90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CQ5" s="3"/>
    </row>
    <row r="6" spans="1:101" ht="20.25" x14ac:dyDescent="0.3">
      <c r="A6" s="25" t="s">
        <v>16</v>
      </c>
      <c r="B6" s="29"/>
      <c r="C6" s="25" t="s">
        <v>144</v>
      </c>
      <c r="D6" s="24"/>
      <c r="E6" s="24"/>
      <c r="F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6"/>
      <c r="BX6" s="15"/>
      <c r="BY6" s="15"/>
      <c r="CQ6" s="3"/>
    </row>
    <row r="7" spans="1:101" ht="20.25" x14ac:dyDescent="0.3">
      <c r="A7" s="8"/>
      <c r="B7" s="30"/>
      <c r="C7" s="30"/>
      <c r="D7" s="51"/>
      <c r="E7" s="8"/>
      <c r="F7" s="8"/>
      <c r="G7" s="8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CQ7" s="3"/>
    </row>
    <row r="8" spans="1:101" x14ac:dyDescent="0.25">
      <c r="A8" s="91" t="s">
        <v>149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50"/>
      <c r="CQ8" s="3"/>
    </row>
    <row r="9" spans="1:10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50"/>
      <c r="CQ9" s="3"/>
    </row>
    <row r="10" spans="1:10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50"/>
      <c r="CQ10" s="3"/>
    </row>
    <row r="11" spans="1:101" ht="17.25" thickBot="1" x14ac:dyDescent="0.3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2"/>
      <c r="BP11" s="92"/>
      <c r="BQ11" s="92"/>
      <c r="BR11" s="92"/>
      <c r="BS11" s="92"/>
      <c r="BT11" s="92"/>
      <c r="BU11" s="92"/>
      <c r="BV11" s="92"/>
      <c r="BW11" s="92"/>
      <c r="BX11" s="92"/>
      <c r="BY11" s="92"/>
      <c r="BZ11" s="92"/>
      <c r="CA11" s="92"/>
      <c r="CB11" s="92"/>
      <c r="CC11" s="92"/>
      <c r="CD11" s="92"/>
      <c r="CE11" s="58"/>
      <c r="CQ11" s="3"/>
    </row>
    <row r="12" spans="1:101" ht="16.5" customHeight="1" x14ac:dyDescent="0.25">
      <c r="A12" s="85" t="s">
        <v>1</v>
      </c>
      <c r="B12" s="74"/>
      <c r="C12" s="74"/>
      <c r="D12" s="70" t="s">
        <v>150</v>
      </c>
      <c r="E12" s="79" t="s">
        <v>19</v>
      </c>
      <c r="F12" s="105" t="s">
        <v>20</v>
      </c>
      <c r="G12" s="72" t="s">
        <v>11</v>
      </c>
      <c r="H12" s="74" t="s">
        <v>12</v>
      </c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93" t="s">
        <v>151</v>
      </c>
      <c r="CD12" s="94"/>
      <c r="CE12" s="99" t="s">
        <v>152</v>
      </c>
      <c r="CF12" s="100"/>
      <c r="CG12" s="70" t="s">
        <v>48</v>
      </c>
    </row>
    <row r="13" spans="1:101" ht="45" customHeight="1" x14ac:dyDescent="0.25">
      <c r="A13" s="16" t="s">
        <v>2</v>
      </c>
      <c r="B13" s="78" t="s">
        <v>3</v>
      </c>
      <c r="C13" s="78" t="s">
        <v>44</v>
      </c>
      <c r="D13" s="71"/>
      <c r="E13" s="80"/>
      <c r="F13" s="106"/>
      <c r="G13" s="73"/>
      <c r="H13" s="84" t="s">
        <v>154</v>
      </c>
      <c r="I13" s="71"/>
      <c r="J13" s="71"/>
      <c r="K13" s="75" t="s">
        <v>18</v>
      </c>
      <c r="L13" s="75"/>
      <c r="M13" s="75"/>
      <c r="N13" s="75" t="s">
        <v>21</v>
      </c>
      <c r="O13" s="75"/>
      <c r="P13" s="75"/>
      <c r="Q13" s="75" t="s">
        <v>22</v>
      </c>
      <c r="R13" s="75"/>
      <c r="S13" s="75"/>
      <c r="T13" s="75" t="s">
        <v>23</v>
      </c>
      <c r="U13" s="75"/>
      <c r="V13" s="75"/>
      <c r="W13" s="75" t="s">
        <v>24</v>
      </c>
      <c r="X13" s="75"/>
      <c r="Y13" s="75"/>
      <c r="Z13" s="75" t="s">
        <v>25</v>
      </c>
      <c r="AA13" s="75"/>
      <c r="AB13" s="75"/>
      <c r="AC13" s="75" t="s">
        <v>26</v>
      </c>
      <c r="AD13" s="75"/>
      <c r="AE13" s="75"/>
      <c r="AF13" s="75" t="s">
        <v>27</v>
      </c>
      <c r="AG13" s="75"/>
      <c r="AH13" s="75"/>
      <c r="AI13" s="75" t="s">
        <v>31</v>
      </c>
      <c r="AJ13" s="75"/>
      <c r="AK13" s="75"/>
      <c r="AL13" s="75" t="s">
        <v>29</v>
      </c>
      <c r="AM13" s="75"/>
      <c r="AN13" s="75"/>
      <c r="AO13" s="75" t="s">
        <v>30</v>
      </c>
      <c r="AP13" s="75"/>
      <c r="AQ13" s="75"/>
      <c r="AR13" s="75" t="s">
        <v>38</v>
      </c>
      <c r="AS13" s="75"/>
      <c r="AT13" s="75"/>
      <c r="AU13" s="75" t="s">
        <v>28</v>
      </c>
      <c r="AV13" s="75"/>
      <c r="AW13" s="75"/>
      <c r="AX13" s="75" t="s">
        <v>33</v>
      </c>
      <c r="AY13" s="75"/>
      <c r="AZ13" s="75"/>
      <c r="BA13" s="84" t="s">
        <v>155</v>
      </c>
      <c r="BB13" s="71"/>
      <c r="BC13" s="71"/>
      <c r="BD13" s="75" t="s">
        <v>34</v>
      </c>
      <c r="BE13" s="75"/>
      <c r="BF13" s="75"/>
      <c r="BG13" s="75" t="s">
        <v>32</v>
      </c>
      <c r="BH13" s="75"/>
      <c r="BI13" s="75"/>
      <c r="BJ13" s="75" t="s">
        <v>35</v>
      </c>
      <c r="BK13" s="75"/>
      <c r="BL13" s="75"/>
      <c r="BM13" s="75" t="s">
        <v>36</v>
      </c>
      <c r="BN13" s="75"/>
      <c r="BO13" s="75"/>
      <c r="BP13" s="75" t="s">
        <v>39</v>
      </c>
      <c r="BQ13" s="75"/>
      <c r="BR13" s="75"/>
      <c r="BS13" s="75" t="s">
        <v>37</v>
      </c>
      <c r="BT13" s="75"/>
      <c r="BU13" s="75"/>
      <c r="BV13" s="84" t="s">
        <v>156</v>
      </c>
      <c r="BW13" s="71"/>
      <c r="BX13" s="71"/>
      <c r="BY13" s="66" t="s">
        <v>153</v>
      </c>
      <c r="BZ13" s="67"/>
      <c r="CA13" s="66" t="s">
        <v>13</v>
      </c>
      <c r="CB13" s="67"/>
      <c r="CC13" s="95"/>
      <c r="CD13" s="96"/>
      <c r="CE13" s="101"/>
      <c r="CF13" s="102"/>
      <c r="CG13" s="71"/>
      <c r="CN13" s="43"/>
      <c r="CO13" s="43"/>
      <c r="CP13" s="43"/>
    </row>
    <row r="14" spans="1:101" s="9" customFormat="1" ht="79.5" customHeight="1" thickBot="1" x14ac:dyDescent="0.3">
      <c r="A14" s="55" t="s">
        <v>4</v>
      </c>
      <c r="B14" s="78"/>
      <c r="C14" s="78"/>
      <c r="D14" s="71"/>
      <c r="E14" s="80"/>
      <c r="F14" s="106"/>
      <c r="G14" s="73"/>
      <c r="H14" s="71"/>
      <c r="I14" s="71"/>
      <c r="J14" s="71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1"/>
      <c r="BB14" s="71"/>
      <c r="BC14" s="71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1"/>
      <c r="BW14" s="71"/>
      <c r="BX14" s="71"/>
      <c r="BY14" s="68"/>
      <c r="BZ14" s="69"/>
      <c r="CA14" s="68"/>
      <c r="CB14" s="69"/>
      <c r="CC14" s="97"/>
      <c r="CD14" s="98"/>
      <c r="CE14" s="103"/>
      <c r="CF14" s="104"/>
      <c r="CG14" s="71"/>
      <c r="CH14" s="4"/>
      <c r="CI14" s="3"/>
      <c r="CN14" s="44">
        <v>616</v>
      </c>
      <c r="CO14" s="45">
        <f>COUNTIF(CI17:CI111, "3")</f>
        <v>95</v>
      </c>
      <c r="CP14" s="44">
        <f>CN14-CO14</f>
        <v>521</v>
      </c>
      <c r="CQ14" s="37"/>
    </row>
    <row r="15" spans="1:101" s="10" customFormat="1" ht="28.5" customHeight="1" thickBot="1" x14ac:dyDescent="0.3">
      <c r="A15" s="56">
        <v>1</v>
      </c>
      <c r="B15" s="52">
        <v>2</v>
      </c>
      <c r="C15" s="52">
        <v>3</v>
      </c>
      <c r="D15" s="53">
        <v>4</v>
      </c>
      <c r="E15" s="52">
        <v>5</v>
      </c>
      <c r="F15" s="52">
        <v>6</v>
      </c>
      <c r="G15" s="52">
        <v>7</v>
      </c>
      <c r="H15" s="53">
        <v>8</v>
      </c>
      <c r="I15" s="53">
        <v>9</v>
      </c>
      <c r="J15" s="53">
        <v>10</v>
      </c>
      <c r="K15" s="77">
        <v>8</v>
      </c>
      <c r="L15" s="77"/>
      <c r="M15" s="77"/>
      <c r="N15" s="77">
        <v>9</v>
      </c>
      <c r="O15" s="77"/>
      <c r="P15" s="77"/>
      <c r="Q15" s="77">
        <v>10</v>
      </c>
      <c r="R15" s="77"/>
      <c r="S15" s="77"/>
      <c r="T15" s="77">
        <v>8</v>
      </c>
      <c r="U15" s="77"/>
      <c r="V15" s="77"/>
      <c r="W15" s="77">
        <v>9</v>
      </c>
      <c r="X15" s="77"/>
      <c r="Y15" s="77"/>
      <c r="Z15" s="77">
        <v>10</v>
      </c>
      <c r="AA15" s="77"/>
      <c r="AB15" s="77"/>
      <c r="AC15" s="77">
        <v>14</v>
      </c>
      <c r="AD15" s="77"/>
      <c r="AE15" s="77"/>
      <c r="AF15" s="77">
        <v>15</v>
      </c>
      <c r="AG15" s="77"/>
      <c r="AH15" s="77"/>
      <c r="AI15" s="77">
        <v>16</v>
      </c>
      <c r="AJ15" s="77"/>
      <c r="AK15" s="77"/>
      <c r="AL15" s="77">
        <v>11</v>
      </c>
      <c r="AM15" s="77"/>
      <c r="AN15" s="77"/>
      <c r="AO15" s="77">
        <v>12</v>
      </c>
      <c r="AP15" s="77"/>
      <c r="AQ15" s="77"/>
      <c r="AR15" s="77">
        <v>19</v>
      </c>
      <c r="AS15" s="77"/>
      <c r="AT15" s="77"/>
      <c r="AU15" s="77">
        <v>13</v>
      </c>
      <c r="AV15" s="77"/>
      <c r="AW15" s="77"/>
      <c r="AX15" s="77">
        <v>14</v>
      </c>
      <c r="AY15" s="77"/>
      <c r="AZ15" s="77"/>
      <c r="BA15" s="53">
        <v>11</v>
      </c>
      <c r="BB15" s="53">
        <v>12</v>
      </c>
      <c r="BC15" s="53">
        <v>13</v>
      </c>
      <c r="BD15" s="77">
        <v>16</v>
      </c>
      <c r="BE15" s="77"/>
      <c r="BF15" s="77"/>
      <c r="BG15" s="77">
        <v>17</v>
      </c>
      <c r="BH15" s="77"/>
      <c r="BI15" s="77"/>
      <c r="BJ15" s="77">
        <v>18</v>
      </c>
      <c r="BK15" s="77"/>
      <c r="BL15" s="77"/>
      <c r="BM15" s="77">
        <v>26</v>
      </c>
      <c r="BN15" s="77"/>
      <c r="BO15" s="77"/>
      <c r="BP15" s="77">
        <v>27</v>
      </c>
      <c r="BQ15" s="77"/>
      <c r="BR15" s="77"/>
      <c r="BS15" s="77">
        <v>28</v>
      </c>
      <c r="BT15" s="77"/>
      <c r="BU15" s="77"/>
      <c r="BV15" s="53">
        <v>14</v>
      </c>
      <c r="BW15" s="53">
        <v>15</v>
      </c>
      <c r="BX15" s="53">
        <v>16</v>
      </c>
      <c r="BY15" s="52">
        <v>17</v>
      </c>
      <c r="BZ15" s="52">
        <v>18</v>
      </c>
      <c r="CA15" s="53">
        <v>19</v>
      </c>
      <c r="CB15" s="53">
        <v>20</v>
      </c>
      <c r="CC15" s="53">
        <v>21</v>
      </c>
      <c r="CD15" s="53">
        <v>22</v>
      </c>
      <c r="CE15" s="53">
        <v>23</v>
      </c>
      <c r="CF15" s="53">
        <v>24</v>
      </c>
      <c r="CG15" s="53">
        <v>25</v>
      </c>
      <c r="CH15" s="4"/>
      <c r="CI15" s="3"/>
      <c r="CN15" s="17" t="s">
        <v>40</v>
      </c>
      <c r="CO15" s="17" t="s">
        <v>41</v>
      </c>
      <c r="CP15" s="17" t="s">
        <v>42</v>
      </c>
      <c r="CQ15" s="38" t="s">
        <v>43</v>
      </c>
      <c r="CS15" s="46" t="s">
        <v>45</v>
      </c>
      <c r="CU15" s="46" t="s">
        <v>47</v>
      </c>
      <c r="CW15" s="46" t="s">
        <v>46</v>
      </c>
    </row>
    <row r="16" spans="1:101" s="10" customFormat="1" ht="20.100000000000001" customHeight="1" thickBot="1" x14ac:dyDescent="0.3">
      <c r="A16" s="56"/>
      <c r="B16" s="54"/>
      <c r="C16" s="54"/>
      <c r="D16" s="53"/>
      <c r="E16" s="52"/>
      <c r="F16" s="52"/>
      <c r="G16" s="52"/>
      <c r="H16" s="52" t="s">
        <v>5</v>
      </c>
      <c r="I16" s="52" t="s">
        <v>6</v>
      </c>
      <c r="J16" s="52" t="s">
        <v>7</v>
      </c>
      <c r="K16" s="52" t="s">
        <v>5</v>
      </c>
      <c r="L16" s="52" t="s">
        <v>6</v>
      </c>
      <c r="M16" s="52" t="s">
        <v>7</v>
      </c>
      <c r="N16" s="52" t="s">
        <v>5</v>
      </c>
      <c r="O16" s="52" t="s">
        <v>6</v>
      </c>
      <c r="P16" s="52" t="s">
        <v>7</v>
      </c>
      <c r="Q16" s="52" t="s">
        <v>5</v>
      </c>
      <c r="R16" s="52" t="s">
        <v>6</v>
      </c>
      <c r="S16" s="52" t="s">
        <v>7</v>
      </c>
      <c r="T16" s="52" t="s">
        <v>5</v>
      </c>
      <c r="U16" s="52" t="s">
        <v>6</v>
      </c>
      <c r="V16" s="52" t="s">
        <v>7</v>
      </c>
      <c r="W16" s="52" t="s">
        <v>5</v>
      </c>
      <c r="X16" s="52" t="s">
        <v>6</v>
      </c>
      <c r="Y16" s="52" t="s">
        <v>7</v>
      </c>
      <c r="Z16" s="52" t="s">
        <v>5</v>
      </c>
      <c r="AA16" s="52" t="s">
        <v>6</v>
      </c>
      <c r="AB16" s="52" t="s">
        <v>7</v>
      </c>
      <c r="AC16" s="52" t="s">
        <v>5</v>
      </c>
      <c r="AD16" s="52" t="s">
        <v>6</v>
      </c>
      <c r="AE16" s="52" t="s">
        <v>7</v>
      </c>
      <c r="AF16" s="52" t="s">
        <v>5</v>
      </c>
      <c r="AG16" s="52" t="s">
        <v>6</v>
      </c>
      <c r="AH16" s="52" t="s">
        <v>7</v>
      </c>
      <c r="AI16" s="52" t="s">
        <v>5</v>
      </c>
      <c r="AJ16" s="52" t="s">
        <v>6</v>
      </c>
      <c r="AK16" s="52" t="s">
        <v>7</v>
      </c>
      <c r="AL16" s="52" t="s">
        <v>5</v>
      </c>
      <c r="AM16" s="52" t="s">
        <v>6</v>
      </c>
      <c r="AN16" s="52" t="s">
        <v>7</v>
      </c>
      <c r="AO16" s="52" t="s">
        <v>5</v>
      </c>
      <c r="AP16" s="52" t="s">
        <v>6</v>
      </c>
      <c r="AQ16" s="52" t="s">
        <v>7</v>
      </c>
      <c r="AR16" s="52" t="s">
        <v>5</v>
      </c>
      <c r="AS16" s="52" t="s">
        <v>6</v>
      </c>
      <c r="AT16" s="52" t="s">
        <v>7</v>
      </c>
      <c r="AU16" s="52" t="s">
        <v>5</v>
      </c>
      <c r="AV16" s="52" t="s">
        <v>6</v>
      </c>
      <c r="AW16" s="52" t="s">
        <v>7</v>
      </c>
      <c r="AX16" s="52" t="s">
        <v>5</v>
      </c>
      <c r="AY16" s="52" t="s">
        <v>6</v>
      </c>
      <c r="AZ16" s="52" t="s">
        <v>7</v>
      </c>
      <c r="BA16" s="52" t="s">
        <v>5</v>
      </c>
      <c r="BB16" s="52" t="s">
        <v>6</v>
      </c>
      <c r="BC16" s="52" t="s">
        <v>7</v>
      </c>
      <c r="BD16" s="52" t="s">
        <v>5</v>
      </c>
      <c r="BE16" s="52" t="s">
        <v>6</v>
      </c>
      <c r="BF16" s="52" t="s">
        <v>7</v>
      </c>
      <c r="BG16" s="52" t="s">
        <v>5</v>
      </c>
      <c r="BH16" s="52" t="s">
        <v>6</v>
      </c>
      <c r="BI16" s="52" t="s">
        <v>7</v>
      </c>
      <c r="BJ16" s="52" t="s">
        <v>5</v>
      </c>
      <c r="BK16" s="52" t="s">
        <v>6</v>
      </c>
      <c r="BL16" s="52" t="s">
        <v>7</v>
      </c>
      <c r="BM16" s="52" t="s">
        <v>5</v>
      </c>
      <c r="BN16" s="52" t="s">
        <v>6</v>
      </c>
      <c r="BO16" s="52" t="s">
        <v>7</v>
      </c>
      <c r="BP16" s="52" t="s">
        <v>5</v>
      </c>
      <c r="BQ16" s="52" t="s">
        <v>6</v>
      </c>
      <c r="BR16" s="52" t="s">
        <v>7</v>
      </c>
      <c r="BS16" s="52" t="s">
        <v>5</v>
      </c>
      <c r="BT16" s="52" t="s">
        <v>6</v>
      </c>
      <c r="BU16" s="52" t="s">
        <v>7</v>
      </c>
      <c r="BV16" s="52" t="s">
        <v>5</v>
      </c>
      <c r="BW16" s="52" t="s">
        <v>6</v>
      </c>
      <c r="BX16" s="52" t="s">
        <v>7</v>
      </c>
      <c r="BY16" s="52" t="s">
        <v>8</v>
      </c>
      <c r="BZ16" s="52" t="s">
        <v>9</v>
      </c>
      <c r="CA16" s="52" t="s">
        <v>8</v>
      </c>
      <c r="CB16" s="52" t="s">
        <v>9</v>
      </c>
      <c r="CC16" s="52" t="s">
        <v>8</v>
      </c>
      <c r="CD16" s="52" t="s">
        <v>9</v>
      </c>
      <c r="CE16" s="52" t="s">
        <v>8</v>
      </c>
      <c r="CF16" s="52" t="s">
        <v>9</v>
      </c>
      <c r="CG16" s="52" t="s">
        <v>9</v>
      </c>
      <c r="CH16" s="4"/>
      <c r="CI16" s="3"/>
      <c r="CQ16" s="39"/>
    </row>
    <row r="17" spans="1:104" s="4" customFormat="1" ht="81.75" thickBot="1" x14ac:dyDescent="0.3">
      <c r="A17" s="18">
        <v>1</v>
      </c>
      <c r="B17" s="62" t="s">
        <v>51</v>
      </c>
      <c r="C17" s="48" t="s">
        <v>14</v>
      </c>
      <c r="D17" s="107">
        <f>E17+F17</f>
        <v>2</v>
      </c>
      <c r="E17" s="107">
        <v>2</v>
      </c>
      <c r="F17" s="107"/>
      <c r="G17" s="60" t="s">
        <v>17</v>
      </c>
      <c r="H17" s="61">
        <v>1090.7708333333333</v>
      </c>
      <c r="I17" s="59">
        <f>H17*1.22</f>
        <v>1330.7404166666665</v>
      </c>
      <c r="J17" s="59">
        <f>($E17+$F17)*I17</f>
        <v>2661.4808333333331</v>
      </c>
      <c r="K17" s="59"/>
      <c r="L17" s="59">
        <f t="shared" ref="L17:L24" si="0">ROUND(K17*1.2,2)</f>
        <v>0</v>
      </c>
      <c r="M17" s="59">
        <f t="shared" ref="M17:M26" si="1">L17*E17</f>
        <v>0</v>
      </c>
      <c r="N17" s="59"/>
      <c r="O17" s="59">
        <f t="shared" ref="O17:O24" si="2">ROUND(N17*1.2,2)</f>
        <v>0</v>
      </c>
      <c r="P17" s="59">
        <f t="shared" ref="P17:P26" si="3">O17*E17</f>
        <v>0</v>
      </c>
      <c r="Q17" s="59"/>
      <c r="R17" s="59">
        <f t="shared" ref="R17:R79" si="4">ROUND(Q17*1.2,2)</f>
        <v>0</v>
      </c>
      <c r="S17" s="59">
        <f t="shared" ref="S17:S26" si="5">R17*E17</f>
        <v>0</v>
      </c>
      <c r="T17" s="59"/>
      <c r="U17" s="59">
        <f t="shared" ref="U17:U26" si="6">T17*1.2</f>
        <v>0</v>
      </c>
      <c r="V17" s="59">
        <f>($E17+$F17)*U17</f>
        <v>0</v>
      </c>
      <c r="W17" s="59"/>
      <c r="X17" s="59">
        <f t="shared" ref="X17:X26" si="7">W17*1.2</f>
        <v>0</v>
      </c>
      <c r="Y17" s="59">
        <f>($E17+$F17)*X17</f>
        <v>0</v>
      </c>
      <c r="Z17" s="59"/>
      <c r="AA17" s="59">
        <f t="shared" ref="AA17:AA26" si="8">Z17*1.2</f>
        <v>0</v>
      </c>
      <c r="AB17" s="59">
        <f>($E17+$F17)*AA17</f>
        <v>0</v>
      </c>
      <c r="AC17" s="59"/>
      <c r="AD17" s="59">
        <f t="shared" ref="AD17:AD79" si="9">ROUND(AC17*1.2,2)</f>
        <v>0</v>
      </c>
      <c r="AE17" s="59">
        <f t="shared" ref="AE17:AE26" si="10">AD17*E17</f>
        <v>0</v>
      </c>
      <c r="AF17" s="59"/>
      <c r="AG17" s="59">
        <f t="shared" ref="AG17:AG79" si="11">ROUND(AF17*1.2,2)</f>
        <v>0</v>
      </c>
      <c r="AH17" s="59">
        <f t="shared" ref="AH17:AH26" si="12">AG17*E17</f>
        <v>0</v>
      </c>
      <c r="AI17" s="59"/>
      <c r="AJ17" s="59">
        <f t="shared" ref="AJ17:AJ79" si="13">ROUND(AI17*1.2,2)</f>
        <v>0</v>
      </c>
      <c r="AK17" s="59">
        <f t="shared" ref="AK17:AK26" si="14">AJ17*E17</f>
        <v>0</v>
      </c>
      <c r="AL17" s="59"/>
      <c r="AM17" s="59">
        <f t="shared" ref="AM17:AM26" si="15">AL17*1.2</f>
        <v>0</v>
      </c>
      <c r="AN17" s="59">
        <f>($E17+$F17)*AM17</f>
        <v>0</v>
      </c>
      <c r="AO17" s="59"/>
      <c r="AP17" s="59">
        <f t="shared" ref="AP17:AP26" si="16">AO17*1.2</f>
        <v>0</v>
      </c>
      <c r="AQ17" s="59">
        <f>($E17+$F17)*AP17</f>
        <v>0</v>
      </c>
      <c r="AR17" s="59"/>
      <c r="AS17" s="59">
        <f t="shared" ref="AS17:AS79" si="17">ROUND(AR17*1.2,2)</f>
        <v>0</v>
      </c>
      <c r="AT17" s="59">
        <f t="shared" ref="AT17:AT26" si="18">AS17*E17</f>
        <v>0</v>
      </c>
      <c r="AU17" s="59"/>
      <c r="AV17" s="59">
        <f t="shared" ref="AV17:AV26" si="19">AU17*1.2</f>
        <v>0</v>
      </c>
      <c r="AW17" s="59">
        <f>($E17+$F17)*AV17</f>
        <v>0</v>
      </c>
      <c r="AX17" s="59"/>
      <c r="AY17" s="59">
        <f t="shared" ref="AY17:AY26" si="20">AX17*1.2</f>
        <v>0</v>
      </c>
      <c r="AZ17" s="59">
        <f>($E17+$F17)*AY17</f>
        <v>0</v>
      </c>
      <c r="BA17" s="61">
        <v>1073.3185000000001</v>
      </c>
      <c r="BB17" s="59">
        <f>BA17*1.22</f>
        <v>1309.44857</v>
      </c>
      <c r="BC17" s="59">
        <f>($E17+$F17)*BB17</f>
        <v>2618.89714</v>
      </c>
      <c r="BD17" s="59"/>
      <c r="BE17" s="59">
        <f t="shared" ref="BE17:BE26" si="21">BD17*1.2</f>
        <v>0</v>
      </c>
      <c r="BF17" s="59">
        <f>($E17+$F17)*BE17</f>
        <v>0</v>
      </c>
      <c r="BG17" s="59"/>
      <c r="BH17" s="59">
        <f t="shared" ref="BH17:BH26" si="22">BG17*1.2</f>
        <v>0</v>
      </c>
      <c r="BI17" s="59">
        <f>($E17+$F17)*BH17</f>
        <v>0</v>
      </c>
      <c r="BJ17" s="59"/>
      <c r="BK17" s="59">
        <f t="shared" ref="BK17:BK26" si="23">BJ17*1.2</f>
        <v>0</v>
      </c>
      <c r="BL17" s="59">
        <f>($E17+$F17)*BK17</f>
        <v>0</v>
      </c>
      <c r="BM17" s="59"/>
      <c r="BN17" s="59">
        <f t="shared" ref="BN17:BN24" si="24">ROUND(BM17*1.2,2)</f>
        <v>0</v>
      </c>
      <c r="BO17" s="59">
        <f>BN17*E17</f>
        <v>0</v>
      </c>
      <c r="BP17" s="59"/>
      <c r="BQ17" s="59">
        <f>ROUND(BP17*1.2,2)</f>
        <v>0</v>
      </c>
      <c r="BR17" s="59">
        <f>BQ17*E17</f>
        <v>0</v>
      </c>
      <c r="BS17" s="59"/>
      <c r="BT17" s="59">
        <f t="shared" ref="BT17:BT79" si="25">ROUND(BS17*1.2,2)</f>
        <v>0</v>
      </c>
      <c r="BU17" s="59">
        <f t="shared" ref="BU17:BU24" si="26">BT17*E17</f>
        <v>0</v>
      </c>
      <c r="BV17" s="61">
        <v>1204.211</v>
      </c>
      <c r="BW17" s="59">
        <f>BV17*1.22</f>
        <v>1469.13742</v>
      </c>
      <c r="BX17" s="59">
        <f>($E17+$F17)*BW17</f>
        <v>2938.27484</v>
      </c>
      <c r="BY17" s="20">
        <f>(H17+BA17+BV17)/3</f>
        <v>1122.7667777777779</v>
      </c>
      <c r="BZ17" s="20">
        <f>BY17*1.22</f>
        <v>1369.775468888889</v>
      </c>
      <c r="CA17" s="21">
        <f>($E17+$F17)*BY17</f>
        <v>2245.5335555555557</v>
      </c>
      <c r="CB17" s="21">
        <f>CA17*1.22</f>
        <v>2739.550937777778</v>
      </c>
      <c r="CC17" s="20">
        <f t="shared" ref="CC17:CC48" si="27">$E17*$BY17</f>
        <v>2245.5335555555557</v>
      </c>
      <c r="CD17" s="20">
        <f t="shared" ref="CD17:CD48" si="28">$E17*$BZ17</f>
        <v>2739.550937777778</v>
      </c>
      <c r="CE17" s="20">
        <f t="shared" ref="CE17:CE48" si="29">$F17*$BY17</f>
        <v>0</v>
      </c>
      <c r="CF17" s="20">
        <f t="shared" ref="CF17:CF48" si="30">$F17*$BZ17</f>
        <v>0</v>
      </c>
      <c r="CG17" s="20">
        <f t="shared" ref="CG17:CG26" si="31">CD17+CF17</f>
        <v>2739.550937777778</v>
      </c>
      <c r="CH17" s="4">
        <f t="shared" ref="CH17:CH48" si="32">COUNTIF(H17:BX17,"&gt;0")</f>
        <v>9</v>
      </c>
      <c r="CI17" s="4">
        <f t="shared" ref="CI17:CI79" si="33">CH17/3</f>
        <v>3</v>
      </c>
      <c r="CN17" s="35" t="e">
        <f>MIN((H17,K17,N17,Q17,T17,W17,Z17,AC17,AF17,AI17,AL17,AO17,AR17,AU17,AX17,BA17,BD17,BG17,BJ17,BM17,BP17,BS17,BV17,#REF!,#REF!))</f>
        <v>#REF!</v>
      </c>
      <c r="CO17" s="35" t="e">
        <f>MAX((H17,K17,N17,Q17,T17,W17,Z17,AC17,AF17,AI17,AL17,AO17,AR17,AU17,AX17,BA17,BD17,BG17,BJ17,BM17,BP17,BS17,BV17,#REF!,#REF!))</f>
        <v>#REF!</v>
      </c>
      <c r="CP17" s="47" t="e">
        <f t="shared" ref="CP17:CP80" si="34">(CO17*100/CN17)-100</f>
        <v>#REF!</v>
      </c>
      <c r="CQ17" s="40"/>
      <c r="CS17" s="4">
        <v>24</v>
      </c>
      <c r="CT17" s="4" t="b">
        <f t="shared" ref="CT17:CT48" si="35">CS17=E17</f>
        <v>0</v>
      </c>
      <c r="CU17" s="4">
        <v>0</v>
      </c>
      <c r="CV17" s="4" t="b">
        <f t="shared" ref="CV17:CV26" si="36">(CS17+CU17)=CW17</f>
        <v>1</v>
      </c>
      <c r="CW17" s="19">
        <v>24</v>
      </c>
      <c r="CZ17" s="4" t="s">
        <v>146</v>
      </c>
    </row>
    <row r="18" spans="1:104" s="4" customFormat="1" ht="81.75" thickBot="1" x14ac:dyDescent="0.3">
      <c r="A18" s="18">
        <v>2</v>
      </c>
      <c r="B18" s="62" t="s">
        <v>52</v>
      </c>
      <c r="C18" s="48" t="s">
        <v>14</v>
      </c>
      <c r="D18" s="107">
        <f t="shared" ref="D18:D81" si="37">E18+F18</f>
        <v>1</v>
      </c>
      <c r="E18" s="107">
        <v>0.5</v>
      </c>
      <c r="F18" s="107">
        <v>0.5</v>
      </c>
      <c r="G18" s="60" t="s">
        <v>142</v>
      </c>
      <c r="H18" s="61">
        <v>82657.361111111124</v>
      </c>
      <c r="I18" s="59">
        <f t="shared" ref="I18:I81" si="38">H18*1.22</f>
        <v>100841.98055555556</v>
      </c>
      <c r="J18" s="59">
        <f t="shared" ref="J18:J81" si="39">($E18+$F18)*I18</f>
        <v>100841.98055555556</v>
      </c>
      <c r="K18" s="59"/>
      <c r="L18" s="59">
        <f t="shared" si="0"/>
        <v>0</v>
      </c>
      <c r="M18" s="59">
        <f t="shared" si="1"/>
        <v>0</v>
      </c>
      <c r="N18" s="59"/>
      <c r="O18" s="59">
        <f t="shared" si="2"/>
        <v>0</v>
      </c>
      <c r="P18" s="59">
        <f t="shared" si="3"/>
        <v>0</v>
      </c>
      <c r="Q18" s="59"/>
      <c r="R18" s="59">
        <f t="shared" si="4"/>
        <v>0</v>
      </c>
      <c r="S18" s="59">
        <f t="shared" si="5"/>
        <v>0</v>
      </c>
      <c r="T18" s="59"/>
      <c r="U18" s="59">
        <f t="shared" si="6"/>
        <v>0</v>
      </c>
      <c r="V18" s="59">
        <f t="shared" ref="V18:V81" si="40">($E18+$F18)*U18</f>
        <v>0</v>
      </c>
      <c r="W18" s="59"/>
      <c r="X18" s="59">
        <f t="shared" si="7"/>
        <v>0</v>
      </c>
      <c r="Y18" s="59">
        <f t="shared" ref="Y18:Y81" si="41">($E18+$F18)*X18</f>
        <v>0</v>
      </c>
      <c r="Z18" s="59"/>
      <c r="AA18" s="59">
        <f t="shared" si="8"/>
        <v>0</v>
      </c>
      <c r="AB18" s="59">
        <f t="shared" ref="AB18:AB81" si="42">($E18+$F18)*AA18</f>
        <v>0</v>
      </c>
      <c r="AC18" s="59"/>
      <c r="AD18" s="59">
        <f t="shared" si="9"/>
        <v>0</v>
      </c>
      <c r="AE18" s="59">
        <f t="shared" si="10"/>
        <v>0</v>
      </c>
      <c r="AF18" s="59"/>
      <c r="AG18" s="59">
        <f t="shared" si="11"/>
        <v>0</v>
      </c>
      <c r="AH18" s="59">
        <f t="shared" si="12"/>
        <v>0</v>
      </c>
      <c r="AI18" s="59"/>
      <c r="AJ18" s="59">
        <f t="shared" si="13"/>
        <v>0</v>
      </c>
      <c r="AK18" s="59">
        <f t="shared" si="14"/>
        <v>0</v>
      </c>
      <c r="AL18" s="59"/>
      <c r="AM18" s="59">
        <f t="shared" si="15"/>
        <v>0</v>
      </c>
      <c r="AN18" s="59">
        <f t="shared" ref="AN18:AN81" si="43">($E18+$F18)*AM18</f>
        <v>0</v>
      </c>
      <c r="AO18" s="59"/>
      <c r="AP18" s="59">
        <f t="shared" si="16"/>
        <v>0</v>
      </c>
      <c r="AQ18" s="59">
        <f t="shared" ref="AQ18:AQ81" si="44">($E18+$F18)*AP18</f>
        <v>0</v>
      </c>
      <c r="AR18" s="59"/>
      <c r="AS18" s="59">
        <f t="shared" si="17"/>
        <v>0</v>
      </c>
      <c r="AT18" s="59">
        <f t="shared" si="18"/>
        <v>0</v>
      </c>
      <c r="AU18" s="59"/>
      <c r="AV18" s="59">
        <f t="shared" si="19"/>
        <v>0</v>
      </c>
      <c r="AW18" s="59">
        <f t="shared" ref="AW18:AW81" si="45">($E18+$F18)*AV18</f>
        <v>0</v>
      </c>
      <c r="AX18" s="59"/>
      <c r="AY18" s="59">
        <f t="shared" si="20"/>
        <v>0</v>
      </c>
      <c r="AZ18" s="59">
        <f t="shared" ref="AZ18:AZ81" si="46">($E18+$F18)*AY18</f>
        <v>0</v>
      </c>
      <c r="BA18" s="61">
        <v>83288.333333333343</v>
      </c>
      <c r="BB18" s="59">
        <f t="shared" ref="BB18:BB81" si="47">BA18*1.22</f>
        <v>101611.76666666668</v>
      </c>
      <c r="BC18" s="59">
        <f t="shared" ref="BC18:BC81" si="48">($E18+$F18)*BB18</f>
        <v>101611.76666666668</v>
      </c>
      <c r="BD18" s="59"/>
      <c r="BE18" s="59">
        <f t="shared" si="21"/>
        <v>0</v>
      </c>
      <c r="BF18" s="59">
        <f t="shared" ref="BF18:BF81" si="49">($E18+$F18)*BE18</f>
        <v>0</v>
      </c>
      <c r="BG18" s="59"/>
      <c r="BH18" s="59">
        <f t="shared" si="22"/>
        <v>0</v>
      </c>
      <c r="BI18" s="59">
        <f t="shared" ref="BI18:BI81" si="50">($E18+$F18)*BH18</f>
        <v>0</v>
      </c>
      <c r="BJ18" s="59"/>
      <c r="BK18" s="59">
        <f t="shared" si="23"/>
        <v>0</v>
      </c>
      <c r="BL18" s="59">
        <f t="shared" ref="BL18:BL81" si="51">($E18+$F18)*BK18</f>
        <v>0</v>
      </c>
      <c r="BM18" s="59"/>
      <c r="BN18" s="59">
        <f t="shared" si="24"/>
        <v>0</v>
      </c>
      <c r="BO18" s="59">
        <f t="shared" ref="BO18:BO23" si="52">BN18*E18</f>
        <v>0</v>
      </c>
      <c r="BP18" s="59"/>
      <c r="BQ18" s="59">
        <f>ROUND(BP18*1.2,2)</f>
        <v>0</v>
      </c>
      <c r="BR18" s="59">
        <f>BQ18*E18</f>
        <v>0</v>
      </c>
      <c r="BS18" s="59"/>
      <c r="BT18" s="59">
        <f t="shared" si="25"/>
        <v>0</v>
      </c>
      <c r="BU18" s="59">
        <f t="shared" si="26"/>
        <v>0</v>
      </c>
      <c r="BV18" s="61">
        <v>82657.361111111124</v>
      </c>
      <c r="BW18" s="59">
        <f t="shared" ref="BW18:BW81" si="53">BV18*1.22</f>
        <v>100841.98055555556</v>
      </c>
      <c r="BX18" s="59">
        <f t="shared" ref="BX18:BX81" si="54">($E18+$F18)*BW18</f>
        <v>100841.98055555556</v>
      </c>
      <c r="BY18" s="20">
        <f t="shared" ref="BY18:BY81" si="55">(H18+BA18+BV18)/3</f>
        <v>82867.685185185197</v>
      </c>
      <c r="BZ18" s="20">
        <f t="shared" ref="BZ18:BZ81" si="56">BY18*1.22</f>
        <v>101098.57592592594</v>
      </c>
      <c r="CA18" s="21">
        <f t="shared" ref="CA18:CA81" si="57">($E18+$F18)*BY18</f>
        <v>82867.685185185197</v>
      </c>
      <c r="CB18" s="21">
        <f t="shared" ref="CB18:CB81" si="58">CA18*1.22</f>
        <v>101098.57592592594</v>
      </c>
      <c r="CC18" s="20">
        <f t="shared" si="27"/>
        <v>41433.842592592599</v>
      </c>
      <c r="CD18" s="20">
        <f t="shared" si="28"/>
        <v>50549.287962962968</v>
      </c>
      <c r="CE18" s="20">
        <f t="shared" si="29"/>
        <v>41433.842592592599</v>
      </c>
      <c r="CF18" s="20">
        <f t="shared" si="30"/>
        <v>50549.287962962968</v>
      </c>
      <c r="CG18" s="20">
        <f t="shared" si="31"/>
        <v>101098.57592592594</v>
      </c>
      <c r="CH18" s="4">
        <f t="shared" si="32"/>
        <v>9</v>
      </c>
      <c r="CI18" s="4">
        <f t="shared" si="33"/>
        <v>3</v>
      </c>
      <c r="CN18" s="35" t="e">
        <f>MIN((H18,K18,N18,Q18,T18,W18,Z18,AC18,AF18,AI18,AL18,AO18,AR18,AU18,AX18,BA18,BD18,BG18,BJ18,BM18,BP18,BS18,BV18,#REF!,#REF!))</f>
        <v>#REF!</v>
      </c>
      <c r="CO18" s="35" t="e">
        <f>MAX((H18,K18,N18,Q18,T18,W18,Z18,AC18,AF18,AI18,AL18,AO18,AR18,AU18,AX18,BA18,BD18,BG18,BJ18,BM18,BP18,BS18,BV18,#REF!,#REF!))</f>
        <v>#REF!</v>
      </c>
      <c r="CP18" s="47" t="e">
        <f t="shared" si="34"/>
        <v>#REF!</v>
      </c>
      <c r="CQ18" s="40"/>
      <c r="CS18" s="4">
        <v>1240</v>
      </c>
      <c r="CT18" s="4" t="b">
        <f t="shared" si="35"/>
        <v>0</v>
      </c>
      <c r="CU18" s="4">
        <v>1090</v>
      </c>
      <c r="CV18" s="4" t="b">
        <f t="shared" si="36"/>
        <v>1</v>
      </c>
      <c r="CW18" s="19">
        <v>2330</v>
      </c>
      <c r="CZ18" s="4" t="s">
        <v>147</v>
      </c>
    </row>
    <row r="19" spans="1:104" s="4" customFormat="1" ht="41.25" thickBot="1" x14ac:dyDescent="0.3">
      <c r="A19" s="18">
        <v>3</v>
      </c>
      <c r="B19" s="63" t="s">
        <v>53</v>
      </c>
      <c r="C19" s="48" t="s">
        <v>14</v>
      </c>
      <c r="D19" s="107">
        <f t="shared" si="37"/>
        <v>0.4</v>
      </c>
      <c r="E19" s="107">
        <v>0.2</v>
      </c>
      <c r="F19" s="107">
        <v>0.2</v>
      </c>
      <c r="G19" s="19" t="s">
        <v>142</v>
      </c>
      <c r="H19" s="61">
        <v>62182.500000000015</v>
      </c>
      <c r="I19" s="59">
        <f t="shared" si="38"/>
        <v>75862.650000000023</v>
      </c>
      <c r="J19" s="59">
        <f t="shared" si="39"/>
        <v>30345.060000000012</v>
      </c>
      <c r="K19" s="59"/>
      <c r="L19" s="59">
        <f t="shared" si="0"/>
        <v>0</v>
      </c>
      <c r="M19" s="59">
        <f t="shared" si="1"/>
        <v>0</v>
      </c>
      <c r="N19" s="59"/>
      <c r="O19" s="59">
        <f t="shared" si="2"/>
        <v>0</v>
      </c>
      <c r="P19" s="59">
        <f t="shared" si="3"/>
        <v>0</v>
      </c>
      <c r="Q19" s="59"/>
      <c r="R19" s="59">
        <f t="shared" si="4"/>
        <v>0</v>
      </c>
      <c r="S19" s="59">
        <f t="shared" si="5"/>
        <v>0</v>
      </c>
      <c r="T19" s="59"/>
      <c r="U19" s="59">
        <f t="shared" si="6"/>
        <v>0</v>
      </c>
      <c r="V19" s="59">
        <f t="shared" si="40"/>
        <v>0</v>
      </c>
      <c r="W19" s="59"/>
      <c r="X19" s="59">
        <f t="shared" si="7"/>
        <v>0</v>
      </c>
      <c r="Y19" s="59">
        <f t="shared" si="41"/>
        <v>0</v>
      </c>
      <c r="Z19" s="59"/>
      <c r="AA19" s="59">
        <f t="shared" si="8"/>
        <v>0</v>
      </c>
      <c r="AB19" s="59">
        <f t="shared" si="42"/>
        <v>0</v>
      </c>
      <c r="AC19" s="59"/>
      <c r="AD19" s="59">
        <f t="shared" si="9"/>
        <v>0</v>
      </c>
      <c r="AE19" s="59">
        <f t="shared" si="10"/>
        <v>0</v>
      </c>
      <c r="AF19" s="59"/>
      <c r="AG19" s="59">
        <f t="shared" si="11"/>
        <v>0</v>
      </c>
      <c r="AH19" s="59">
        <f t="shared" si="12"/>
        <v>0</v>
      </c>
      <c r="AI19" s="59"/>
      <c r="AJ19" s="59">
        <f t="shared" si="13"/>
        <v>0</v>
      </c>
      <c r="AK19" s="59">
        <f t="shared" si="14"/>
        <v>0</v>
      </c>
      <c r="AL19" s="59"/>
      <c r="AM19" s="59">
        <f t="shared" si="15"/>
        <v>0</v>
      </c>
      <c r="AN19" s="59">
        <f t="shared" si="43"/>
        <v>0</v>
      </c>
      <c r="AO19" s="59"/>
      <c r="AP19" s="59">
        <f t="shared" si="16"/>
        <v>0</v>
      </c>
      <c r="AQ19" s="59">
        <f t="shared" si="44"/>
        <v>0</v>
      </c>
      <c r="AR19" s="59"/>
      <c r="AS19" s="59">
        <f t="shared" si="17"/>
        <v>0</v>
      </c>
      <c r="AT19" s="59">
        <f t="shared" si="18"/>
        <v>0</v>
      </c>
      <c r="AU19" s="59"/>
      <c r="AV19" s="59">
        <f t="shared" si="19"/>
        <v>0</v>
      </c>
      <c r="AW19" s="59">
        <f t="shared" si="45"/>
        <v>0</v>
      </c>
      <c r="AX19" s="59"/>
      <c r="AY19" s="59">
        <f t="shared" si="20"/>
        <v>0</v>
      </c>
      <c r="AZ19" s="59">
        <f t="shared" si="46"/>
        <v>0</v>
      </c>
      <c r="BA19" s="61">
        <v>62643.111111111109</v>
      </c>
      <c r="BB19" s="59">
        <f t="shared" si="47"/>
        <v>76424.595555555556</v>
      </c>
      <c r="BC19" s="59">
        <f t="shared" si="48"/>
        <v>30569.838222222224</v>
      </c>
      <c r="BD19" s="59"/>
      <c r="BE19" s="59">
        <f t="shared" si="21"/>
        <v>0</v>
      </c>
      <c r="BF19" s="59">
        <f t="shared" si="49"/>
        <v>0</v>
      </c>
      <c r="BG19" s="59"/>
      <c r="BH19" s="59">
        <f t="shared" si="22"/>
        <v>0</v>
      </c>
      <c r="BI19" s="59">
        <f t="shared" si="50"/>
        <v>0</v>
      </c>
      <c r="BJ19" s="59"/>
      <c r="BK19" s="59">
        <f t="shared" si="23"/>
        <v>0</v>
      </c>
      <c r="BL19" s="59">
        <f t="shared" si="51"/>
        <v>0</v>
      </c>
      <c r="BM19" s="59"/>
      <c r="BN19" s="59">
        <f t="shared" si="24"/>
        <v>0</v>
      </c>
      <c r="BO19" s="59">
        <f t="shared" si="52"/>
        <v>0</v>
      </c>
      <c r="BP19" s="59"/>
      <c r="BQ19" s="59"/>
      <c r="BR19" s="59"/>
      <c r="BS19" s="59"/>
      <c r="BT19" s="59">
        <f t="shared" si="25"/>
        <v>0</v>
      </c>
      <c r="BU19" s="59">
        <f t="shared" si="26"/>
        <v>0</v>
      </c>
      <c r="BV19" s="61">
        <v>56655.166666666672</v>
      </c>
      <c r="BW19" s="59">
        <f t="shared" si="53"/>
        <v>69119.303333333344</v>
      </c>
      <c r="BX19" s="59">
        <f t="shared" si="54"/>
        <v>27647.721333333338</v>
      </c>
      <c r="BY19" s="20">
        <f t="shared" si="55"/>
        <v>60493.592592592606</v>
      </c>
      <c r="BZ19" s="20">
        <f t="shared" si="56"/>
        <v>73802.182962962979</v>
      </c>
      <c r="CA19" s="21">
        <f t="shared" si="57"/>
        <v>24197.437037037045</v>
      </c>
      <c r="CB19" s="21">
        <f t="shared" si="58"/>
        <v>29520.873185185195</v>
      </c>
      <c r="CC19" s="20">
        <f t="shared" si="27"/>
        <v>12098.718518518523</v>
      </c>
      <c r="CD19" s="20">
        <f t="shared" si="28"/>
        <v>14760.436592592596</v>
      </c>
      <c r="CE19" s="20">
        <f t="shared" si="29"/>
        <v>12098.718518518523</v>
      </c>
      <c r="CF19" s="20">
        <f t="shared" si="30"/>
        <v>14760.436592592596</v>
      </c>
      <c r="CG19" s="20">
        <f t="shared" si="31"/>
        <v>29520.873185185192</v>
      </c>
      <c r="CH19" s="4">
        <f t="shared" si="32"/>
        <v>9</v>
      </c>
      <c r="CI19" s="4">
        <f t="shared" si="33"/>
        <v>3</v>
      </c>
      <c r="CJ19" s="32"/>
      <c r="CK19" s="32"/>
      <c r="CL19" s="32"/>
      <c r="CM19" s="32"/>
      <c r="CN19" s="35" t="e">
        <f>MIN((H19,K19,N19,Q19,T19,W19,Z19,AC19,AF19,AI19,AL19,AO19,AR19,AU19,AX19,BA19,BD19,BG19,BJ19,BM19,BP19,BS19,BV19,#REF!,#REF!))</f>
        <v>#REF!</v>
      </c>
      <c r="CO19" s="35" t="e">
        <f>MAX((H19,K19,N19,Q19,T19,W19,Z19,AC19,AF19,AI19,AL19,AO19,AR19,AU19,AX19,BA19,BD19,BG19,BJ19,BM19,BP19,BS19,BV19,#REF!,#REF!))</f>
        <v>#REF!</v>
      </c>
      <c r="CP19" s="47" t="e">
        <f t="shared" si="34"/>
        <v>#REF!</v>
      </c>
      <c r="CS19" s="4">
        <v>0</v>
      </c>
      <c r="CT19" s="4" t="b">
        <f t="shared" si="35"/>
        <v>0</v>
      </c>
      <c r="CU19" s="4">
        <v>0</v>
      </c>
      <c r="CV19" s="4" t="b">
        <f t="shared" si="36"/>
        <v>1</v>
      </c>
      <c r="CW19" s="19">
        <v>0</v>
      </c>
      <c r="CZ19" s="4" t="s">
        <v>147</v>
      </c>
    </row>
    <row r="20" spans="1:104" s="4" customFormat="1" ht="41.25" thickBot="1" x14ac:dyDescent="0.3">
      <c r="A20" s="18">
        <v>4</v>
      </c>
      <c r="B20" s="62" t="s">
        <v>54</v>
      </c>
      <c r="C20" s="48" t="s">
        <v>14</v>
      </c>
      <c r="D20" s="107">
        <f t="shared" si="37"/>
        <v>0.3</v>
      </c>
      <c r="E20" s="107">
        <v>0.15</v>
      </c>
      <c r="F20" s="107">
        <v>0.15</v>
      </c>
      <c r="G20" s="19" t="s">
        <v>142</v>
      </c>
      <c r="H20" s="61">
        <v>56263.111111111124</v>
      </c>
      <c r="I20" s="59">
        <f t="shared" si="38"/>
        <v>68640.995555555564</v>
      </c>
      <c r="J20" s="59">
        <f t="shared" si="39"/>
        <v>20592.298666666669</v>
      </c>
      <c r="K20" s="59"/>
      <c r="L20" s="59">
        <f t="shared" si="0"/>
        <v>0</v>
      </c>
      <c r="M20" s="59">
        <f t="shared" si="1"/>
        <v>0</v>
      </c>
      <c r="N20" s="59"/>
      <c r="O20" s="59">
        <f t="shared" si="2"/>
        <v>0</v>
      </c>
      <c r="P20" s="59">
        <f t="shared" si="3"/>
        <v>0</v>
      </c>
      <c r="Q20" s="59"/>
      <c r="R20" s="59">
        <f t="shared" si="4"/>
        <v>0</v>
      </c>
      <c r="S20" s="59">
        <f t="shared" si="5"/>
        <v>0</v>
      </c>
      <c r="T20" s="59"/>
      <c r="U20" s="59">
        <f t="shared" si="6"/>
        <v>0</v>
      </c>
      <c r="V20" s="59">
        <f t="shared" si="40"/>
        <v>0</v>
      </c>
      <c r="W20" s="59"/>
      <c r="X20" s="59">
        <f t="shared" si="7"/>
        <v>0</v>
      </c>
      <c r="Y20" s="59">
        <f t="shared" si="41"/>
        <v>0</v>
      </c>
      <c r="Z20" s="59"/>
      <c r="AA20" s="59">
        <f t="shared" si="8"/>
        <v>0</v>
      </c>
      <c r="AB20" s="59">
        <f t="shared" si="42"/>
        <v>0</v>
      </c>
      <c r="AC20" s="59"/>
      <c r="AD20" s="59">
        <f t="shared" si="9"/>
        <v>0</v>
      </c>
      <c r="AE20" s="59">
        <f t="shared" si="10"/>
        <v>0</v>
      </c>
      <c r="AF20" s="59"/>
      <c r="AG20" s="59">
        <f t="shared" si="11"/>
        <v>0</v>
      </c>
      <c r="AH20" s="59">
        <f t="shared" si="12"/>
        <v>0</v>
      </c>
      <c r="AI20" s="59"/>
      <c r="AJ20" s="59">
        <f t="shared" si="13"/>
        <v>0</v>
      </c>
      <c r="AK20" s="59">
        <f t="shared" si="14"/>
        <v>0</v>
      </c>
      <c r="AL20" s="59"/>
      <c r="AM20" s="59">
        <f t="shared" si="15"/>
        <v>0</v>
      </c>
      <c r="AN20" s="59">
        <f t="shared" si="43"/>
        <v>0</v>
      </c>
      <c r="AO20" s="59"/>
      <c r="AP20" s="59">
        <f t="shared" si="16"/>
        <v>0</v>
      </c>
      <c r="AQ20" s="59">
        <f t="shared" si="44"/>
        <v>0</v>
      </c>
      <c r="AR20" s="59"/>
      <c r="AS20" s="59">
        <f t="shared" si="17"/>
        <v>0</v>
      </c>
      <c r="AT20" s="59">
        <f t="shared" si="18"/>
        <v>0</v>
      </c>
      <c r="AU20" s="59"/>
      <c r="AV20" s="59">
        <f t="shared" si="19"/>
        <v>0</v>
      </c>
      <c r="AW20" s="59">
        <f t="shared" si="45"/>
        <v>0</v>
      </c>
      <c r="AX20" s="59"/>
      <c r="AY20" s="59">
        <f t="shared" si="20"/>
        <v>0</v>
      </c>
      <c r="AZ20" s="59">
        <f t="shared" si="46"/>
        <v>0</v>
      </c>
      <c r="BA20" s="61">
        <v>56702.666666666679</v>
      </c>
      <c r="BB20" s="59">
        <f t="shared" si="47"/>
        <v>69177.253333333341</v>
      </c>
      <c r="BC20" s="59">
        <f t="shared" si="48"/>
        <v>20753.176000000003</v>
      </c>
      <c r="BD20" s="59"/>
      <c r="BE20" s="59">
        <f t="shared" si="21"/>
        <v>0</v>
      </c>
      <c r="BF20" s="59">
        <f t="shared" si="49"/>
        <v>0</v>
      </c>
      <c r="BG20" s="59"/>
      <c r="BH20" s="59">
        <f t="shared" si="22"/>
        <v>0</v>
      </c>
      <c r="BI20" s="59">
        <f t="shared" si="50"/>
        <v>0</v>
      </c>
      <c r="BJ20" s="59"/>
      <c r="BK20" s="59">
        <f t="shared" si="23"/>
        <v>0</v>
      </c>
      <c r="BL20" s="59">
        <f t="shared" si="51"/>
        <v>0</v>
      </c>
      <c r="BM20" s="59"/>
      <c r="BN20" s="59">
        <f t="shared" si="24"/>
        <v>0</v>
      </c>
      <c r="BO20" s="59">
        <f t="shared" si="52"/>
        <v>0</v>
      </c>
      <c r="BP20" s="59"/>
      <c r="BQ20" s="59">
        <f>ROUND(BP20*1.2,2)</f>
        <v>0</v>
      </c>
      <c r="BR20" s="59">
        <f>BQ20*E20</f>
        <v>0</v>
      </c>
      <c r="BS20" s="59"/>
      <c r="BT20" s="59">
        <f t="shared" si="25"/>
        <v>0</v>
      </c>
      <c r="BU20" s="59">
        <f t="shared" si="26"/>
        <v>0</v>
      </c>
      <c r="BV20" s="61">
        <v>60658.666666666672</v>
      </c>
      <c r="BW20" s="59">
        <f t="shared" si="53"/>
        <v>74003.573333333334</v>
      </c>
      <c r="BX20" s="59">
        <f t="shared" si="54"/>
        <v>22201.072</v>
      </c>
      <c r="BY20" s="20">
        <f t="shared" si="55"/>
        <v>57874.814814814832</v>
      </c>
      <c r="BZ20" s="20">
        <f t="shared" si="56"/>
        <v>70607.274074074099</v>
      </c>
      <c r="CA20" s="21">
        <f t="shared" si="57"/>
        <v>17362.444444444449</v>
      </c>
      <c r="CB20" s="21">
        <f t="shared" si="58"/>
        <v>21182.182222222225</v>
      </c>
      <c r="CC20" s="20">
        <f t="shared" si="27"/>
        <v>8681.2222222222244</v>
      </c>
      <c r="CD20" s="20">
        <f t="shared" si="28"/>
        <v>10591.091111111115</v>
      </c>
      <c r="CE20" s="20">
        <f t="shared" si="29"/>
        <v>8681.2222222222244</v>
      </c>
      <c r="CF20" s="20">
        <f t="shared" si="30"/>
        <v>10591.091111111115</v>
      </c>
      <c r="CG20" s="20">
        <f t="shared" si="31"/>
        <v>21182.182222222229</v>
      </c>
      <c r="CH20" s="4">
        <f t="shared" si="32"/>
        <v>9</v>
      </c>
      <c r="CI20" s="4">
        <f t="shared" si="33"/>
        <v>3</v>
      </c>
      <c r="CN20" s="35" t="e">
        <f>MIN((H20,K20,N20,Q20,T20,W20,Z20,AC20,AF20,AI20,AL20,AO20,AR20,AU20,AX20,BA20,BD20,BG20,BJ20,BM20,BP20,BS20,BV20,#REF!,#REF!))</f>
        <v>#REF!</v>
      </c>
      <c r="CO20" s="35" t="e">
        <f>MAX((H20,K20,N20,Q20,T20,W20,Z20,AC20,AF20,AI20,AL20,AO20,AR20,AU20,AX20,BA20,BD20,BG20,BJ20,BM20,BP20,BS20,BV20,#REF!,#REF!))</f>
        <v>#REF!</v>
      </c>
      <c r="CP20" s="47" t="e">
        <f t="shared" si="34"/>
        <v>#REF!</v>
      </c>
      <c r="CQ20" s="40" t="e">
        <f>CN20*1.3</f>
        <v>#REF!</v>
      </c>
      <c r="CS20" s="4">
        <v>3</v>
      </c>
      <c r="CT20" s="4" t="b">
        <f t="shared" si="35"/>
        <v>0</v>
      </c>
      <c r="CU20" s="4">
        <v>2</v>
      </c>
      <c r="CV20" s="4" t="b">
        <f t="shared" si="36"/>
        <v>1</v>
      </c>
      <c r="CW20" s="19">
        <v>5</v>
      </c>
      <c r="CZ20" s="4" t="s">
        <v>147</v>
      </c>
    </row>
    <row r="21" spans="1:104" s="4" customFormat="1" ht="81.75" thickBot="1" x14ac:dyDescent="0.3">
      <c r="A21" s="18">
        <v>5</v>
      </c>
      <c r="B21" s="62" t="s">
        <v>55</v>
      </c>
      <c r="C21" s="48" t="s">
        <v>14</v>
      </c>
      <c r="D21" s="107">
        <f t="shared" si="37"/>
        <v>0.44</v>
      </c>
      <c r="E21" s="107">
        <v>0.22</v>
      </c>
      <c r="F21" s="107">
        <v>0.22</v>
      </c>
      <c r="G21" s="19" t="s">
        <v>142</v>
      </c>
      <c r="H21" s="61">
        <v>56261.01666666667</v>
      </c>
      <c r="I21" s="59">
        <f t="shared" si="38"/>
        <v>68638.440333333332</v>
      </c>
      <c r="J21" s="59">
        <f t="shared" si="39"/>
        <v>30200.913746666665</v>
      </c>
      <c r="K21" s="59"/>
      <c r="L21" s="59">
        <f t="shared" si="0"/>
        <v>0</v>
      </c>
      <c r="M21" s="59">
        <f t="shared" si="1"/>
        <v>0</v>
      </c>
      <c r="N21" s="59"/>
      <c r="O21" s="59">
        <f t="shared" si="2"/>
        <v>0</v>
      </c>
      <c r="P21" s="59">
        <f t="shared" si="3"/>
        <v>0</v>
      </c>
      <c r="Q21" s="59"/>
      <c r="R21" s="59">
        <f t="shared" si="4"/>
        <v>0</v>
      </c>
      <c r="S21" s="59">
        <f t="shared" si="5"/>
        <v>0</v>
      </c>
      <c r="T21" s="59"/>
      <c r="U21" s="59">
        <f t="shared" si="6"/>
        <v>0</v>
      </c>
      <c r="V21" s="59">
        <f t="shared" si="40"/>
        <v>0</v>
      </c>
      <c r="W21" s="59"/>
      <c r="X21" s="59">
        <f t="shared" si="7"/>
        <v>0</v>
      </c>
      <c r="Y21" s="59">
        <f t="shared" si="41"/>
        <v>0</v>
      </c>
      <c r="Z21" s="59"/>
      <c r="AA21" s="59">
        <f t="shared" si="8"/>
        <v>0</v>
      </c>
      <c r="AB21" s="59">
        <f t="shared" si="42"/>
        <v>0</v>
      </c>
      <c r="AC21" s="59"/>
      <c r="AD21" s="59">
        <f t="shared" si="9"/>
        <v>0</v>
      </c>
      <c r="AE21" s="59">
        <f t="shared" si="10"/>
        <v>0</v>
      </c>
      <c r="AF21" s="59"/>
      <c r="AG21" s="59">
        <f t="shared" si="11"/>
        <v>0</v>
      </c>
      <c r="AH21" s="59">
        <f t="shared" si="12"/>
        <v>0</v>
      </c>
      <c r="AI21" s="59"/>
      <c r="AJ21" s="59">
        <f t="shared" si="13"/>
        <v>0</v>
      </c>
      <c r="AK21" s="59">
        <f t="shared" si="14"/>
        <v>0</v>
      </c>
      <c r="AL21" s="59"/>
      <c r="AM21" s="59">
        <f t="shared" si="15"/>
        <v>0</v>
      </c>
      <c r="AN21" s="59">
        <f t="shared" si="43"/>
        <v>0</v>
      </c>
      <c r="AO21" s="59"/>
      <c r="AP21" s="59">
        <f t="shared" si="16"/>
        <v>0</v>
      </c>
      <c r="AQ21" s="59">
        <f t="shared" si="44"/>
        <v>0</v>
      </c>
      <c r="AR21" s="59"/>
      <c r="AS21" s="59">
        <f t="shared" si="17"/>
        <v>0</v>
      </c>
      <c r="AT21" s="59">
        <f t="shared" si="18"/>
        <v>0</v>
      </c>
      <c r="AU21" s="59"/>
      <c r="AV21" s="59">
        <f t="shared" si="19"/>
        <v>0</v>
      </c>
      <c r="AW21" s="59">
        <f t="shared" si="45"/>
        <v>0</v>
      </c>
      <c r="AX21" s="59"/>
      <c r="AY21" s="59">
        <f t="shared" si="20"/>
        <v>0</v>
      </c>
      <c r="AZ21" s="59">
        <f t="shared" si="46"/>
        <v>0</v>
      </c>
      <c r="BA21" s="61">
        <v>51642.575000000004</v>
      </c>
      <c r="BB21" s="59">
        <f t="shared" si="47"/>
        <v>63003.941500000001</v>
      </c>
      <c r="BC21" s="59">
        <f t="shared" si="48"/>
        <v>27721.734260000001</v>
      </c>
      <c r="BD21" s="59"/>
      <c r="BE21" s="59">
        <f t="shared" si="21"/>
        <v>0</v>
      </c>
      <c r="BF21" s="59">
        <f t="shared" si="49"/>
        <v>0</v>
      </c>
      <c r="BG21" s="59"/>
      <c r="BH21" s="59">
        <f t="shared" si="22"/>
        <v>0</v>
      </c>
      <c r="BI21" s="59">
        <f t="shared" si="50"/>
        <v>0</v>
      </c>
      <c r="BJ21" s="59"/>
      <c r="BK21" s="59">
        <f t="shared" si="23"/>
        <v>0</v>
      </c>
      <c r="BL21" s="59">
        <f t="shared" si="51"/>
        <v>0</v>
      </c>
      <c r="BM21" s="59"/>
      <c r="BN21" s="59">
        <f t="shared" si="24"/>
        <v>0</v>
      </c>
      <c r="BO21" s="59">
        <f t="shared" si="52"/>
        <v>0</v>
      </c>
      <c r="BP21" s="59"/>
      <c r="BQ21" s="59">
        <f>ROUND(BP21*1.2,2)</f>
        <v>0</v>
      </c>
      <c r="BR21" s="59">
        <f>BQ21*E21</f>
        <v>0</v>
      </c>
      <c r="BS21" s="59"/>
      <c r="BT21" s="59">
        <f t="shared" si="25"/>
        <v>0</v>
      </c>
      <c r="BU21" s="59">
        <f t="shared" si="26"/>
        <v>0</v>
      </c>
      <c r="BV21" s="61">
        <v>55001.441666666673</v>
      </c>
      <c r="BW21" s="59">
        <f t="shared" si="53"/>
        <v>67101.758833333341</v>
      </c>
      <c r="BX21" s="59">
        <f t="shared" si="54"/>
        <v>29524.77388666667</v>
      </c>
      <c r="BY21" s="20">
        <f t="shared" si="55"/>
        <v>54301.677777777782</v>
      </c>
      <c r="BZ21" s="20">
        <f t="shared" si="56"/>
        <v>66248.046888888886</v>
      </c>
      <c r="CA21" s="21">
        <f t="shared" si="57"/>
        <v>23892.738222222226</v>
      </c>
      <c r="CB21" s="21">
        <f t="shared" si="58"/>
        <v>29149.140631111113</v>
      </c>
      <c r="CC21" s="20">
        <f t="shared" si="27"/>
        <v>11946.369111111113</v>
      </c>
      <c r="CD21" s="20">
        <f t="shared" si="28"/>
        <v>14574.570315555555</v>
      </c>
      <c r="CE21" s="20">
        <f t="shared" si="29"/>
        <v>11946.369111111113</v>
      </c>
      <c r="CF21" s="20">
        <f t="shared" si="30"/>
        <v>14574.570315555555</v>
      </c>
      <c r="CG21" s="20">
        <f t="shared" si="31"/>
        <v>29149.14063111111</v>
      </c>
      <c r="CH21" s="4">
        <f t="shared" si="32"/>
        <v>9</v>
      </c>
      <c r="CI21" s="4">
        <f t="shared" si="33"/>
        <v>3</v>
      </c>
      <c r="CN21" s="35" t="e">
        <f>MIN((H21,K21,N21,Q21,T21,W21,Z21,AC21,AF21,AI21,AL21,AO21,AR21,AU21,AX21,BA21,BD21,BG21,BJ21,BM21,BP21,BS21,BV21,#REF!,#REF!))</f>
        <v>#REF!</v>
      </c>
      <c r="CO21" s="35" t="e">
        <f>MAX((H21,K21,N21,Q21,T21,W21,Z21,AC21,AF21,AI21,AL21,AO21,AR21,AU21,AX21,BA21,BD21,BG21,BJ21,BM21,BP21,BS21,BV21,#REF!,#REF!))</f>
        <v>#REF!</v>
      </c>
      <c r="CP21" s="47" t="e">
        <f t="shared" si="34"/>
        <v>#REF!</v>
      </c>
      <c r="CQ21" s="40"/>
      <c r="CS21" s="4">
        <v>15</v>
      </c>
      <c r="CT21" s="4" t="b">
        <f t="shared" si="35"/>
        <v>0</v>
      </c>
      <c r="CU21" s="4">
        <v>10</v>
      </c>
      <c r="CV21" s="4" t="b">
        <f t="shared" si="36"/>
        <v>1</v>
      </c>
      <c r="CW21" s="19">
        <v>25</v>
      </c>
      <c r="CZ21" s="4" t="s">
        <v>147</v>
      </c>
    </row>
    <row r="22" spans="1:104" s="4" customFormat="1" ht="61.5" thickBot="1" x14ac:dyDescent="0.3">
      <c r="A22" s="18">
        <v>6</v>
      </c>
      <c r="B22" s="62" t="s">
        <v>56</v>
      </c>
      <c r="C22" s="48" t="s">
        <v>14</v>
      </c>
      <c r="D22" s="107">
        <f t="shared" si="37"/>
        <v>0.6</v>
      </c>
      <c r="E22" s="107">
        <v>0.3</v>
      </c>
      <c r="F22" s="107">
        <v>0.3</v>
      </c>
      <c r="G22" s="19" t="s">
        <v>142</v>
      </c>
      <c r="H22" s="61">
        <v>61558.000000000007</v>
      </c>
      <c r="I22" s="59">
        <f t="shared" si="38"/>
        <v>75100.760000000009</v>
      </c>
      <c r="J22" s="59">
        <f t="shared" si="39"/>
        <v>45060.456000000006</v>
      </c>
      <c r="K22" s="59"/>
      <c r="L22" s="59">
        <f t="shared" si="0"/>
        <v>0</v>
      </c>
      <c r="M22" s="59">
        <f t="shared" si="1"/>
        <v>0</v>
      </c>
      <c r="N22" s="59"/>
      <c r="O22" s="59">
        <f t="shared" si="2"/>
        <v>0</v>
      </c>
      <c r="P22" s="59">
        <f t="shared" si="3"/>
        <v>0</v>
      </c>
      <c r="Q22" s="59"/>
      <c r="R22" s="59">
        <f t="shared" si="4"/>
        <v>0</v>
      </c>
      <c r="S22" s="59">
        <f t="shared" si="5"/>
        <v>0</v>
      </c>
      <c r="T22" s="59"/>
      <c r="U22" s="59">
        <f t="shared" si="6"/>
        <v>0</v>
      </c>
      <c r="V22" s="59">
        <f t="shared" si="40"/>
        <v>0</v>
      </c>
      <c r="W22" s="59"/>
      <c r="X22" s="59">
        <f t="shared" si="7"/>
        <v>0</v>
      </c>
      <c r="Y22" s="59">
        <f t="shared" si="41"/>
        <v>0</v>
      </c>
      <c r="Z22" s="59"/>
      <c r="AA22" s="59">
        <f t="shared" si="8"/>
        <v>0</v>
      </c>
      <c r="AB22" s="59">
        <f t="shared" si="42"/>
        <v>0</v>
      </c>
      <c r="AC22" s="59"/>
      <c r="AD22" s="59">
        <f t="shared" si="9"/>
        <v>0</v>
      </c>
      <c r="AE22" s="59">
        <f t="shared" si="10"/>
        <v>0</v>
      </c>
      <c r="AF22" s="59"/>
      <c r="AG22" s="59">
        <f t="shared" si="11"/>
        <v>0</v>
      </c>
      <c r="AH22" s="59">
        <f t="shared" si="12"/>
        <v>0</v>
      </c>
      <c r="AI22" s="59"/>
      <c r="AJ22" s="59">
        <f t="shared" si="13"/>
        <v>0</v>
      </c>
      <c r="AK22" s="59">
        <f t="shared" si="14"/>
        <v>0</v>
      </c>
      <c r="AL22" s="59"/>
      <c r="AM22" s="59">
        <f t="shared" si="15"/>
        <v>0</v>
      </c>
      <c r="AN22" s="59">
        <f t="shared" si="43"/>
        <v>0</v>
      </c>
      <c r="AO22" s="59"/>
      <c r="AP22" s="59">
        <f t="shared" si="16"/>
        <v>0</v>
      </c>
      <c r="AQ22" s="59">
        <f t="shared" si="44"/>
        <v>0</v>
      </c>
      <c r="AR22" s="59"/>
      <c r="AS22" s="59">
        <f t="shared" si="17"/>
        <v>0</v>
      </c>
      <c r="AT22" s="59">
        <f t="shared" si="18"/>
        <v>0</v>
      </c>
      <c r="AU22" s="59"/>
      <c r="AV22" s="59">
        <f t="shared" si="19"/>
        <v>0</v>
      </c>
      <c r="AW22" s="59">
        <f t="shared" si="45"/>
        <v>0</v>
      </c>
      <c r="AX22" s="59"/>
      <c r="AY22" s="59">
        <f t="shared" si="20"/>
        <v>0</v>
      </c>
      <c r="AZ22" s="59">
        <f t="shared" si="46"/>
        <v>0</v>
      </c>
      <c r="BA22" s="61">
        <v>64489.333333333343</v>
      </c>
      <c r="BB22" s="59">
        <f t="shared" si="47"/>
        <v>78676.986666666679</v>
      </c>
      <c r="BC22" s="59">
        <f t="shared" si="48"/>
        <v>47206.192000000003</v>
      </c>
      <c r="BD22" s="59"/>
      <c r="BE22" s="59">
        <f t="shared" si="21"/>
        <v>0</v>
      </c>
      <c r="BF22" s="59">
        <f t="shared" si="49"/>
        <v>0</v>
      </c>
      <c r="BG22" s="59"/>
      <c r="BH22" s="59">
        <f t="shared" si="22"/>
        <v>0</v>
      </c>
      <c r="BI22" s="59">
        <f t="shared" si="50"/>
        <v>0</v>
      </c>
      <c r="BJ22" s="59"/>
      <c r="BK22" s="59">
        <f t="shared" si="23"/>
        <v>0</v>
      </c>
      <c r="BL22" s="59">
        <f t="shared" si="51"/>
        <v>0</v>
      </c>
      <c r="BM22" s="59"/>
      <c r="BN22" s="59">
        <f t="shared" si="24"/>
        <v>0</v>
      </c>
      <c r="BO22" s="59">
        <f t="shared" si="52"/>
        <v>0</v>
      </c>
      <c r="BP22" s="59"/>
      <c r="BQ22" s="59"/>
      <c r="BR22" s="59"/>
      <c r="BS22" s="59"/>
      <c r="BT22" s="59">
        <f t="shared" si="25"/>
        <v>0</v>
      </c>
      <c r="BU22" s="59">
        <f t="shared" si="26"/>
        <v>0</v>
      </c>
      <c r="BV22" s="61">
        <v>60580.888888888898</v>
      </c>
      <c r="BW22" s="59">
        <f t="shared" si="53"/>
        <v>73908.684444444458</v>
      </c>
      <c r="BX22" s="59">
        <f t="shared" si="54"/>
        <v>44345.210666666673</v>
      </c>
      <c r="BY22" s="20">
        <f t="shared" si="55"/>
        <v>62209.407407407416</v>
      </c>
      <c r="BZ22" s="20">
        <f t="shared" si="56"/>
        <v>75895.477037037039</v>
      </c>
      <c r="CA22" s="21">
        <f t="shared" si="57"/>
        <v>37325.64444444445</v>
      </c>
      <c r="CB22" s="21">
        <f t="shared" si="58"/>
        <v>45537.286222222225</v>
      </c>
      <c r="CC22" s="20">
        <f t="shared" si="27"/>
        <v>18662.822222222225</v>
      </c>
      <c r="CD22" s="20">
        <f t="shared" si="28"/>
        <v>22768.643111111112</v>
      </c>
      <c r="CE22" s="20">
        <f t="shared" si="29"/>
        <v>18662.822222222225</v>
      </c>
      <c r="CF22" s="20">
        <f t="shared" si="30"/>
        <v>22768.643111111112</v>
      </c>
      <c r="CG22" s="20">
        <f t="shared" si="31"/>
        <v>45537.286222222225</v>
      </c>
      <c r="CH22" s="4">
        <f t="shared" si="32"/>
        <v>9</v>
      </c>
      <c r="CI22" s="4">
        <f t="shared" si="33"/>
        <v>3</v>
      </c>
      <c r="CJ22" s="32"/>
      <c r="CK22" s="32"/>
      <c r="CL22" s="32"/>
      <c r="CM22" s="32"/>
      <c r="CN22" s="35" t="e">
        <f>MIN((H22,K22,N22,Q22,T22,W22,Z22,AC22,AF22,AI22,AL22,AO22,AR22,AU22,AX22,BA22,BD22,BG22,BJ22,BM22,BP22,BS22,BV22,#REF!,#REF!))</f>
        <v>#REF!</v>
      </c>
      <c r="CO22" s="35" t="e">
        <f>MAX((H22,K22,N22,Q22,T22,W22,Z22,AC22,AF22,AI22,AL22,AO22,AR22,AU22,AX22,BA22,BD22,BG22,BJ22,BM22,BP22,BS22,BV22,#REF!,#REF!))</f>
        <v>#REF!</v>
      </c>
      <c r="CP22" s="47" t="e">
        <f t="shared" si="34"/>
        <v>#REF!</v>
      </c>
      <c r="CS22" s="4">
        <v>0</v>
      </c>
      <c r="CT22" s="4" t="b">
        <f t="shared" si="35"/>
        <v>0</v>
      </c>
      <c r="CU22" s="4">
        <v>0</v>
      </c>
      <c r="CV22" s="4" t="b">
        <f t="shared" si="36"/>
        <v>1</v>
      </c>
      <c r="CW22" s="19">
        <v>0</v>
      </c>
      <c r="CZ22" s="4" t="s">
        <v>147</v>
      </c>
    </row>
    <row r="23" spans="1:104" s="4" customFormat="1" ht="21" thickBot="1" x14ac:dyDescent="0.3">
      <c r="A23" s="18">
        <v>7</v>
      </c>
      <c r="B23" s="62" t="s">
        <v>57</v>
      </c>
      <c r="C23" s="48" t="s">
        <v>14</v>
      </c>
      <c r="D23" s="107">
        <f t="shared" si="37"/>
        <v>0.14000000000000001</v>
      </c>
      <c r="E23" s="107">
        <v>7.0000000000000007E-2</v>
      </c>
      <c r="F23" s="107">
        <v>7.0000000000000007E-2</v>
      </c>
      <c r="G23" s="19" t="s">
        <v>142</v>
      </c>
      <c r="H23" s="61">
        <v>67774.305555555562</v>
      </c>
      <c r="I23" s="59">
        <f t="shared" si="38"/>
        <v>82684.652777777781</v>
      </c>
      <c r="J23" s="59">
        <f t="shared" si="39"/>
        <v>11575.85138888889</v>
      </c>
      <c r="K23" s="59"/>
      <c r="L23" s="59">
        <f t="shared" si="0"/>
        <v>0</v>
      </c>
      <c r="M23" s="59">
        <f t="shared" si="1"/>
        <v>0</v>
      </c>
      <c r="N23" s="59"/>
      <c r="O23" s="59">
        <f t="shared" si="2"/>
        <v>0</v>
      </c>
      <c r="P23" s="59">
        <f t="shared" si="3"/>
        <v>0</v>
      </c>
      <c r="Q23" s="59"/>
      <c r="R23" s="59">
        <f t="shared" si="4"/>
        <v>0</v>
      </c>
      <c r="S23" s="59">
        <f t="shared" si="5"/>
        <v>0</v>
      </c>
      <c r="T23" s="59"/>
      <c r="U23" s="59">
        <f t="shared" si="6"/>
        <v>0</v>
      </c>
      <c r="V23" s="59">
        <f t="shared" si="40"/>
        <v>0</v>
      </c>
      <c r="W23" s="59"/>
      <c r="X23" s="59">
        <f t="shared" si="7"/>
        <v>0</v>
      </c>
      <c r="Y23" s="59">
        <f t="shared" si="41"/>
        <v>0</v>
      </c>
      <c r="Z23" s="59"/>
      <c r="AA23" s="59">
        <f t="shared" si="8"/>
        <v>0</v>
      </c>
      <c r="AB23" s="59">
        <f t="shared" si="42"/>
        <v>0</v>
      </c>
      <c r="AC23" s="59"/>
      <c r="AD23" s="59">
        <f t="shared" si="9"/>
        <v>0</v>
      </c>
      <c r="AE23" s="59">
        <f t="shared" si="10"/>
        <v>0</v>
      </c>
      <c r="AF23" s="59"/>
      <c r="AG23" s="59">
        <f t="shared" si="11"/>
        <v>0</v>
      </c>
      <c r="AH23" s="59">
        <f t="shared" si="12"/>
        <v>0</v>
      </c>
      <c r="AI23" s="59"/>
      <c r="AJ23" s="59">
        <f t="shared" si="13"/>
        <v>0</v>
      </c>
      <c r="AK23" s="59">
        <f t="shared" si="14"/>
        <v>0</v>
      </c>
      <c r="AL23" s="59"/>
      <c r="AM23" s="59">
        <f t="shared" si="15"/>
        <v>0</v>
      </c>
      <c r="AN23" s="59">
        <f t="shared" si="43"/>
        <v>0</v>
      </c>
      <c r="AO23" s="59"/>
      <c r="AP23" s="59">
        <f t="shared" si="16"/>
        <v>0</v>
      </c>
      <c r="AQ23" s="59">
        <f t="shared" si="44"/>
        <v>0</v>
      </c>
      <c r="AR23" s="59"/>
      <c r="AS23" s="59">
        <f t="shared" si="17"/>
        <v>0</v>
      </c>
      <c r="AT23" s="59">
        <f t="shared" si="18"/>
        <v>0</v>
      </c>
      <c r="AU23" s="59"/>
      <c r="AV23" s="59">
        <f t="shared" si="19"/>
        <v>0</v>
      </c>
      <c r="AW23" s="59">
        <f t="shared" si="45"/>
        <v>0</v>
      </c>
      <c r="AX23" s="59"/>
      <c r="AY23" s="59">
        <f t="shared" si="20"/>
        <v>0</v>
      </c>
      <c r="AZ23" s="59">
        <f t="shared" si="46"/>
        <v>0</v>
      </c>
      <c r="BA23" s="61">
        <v>69943.083333333343</v>
      </c>
      <c r="BB23" s="59">
        <f t="shared" si="47"/>
        <v>85330.561666666676</v>
      </c>
      <c r="BC23" s="59">
        <f t="shared" si="48"/>
        <v>11946.278633333335</v>
      </c>
      <c r="BD23" s="59"/>
      <c r="BE23" s="59">
        <f t="shared" si="21"/>
        <v>0</v>
      </c>
      <c r="BF23" s="59">
        <f t="shared" si="49"/>
        <v>0</v>
      </c>
      <c r="BG23" s="59"/>
      <c r="BH23" s="59">
        <f t="shared" si="22"/>
        <v>0</v>
      </c>
      <c r="BI23" s="59">
        <f t="shared" si="50"/>
        <v>0</v>
      </c>
      <c r="BJ23" s="59"/>
      <c r="BK23" s="59">
        <f t="shared" si="23"/>
        <v>0</v>
      </c>
      <c r="BL23" s="59">
        <f t="shared" si="51"/>
        <v>0</v>
      </c>
      <c r="BM23" s="59"/>
      <c r="BN23" s="59">
        <f t="shared" si="24"/>
        <v>0</v>
      </c>
      <c r="BO23" s="59">
        <f t="shared" si="52"/>
        <v>0</v>
      </c>
      <c r="BP23" s="59"/>
      <c r="BQ23" s="59"/>
      <c r="BR23" s="59"/>
      <c r="BS23" s="59"/>
      <c r="BT23" s="59">
        <f t="shared" si="25"/>
        <v>0</v>
      </c>
      <c r="BU23" s="59">
        <f t="shared" si="26"/>
        <v>0</v>
      </c>
      <c r="BV23" s="61">
        <v>66689.916666666672</v>
      </c>
      <c r="BW23" s="59">
        <f t="shared" si="53"/>
        <v>81361.698333333334</v>
      </c>
      <c r="BX23" s="59">
        <f t="shared" si="54"/>
        <v>11390.637766666669</v>
      </c>
      <c r="BY23" s="20">
        <f t="shared" si="55"/>
        <v>68135.768518518526</v>
      </c>
      <c r="BZ23" s="20">
        <f t="shared" si="56"/>
        <v>83125.637592592597</v>
      </c>
      <c r="CA23" s="21">
        <f t="shared" si="57"/>
        <v>9539.0075925925939</v>
      </c>
      <c r="CB23" s="21">
        <f t="shared" si="58"/>
        <v>11637.589262962965</v>
      </c>
      <c r="CC23" s="20">
        <f t="shared" si="27"/>
        <v>4769.503796296297</v>
      </c>
      <c r="CD23" s="20">
        <f t="shared" si="28"/>
        <v>5818.7946314814826</v>
      </c>
      <c r="CE23" s="20">
        <f t="shared" si="29"/>
        <v>4769.503796296297</v>
      </c>
      <c r="CF23" s="20">
        <f t="shared" si="30"/>
        <v>5818.7946314814826</v>
      </c>
      <c r="CG23" s="20">
        <f t="shared" si="31"/>
        <v>11637.589262962965</v>
      </c>
      <c r="CH23" s="4">
        <f t="shared" si="32"/>
        <v>9</v>
      </c>
      <c r="CI23" s="4">
        <f t="shared" si="33"/>
        <v>3</v>
      </c>
      <c r="CJ23" s="32"/>
      <c r="CK23" s="32"/>
      <c r="CL23" s="32"/>
      <c r="CM23" s="32"/>
      <c r="CN23" s="35" t="e">
        <f>MIN((H23,K23,N23,Q23,T23,W23,Z23,AC23,AF23,AI23,AL23,AO23,AR23,AU23,AX23,BA23,BD23,BG23,BJ23,BM23,BP23,BS23,BV23,#REF!,#REF!))</f>
        <v>#REF!</v>
      </c>
      <c r="CO23" s="35" t="e">
        <f>MAX((H23,K23,N23,Q23,T23,W23,Z23,AC23,AF23,AI23,AL23,AO23,AR23,AU23,AX23,BA23,BD23,BG23,BJ23,BM23,BP23,BS23,BV23,#REF!,#REF!))</f>
        <v>#REF!</v>
      </c>
      <c r="CP23" s="47" t="e">
        <f t="shared" si="34"/>
        <v>#REF!</v>
      </c>
      <c r="CS23" s="4">
        <v>0</v>
      </c>
      <c r="CT23" s="4" t="b">
        <f t="shared" si="35"/>
        <v>0</v>
      </c>
      <c r="CU23" s="4">
        <v>0</v>
      </c>
      <c r="CV23" s="4" t="b">
        <f t="shared" si="36"/>
        <v>1</v>
      </c>
      <c r="CW23" s="19">
        <v>0</v>
      </c>
      <c r="CZ23" s="4" t="s">
        <v>147</v>
      </c>
    </row>
    <row r="24" spans="1:104" s="4" customFormat="1" ht="102" thickBot="1" x14ac:dyDescent="0.3">
      <c r="A24" s="18">
        <v>8</v>
      </c>
      <c r="B24" s="62" t="s">
        <v>58</v>
      </c>
      <c r="C24" s="48" t="s">
        <v>14</v>
      </c>
      <c r="D24" s="107">
        <f t="shared" si="37"/>
        <v>120</v>
      </c>
      <c r="E24" s="107">
        <v>60</v>
      </c>
      <c r="F24" s="107">
        <v>60</v>
      </c>
      <c r="G24" s="19" t="s">
        <v>49</v>
      </c>
      <c r="H24" s="61">
        <v>98.232888888888908</v>
      </c>
      <c r="I24" s="59">
        <f t="shared" si="38"/>
        <v>119.84412444444446</v>
      </c>
      <c r="J24" s="59">
        <f t="shared" si="39"/>
        <v>14381.294933333334</v>
      </c>
      <c r="K24" s="59"/>
      <c r="L24" s="59">
        <f t="shared" si="0"/>
        <v>0</v>
      </c>
      <c r="M24" s="59">
        <f t="shared" si="1"/>
        <v>0</v>
      </c>
      <c r="N24" s="59"/>
      <c r="O24" s="59">
        <f t="shared" si="2"/>
        <v>0</v>
      </c>
      <c r="P24" s="59">
        <f t="shared" si="3"/>
        <v>0</v>
      </c>
      <c r="Q24" s="59"/>
      <c r="R24" s="59">
        <f t="shared" si="4"/>
        <v>0</v>
      </c>
      <c r="S24" s="59">
        <f t="shared" si="5"/>
        <v>0</v>
      </c>
      <c r="T24" s="59"/>
      <c r="U24" s="59">
        <f t="shared" si="6"/>
        <v>0</v>
      </c>
      <c r="V24" s="59">
        <f t="shared" si="40"/>
        <v>0</v>
      </c>
      <c r="W24" s="59"/>
      <c r="X24" s="59">
        <f t="shared" si="7"/>
        <v>0</v>
      </c>
      <c r="Y24" s="59">
        <f t="shared" si="41"/>
        <v>0</v>
      </c>
      <c r="Z24" s="59"/>
      <c r="AA24" s="59">
        <f t="shared" si="8"/>
        <v>0</v>
      </c>
      <c r="AB24" s="59">
        <f t="shared" si="42"/>
        <v>0</v>
      </c>
      <c r="AC24" s="59"/>
      <c r="AD24" s="59">
        <f t="shared" si="9"/>
        <v>0</v>
      </c>
      <c r="AE24" s="59">
        <f t="shared" si="10"/>
        <v>0</v>
      </c>
      <c r="AF24" s="59"/>
      <c r="AG24" s="59">
        <f t="shared" si="11"/>
        <v>0</v>
      </c>
      <c r="AH24" s="59">
        <f t="shared" si="12"/>
        <v>0</v>
      </c>
      <c r="AI24" s="59"/>
      <c r="AJ24" s="59">
        <f t="shared" si="13"/>
        <v>0</v>
      </c>
      <c r="AK24" s="59">
        <f t="shared" si="14"/>
        <v>0</v>
      </c>
      <c r="AL24" s="59"/>
      <c r="AM24" s="59">
        <f t="shared" si="15"/>
        <v>0</v>
      </c>
      <c r="AN24" s="59">
        <f t="shared" si="43"/>
        <v>0</v>
      </c>
      <c r="AO24" s="59"/>
      <c r="AP24" s="59">
        <f t="shared" si="16"/>
        <v>0</v>
      </c>
      <c r="AQ24" s="59">
        <f t="shared" si="44"/>
        <v>0</v>
      </c>
      <c r="AR24" s="59"/>
      <c r="AS24" s="59">
        <f t="shared" si="17"/>
        <v>0</v>
      </c>
      <c r="AT24" s="59">
        <f t="shared" si="18"/>
        <v>0</v>
      </c>
      <c r="AU24" s="59"/>
      <c r="AV24" s="59">
        <f t="shared" si="19"/>
        <v>0</v>
      </c>
      <c r="AW24" s="59">
        <f t="shared" si="45"/>
        <v>0</v>
      </c>
      <c r="AX24" s="59"/>
      <c r="AY24" s="59">
        <f t="shared" si="20"/>
        <v>0</v>
      </c>
      <c r="AZ24" s="59">
        <f t="shared" si="46"/>
        <v>0</v>
      </c>
      <c r="BA24" s="61">
        <v>102.07011111111113</v>
      </c>
      <c r="BB24" s="59">
        <f t="shared" si="47"/>
        <v>124.52553555555558</v>
      </c>
      <c r="BC24" s="59">
        <f t="shared" si="48"/>
        <v>14943.06426666667</v>
      </c>
      <c r="BD24" s="59"/>
      <c r="BE24" s="59">
        <f t="shared" si="21"/>
        <v>0</v>
      </c>
      <c r="BF24" s="59">
        <f t="shared" si="49"/>
        <v>0</v>
      </c>
      <c r="BG24" s="59"/>
      <c r="BH24" s="59">
        <f t="shared" si="22"/>
        <v>0</v>
      </c>
      <c r="BI24" s="59">
        <f t="shared" si="50"/>
        <v>0</v>
      </c>
      <c r="BJ24" s="59"/>
      <c r="BK24" s="59">
        <f t="shared" si="23"/>
        <v>0</v>
      </c>
      <c r="BL24" s="59">
        <f t="shared" si="51"/>
        <v>0</v>
      </c>
      <c r="BM24" s="59"/>
      <c r="BN24" s="59">
        <f t="shared" si="24"/>
        <v>0</v>
      </c>
      <c r="BO24" s="59">
        <f>BN24*E24</f>
        <v>0</v>
      </c>
      <c r="BP24" s="59"/>
      <c r="BQ24" s="59">
        <f t="shared" ref="BQ24:BQ79" si="59">ROUND(BP24*1.2,2)</f>
        <v>0</v>
      </c>
      <c r="BR24" s="59">
        <f>BQ24*E24</f>
        <v>0</v>
      </c>
      <c r="BS24" s="59"/>
      <c r="BT24" s="59">
        <f t="shared" si="25"/>
        <v>0</v>
      </c>
      <c r="BU24" s="59">
        <f t="shared" si="26"/>
        <v>0</v>
      </c>
      <c r="BV24" s="61">
        <v>105.1398888888889</v>
      </c>
      <c r="BW24" s="59">
        <f t="shared" si="53"/>
        <v>128.27066444444446</v>
      </c>
      <c r="BX24" s="59">
        <f t="shared" si="54"/>
        <v>15392.479733333335</v>
      </c>
      <c r="BY24" s="20">
        <f t="shared" si="55"/>
        <v>101.81429629629632</v>
      </c>
      <c r="BZ24" s="20">
        <f t="shared" si="56"/>
        <v>124.21344148148151</v>
      </c>
      <c r="CA24" s="21">
        <f t="shared" si="57"/>
        <v>12217.715555555558</v>
      </c>
      <c r="CB24" s="21">
        <f t="shared" si="58"/>
        <v>14905.612977777781</v>
      </c>
      <c r="CC24" s="20">
        <f t="shared" si="27"/>
        <v>6108.8577777777791</v>
      </c>
      <c r="CD24" s="20">
        <f t="shared" si="28"/>
        <v>7452.8064888888903</v>
      </c>
      <c r="CE24" s="20">
        <f t="shared" si="29"/>
        <v>6108.8577777777791</v>
      </c>
      <c r="CF24" s="20">
        <f t="shared" si="30"/>
        <v>7452.8064888888903</v>
      </c>
      <c r="CG24" s="20">
        <f t="shared" si="31"/>
        <v>14905.612977777781</v>
      </c>
      <c r="CH24" s="4">
        <f t="shared" si="32"/>
        <v>9</v>
      </c>
      <c r="CI24" s="4">
        <f t="shared" si="33"/>
        <v>3</v>
      </c>
      <c r="CN24" s="35" t="e">
        <f>MIN((H24,K24,N24,Q24,T24,W24,Z24,AC24,AF24,AI24,AL24,AO24,AR24,AU24,AX24,BA24,BD24,BG24,BJ24,BM24,BP24,BS24,BV24,#REF!,#REF!))</f>
        <v>#REF!</v>
      </c>
      <c r="CO24" s="35" t="e">
        <f>MAX((H24,K24,N24,Q24,T24,W24,Z24,AC24,AF24,AI24,AL24,AO24,AR24,AU24,AX24,BA24,BD24,BG24,BJ24,BM24,BP24,BS24,BV24,#REF!,#REF!))</f>
        <v>#REF!</v>
      </c>
      <c r="CP24" s="47" t="e">
        <f t="shared" si="34"/>
        <v>#REF!</v>
      </c>
      <c r="CQ24" s="40"/>
      <c r="CS24" s="4">
        <v>50</v>
      </c>
      <c r="CT24" s="4" t="b">
        <f t="shared" si="35"/>
        <v>0</v>
      </c>
      <c r="CU24" s="4">
        <v>0</v>
      </c>
      <c r="CV24" s="4" t="b">
        <f t="shared" si="36"/>
        <v>1</v>
      </c>
      <c r="CW24" s="19">
        <v>50</v>
      </c>
      <c r="CZ24" s="4" t="s">
        <v>147</v>
      </c>
    </row>
    <row r="25" spans="1:104" s="4" customFormat="1" ht="142.5" thickBot="1" x14ac:dyDescent="0.3">
      <c r="A25" s="18">
        <v>9</v>
      </c>
      <c r="B25" s="62" t="s">
        <v>59</v>
      </c>
      <c r="C25" s="48" t="s">
        <v>14</v>
      </c>
      <c r="D25" s="107">
        <f t="shared" si="37"/>
        <v>120</v>
      </c>
      <c r="E25" s="107">
        <v>60</v>
      </c>
      <c r="F25" s="107">
        <v>60</v>
      </c>
      <c r="G25" s="60" t="s">
        <v>49</v>
      </c>
      <c r="H25" s="61">
        <v>120.39255555555557</v>
      </c>
      <c r="I25" s="59">
        <f t="shared" si="38"/>
        <v>146.87891777777779</v>
      </c>
      <c r="J25" s="59">
        <f t="shared" si="39"/>
        <v>17625.470133333336</v>
      </c>
      <c r="K25" s="59"/>
      <c r="L25" s="59">
        <f t="shared" ref="L25:L79" si="60">ROUND(K25*1.2,2)</f>
        <v>0</v>
      </c>
      <c r="M25" s="59">
        <f t="shared" si="1"/>
        <v>0</v>
      </c>
      <c r="N25" s="59"/>
      <c r="O25" s="59">
        <f t="shared" ref="O25:O81" si="61">ROUND(N25*1.2,2)</f>
        <v>0</v>
      </c>
      <c r="P25" s="59">
        <f t="shared" si="3"/>
        <v>0</v>
      </c>
      <c r="Q25" s="59"/>
      <c r="R25" s="59">
        <f t="shared" si="4"/>
        <v>0</v>
      </c>
      <c r="S25" s="59">
        <f t="shared" si="5"/>
        <v>0</v>
      </c>
      <c r="T25" s="59"/>
      <c r="U25" s="59">
        <f t="shared" si="6"/>
        <v>0</v>
      </c>
      <c r="V25" s="59">
        <f t="shared" si="40"/>
        <v>0</v>
      </c>
      <c r="W25" s="59"/>
      <c r="X25" s="59">
        <f t="shared" si="7"/>
        <v>0</v>
      </c>
      <c r="Y25" s="59">
        <f t="shared" si="41"/>
        <v>0</v>
      </c>
      <c r="Z25" s="59"/>
      <c r="AA25" s="59">
        <f t="shared" si="8"/>
        <v>0</v>
      </c>
      <c r="AB25" s="59">
        <f t="shared" si="42"/>
        <v>0</v>
      </c>
      <c r="AC25" s="59"/>
      <c r="AD25" s="59">
        <f t="shared" si="9"/>
        <v>0</v>
      </c>
      <c r="AE25" s="59">
        <f t="shared" si="10"/>
        <v>0</v>
      </c>
      <c r="AF25" s="59"/>
      <c r="AG25" s="59">
        <f t="shared" si="11"/>
        <v>0</v>
      </c>
      <c r="AH25" s="59">
        <f t="shared" si="12"/>
        <v>0</v>
      </c>
      <c r="AI25" s="59"/>
      <c r="AJ25" s="59">
        <f t="shared" si="13"/>
        <v>0</v>
      </c>
      <c r="AK25" s="59">
        <f t="shared" si="14"/>
        <v>0</v>
      </c>
      <c r="AL25" s="59"/>
      <c r="AM25" s="59">
        <f t="shared" si="15"/>
        <v>0</v>
      </c>
      <c r="AN25" s="59">
        <f t="shared" si="43"/>
        <v>0</v>
      </c>
      <c r="AO25" s="59"/>
      <c r="AP25" s="59">
        <f t="shared" si="16"/>
        <v>0</v>
      </c>
      <c r="AQ25" s="59">
        <f t="shared" si="44"/>
        <v>0</v>
      </c>
      <c r="AR25" s="59"/>
      <c r="AS25" s="59">
        <f t="shared" si="17"/>
        <v>0</v>
      </c>
      <c r="AT25" s="59">
        <f t="shared" si="18"/>
        <v>0</v>
      </c>
      <c r="AU25" s="59"/>
      <c r="AV25" s="59">
        <f t="shared" si="19"/>
        <v>0</v>
      </c>
      <c r="AW25" s="59">
        <f t="shared" si="45"/>
        <v>0</v>
      </c>
      <c r="AX25" s="59"/>
      <c r="AY25" s="59">
        <f t="shared" si="20"/>
        <v>0</v>
      </c>
      <c r="AZ25" s="59">
        <f t="shared" si="46"/>
        <v>0</v>
      </c>
      <c r="BA25" s="61">
        <v>115.11988888888889</v>
      </c>
      <c r="BB25" s="59">
        <f t="shared" si="47"/>
        <v>140.44626444444444</v>
      </c>
      <c r="BC25" s="59">
        <f t="shared" si="48"/>
        <v>16853.551733333334</v>
      </c>
      <c r="BD25" s="59"/>
      <c r="BE25" s="59">
        <f t="shared" si="21"/>
        <v>0</v>
      </c>
      <c r="BF25" s="59">
        <f t="shared" si="49"/>
        <v>0</v>
      </c>
      <c r="BG25" s="59"/>
      <c r="BH25" s="59">
        <f t="shared" si="22"/>
        <v>0</v>
      </c>
      <c r="BI25" s="59">
        <f t="shared" si="50"/>
        <v>0</v>
      </c>
      <c r="BJ25" s="59"/>
      <c r="BK25" s="59">
        <f t="shared" si="23"/>
        <v>0</v>
      </c>
      <c r="BL25" s="59">
        <f t="shared" si="51"/>
        <v>0</v>
      </c>
      <c r="BM25" s="59"/>
      <c r="BN25" s="59">
        <f t="shared" ref="BN25:BN79" si="62">ROUND(BM25*1.2,2)</f>
        <v>0</v>
      </c>
      <c r="BO25" s="59">
        <f>BN25*E25</f>
        <v>0</v>
      </c>
      <c r="BP25" s="59"/>
      <c r="BQ25" s="59">
        <f t="shared" si="59"/>
        <v>0</v>
      </c>
      <c r="BR25" s="59">
        <f>BQ25*E25</f>
        <v>0</v>
      </c>
      <c r="BS25" s="59"/>
      <c r="BT25" s="59">
        <f t="shared" si="25"/>
        <v>0</v>
      </c>
      <c r="BU25" s="59">
        <f>BT25*E25</f>
        <v>0</v>
      </c>
      <c r="BV25" s="61">
        <v>115.11988888888889</v>
      </c>
      <c r="BW25" s="59">
        <f t="shared" si="53"/>
        <v>140.44626444444444</v>
      </c>
      <c r="BX25" s="59">
        <f t="shared" si="54"/>
        <v>16853.551733333334</v>
      </c>
      <c r="BY25" s="20">
        <f t="shared" si="55"/>
        <v>116.87744444444445</v>
      </c>
      <c r="BZ25" s="20">
        <f t="shared" si="56"/>
        <v>142.59048222222222</v>
      </c>
      <c r="CA25" s="21">
        <f t="shared" si="57"/>
        <v>14025.293333333335</v>
      </c>
      <c r="CB25" s="21">
        <f t="shared" si="58"/>
        <v>17110.857866666669</v>
      </c>
      <c r="CC25" s="20">
        <f t="shared" si="27"/>
        <v>7012.6466666666674</v>
      </c>
      <c r="CD25" s="20">
        <f t="shared" si="28"/>
        <v>8555.4289333333327</v>
      </c>
      <c r="CE25" s="20">
        <f t="shared" si="29"/>
        <v>7012.6466666666674</v>
      </c>
      <c r="CF25" s="20">
        <f t="shared" si="30"/>
        <v>8555.4289333333327</v>
      </c>
      <c r="CG25" s="20">
        <f t="shared" si="31"/>
        <v>17110.857866666665</v>
      </c>
      <c r="CH25" s="4">
        <f t="shared" si="32"/>
        <v>9</v>
      </c>
      <c r="CI25" s="4">
        <f t="shared" si="33"/>
        <v>3</v>
      </c>
      <c r="CN25" s="35" t="e">
        <f>MIN((H25,K25,N25,Q25,T25,W25,Z25,AC25,AF25,AI25,AL25,AO25,AR25,AU25,AX25,BA25,BD25,BG25,BJ25,BM25,BP25,BS25,BV25,#REF!,#REF!))</f>
        <v>#REF!</v>
      </c>
      <c r="CO25" s="35" t="e">
        <f>MAX((H25,K25,N25,Q25,T25,W25,Z25,AC25,AF25,AI25,AL25,AO25,AR25,AU25,AX25,BA25,BD25,BG25,BJ25,BM25,BP25,BS25,BV25,#REF!,#REF!))</f>
        <v>#REF!</v>
      </c>
      <c r="CP25" s="47" t="e">
        <f t="shared" si="34"/>
        <v>#REF!</v>
      </c>
      <c r="CQ25" s="40"/>
      <c r="CS25" s="4">
        <v>0.2</v>
      </c>
      <c r="CT25" s="4" t="b">
        <f t="shared" si="35"/>
        <v>0</v>
      </c>
      <c r="CU25" s="4">
        <v>0</v>
      </c>
      <c r="CV25" s="4" t="b">
        <f t="shared" si="36"/>
        <v>1</v>
      </c>
      <c r="CW25" s="19">
        <v>0.2</v>
      </c>
      <c r="CZ25" s="4" t="s">
        <v>147</v>
      </c>
    </row>
    <row r="26" spans="1:104" s="4" customFormat="1" ht="142.5" thickBot="1" x14ac:dyDescent="0.3">
      <c r="A26" s="18">
        <v>10</v>
      </c>
      <c r="B26" s="63" t="s">
        <v>60</v>
      </c>
      <c r="C26" s="48" t="s">
        <v>14</v>
      </c>
      <c r="D26" s="107">
        <f t="shared" si="37"/>
        <v>120</v>
      </c>
      <c r="E26" s="107">
        <v>60</v>
      </c>
      <c r="F26" s="107">
        <v>60</v>
      </c>
      <c r="G26" s="19" t="s">
        <v>49</v>
      </c>
      <c r="H26" s="61">
        <v>169.61</v>
      </c>
      <c r="I26" s="59">
        <f t="shared" si="38"/>
        <v>206.92420000000001</v>
      </c>
      <c r="J26" s="59">
        <f t="shared" si="39"/>
        <v>24830.904000000002</v>
      </c>
      <c r="K26" s="59"/>
      <c r="L26" s="59">
        <f t="shared" si="60"/>
        <v>0</v>
      </c>
      <c r="M26" s="59">
        <f t="shared" si="1"/>
        <v>0</v>
      </c>
      <c r="N26" s="59"/>
      <c r="O26" s="59">
        <f t="shared" si="61"/>
        <v>0</v>
      </c>
      <c r="P26" s="59">
        <f t="shared" si="3"/>
        <v>0</v>
      </c>
      <c r="Q26" s="59"/>
      <c r="R26" s="59">
        <f t="shared" si="4"/>
        <v>0</v>
      </c>
      <c r="S26" s="59">
        <f t="shared" si="5"/>
        <v>0</v>
      </c>
      <c r="T26" s="59"/>
      <c r="U26" s="59">
        <f t="shared" si="6"/>
        <v>0</v>
      </c>
      <c r="V26" s="59">
        <f t="shared" si="40"/>
        <v>0</v>
      </c>
      <c r="W26" s="59"/>
      <c r="X26" s="59">
        <f t="shared" si="7"/>
        <v>0</v>
      </c>
      <c r="Y26" s="59">
        <f t="shared" si="41"/>
        <v>0</v>
      </c>
      <c r="Z26" s="59"/>
      <c r="AA26" s="59">
        <f t="shared" si="8"/>
        <v>0</v>
      </c>
      <c r="AB26" s="59">
        <f t="shared" si="42"/>
        <v>0</v>
      </c>
      <c r="AC26" s="59"/>
      <c r="AD26" s="59">
        <f t="shared" si="9"/>
        <v>0</v>
      </c>
      <c r="AE26" s="59">
        <f t="shared" si="10"/>
        <v>0</v>
      </c>
      <c r="AF26" s="59"/>
      <c r="AG26" s="59">
        <f t="shared" si="11"/>
        <v>0</v>
      </c>
      <c r="AH26" s="59">
        <f t="shared" si="12"/>
        <v>0</v>
      </c>
      <c r="AI26" s="59"/>
      <c r="AJ26" s="59">
        <f t="shared" si="13"/>
        <v>0</v>
      </c>
      <c r="AK26" s="59">
        <f t="shared" si="14"/>
        <v>0</v>
      </c>
      <c r="AL26" s="59"/>
      <c r="AM26" s="59">
        <f t="shared" si="15"/>
        <v>0</v>
      </c>
      <c r="AN26" s="59">
        <f t="shared" si="43"/>
        <v>0</v>
      </c>
      <c r="AO26" s="59"/>
      <c r="AP26" s="59">
        <f t="shared" si="16"/>
        <v>0</v>
      </c>
      <c r="AQ26" s="59">
        <f t="shared" si="44"/>
        <v>0</v>
      </c>
      <c r="AR26" s="59"/>
      <c r="AS26" s="59">
        <f t="shared" si="17"/>
        <v>0</v>
      </c>
      <c r="AT26" s="59">
        <f t="shared" si="18"/>
        <v>0</v>
      </c>
      <c r="AU26" s="59"/>
      <c r="AV26" s="59">
        <f t="shared" si="19"/>
        <v>0</v>
      </c>
      <c r="AW26" s="59">
        <f t="shared" si="45"/>
        <v>0</v>
      </c>
      <c r="AX26" s="59"/>
      <c r="AY26" s="59">
        <f t="shared" si="20"/>
        <v>0</v>
      </c>
      <c r="AZ26" s="59">
        <f t="shared" si="46"/>
        <v>0</v>
      </c>
      <c r="BA26" s="61">
        <v>170.95611111111111</v>
      </c>
      <c r="BB26" s="59">
        <f t="shared" si="47"/>
        <v>208.56645555555556</v>
      </c>
      <c r="BC26" s="59">
        <f t="shared" si="48"/>
        <v>25027.974666666669</v>
      </c>
      <c r="BD26" s="59"/>
      <c r="BE26" s="59">
        <f t="shared" si="21"/>
        <v>0</v>
      </c>
      <c r="BF26" s="59">
        <f t="shared" si="49"/>
        <v>0</v>
      </c>
      <c r="BG26" s="59"/>
      <c r="BH26" s="59">
        <f t="shared" si="22"/>
        <v>0</v>
      </c>
      <c r="BI26" s="59">
        <f t="shared" si="50"/>
        <v>0</v>
      </c>
      <c r="BJ26" s="59"/>
      <c r="BK26" s="59">
        <f t="shared" si="23"/>
        <v>0</v>
      </c>
      <c r="BL26" s="59">
        <f t="shared" si="51"/>
        <v>0</v>
      </c>
      <c r="BM26" s="59"/>
      <c r="BN26" s="59">
        <f t="shared" si="62"/>
        <v>0</v>
      </c>
      <c r="BO26" s="59">
        <f>BN26*E26</f>
        <v>0</v>
      </c>
      <c r="BP26" s="59"/>
      <c r="BQ26" s="59">
        <f t="shared" si="59"/>
        <v>0</v>
      </c>
      <c r="BR26" s="59">
        <f>BQ26*E26</f>
        <v>0</v>
      </c>
      <c r="BS26" s="59"/>
      <c r="BT26" s="59">
        <f t="shared" si="25"/>
        <v>0</v>
      </c>
      <c r="BU26" s="59">
        <f>BT26*E26</f>
        <v>0</v>
      </c>
      <c r="BV26" s="61">
        <v>164.22555555555556</v>
      </c>
      <c r="BW26" s="59">
        <f t="shared" si="53"/>
        <v>200.35517777777778</v>
      </c>
      <c r="BX26" s="59">
        <f t="shared" si="54"/>
        <v>24042.621333333333</v>
      </c>
      <c r="BY26" s="20">
        <f t="shared" si="55"/>
        <v>168.26388888888889</v>
      </c>
      <c r="BZ26" s="20">
        <f t="shared" si="56"/>
        <v>205.28194444444443</v>
      </c>
      <c r="CA26" s="21">
        <f t="shared" si="57"/>
        <v>20191.666666666668</v>
      </c>
      <c r="CB26" s="21">
        <f t="shared" si="58"/>
        <v>24633.833333333336</v>
      </c>
      <c r="CC26" s="20">
        <f t="shared" si="27"/>
        <v>10095.833333333334</v>
      </c>
      <c r="CD26" s="20">
        <f t="shared" si="28"/>
        <v>12316.916666666666</v>
      </c>
      <c r="CE26" s="20">
        <f t="shared" si="29"/>
        <v>10095.833333333334</v>
      </c>
      <c r="CF26" s="20">
        <f t="shared" si="30"/>
        <v>12316.916666666666</v>
      </c>
      <c r="CG26" s="20">
        <f t="shared" si="31"/>
        <v>24633.833333333332</v>
      </c>
      <c r="CH26" s="4">
        <f t="shared" si="32"/>
        <v>9</v>
      </c>
      <c r="CI26" s="4">
        <f t="shared" si="33"/>
        <v>3</v>
      </c>
      <c r="CN26" s="35" t="e">
        <f>MIN((H26,K26,N26,Q26,T26,W26,Z26,AC26,AF26,AI26,AL26,AO26,AR26,AU26,AX26,BA26,BD26,BG26,BJ26,BM26,BP26,BS26,BV26,#REF!,#REF!))</f>
        <v>#REF!</v>
      </c>
      <c r="CO26" s="35" t="e">
        <f>MAX((H26,K26,N26,Q26,T26,W26,Z26,AC26,AF26,AI26,AL26,AO26,AR26,AU26,AX26,BA26,BD26,BG26,BJ26,BM26,BP26,BS26,BV26,#REF!,#REF!))</f>
        <v>#REF!</v>
      </c>
      <c r="CP26" s="47" t="e">
        <f t="shared" si="34"/>
        <v>#REF!</v>
      </c>
      <c r="CQ26" s="40"/>
      <c r="CS26" s="4">
        <v>110</v>
      </c>
      <c r="CT26" s="4" t="b">
        <f t="shared" si="35"/>
        <v>0</v>
      </c>
      <c r="CU26" s="4">
        <v>0</v>
      </c>
      <c r="CV26" s="4" t="b">
        <f t="shared" si="36"/>
        <v>1</v>
      </c>
      <c r="CW26" s="19">
        <v>110</v>
      </c>
      <c r="CZ26" s="4" t="s">
        <v>147</v>
      </c>
    </row>
    <row r="27" spans="1:104" s="4" customFormat="1" ht="21" thickBot="1" x14ac:dyDescent="0.3">
      <c r="A27" s="18">
        <v>11</v>
      </c>
      <c r="B27" s="62" t="s">
        <v>61</v>
      </c>
      <c r="C27" s="48" t="s">
        <v>14</v>
      </c>
      <c r="D27" s="107">
        <f t="shared" si="37"/>
        <v>8</v>
      </c>
      <c r="E27" s="107">
        <v>4</v>
      </c>
      <c r="F27" s="107">
        <v>4</v>
      </c>
      <c r="G27" s="60" t="s">
        <v>17</v>
      </c>
      <c r="H27" s="61">
        <v>430.57222222222219</v>
      </c>
      <c r="I27" s="59">
        <f t="shared" si="38"/>
        <v>525.2981111111111</v>
      </c>
      <c r="J27" s="59">
        <f t="shared" si="39"/>
        <v>4202.3848888888888</v>
      </c>
      <c r="K27" s="59"/>
      <c r="L27" s="59">
        <f t="shared" si="60"/>
        <v>0</v>
      </c>
      <c r="M27" s="59">
        <f t="shared" ref="M27:M70" si="63">L27*E27</f>
        <v>0</v>
      </c>
      <c r="N27" s="59"/>
      <c r="O27" s="59">
        <f t="shared" si="61"/>
        <v>0</v>
      </c>
      <c r="P27" s="59">
        <f t="shared" ref="P27:P70" si="64">O27*E27</f>
        <v>0</v>
      </c>
      <c r="Q27" s="59"/>
      <c r="R27" s="59">
        <f t="shared" si="4"/>
        <v>0</v>
      </c>
      <c r="S27" s="59">
        <f t="shared" ref="S27:S70" si="65">R27*E27</f>
        <v>0</v>
      </c>
      <c r="T27" s="59"/>
      <c r="U27" s="59">
        <f t="shared" ref="U27:U70" si="66">T27*1.2</f>
        <v>0</v>
      </c>
      <c r="V27" s="59">
        <f t="shared" si="40"/>
        <v>0</v>
      </c>
      <c r="W27" s="59"/>
      <c r="X27" s="59">
        <f t="shared" ref="X27:X70" si="67">W27*1.2</f>
        <v>0</v>
      </c>
      <c r="Y27" s="59">
        <f t="shared" si="41"/>
        <v>0</v>
      </c>
      <c r="Z27" s="59"/>
      <c r="AA27" s="59">
        <f t="shared" ref="AA27:AA70" si="68">Z27*1.2</f>
        <v>0</v>
      </c>
      <c r="AB27" s="59">
        <f t="shared" si="42"/>
        <v>0</v>
      </c>
      <c r="AC27" s="59"/>
      <c r="AD27" s="59">
        <f t="shared" si="9"/>
        <v>0</v>
      </c>
      <c r="AE27" s="59">
        <f t="shared" ref="AE27:AE70" si="69">AD27*E27</f>
        <v>0</v>
      </c>
      <c r="AF27" s="59"/>
      <c r="AG27" s="59">
        <f t="shared" si="11"/>
        <v>0</v>
      </c>
      <c r="AH27" s="59">
        <f t="shared" ref="AH27:AH70" si="70">AG27*E27</f>
        <v>0</v>
      </c>
      <c r="AI27" s="59"/>
      <c r="AJ27" s="59">
        <f t="shared" si="13"/>
        <v>0</v>
      </c>
      <c r="AK27" s="59">
        <f t="shared" ref="AK27:AK70" si="71">AJ27*E27</f>
        <v>0</v>
      </c>
      <c r="AL27" s="59"/>
      <c r="AM27" s="59">
        <f t="shared" ref="AM27:AM70" si="72">AL27*1.2</f>
        <v>0</v>
      </c>
      <c r="AN27" s="59">
        <f t="shared" si="43"/>
        <v>0</v>
      </c>
      <c r="AO27" s="59"/>
      <c r="AP27" s="59">
        <f t="shared" ref="AP27:AP70" si="73">AO27*1.2</f>
        <v>0</v>
      </c>
      <c r="AQ27" s="59">
        <f t="shared" si="44"/>
        <v>0</v>
      </c>
      <c r="AR27" s="59"/>
      <c r="AS27" s="59">
        <f t="shared" si="17"/>
        <v>0</v>
      </c>
      <c r="AT27" s="59">
        <f t="shared" ref="AT27:AT70" si="74">AS27*E27</f>
        <v>0</v>
      </c>
      <c r="AU27" s="59"/>
      <c r="AV27" s="59">
        <f t="shared" ref="AV27:AV70" si="75">AU27*1.2</f>
        <v>0</v>
      </c>
      <c r="AW27" s="59">
        <f t="shared" si="45"/>
        <v>0</v>
      </c>
      <c r="AX27" s="59"/>
      <c r="AY27" s="59">
        <f t="shared" ref="AY27:AY70" si="76">AX27*1.2</f>
        <v>0</v>
      </c>
      <c r="AZ27" s="59">
        <f t="shared" si="46"/>
        <v>0</v>
      </c>
      <c r="BA27" s="61">
        <v>402.07847222222222</v>
      </c>
      <c r="BB27" s="59">
        <f t="shared" si="47"/>
        <v>490.53573611111108</v>
      </c>
      <c r="BC27" s="59">
        <f t="shared" si="48"/>
        <v>3924.2858888888886</v>
      </c>
      <c r="BD27" s="59"/>
      <c r="BE27" s="59">
        <f t="shared" ref="BE27:BE70" si="77">BD27*1.2</f>
        <v>0</v>
      </c>
      <c r="BF27" s="59">
        <f t="shared" si="49"/>
        <v>0</v>
      </c>
      <c r="BG27" s="59"/>
      <c r="BH27" s="59">
        <f t="shared" ref="BH27:BH70" si="78">BG27*1.2</f>
        <v>0</v>
      </c>
      <c r="BI27" s="59">
        <f t="shared" si="50"/>
        <v>0</v>
      </c>
      <c r="BJ27" s="59"/>
      <c r="BK27" s="59">
        <f t="shared" ref="BK27:BK70" si="79">BJ27*1.2</f>
        <v>0</v>
      </c>
      <c r="BL27" s="59">
        <f t="shared" si="51"/>
        <v>0</v>
      </c>
      <c r="BM27" s="59"/>
      <c r="BN27" s="59">
        <f t="shared" si="62"/>
        <v>0</v>
      </c>
      <c r="BO27" s="59">
        <f t="shared" ref="BO27:BO70" si="80">BN27*E27</f>
        <v>0</v>
      </c>
      <c r="BP27" s="59"/>
      <c r="BQ27" s="59">
        <f t="shared" si="59"/>
        <v>0</v>
      </c>
      <c r="BR27" s="59">
        <f t="shared" ref="BR27:BR70" si="81">BQ27*E27</f>
        <v>0</v>
      </c>
      <c r="BS27" s="59"/>
      <c r="BT27" s="59">
        <f t="shared" si="25"/>
        <v>0</v>
      </c>
      <c r="BU27" s="59">
        <f t="shared" ref="BU27:BU70" si="82">BT27*E27</f>
        <v>0</v>
      </c>
      <c r="BV27" s="61">
        <v>408.41041666666666</v>
      </c>
      <c r="BW27" s="59">
        <f t="shared" si="53"/>
        <v>498.2607083333333</v>
      </c>
      <c r="BX27" s="59">
        <f t="shared" si="54"/>
        <v>3986.0856666666664</v>
      </c>
      <c r="BY27" s="20">
        <f t="shared" si="55"/>
        <v>413.68703703703704</v>
      </c>
      <c r="BZ27" s="20">
        <f t="shared" si="56"/>
        <v>504.6981851851852</v>
      </c>
      <c r="CA27" s="21">
        <f t="shared" si="57"/>
        <v>3309.4962962962964</v>
      </c>
      <c r="CB27" s="21">
        <f t="shared" si="58"/>
        <v>4037.5854814814816</v>
      </c>
      <c r="CC27" s="20">
        <f t="shared" si="27"/>
        <v>1654.7481481481482</v>
      </c>
      <c r="CD27" s="20">
        <f t="shared" si="28"/>
        <v>2018.7927407407408</v>
      </c>
      <c r="CE27" s="20">
        <f t="shared" si="29"/>
        <v>1654.7481481481482</v>
      </c>
      <c r="CF27" s="20">
        <f t="shared" si="30"/>
        <v>2018.7927407407408</v>
      </c>
      <c r="CG27" s="20">
        <f t="shared" ref="CG27:CG70" si="83">CD27+CF27</f>
        <v>4037.5854814814816</v>
      </c>
      <c r="CH27" s="4">
        <f t="shared" si="32"/>
        <v>9</v>
      </c>
      <c r="CI27" s="4">
        <f t="shared" si="33"/>
        <v>3</v>
      </c>
      <c r="CN27" s="35" t="e">
        <f>MIN((H27,K27,N27,Q27,T27,W27,Z27,AC27,AF27,AI27,AL27,AO27,AR27,AU27,AX27,BA27,BD27,BG27,BJ27,BM27,BP27,BS27,BV27,#REF!,#REF!))</f>
        <v>#REF!</v>
      </c>
      <c r="CO27" s="35" t="e">
        <f>MAX((H27,K27,N27,Q27,T27,W27,Z27,AC27,AF27,AI27,AL27,AO27,AR27,AU27,AX27,BA27,BD27,BG27,BJ27,BM27,BP27,BS27,BV27,#REF!,#REF!))</f>
        <v>#REF!</v>
      </c>
      <c r="CP27" s="47" t="e">
        <f t="shared" si="34"/>
        <v>#REF!</v>
      </c>
      <c r="CQ27" s="40"/>
      <c r="CS27" s="4">
        <v>9</v>
      </c>
      <c r="CT27" s="4" t="b">
        <f t="shared" si="35"/>
        <v>0</v>
      </c>
      <c r="CU27" s="4">
        <v>1</v>
      </c>
      <c r="CV27" s="4" t="b">
        <f t="shared" ref="CV27:CV70" si="84">(CS27+CU27)=CW27</f>
        <v>1</v>
      </c>
      <c r="CW27" s="19">
        <v>10</v>
      </c>
      <c r="CZ27" s="4" t="s">
        <v>147</v>
      </c>
    </row>
    <row r="28" spans="1:104" s="4" customFormat="1" ht="61.5" thickBot="1" x14ac:dyDescent="0.3">
      <c r="A28" s="18">
        <v>12</v>
      </c>
      <c r="B28" s="62" t="s">
        <v>62</v>
      </c>
      <c r="C28" s="48" t="s">
        <v>14</v>
      </c>
      <c r="D28" s="107">
        <f t="shared" si="37"/>
        <v>8</v>
      </c>
      <c r="E28" s="107">
        <v>4</v>
      </c>
      <c r="F28" s="107">
        <v>4</v>
      </c>
      <c r="G28" s="60" t="s">
        <v>17</v>
      </c>
      <c r="H28" s="61">
        <v>507.53333333333336</v>
      </c>
      <c r="I28" s="59">
        <f t="shared" si="38"/>
        <v>619.19066666666663</v>
      </c>
      <c r="J28" s="59">
        <f t="shared" si="39"/>
        <v>4953.525333333333</v>
      </c>
      <c r="K28" s="59"/>
      <c r="L28" s="59">
        <f t="shared" si="60"/>
        <v>0</v>
      </c>
      <c r="M28" s="59">
        <f t="shared" si="63"/>
        <v>0</v>
      </c>
      <c r="N28" s="59"/>
      <c r="O28" s="59">
        <f t="shared" si="61"/>
        <v>0</v>
      </c>
      <c r="P28" s="59">
        <f t="shared" si="64"/>
        <v>0</v>
      </c>
      <c r="Q28" s="59"/>
      <c r="R28" s="59">
        <f t="shared" si="4"/>
        <v>0</v>
      </c>
      <c r="S28" s="59">
        <f t="shared" si="65"/>
        <v>0</v>
      </c>
      <c r="T28" s="59"/>
      <c r="U28" s="59">
        <f t="shared" si="66"/>
        <v>0</v>
      </c>
      <c r="V28" s="59">
        <f t="shared" si="40"/>
        <v>0</v>
      </c>
      <c r="W28" s="59"/>
      <c r="X28" s="59">
        <f t="shared" si="67"/>
        <v>0</v>
      </c>
      <c r="Y28" s="59">
        <f t="shared" si="41"/>
        <v>0</v>
      </c>
      <c r="Z28" s="59"/>
      <c r="AA28" s="59">
        <f t="shared" si="68"/>
        <v>0</v>
      </c>
      <c r="AB28" s="59">
        <f t="shared" si="42"/>
        <v>0</v>
      </c>
      <c r="AC28" s="59"/>
      <c r="AD28" s="59">
        <f t="shared" si="9"/>
        <v>0</v>
      </c>
      <c r="AE28" s="59">
        <f t="shared" si="69"/>
        <v>0</v>
      </c>
      <c r="AF28" s="59"/>
      <c r="AG28" s="59">
        <f t="shared" si="11"/>
        <v>0</v>
      </c>
      <c r="AH28" s="59">
        <f t="shared" si="70"/>
        <v>0</v>
      </c>
      <c r="AI28" s="59"/>
      <c r="AJ28" s="59">
        <f t="shared" si="13"/>
        <v>0</v>
      </c>
      <c r="AK28" s="59">
        <f t="shared" si="71"/>
        <v>0</v>
      </c>
      <c r="AL28" s="59"/>
      <c r="AM28" s="59">
        <f t="shared" si="72"/>
        <v>0</v>
      </c>
      <c r="AN28" s="59">
        <f t="shared" si="43"/>
        <v>0</v>
      </c>
      <c r="AO28" s="59"/>
      <c r="AP28" s="59">
        <f t="shared" si="73"/>
        <v>0</v>
      </c>
      <c r="AQ28" s="59">
        <f t="shared" si="44"/>
        <v>0</v>
      </c>
      <c r="AR28" s="59"/>
      <c r="AS28" s="59">
        <f t="shared" si="17"/>
        <v>0</v>
      </c>
      <c r="AT28" s="59">
        <f t="shared" si="74"/>
        <v>0</v>
      </c>
      <c r="AU28" s="59"/>
      <c r="AV28" s="59">
        <f t="shared" si="75"/>
        <v>0</v>
      </c>
      <c r="AW28" s="59">
        <f t="shared" si="45"/>
        <v>0</v>
      </c>
      <c r="AX28" s="59"/>
      <c r="AY28" s="59">
        <f t="shared" si="76"/>
        <v>0</v>
      </c>
      <c r="AZ28" s="59">
        <f t="shared" si="46"/>
        <v>0</v>
      </c>
      <c r="BA28" s="61">
        <v>448.68888888888893</v>
      </c>
      <c r="BB28" s="59">
        <f t="shared" si="47"/>
        <v>547.40044444444447</v>
      </c>
      <c r="BC28" s="59">
        <f t="shared" si="48"/>
        <v>4379.2035555555558</v>
      </c>
      <c r="BD28" s="59"/>
      <c r="BE28" s="59">
        <f t="shared" si="77"/>
        <v>0</v>
      </c>
      <c r="BF28" s="59">
        <f t="shared" si="49"/>
        <v>0</v>
      </c>
      <c r="BG28" s="59"/>
      <c r="BH28" s="59">
        <f t="shared" si="78"/>
        <v>0</v>
      </c>
      <c r="BI28" s="59">
        <f t="shared" si="50"/>
        <v>0</v>
      </c>
      <c r="BJ28" s="59"/>
      <c r="BK28" s="59">
        <f t="shared" si="79"/>
        <v>0</v>
      </c>
      <c r="BL28" s="59">
        <f t="shared" si="51"/>
        <v>0</v>
      </c>
      <c r="BM28" s="59"/>
      <c r="BN28" s="59">
        <f t="shared" si="62"/>
        <v>0</v>
      </c>
      <c r="BO28" s="59">
        <f t="shared" si="80"/>
        <v>0</v>
      </c>
      <c r="BP28" s="59"/>
      <c r="BQ28" s="59">
        <f t="shared" si="59"/>
        <v>0</v>
      </c>
      <c r="BR28" s="59">
        <f t="shared" si="81"/>
        <v>0</v>
      </c>
      <c r="BS28" s="59"/>
      <c r="BT28" s="59">
        <f t="shared" si="25"/>
        <v>0</v>
      </c>
      <c r="BU28" s="59">
        <f t="shared" si="82"/>
        <v>0</v>
      </c>
      <c r="BV28" s="61">
        <v>485.46666666666675</v>
      </c>
      <c r="BW28" s="59">
        <f t="shared" si="53"/>
        <v>592.26933333333341</v>
      </c>
      <c r="BX28" s="59">
        <f t="shared" si="54"/>
        <v>4738.1546666666673</v>
      </c>
      <c r="BY28" s="20">
        <f t="shared" si="55"/>
        <v>480.56296296296301</v>
      </c>
      <c r="BZ28" s="20">
        <f t="shared" si="56"/>
        <v>586.28681481481487</v>
      </c>
      <c r="CA28" s="21">
        <f t="shared" si="57"/>
        <v>3844.5037037037041</v>
      </c>
      <c r="CB28" s="21">
        <f t="shared" si="58"/>
        <v>4690.294518518519</v>
      </c>
      <c r="CC28" s="20">
        <f t="shared" si="27"/>
        <v>1922.2518518518521</v>
      </c>
      <c r="CD28" s="20">
        <f t="shared" si="28"/>
        <v>2345.1472592592595</v>
      </c>
      <c r="CE28" s="20">
        <f t="shared" si="29"/>
        <v>1922.2518518518521</v>
      </c>
      <c r="CF28" s="20">
        <f t="shared" si="30"/>
        <v>2345.1472592592595</v>
      </c>
      <c r="CG28" s="20">
        <f t="shared" si="83"/>
        <v>4690.294518518519</v>
      </c>
      <c r="CH28" s="4">
        <f t="shared" si="32"/>
        <v>9</v>
      </c>
      <c r="CI28" s="4">
        <f t="shared" si="33"/>
        <v>3</v>
      </c>
      <c r="CN28" s="35" t="e">
        <f>MIN((H28,K28,N28,Q28,T28,W28,Z28,AC28,AF28,AI28,AL28,AO28,AR28,AU28,AX28,BA28,BD28,BG28,BJ28,BM28,BP28,BS28,BV28,#REF!,#REF!))</f>
        <v>#REF!</v>
      </c>
      <c r="CO28" s="35" t="e">
        <f>MAX((H28,K28,N28,Q28,T28,W28,Z28,AC28,AF28,AI28,AL28,AO28,AR28,AU28,AX28,BA28,BD28,BG28,BJ28,BM28,BP28,BS28,BV28,#REF!,#REF!))</f>
        <v>#REF!</v>
      </c>
      <c r="CP28" s="47" t="e">
        <f t="shared" si="34"/>
        <v>#REF!</v>
      </c>
      <c r="CQ28" s="40"/>
      <c r="CS28" s="4">
        <v>0.05</v>
      </c>
      <c r="CT28" s="4" t="b">
        <f t="shared" si="35"/>
        <v>0</v>
      </c>
      <c r="CU28" s="4">
        <v>0</v>
      </c>
      <c r="CV28" s="4" t="b">
        <f t="shared" si="84"/>
        <v>1</v>
      </c>
      <c r="CW28" s="19">
        <v>0.05</v>
      </c>
      <c r="CZ28" s="4" t="s">
        <v>147</v>
      </c>
    </row>
    <row r="29" spans="1:104" s="4" customFormat="1" ht="61.5" thickBot="1" x14ac:dyDescent="0.3">
      <c r="A29" s="18">
        <v>13</v>
      </c>
      <c r="B29" s="62" t="s">
        <v>63</v>
      </c>
      <c r="C29" s="48" t="s">
        <v>14</v>
      </c>
      <c r="D29" s="107">
        <f t="shared" si="37"/>
        <v>8</v>
      </c>
      <c r="E29" s="107">
        <v>4</v>
      </c>
      <c r="F29" s="107">
        <v>4</v>
      </c>
      <c r="G29" s="60" t="s">
        <v>17</v>
      </c>
      <c r="H29" s="61">
        <v>287.28888888888889</v>
      </c>
      <c r="I29" s="59">
        <f t="shared" si="38"/>
        <v>350.49244444444446</v>
      </c>
      <c r="J29" s="59">
        <f t="shared" si="39"/>
        <v>2803.9395555555557</v>
      </c>
      <c r="K29" s="59"/>
      <c r="L29" s="59">
        <f t="shared" si="60"/>
        <v>0</v>
      </c>
      <c r="M29" s="59">
        <f t="shared" si="63"/>
        <v>0</v>
      </c>
      <c r="N29" s="59"/>
      <c r="O29" s="59">
        <f t="shared" si="61"/>
        <v>0</v>
      </c>
      <c r="P29" s="59">
        <f t="shared" si="64"/>
        <v>0</v>
      </c>
      <c r="Q29" s="59"/>
      <c r="R29" s="59">
        <f t="shared" si="4"/>
        <v>0</v>
      </c>
      <c r="S29" s="59">
        <f t="shared" si="65"/>
        <v>0</v>
      </c>
      <c r="T29" s="59"/>
      <c r="U29" s="59">
        <f t="shared" si="66"/>
        <v>0</v>
      </c>
      <c r="V29" s="59">
        <f t="shared" si="40"/>
        <v>0</v>
      </c>
      <c r="W29" s="59"/>
      <c r="X29" s="59">
        <f t="shared" si="67"/>
        <v>0</v>
      </c>
      <c r="Y29" s="59">
        <f t="shared" si="41"/>
        <v>0</v>
      </c>
      <c r="Z29" s="59"/>
      <c r="AA29" s="59">
        <f t="shared" si="68"/>
        <v>0</v>
      </c>
      <c r="AB29" s="59">
        <f t="shared" si="42"/>
        <v>0</v>
      </c>
      <c r="AC29" s="59"/>
      <c r="AD29" s="59">
        <f t="shared" si="9"/>
        <v>0</v>
      </c>
      <c r="AE29" s="59">
        <f t="shared" si="69"/>
        <v>0</v>
      </c>
      <c r="AF29" s="59"/>
      <c r="AG29" s="59">
        <f t="shared" si="11"/>
        <v>0</v>
      </c>
      <c r="AH29" s="59">
        <f t="shared" si="70"/>
        <v>0</v>
      </c>
      <c r="AI29" s="59"/>
      <c r="AJ29" s="59">
        <f t="shared" si="13"/>
        <v>0</v>
      </c>
      <c r="AK29" s="59">
        <f t="shared" si="71"/>
        <v>0</v>
      </c>
      <c r="AL29" s="59"/>
      <c r="AM29" s="59">
        <f t="shared" si="72"/>
        <v>0</v>
      </c>
      <c r="AN29" s="59">
        <f t="shared" si="43"/>
        <v>0</v>
      </c>
      <c r="AO29" s="59"/>
      <c r="AP29" s="59">
        <f t="shared" si="73"/>
        <v>0</v>
      </c>
      <c r="AQ29" s="59">
        <f t="shared" si="44"/>
        <v>0</v>
      </c>
      <c r="AR29" s="59"/>
      <c r="AS29" s="59">
        <f t="shared" si="17"/>
        <v>0</v>
      </c>
      <c r="AT29" s="59">
        <f t="shared" si="74"/>
        <v>0</v>
      </c>
      <c r="AU29" s="59"/>
      <c r="AV29" s="59">
        <f t="shared" si="75"/>
        <v>0</v>
      </c>
      <c r="AW29" s="59">
        <f t="shared" si="45"/>
        <v>0</v>
      </c>
      <c r="AX29" s="59"/>
      <c r="AY29" s="59">
        <f t="shared" si="76"/>
        <v>0</v>
      </c>
      <c r="AZ29" s="59">
        <f t="shared" si="46"/>
        <v>0</v>
      </c>
      <c r="BA29" s="61">
        <v>309.73333333333335</v>
      </c>
      <c r="BB29" s="59">
        <f t="shared" si="47"/>
        <v>377.87466666666666</v>
      </c>
      <c r="BC29" s="59">
        <f t="shared" si="48"/>
        <v>3022.9973333333332</v>
      </c>
      <c r="BD29" s="59"/>
      <c r="BE29" s="59">
        <f t="shared" si="77"/>
        <v>0</v>
      </c>
      <c r="BF29" s="59">
        <f t="shared" si="49"/>
        <v>0</v>
      </c>
      <c r="BG29" s="59"/>
      <c r="BH29" s="59">
        <f t="shared" si="78"/>
        <v>0</v>
      </c>
      <c r="BI29" s="59">
        <f t="shared" si="50"/>
        <v>0</v>
      </c>
      <c r="BJ29" s="59"/>
      <c r="BK29" s="59">
        <f t="shared" si="79"/>
        <v>0</v>
      </c>
      <c r="BL29" s="59">
        <f t="shared" si="51"/>
        <v>0</v>
      </c>
      <c r="BM29" s="59"/>
      <c r="BN29" s="59">
        <f t="shared" si="62"/>
        <v>0</v>
      </c>
      <c r="BO29" s="59">
        <f t="shared" si="80"/>
        <v>0</v>
      </c>
      <c r="BP29" s="59"/>
      <c r="BQ29" s="59">
        <f t="shared" si="59"/>
        <v>0</v>
      </c>
      <c r="BR29" s="59">
        <f t="shared" si="81"/>
        <v>0</v>
      </c>
      <c r="BS29" s="59"/>
      <c r="BT29" s="59">
        <f t="shared" si="25"/>
        <v>0</v>
      </c>
      <c r="BU29" s="59">
        <f t="shared" si="82"/>
        <v>0</v>
      </c>
      <c r="BV29" s="61">
        <v>307.48888888888894</v>
      </c>
      <c r="BW29" s="59">
        <f t="shared" si="53"/>
        <v>375.13644444444452</v>
      </c>
      <c r="BX29" s="59">
        <f t="shared" si="54"/>
        <v>3001.0915555555562</v>
      </c>
      <c r="BY29" s="20">
        <f t="shared" si="55"/>
        <v>301.50370370370371</v>
      </c>
      <c r="BZ29" s="20">
        <f t="shared" si="56"/>
        <v>367.83451851851851</v>
      </c>
      <c r="CA29" s="21">
        <f t="shared" si="57"/>
        <v>2412.0296296296297</v>
      </c>
      <c r="CB29" s="21">
        <f t="shared" si="58"/>
        <v>2942.6761481481481</v>
      </c>
      <c r="CC29" s="20">
        <f t="shared" si="27"/>
        <v>1206.0148148148148</v>
      </c>
      <c r="CD29" s="20">
        <f t="shared" si="28"/>
        <v>1471.338074074074</v>
      </c>
      <c r="CE29" s="20">
        <f t="shared" si="29"/>
        <v>1206.0148148148148</v>
      </c>
      <c r="CF29" s="20">
        <f t="shared" si="30"/>
        <v>1471.338074074074</v>
      </c>
      <c r="CG29" s="20">
        <f t="shared" si="83"/>
        <v>2942.6761481481481</v>
      </c>
      <c r="CH29" s="4">
        <f t="shared" si="32"/>
        <v>9</v>
      </c>
      <c r="CI29" s="4">
        <f t="shared" si="33"/>
        <v>3</v>
      </c>
      <c r="CN29" s="35" t="e">
        <f>MIN((H29,K29,N29,Q29,T29,W29,Z29,AC29,AF29,AI29,AL29,AO29,AR29,AU29,AX29,BA29,BD29,BG29,BJ29,BM29,BP29,BS29,BV29,#REF!,#REF!))</f>
        <v>#REF!</v>
      </c>
      <c r="CO29" s="35" t="e">
        <f>MAX((H29,K29,N29,Q29,T29,W29,Z29,AC29,AF29,AI29,AL29,AO29,AR29,AU29,AX29,BA29,BD29,BG29,BJ29,BM29,BP29,BS29,BV29,#REF!,#REF!))</f>
        <v>#REF!</v>
      </c>
      <c r="CP29" s="47" t="e">
        <f t="shared" si="34"/>
        <v>#REF!</v>
      </c>
      <c r="CQ29" s="40"/>
      <c r="CS29" s="4">
        <v>12</v>
      </c>
      <c r="CT29" s="4" t="b">
        <f t="shared" si="35"/>
        <v>0</v>
      </c>
      <c r="CU29" s="4">
        <v>2</v>
      </c>
      <c r="CV29" s="4" t="b">
        <f t="shared" si="84"/>
        <v>1</v>
      </c>
      <c r="CW29" s="19">
        <v>14</v>
      </c>
      <c r="CZ29" s="4" t="s">
        <v>147</v>
      </c>
    </row>
    <row r="30" spans="1:104" s="4" customFormat="1" ht="21" thickBot="1" x14ac:dyDescent="0.3">
      <c r="A30" s="18">
        <v>14</v>
      </c>
      <c r="B30" s="62" t="s">
        <v>64</v>
      </c>
      <c r="C30" s="48" t="s">
        <v>14</v>
      </c>
      <c r="D30" s="107">
        <f t="shared" si="37"/>
        <v>8</v>
      </c>
      <c r="E30" s="107">
        <v>4</v>
      </c>
      <c r="F30" s="107">
        <v>4</v>
      </c>
      <c r="G30" s="60" t="s">
        <v>17</v>
      </c>
      <c r="H30" s="61">
        <v>391.76666666666665</v>
      </c>
      <c r="I30" s="59">
        <f t="shared" si="38"/>
        <v>477.95533333333333</v>
      </c>
      <c r="J30" s="59">
        <f t="shared" si="39"/>
        <v>3823.6426666666666</v>
      </c>
      <c r="K30" s="59"/>
      <c r="L30" s="59">
        <f t="shared" si="60"/>
        <v>0</v>
      </c>
      <c r="M30" s="59">
        <f t="shared" si="63"/>
        <v>0</v>
      </c>
      <c r="N30" s="59"/>
      <c r="O30" s="59">
        <f t="shared" si="61"/>
        <v>0</v>
      </c>
      <c r="P30" s="59">
        <f t="shared" si="64"/>
        <v>0</v>
      </c>
      <c r="Q30" s="59"/>
      <c r="R30" s="59">
        <f t="shared" si="4"/>
        <v>0</v>
      </c>
      <c r="S30" s="59">
        <f t="shared" si="65"/>
        <v>0</v>
      </c>
      <c r="T30" s="59"/>
      <c r="U30" s="59">
        <f t="shared" si="66"/>
        <v>0</v>
      </c>
      <c r="V30" s="59">
        <f t="shared" si="40"/>
        <v>0</v>
      </c>
      <c r="W30" s="59"/>
      <c r="X30" s="59">
        <f t="shared" si="67"/>
        <v>0</v>
      </c>
      <c r="Y30" s="59">
        <f t="shared" si="41"/>
        <v>0</v>
      </c>
      <c r="Z30" s="59"/>
      <c r="AA30" s="59">
        <f t="shared" si="68"/>
        <v>0</v>
      </c>
      <c r="AB30" s="59">
        <f t="shared" si="42"/>
        <v>0</v>
      </c>
      <c r="AC30" s="59"/>
      <c r="AD30" s="59">
        <f t="shared" si="9"/>
        <v>0</v>
      </c>
      <c r="AE30" s="59">
        <f t="shared" si="69"/>
        <v>0</v>
      </c>
      <c r="AF30" s="59"/>
      <c r="AG30" s="59">
        <f t="shared" si="11"/>
        <v>0</v>
      </c>
      <c r="AH30" s="59">
        <f t="shared" si="70"/>
        <v>0</v>
      </c>
      <c r="AI30" s="59"/>
      <c r="AJ30" s="59">
        <f t="shared" si="13"/>
        <v>0</v>
      </c>
      <c r="AK30" s="59">
        <f t="shared" si="71"/>
        <v>0</v>
      </c>
      <c r="AL30" s="59"/>
      <c r="AM30" s="59">
        <f t="shared" si="72"/>
        <v>0</v>
      </c>
      <c r="AN30" s="59">
        <f t="shared" si="43"/>
        <v>0</v>
      </c>
      <c r="AO30" s="59"/>
      <c r="AP30" s="59">
        <f t="shared" si="73"/>
        <v>0</v>
      </c>
      <c r="AQ30" s="59">
        <f t="shared" si="44"/>
        <v>0</v>
      </c>
      <c r="AR30" s="59"/>
      <c r="AS30" s="59">
        <f t="shared" si="17"/>
        <v>0</v>
      </c>
      <c r="AT30" s="59">
        <f t="shared" si="74"/>
        <v>0</v>
      </c>
      <c r="AU30" s="59"/>
      <c r="AV30" s="59">
        <f t="shared" si="75"/>
        <v>0</v>
      </c>
      <c r="AW30" s="59">
        <f t="shared" si="45"/>
        <v>0</v>
      </c>
      <c r="AX30" s="59"/>
      <c r="AY30" s="59">
        <f t="shared" si="76"/>
        <v>0</v>
      </c>
      <c r="AZ30" s="59">
        <f t="shared" si="46"/>
        <v>0</v>
      </c>
      <c r="BA30" s="61">
        <v>386.0888888888889</v>
      </c>
      <c r="BB30" s="59">
        <f t="shared" si="47"/>
        <v>471.02844444444446</v>
      </c>
      <c r="BC30" s="59">
        <f t="shared" si="48"/>
        <v>3768.2275555555557</v>
      </c>
      <c r="BD30" s="59"/>
      <c r="BE30" s="59">
        <f t="shared" si="77"/>
        <v>0</v>
      </c>
      <c r="BF30" s="59">
        <f t="shared" si="49"/>
        <v>0</v>
      </c>
      <c r="BG30" s="59"/>
      <c r="BH30" s="59">
        <f t="shared" si="78"/>
        <v>0</v>
      </c>
      <c r="BI30" s="59">
        <f t="shared" si="50"/>
        <v>0</v>
      </c>
      <c r="BJ30" s="59"/>
      <c r="BK30" s="59">
        <f t="shared" si="79"/>
        <v>0</v>
      </c>
      <c r="BL30" s="59">
        <f t="shared" si="51"/>
        <v>0</v>
      </c>
      <c r="BM30" s="59"/>
      <c r="BN30" s="59">
        <f t="shared" si="62"/>
        <v>0</v>
      </c>
      <c r="BO30" s="59">
        <f t="shared" si="80"/>
        <v>0</v>
      </c>
      <c r="BP30" s="59"/>
      <c r="BQ30" s="59">
        <f t="shared" si="59"/>
        <v>0</v>
      </c>
      <c r="BR30" s="59">
        <f t="shared" si="81"/>
        <v>0</v>
      </c>
      <c r="BS30" s="59"/>
      <c r="BT30" s="59">
        <f t="shared" si="25"/>
        <v>0</v>
      </c>
      <c r="BU30" s="59">
        <f t="shared" si="82"/>
        <v>0</v>
      </c>
      <c r="BV30" s="61">
        <v>383.25000000000006</v>
      </c>
      <c r="BW30" s="59">
        <f t="shared" si="53"/>
        <v>467.56500000000005</v>
      </c>
      <c r="BX30" s="59">
        <f t="shared" si="54"/>
        <v>3740.5200000000004</v>
      </c>
      <c r="BY30" s="20">
        <f t="shared" si="55"/>
        <v>387.03518518518518</v>
      </c>
      <c r="BZ30" s="20">
        <f t="shared" si="56"/>
        <v>472.18292592592593</v>
      </c>
      <c r="CA30" s="21">
        <f t="shared" si="57"/>
        <v>3096.2814814814815</v>
      </c>
      <c r="CB30" s="21">
        <f t="shared" si="58"/>
        <v>3777.4634074074074</v>
      </c>
      <c r="CC30" s="20">
        <f t="shared" si="27"/>
        <v>1548.1407407407407</v>
      </c>
      <c r="CD30" s="20">
        <f t="shared" si="28"/>
        <v>1888.7317037037037</v>
      </c>
      <c r="CE30" s="20">
        <f t="shared" si="29"/>
        <v>1548.1407407407407</v>
      </c>
      <c r="CF30" s="20">
        <f t="shared" si="30"/>
        <v>1888.7317037037037</v>
      </c>
      <c r="CG30" s="20">
        <f t="shared" si="83"/>
        <v>3777.4634074074074</v>
      </c>
      <c r="CH30" s="4">
        <f t="shared" si="32"/>
        <v>9</v>
      </c>
      <c r="CI30" s="4">
        <f t="shared" si="33"/>
        <v>3</v>
      </c>
      <c r="CN30" s="35" t="e">
        <f>MIN((H30,K30,N30,Q30,T30,W30,Z30,AC30,AF30,AI30,AL30,AO30,AR30,AU30,AX30,BA30,BD30,BG30,BJ30,BM30,BP30,BS30,BV30,#REF!,#REF!))</f>
        <v>#REF!</v>
      </c>
      <c r="CO30" s="35" t="e">
        <f>MAX((H30,K30,N30,Q30,T30,W30,Z30,AC30,AF30,AI30,AL30,AO30,AR30,AU30,AX30,BA30,BD30,BG30,BJ30,BM30,BP30,BS30,BV30,#REF!,#REF!))</f>
        <v>#REF!</v>
      </c>
      <c r="CP30" s="47" t="e">
        <f t="shared" si="34"/>
        <v>#REF!</v>
      </c>
      <c r="CQ30" s="40"/>
      <c r="CS30" s="4">
        <v>0.15000000000000002</v>
      </c>
      <c r="CT30" s="4" t="b">
        <f t="shared" si="35"/>
        <v>0</v>
      </c>
      <c r="CU30" s="4">
        <v>0</v>
      </c>
      <c r="CV30" s="4" t="b">
        <f t="shared" si="84"/>
        <v>1</v>
      </c>
      <c r="CW30" s="19">
        <v>0.15000000000000002</v>
      </c>
      <c r="CZ30" s="4" t="s">
        <v>147</v>
      </c>
    </row>
    <row r="31" spans="1:104" s="4" customFormat="1" ht="41.25" thickBot="1" x14ac:dyDescent="0.3">
      <c r="A31" s="18">
        <v>15</v>
      </c>
      <c r="B31" s="62" t="s">
        <v>65</v>
      </c>
      <c r="C31" s="48" t="s">
        <v>14</v>
      </c>
      <c r="D31" s="107">
        <f t="shared" si="37"/>
        <v>8</v>
      </c>
      <c r="E31" s="107">
        <v>4</v>
      </c>
      <c r="F31" s="107">
        <v>4</v>
      </c>
      <c r="G31" s="60" t="s">
        <v>17</v>
      </c>
      <c r="H31" s="61">
        <v>672.1</v>
      </c>
      <c r="I31" s="59">
        <f t="shared" si="38"/>
        <v>819.96199999999999</v>
      </c>
      <c r="J31" s="59">
        <f t="shared" si="39"/>
        <v>6559.6959999999999</v>
      </c>
      <c r="K31" s="59"/>
      <c r="L31" s="59">
        <f t="shared" si="60"/>
        <v>0</v>
      </c>
      <c r="M31" s="59">
        <f t="shared" si="63"/>
        <v>0</v>
      </c>
      <c r="N31" s="59"/>
      <c r="O31" s="59">
        <f t="shared" si="61"/>
        <v>0</v>
      </c>
      <c r="P31" s="59">
        <f t="shared" si="64"/>
        <v>0</v>
      </c>
      <c r="Q31" s="59"/>
      <c r="R31" s="59">
        <f t="shared" si="4"/>
        <v>0</v>
      </c>
      <c r="S31" s="59">
        <f t="shared" si="65"/>
        <v>0</v>
      </c>
      <c r="T31" s="59"/>
      <c r="U31" s="59">
        <f t="shared" si="66"/>
        <v>0</v>
      </c>
      <c r="V31" s="59">
        <f t="shared" si="40"/>
        <v>0</v>
      </c>
      <c r="W31" s="59"/>
      <c r="X31" s="59">
        <f t="shared" si="67"/>
        <v>0</v>
      </c>
      <c r="Y31" s="59">
        <f t="shared" si="41"/>
        <v>0</v>
      </c>
      <c r="Z31" s="59"/>
      <c r="AA31" s="59">
        <f t="shared" si="68"/>
        <v>0</v>
      </c>
      <c r="AB31" s="59">
        <f t="shared" si="42"/>
        <v>0</v>
      </c>
      <c r="AC31" s="59"/>
      <c r="AD31" s="59">
        <f t="shared" si="9"/>
        <v>0</v>
      </c>
      <c r="AE31" s="59">
        <f t="shared" si="69"/>
        <v>0</v>
      </c>
      <c r="AF31" s="59"/>
      <c r="AG31" s="59">
        <f t="shared" si="11"/>
        <v>0</v>
      </c>
      <c r="AH31" s="59">
        <f t="shared" si="70"/>
        <v>0</v>
      </c>
      <c r="AI31" s="59"/>
      <c r="AJ31" s="59">
        <f t="shared" si="13"/>
        <v>0</v>
      </c>
      <c r="AK31" s="59">
        <f t="shared" si="71"/>
        <v>0</v>
      </c>
      <c r="AL31" s="59"/>
      <c r="AM31" s="59">
        <f t="shared" si="72"/>
        <v>0</v>
      </c>
      <c r="AN31" s="59">
        <f t="shared" si="43"/>
        <v>0</v>
      </c>
      <c r="AO31" s="59"/>
      <c r="AP31" s="59">
        <f t="shared" si="73"/>
        <v>0</v>
      </c>
      <c r="AQ31" s="59">
        <f t="shared" si="44"/>
        <v>0</v>
      </c>
      <c r="AR31" s="59"/>
      <c r="AS31" s="59">
        <f t="shared" si="17"/>
        <v>0</v>
      </c>
      <c r="AT31" s="59">
        <f t="shared" si="74"/>
        <v>0</v>
      </c>
      <c r="AU31" s="59"/>
      <c r="AV31" s="59">
        <f t="shared" si="75"/>
        <v>0</v>
      </c>
      <c r="AW31" s="59">
        <f t="shared" si="45"/>
        <v>0</v>
      </c>
      <c r="AX31" s="59"/>
      <c r="AY31" s="59">
        <f t="shared" si="76"/>
        <v>0</v>
      </c>
      <c r="AZ31" s="59">
        <f t="shared" si="46"/>
        <v>0</v>
      </c>
      <c r="BA31" s="61">
        <v>646.64166666666665</v>
      </c>
      <c r="BB31" s="59">
        <f t="shared" si="47"/>
        <v>788.90283333333332</v>
      </c>
      <c r="BC31" s="59">
        <f t="shared" si="48"/>
        <v>6311.2226666666666</v>
      </c>
      <c r="BD31" s="59"/>
      <c r="BE31" s="59">
        <f t="shared" si="77"/>
        <v>0</v>
      </c>
      <c r="BF31" s="59">
        <f t="shared" si="49"/>
        <v>0</v>
      </c>
      <c r="BG31" s="59"/>
      <c r="BH31" s="59">
        <f t="shared" si="78"/>
        <v>0</v>
      </c>
      <c r="BI31" s="59">
        <f t="shared" si="50"/>
        <v>0</v>
      </c>
      <c r="BJ31" s="59"/>
      <c r="BK31" s="59">
        <f t="shared" si="79"/>
        <v>0</v>
      </c>
      <c r="BL31" s="59">
        <f t="shared" si="51"/>
        <v>0</v>
      </c>
      <c r="BM31" s="59"/>
      <c r="BN31" s="59">
        <f t="shared" si="62"/>
        <v>0</v>
      </c>
      <c r="BO31" s="59">
        <f t="shared" si="80"/>
        <v>0</v>
      </c>
      <c r="BP31" s="59"/>
      <c r="BQ31" s="59">
        <f t="shared" si="59"/>
        <v>0</v>
      </c>
      <c r="BR31" s="59">
        <f t="shared" si="81"/>
        <v>0</v>
      </c>
      <c r="BS31" s="59"/>
      <c r="BT31" s="59">
        <f t="shared" si="25"/>
        <v>0</v>
      </c>
      <c r="BU31" s="59">
        <f t="shared" si="82"/>
        <v>0</v>
      </c>
      <c r="BV31" s="61">
        <v>641.55000000000007</v>
      </c>
      <c r="BW31" s="59">
        <f t="shared" si="53"/>
        <v>782.69100000000003</v>
      </c>
      <c r="BX31" s="59">
        <f t="shared" si="54"/>
        <v>6261.5280000000002</v>
      </c>
      <c r="BY31" s="20">
        <f t="shared" si="55"/>
        <v>653.43055555555566</v>
      </c>
      <c r="BZ31" s="20">
        <f t="shared" si="56"/>
        <v>797.18527777777786</v>
      </c>
      <c r="CA31" s="21">
        <f t="shared" si="57"/>
        <v>5227.4444444444453</v>
      </c>
      <c r="CB31" s="21">
        <f t="shared" si="58"/>
        <v>6377.4822222222228</v>
      </c>
      <c r="CC31" s="20">
        <f t="shared" si="27"/>
        <v>2613.7222222222226</v>
      </c>
      <c r="CD31" s="20">
        <f t="shared" si="28"/>
        <v>3188.7411111111114</v>
      </c>
      <c r="CE31" s="20">
        <f t="shared" si="29"/>
        <v>2613.7222222222226</v>
      </c>
      <c r="CF31" s="20">
        <f t="shared" si="30"/>
        <v>3188.7411111111114</v>
      </c>
      <c r="CG31" s="20">
        <f t="shared" si="83"/>
        <v>6377.4822222222228</v>
      </c>
      <c r="CH31" s="4">
        <f t="shared" si="32"/>
        <v>9</v>
      </c>
      <c r="CI31" s="4">
        <f t="shared" si="33"/>
        <v>3</v>
      </c>
      <c r="CN31" s="35" t="e">
        <f>MIN((H31,K31,N31,Q31,T31,W31,Z31,AC31,AF31,AI31,AL31,AO31,AR31,AU31,AX31,BA31,BD31,BG31,BJ31,BM31,BP31,BS31,BV31,#REF!,#REF!))</f>
        <v>#REF!</v>
      </c>
      <c r="CO31" s="35" t="e">
        <f>MAX((H31,K31,N31,Q31,T31,W31,Z31,AC31,AF31,AI31,AL31,AO31,AR31,AU31,AX31,BA31,BD31,BG31,BJ31,BM31,BP31,BS31,BV31,#REF!,#REF!))</f>
        <v>#REF!</v>
      </c>
      <c r="CP31" s="47" t="e">
        <f t="shared" si="34"/>
        <v>#REF!</v>
      </c>
      <c r="CQ31" s="40"/>
      <c r="CS31" s="4">
        <v>2.5000000000000001E-2</v>
      </c>
      <c r="CT31" s="4" t="b">
        <f t="shared" si="35"/>
        <v>0</v>
      </c>
      <c r="CU31" s="4">
        <v>0</v>
      </c>
      <c r="CV31" s="4" t="b">
        <f t="shared" si="84"/>
        <v>1</v>
      </c>
      <c r="CW31" s="19">
        <v>2.5000000000000001E-2</v>
      </c>
      <c r="CZ31" s="4" t="s">
        <v>147</v>
      </c>
    </row>
    <row r="32" spans="1:104" s="4" customFormat="1" ht="61.5" thickBot="1" x14ac:dyDescent="0.3">
      <c r="A32" s="18">
        <v>16</v>
      </c>
      <c r="B32" s="62" t="s">
        <v>66</v>
      </c>
      <c r="C32" s="48" t="s">
        <v>14</v>
      </c>
      <c r="D32" s="107">
        <f t="shared" si="37"/>
        <v>8</v>
      </c>
      <c r="E32" s="107">
        <v>4</v>
      </c>
      <c r="F32" s="107">
        <v>4</v>
      </c>
      <c r="G32" s="60" t="s">
        <v>17</v>
      </c>
      <c r="H32" s="61">
        <v>487.90000000000003</v>
      </c>
      <c r="I32" s="59">
        <f t="shared" si="38"/>
        <v>595.23800000000006</v>
      </c>
      <c r="J32" s="59">
        <f t="shared" si="39"/>
        <v>4761.9040000000005</v>
      </c>
      <c r="K32" s="59"/>
      <c r="L32" s="59">
        <f t="shared" si="60"/>
        <v>0</v>
      </c>
      <c r="M32" s="59">
        <f t="shared" si="63"/>
        <v>0</v>
      </c>
      <c r="N32" s="59"/>
      <c r="O32" s="59">
        <f t="shared" si="61"/>
        <v>0</v>
      </c>
      <c r="P32" s="59">
        <f t="shared" si="64"/>
        <v>0</v>
      </c>
      <c r="Q32" s="59"/>
      <c r="R32" s="59">
        <f t="shared" si="4"/>
        <v>0</v>
      </c>
      <c r="S32" s="59">
        <f t="shared" si="65"/>
        <v>0</v>
      </c>
      <c r="T32" s="59"/>
      <c r="U32" s="59">
        <f t="shared" si="66"/>
        <v>0</v>
      </c>
      <c r="V32" s="59">
        <f t="shared" si="40"/>
        <v>0</v>
      </c>
      <c r="W32" s="59"/>
      <c r="X32" s="59">
        <f t="shared" si="67"/>
        <v>0</v>
      </c>
      <c r="Y32" s="59">
        <f t="shared" si="41"/>
        <v>0</v>
      </c>
      <c r="Z32" s="59"/>
      <c r="AA32" s="59">
        <f t="shared" si="68"/>
        <v>0</v>
      </c>
      <c r="AB32" s="59">
        <f t="shared" si="42"/>
        <v>0</v>
      </c>
      <c r="AC32" s="59"/>
      <c r="AD32" s="59">
        <f t="shared" si="9"/>
        <v>0</v>
      </c>
      <c r="AE32" s="59">
        <f t="shared" si="69"/>
        <v>0</v>
      </c>
      <c r="AF32" s="59"/>
      <c r="AG32" s="59">
        <f t="shared" si="11"/>
        <v>0</v>
      </c>
      <c r="AH32" s="59">
        <f t="shared" si="70"/>
        <v>0</v>
      </c>
      <c r="AI32" s="59"/>
      <c r="AJ32" s="59">
        <f t="shared" si="13"/>
        <v>0</v>
      </c>
      <c r="AK32" s="59">
        <f t="shared" si="71"/>
        <v>0</v>
      </c>
      <c r="AL32" s="59"/>
      <c r="AM32" s="59">
        <f t="shared" si="72"/>
        <v>0</v>
      </c>
      <c r="AN32" s="59">
        <f t="shared" si="43"/>
        <v>0</v>
      </c>
      <c r="AO32" s="59"/>
      <c r="AP32" s="59">
        <f t="shared" si="73"/>
        <v>0</v>
      </c>
      <c r="AQ32" s="59">
        <f t="shared" si="44"/>
        <v>0</v>
      </c>
      <c r="AR32" s="59"/>
      <c r="AS32" s="59">
        <f t="shared" si="17"/>
        <v>0</v>
      </c>
      <c r="AT32" s="59">
        <f t="shared" si="74"/>
        <v>0</v>
      </c>
      <c r="AU32" s="59"/>
      <c r="AV32" s="59">
        <f t="shared" si="75"/>
        <v>0</v>
      </c>
      <c r="AW32" s="59">
        <f t="shared" si="45"/>
        <v>0</v>
      </c>
      <c r="AX32" s="59"/>
      <c r="AY32" s="59">
        <f t="shared" si="76"/>
        <v>0</v>
      </c>
      <c r="AZ32" s="59">
        <f t="shared" si="46"/>
        <v>0</v>
      </c>
      <c r="BA32" s="61">
        <v>491.77222222222224</v>
      </c>
      <c r="BB32" s="59">
        <f t="shared" si="47"/>
        <v>599.96211111111108</v>
      </c>
      <c r="BC32" s="59">
        <f t="shared" si="48"/>
        <v>4799.6968888888887</v>
      </c>
      <c r="BD32" s="59"/>
      <c r="BE32" s="59">
        <f t="shared" si="77"/>
        <v>0</v>
      </c>
      <c r="BF32" s="59">
        <f t="shared" si="49"/>
        <v>0</v>
      </c>
      <c r="BG32" s="59"/>
      <c r="BH32" s="59">
        <f t="shared" si="78"/>
        <v>0</v>
      </c>
      <c r="BI32" s="59">
        <f t="shared" si="50"/>
        <v>0</v>
      </c>
      <c r="BJ32" s="59"/>
      <c r="BK32" s="59">
        <f t="shared" si="79"/>
        <v>0</v>
      </c>
      <c r="BL32" s="59">
        <f t="shared" si="51"/>
        <v>0</v>
      </c>
      <c r="BM32" s="59"/>
      <c r="BN32" s="59">
        <f t="shared" si="62"/>
        <v>0</v>
      </c>
      <c r="BO32" s="59">
        <f t="shared" si="80"/>
        <v>0</v>
      </c>
      <c r="BP32" s="59"/>
      <c r="BQ32" s="59">
        <f t="shared" si="59"/>
        <v>0</v>
      </c>
      <c r="BR32" s="59">
        <f t="shared" si="81"/>
        <v>0</v>
      </c>
      <c r="BS32" s="59"/>
      <c r="BT32" s="59">
        <f t="shared" si="25"/>
        <v>0</v>
      </c>
      <c r="BU32" s="59">
        <f t="shared" si="82"/>
        <v>0</v>
      </c>
      <c r="BV32" s="61">
        <v>503.38888888888891</v>
      </c>
      <c r="BW32" s="59">
        <f t="shared" si="53"/>
        <v>614.13444444444451</v>
      </c>
      <c r="BX32" s="59">
        <f t="shared" si="54"/>
        <v>4913.0755555555561</v>
      </c>
      <c r="BY32" s="20">
        <f t="shared" si="55"/>
        <v>494.35370370370373</v>
      </c>
      <c r="BZ32" s="20">
        <f t="shared" si="56"/>
        <v>603.11151851851855</v>
      </c>
      <c r="CA32" s="21">
        <f t="shared" si="57"/>
        <v>3954.8296296296298</v>
      </c>
      <c r="CB32" s="21">
        <f t="shared" si="58"/>
        <v>4824.8921481481484</v>
      </c>
      <c r="CC32" s="20">
        <f t="shared" si="27"/>
        <v>1977.4148148148149</v>
      </c>
      <c r="CD32" s="20">
        <f t="shared" si="28"/>
        <v>2412.4460740740742</v>
      </c>
      <c r="CE32" s="20">
        <f t="shared" si="29"/>
        <v>1977.4148148148149</v>
      </c>
      <c r="CF32" s="20">
        <f t="shared" si="30"/>
        <v>2412.4460740740742</v>
      </c>
      <c r="CG32" s="20">
        <f t="shared" si="83"/>
        <v>4824.8921481481484</v>
      </c>
      <c r="CH32" s="4">
        <f t="shared" si="32"/>
        <v>9</v>
      </c>
      <c r="CI32" s="4">
        <f t="shared" si="33"/>
        <v>3</v>
      </c>
      <c r="CN32" s="35" t="e">
        <f>MIN((H32,K32,N32,Q32,T32,W32,Z32,AC32,AF32,AI32,AL32,AO32,AR32,AU32,AX32,BA32,BD32,BG32,BJ32,BM32,BP32,BS32,BV32,#REF!,#REF!))</f>
        <v>#REF!</v>
      </c>
      <c r="CO32" s="35" t="e">
        <f>MAX((H32,K32,N32,Q32,T32,W32,Z32,AC32,AF32,AI32,AL32,AO32,AR32,AU32,AX32,BA32,BD32,BG32,BJ32,BM32,BP32,BS32,BV32,#REF!,#REF!))</f>
        <v>#REF!</v>
      </c>
      <c r="CP32" s="47" t="e">
        <f t="shared" si="34"/>
        <v>#REF!</v>
      </c>
      <c r="CQ32" s="40"/>
      <c r="CS32" s="4">
        <v>0.97</v>
      </c>
      <c r="CT32" s="4" t="b">
        <f t="shared" si="35"/>
        <v>0</v>
      </c>
      <c r="CU32" s="4">
        <v>0.97</v>
      </c>
      <c r="CV32" s="4" t="b">
        <f t="shared" si="84"/>
        <v>1</v>
      </c>
      <c r="CW32" s="19">
        <v>1.94</v>
      </c>
      <c r="CZ32" s="4" t="s">
        <v>147</v>
      </c>
    </row>
    <row r="33" spans="1:104" s="4" customFormat="1" ht="61.5" thickBot="1" x14ac:dyDescent="0.3">
      <c r="A33" s="18">
        <v>17</v>
      </c>
      <c r="B33" s="63" t="s">
        <v>67</v>
      </c>
      <c r="C33" s="48" t="s">
        <v>14</v>
      </c>
      <c r="D33" s="107">
        <f t="shared" si="37"/>
        <v>8</v>
      </c>
      <c r="E33" s="107">
        <v>4</v>
      </c>
      <c r="F33" s="107">
        <v>4</v>
      </c>
      <c r="G33" s="19" t="s">
        <v>17</v>
      </c>
      <c r="H33" s="61">
        <v>492.74588888888889</v>
      </c>
      <c r="I33" s="59">
        <f t="shared" si="38"/>
        <v>601.14998444444439</v>
      </c>
      <c r="J33" s="59">
        <f t="shared" si="39"/>
        <v>4809.1998755555551</v>
      </c>
      <c r="K33" s="59"/>
      <c r="L33" s="59">
        <f t="shared" si="60"/>
        <v>0</v>
      </c>
      <c r="M33" s="59">
        <f t="shared" si="63"/>
        <v>0</v>
      </c>
      <c r="N33" s="59"/>
      <c r="O33" s="59">
        <f t="shared" si="61"/>
        <v>0</v>
      </c>
      <c r="P33" s="59">
        <f t="shared" si="64"/>
        <v>0</v>
      </c>
      <c r="Q33" s="59"/>
      <c r="R33" s="59">
        <f t="shared" si="4"/>
        <v>0</v>
      </c>
      <c r="S33" s="59">
        <f t="shared" si="65"/>
        <v>0</v>
      </c>
      <c r="T33" s="59"/>
      <c r="U33" s="59">
        <f t="shared" si="66"/>
        <v>0</v>
      </c>
      <c r="V33" s="59">
        <f t="shared" si="40"/>
        <v>0</v>
      </c>
      <c r="W33" s="59"/>
      <c r="X33" s="59">
        <f t="shared" si="67"/>
        <v>0</v>
      </c>
      <c r="Y33" s="59">
        <f t="shared" si="41"/>
        <v>0</v>
      </c>
      <c r="Z33" s="59"/>
      <c r="AA33" s="59">
        <f t="shared" si="68"/>
        <v>0</v>
      </c>
      <c r="AB33" s="59">
        <f t="shared" si="42"/>
        <v>0</v>
      </c>
      <c r="AC33" s="59"/>
      <c r="AD33" s="59">
        <f t="shared" si="9"/>
        <v>0</v>
      </c>
      <c r="AE33" s="59">
        <f t="shared" si="69"/>
        <v>0</v>
      </c>
      <c r="AF33" s="59"/>
      <c r="AG33" s="59">
        <f t="shared" si="11"/>
        <v>0</v>
      </c>
      <c r="AH33" s="59">
        <f t="shared" si="70"/>
        <v>0</v>
      </c>
      <c r="AI33" s="59"/>
      <c r="AJ33" s="59">
        <f t="shared" si="13"/>
        <v>0</v>
      </c>
      <c r="AK33" s="59">
        <f t="shared" si="71"/>
        <v>0</v>
      </c>
      <c r="AL33" s="59"/>
      <c r="AM33" s="59">
        <f t="shared" si="72"/>
        <v>0</v>
      </c>
      <c r="AN33" s="59">
        <f t="shared" si="43"/>
        <v>0</v>
      </c>
      <c r="AO33" s="59"/>
      <c r="AP33" s="59">
        <f t="shared" si="73"/>
        <v>0</v>
      </c>
      <c r="AQ33" s="59">
        <f t="shared" si="44"/>
        <v>0</v>
      </c>
      <c r="AR33" s="59"/>
      <c r="AS33" s="59">
        <f t="shared" si="17"/>
        <v>0</v>
      </c>
      <c r="AT33" s="59">
        <f t="shared" si="74"/>
        <v>0</v>
      </c>
      <c r="AU33" s="59"/>
      <c r="AV33" s="59">
        <f t="shared" si="75"/>
        <v>0</v>
      </c>
      <c r="AW33" s="59">
        <f t="shared" si="45"/>
        <v>0</v>
      </c>
      <c r="AX33" s="59"/>
      <c r="AY33" s="59">
        <f t="shared" si="76"/>
        <v>0</v>
      </c>
      <c r="AZ33" s="59">
        <f t="shared" si="46"/>
        <v>0</v>
      </c>
      <c r="BA33" s="61">
        <v>477.22633333333334</v>
      </c>
      <c r="BB33" s="59">
        <f t="shared" si="47"/>
        <v>582.2161266666667</v>
      </c>
      <c r="BC33" s="59">
        <f t="shared" si="48"/>
        <v>4657.7290133333336</v>
      </c>
      <c r="BD33" s="59"/>
      <c r="BE33" s="59">
        <f t="shared" si="77"/>
        <v>0</v>
      </c>
      <c r="BF33" s="59">
        <f t="shared" si="49"/>
        <v>0</v>
      </c>
      <c r="BG33" s="59"/>
      <c r="BH33" s="59">
        <f t="shared" si="78"/>
        <v>0</v>
      </c>
      <c r="BI33" s="59">
        <f t="shared" si="50"/>
        <v>0</v>
      </c>
      <c r="BJ33" s="59"/>
      <c r="BK33" s="59">
        <f t="shared" si="79"/>
        <v>0</v>
      </c>
      <c r="BL33" s="59">
        <f t="shared" si="51"/>
        <v>0</v>
      </c>
      <c r="BM33" s="59"/>
      <c r="BN33" s="59">
        <f t="shared" si="62"/>
        <v>0</v>
      </c>
      <c r="BO33" s="59">
        <f t="shared" si="80"/>
        <v>0</v>
      </c>
      <c r="BP33" s="59"/>
      <c r="BQ33" s="59">
        <f t="shared" si="59"/>
        <v>0</v>
      </c>
      <c r="BR33" s="59">
        <f t="shared" si="81"/>
        <v>0</v>
      </c>
      <c r="BS33" s="59"/>
      <c r="BT33" s="59">
        <f t="shared" si="25"/>
        <v>0</v>
      </c>
      <c r="BU33" s="59">
        <f t="shared" si="82"/>
        <v>0</v>
      </c>
      <c r="BV33" s="61">
        <v>519.90511111111118</v>
      </c>
      <c r="BW33" s="59">
        <f t="shared" si="53"/>
        <v>634.2842355555556</v>
      </c>
      <c r="BX33" s="59">
        <f t="shared" si="54"/>
        <v>5074.2738844444448</v>
      </c>
      <c r="BY33" s="20">
        <f t="shared" si="55"/>
        <v>496.62577777777778</v>
      </c>
      <c r="BZ33" s="20">
        <f t="shared" si="56"/>
        <v>605.88344888888889</v>
      </c>
      <c r="CA33" s="21">
        <f t="shared" si="57"/>
        <v>3973.0062222222223</v>
      </c>
      <c r="CB33" s="21">
        <f t="shared" si="58"/>
        <v>4847.0675911111111</v>
      </c>
      <c r="CC33" s="20">
        <f t="shared" si="27"/>
        <v>1986.5031111111111</v>
      </c>
      <c r="CD33" s="20">
        <f t="shared" si="28"/>
        <v>2423.5337955555556</v>
      </c>
      <c r="CE33" s="20">
        <f t="shared" si="29"/>
        <v>1986.5031111111111</v>
      </c>
      <c r="CF33" s="20">
        <f t="shared" si="30"/>
        <v>2423.5337955555556</v>
      </c>
      <c r="CG33" s="20">
        <f t="shared" si="83"/>
        <v>4847.0675911111111</v>
      </c>
      <c r="CH33" s="4">
        <f t="shared" si="32"/>
        <v>9</v>
      </c>
      <c r="CI33" s="4">
        <f t="shared" si="33"/>
        <v>3</v>
      </c>
      <c r="CN33" s="35" t="e">
        <f>MIN((H33,K33,N33,Q33,T33,W33,Z33,AC33,AF33,AI33,AL33,AO33,AR33,AU33,AX33,BA33,BD33,BG33,BJ33,BM33,BP33,BS33,BV33,#REF!,#REF!))</f>
        <v>#REF!</v>
      </c>
      <c r="CO33" s="35" t="e">
        <f>MAX((H33,K33,N33,Q33,T33,W33,Z33,AC33,AF33,AI33,AL33,AO33,AR33,AU33,AX33,BA33,BD33,BG33,BJ33,BM33,BP33,BS33,BV33,#REF!,#REF!))</f>
        <v>#REF!</v>
      </c>
      <c r="CP33" s="47" t="e">
        <f t="shared" si="34"/>
        <v>#REF!</v>
      </c>
      <c r="CQ33" s="40" t="e">
        <f>CN33*1.3</f>
        <v>#REF!</v>
      </c>
      <c r="CS33" s="4">
        <v>10</v>
      </c>
      <c r="CT33" s="4" t="b">
        <f t="shared" si="35"/>
        <v>0</v>
      </c>
      <c r="CU33" s="4">
        <v>0</v>
      </c>
      <c r="CV33" s="4" t="b">
        <f t="shared" si="84"/>
        <v>1</v>
      </c>
      <c r="CW33" s="19">
        <v>10</v>
      </c>
      <c r="CZ33" s="4" t="s">
        <v>147</v>
      </c>
    </row>
    <row r="34" spans="1:104" s="4" customFormat="1" ht="81.75" thickBot="1" x14ac:dyDescent="0.3">
      <c r="A34" s="18">
        <v>18</v>
      </c>
      <c r="B34" s="62" t="s">
        <v>68</v>
      </c>
      <c r="C34" s="48" t="s">
        <v>14</v>
      </c>
      <c r="D34" s="107">
        <f t="shared" si="37"/>
        <v>8</v>
      </c>
      <c r="E34" s="107">
        <v>4</v>
      </c>
      <c r="F34" s="107">
        <v>4</v>
      </c>
      <c r="G34" s="60" t="s">
        <v>17</v>
      </c>
      <c r="H34" s="61">
        <v>545.74166666666679</v>
      </c>
      <c r="I34" s="59">
        <f t="shared" si="38"/>
        <v>665.80483333333348</v>
      </c>
      <c r="J34" s="59">
        <f t="shared" si="39"/>
        <v>5326.4386666666678</v>
      </c>
      <c r="K34" s="59"/>
      <c r="L34" s="59">
        <f t="shared" si="60"/>
        <v>0</v>
      </c>
      <c r="M34" s="59">
        <f t="shared" si="63"/>
        <v>0</v>
      </c>
      <c r="N34" s="59"/>
      <c r="O34" s="59">
        <f t="shared" si="61"/>
        <v>0</v>
      </c>
      <c r="P34" s="59">
        <f t="shared" si="64"/>
        <v>0</v>
      </c>
      <c r="Q34" s="59"/>
      <c r="R34" s="59">
        <f t="shared" si="4"/>
        <v>0</v>
      </c>
      <c r="S34" s="59">
        <f t="shared" si="65"/>
        <v>0</v>
      </c>
      <c r="T34" s="59"/>
      <c r="U34" s="59">
        <f t="shared" si="66"/>
        <v>0</v>
      </c>
      <c r="V34" s="59">
        <f t="shared" si="40"/>
        <v>0</v>
      </c>
      <c r="W34" s="59"/>
      <c r="X34" s="59">
        <f t="shared" si="67"/>
        <v>0</v>
      </c>
      <c r="Y34" s="59">
        <f t="shared" si="41"/>
        <v>0</v>
      </c>
      <c r="Z34" s="59"/>
      <c r="AA34" s="59">
        <f t="shared" si="68"/>
        <v>0</v>
      </c>
      <c r="AB34" s="59">
        <f t="shared" si="42"/>
        <v>0</v>
      </c>
      <c r="AC34" s="59"/>
      <c r="AD34" s="59">
        <f t="shared" si="9"/>
        <v>0</v>
      </c>
      <c r="AE34" s="59">
        <f t="shared" si="69"/>
        <v>0</v>
      </c>
      <c r="AF34" s="59"/>
      <c r="AG34" s="59">
        <f t="shared" si="11"/>
        <v>0</v>
      </c>
      <c r="AH34" s="59">
        <f t="shared" si="70"/>
        <v>0</v>
      </c>
      <c r="AI34" s="59"/>
      <c r="AJ34" s="59">
        <f t="shared" si="13"/>
        <v>0</v>
      </c>
      <c r="AK34" s="59">
        <f t="shared" si="71"/>
        <v>0</v>
      </c>
      <c r="AL34" s="59"/>
      <c r="AM34" s="59">
        <f t="shared" si="72"/>
        <v>0</v>
      </c>
      <c r="AN34" s="59">
        <f t="shared" si="43"/>
        <v>0</v>
      </c>
      <c r="AO34" s="59"/>
      <c r="AP34" s="59">
        <f t="shared" si="73"/>
        <v>0</v>
      </c>
      <c r="AQ34" s="59">
        <f t="shared" si="44"/>
        <v>0</v>
      </c>
      <c r="AR34" s="59"/>
      <c r="AS34" s="59">
        <f t="shared" si="17"/>
        <v>0</v>
      </c>
      <c r="AT34" s="59">
        <f t="shared" si="74"/>
        <v>0</v>
      </c>
      <c r="AU34" s="59"/>
      <c r="AV34" s="59">
        <f t="shared" si="75"/>
        <v>0</v>
      </c>
      <c r="AW34" s="59">
        <f t="shared" si="45"/>
        <v>0</v>
      </c>
      <c r="AX34" s="59"/>
      <c r="AY34" s="59">
        <f t="shared" si="76"/>
        <v>0</v>
      </c>
      <c r="AZ34" s="59">
        <f t="shared" si="46"/>
        <v>0</v>
      </c>
      <c r="BA34" s="61">
        <v>566.8944444444445</v>
      </c>
      <c r="BB34" s="59">
        <f t="shared" si="47"/>
        <v>691.6112222222223</v>
      </c>
      <c r="BC34" s="59">
        <f t="shared" si="48"/>
        <v>5532.8897777777784</v>
      </c>
      <c r="BD34" s="59"/>
      <c r="BE34" s="59">
        <f t="shared" si="77"/>
        <v>0</v>
      </c>
      <c r="BF34" s="59">
        <f t="shared" si="49"/>
        <v>0</v>
      </c>
      <c r="BG34" s="59"/>
      <c r="BH34" s="59">
        <f t="shared" si="78"/>
        <v>0</v>
      </c>
      <c r="BI34" s="59">
        <f t="shared" si="50"/>
        <v>0</v>
      </c>
      <c r="BJ34" s="59"/>
      <c r="BK34" s="59">
        <f t="shared" si="79"/>
        <v>0</v>
      </c>
      <c r="BL34" s="59">
        <f t="shared" si="51"/>
        <v>0</v>
      </c>
      <c r="BM34" s="59"/>
      <c r="BN34" s="59">
        <f t="shared" si="62"/>
        <v>0</v>
      </c>
      <c r="BO34" s="59">
        <f t="shared" si="80"/>
        <v>0</v>
      </c>
      <c r="BP34" s="59"/>
      <c r="BQ34" s="59">
        <f t="shared" si="59"/>
        <v>0</v>
      </c>
      <c r="BR34" s="59">
        <f t="shared" si="81"/>
        <v>0</v>
      </c>
      <c r="BS34" s="59"/>
      <c r="BT34" s="59">
        <f t="shared" si="25"/>
        <v>0</v>
      </c>
      <c r="BU34" s="59">
        <f t="shared" si="82"/>
        <v>0</v>
      </c>
      <c r="BV34" s="61">
        <v>562.66388888888901</v>
      </c>
      <c r="BW34" s="59">
        <f t="shared" si="53"/>
        <v>686.44994444444455</v>
      </c>
      <c r="BX34" s="59">
        <f t="shared" si="54"/>
        <v>5491.5995555555564</v>
      </c>
      <c r="BY34" s="20">
        <f t="shared" si="55"/>
        <v>558.43333333333351</v>
      </c>
      <c r="BZ34" s="20">
        <f t="shared" si="56"/>
        <v>681.28866666666681</v>
      </c>
      <c r="CA34" s="21">
        <f t="shared" si="57"/>
        <v>4467.4666666666681</v>
      </c>
      <c r="CB34" s="21">
        <f t="shared" si="58"/>
        <v>5450.3093333333345</v>
      </c>
      <c r="CC34" s="20">
        <f t="shared" si="27"/>
        <v>2233.733333333334</v>
      </c>
      <c r="CD34" s="20">
        <f t="shared" si="28"/>
        <v>2725.1546666666673</v>
      </c>
      <c r="CE34" s="20">
        <f t="shared" si="29"/>
        <v>2233.733333333334</v>
      </c>
      <c r="CF34" s="20">
        <f t="shared" si="30"/>
        <v>2725.1546666666673</v>
      </c>
      <c r="CG34" s="20">
        <f t="shared" si="83"/>
        <v>5450.3093333333345</v>
      </c>
      <c r="CH34" s="4">
        <f t="shared" si="32"/>
        <v>9</v>
      </c>
      <c r="CI34" s="4">
        <f t="shared" si="33"/>
        <v>3</v>
      </c>
      <c r="CN34" s="35" t="e">
        <f>MIN((H34,K34,N34,Q34,T34,W34,Z34,AC34,AF34,AI34,AL34,AO34,AR34,AU34,AX34,BA34,BD34,BG34,BJ34,BM34,BP34,BS34,BV34,#REF!,#REF!))</f>
        <v>#REF!</v>
      </c>
      <c r="CO34" s="35" t="e">
        <f>MAX((H34,K34,N34,Q34,T34,W34,Z34,AC34,AF34,AI34,AL34,AO34,AR34,AU34,AX34,BA34,BD34,BG34,BJ34,BM34,BP34,BS34,BV34,#REF!,#REF!))</f>
        <v>#REF!</v>
      </c>
      <c r="CP34" s="47" t="e">
        <f t="shared" si="34"/>
        <v>#REF!</v>
      </c>
      <c r="CQ34" s="40"/>
      <c r="CS34" s="4">
        <v>2.5000000000000001E-2</v>
      </c>
      <c r="CT34" s="4" t="b">
        <f t="shared" si="35"/>
        <v>0</v>
      </c>
      <c r="CU34" s="4">
        <v>0</v>
      </c>
      <c r="CV34" s="4" t="b">
        <f t="shared" si="84"/>
        <v>1</v>
      </c>
      <c r="CW34" s="19">
        <v>2.5000000000000001E-2</v>
      </c>
      <c r="CZ34" s="4" t="s">
        <v>147</v>
      </c>
    </row>
    <row r="35" spans="1:104" s="4" customFormat="1" ht="61.5" thickBot="1" x14ac:dyDescent="0.3">
      <c r="A35" s="18">
        <v>19</v>
      </c>
      <c r="B35" s="62" t="s">
        <v>69</v>
      </c>
      <c r="C35" s="48" t="s">
        <v>14</v>
      </c>
      <c r="D35" s="107">
        <f t="shared" si="37"/>
        <v>8</v>
      </c>
      <c r="E35" s="107">
        <v>4</v>
      </c>
      <c r="F35" s="107">
        <v>4</v>
      </c>
      <c r="G35" s="60" t="s">
        <v>17</v>
      </c>
      <c r="H35" s="61">
        <v>641.61666666666667</v>
      </c>
      <c r="I35" s="59">
        <f t="shared" si="38"/>
        <v>782.77233333333334</v>
      </c>
      <c r="J35" s="59">
        <f t="shared" si="39"/>
        <v>6262.1786666666667</v>
      </c>
      <c r="K35" s="59"/>
      <c r="L35" s="59">
        <f t="shared" si="60"/>
        <v>0</v>
      </c>
      <c r="M35" s="59">
        <f t="shared" si="63"/>
        <v>0</v>
      </c>
      <c r="N35" s="59"/>
      <c r="O35" s="59">
        <f t="shared" si="61"/>
        <v>0</v>
      </c>
      <c r="P35" s="59">
        <f t="shared" si="64"/>
        <v>0</v>
      </c>
      <c r="Q35" s="59"/>
      <c r="R35" s="59">
        <f t="shared" si="4"/>
        <v>0</v>
      </c>
      <c r="S35" s="59">
        <f t="shared" si="65"/>
        <v>0</v>
      </c>
      <c r="T35" s="59"/>
      <c r="U35" s="59">
        <f t="shared" si="66"/>
        <v>0</v>
      </c>
      <c r="V35" s="59">
        <f t="shared" si="40"/>
        <v>0</v>
      </c>
      <c r="W35" s="59"/>
      <c r="X35" s="59">
        <f t="shared" si="67"/>
        <v>0</v>
      </c>
      <c r="Y35" s="59">
        <f t="shared" si="41"/>
        <v>0</v>
      </c>
      <c r="Z35" s="59"/>
      <c r="AA35" s="59">
        <f t="shared" si="68"/>
        <v>0</v>
      </c>
      <c r="AB35" s="59">
        <f t="shared" si="42"/>
        <v>0</v>
      </c>
      <c r="AC35" s="59"/>
      <c r="AD35" s="59">
        <f t="shared" si="9"/>
        <v>0</v>
      </c>
      <c r="AE35" s="59">
        <f t="shared" si="69"/>
        <v>0</v>
      </c>
      <c r="AF35" s="59"/>
      <c r="AG35" s="59">
        <f t="shared" si="11"/>
        <v>0</v>
      </c>
      <c r="AH35" s="59">
        <f t="shared" si="70"/>
        <v>0</v>
      </c>
      <c r="AI35" s="59"/>
      <c r="AJ35" s="59">
        <f t="shared" si="13"/>
        <v>0</v>
      </c>
      <c r="AK35" s="59">
        <f t="shared" si="71"/>
        <v>0</v>
      </c>
      <c r="AL35" s="59"/>
      <c r="AM35" s="59">
        <f t="shared" si="72"/>
        <v>0</v>
      </c>
      <c r="AN35" s="59">
        <f t="shared" si="43"/>
        <v>0</v>
      </c>
      <c r="AO35" s="59"/>
      <c r="AP35" s="59">
        <f t="shared" si="73"/>
        <v>0</v>
      </c>
      <c r="AQ35" s="59">
        <f t="shared" si="44"/>
        <v>0</v>
      </c>
      <c r="AR35" s="59"/>
      <c r="AS35" s="59">
        <f t="shared" si="17"/>
        <v>0</v>
      </c>
      <c r="AT35" s="59">
        <f t="shared" si="74"/>
        <v>0</v>
      </c>
      <c r="AU35" s="59"/>
      <c r="AV35" s="59">
        <f t="shared" si="75"/>
        <v>0</v>
      </c>
      <c r="AW35" s="59">
        <f t="shared" si="45"/>
        <v>0</v>
      </c>
      <c r="AX35" s="59"/>
      <c r="AY35" s="59">
        <f t="shared" si="76"/>
        <v>0</v>
      </c>
      <c r="AZ35" s="59">
        <f t="shared" si="46"/>
        <v>0</v>
      </c>
      <c r="BA35" s="61">
        <v>646.29999999999995</v>
      </c>
      <c r="BB35" s="59">
        <f t="shared" si="47"/>
        <v>788.48599999999988</v>
      </c>
      <c r="BC35" s="59">
        <f t="shared" si="48"/>
        <v>6307.887999999999</v>
      </c>
      <c r="BD35" s="59"/>
      <c r="BE35" s="59">
        <f t="shared" si="77"/>
        <v>0</v>
      </c>
      <c r="BF35" s="59">
        <f t="shared" si="49"/>
        <v>0</v>
      </c>
      <c r="BG35" s="59"/>
      <c r="BH35" s="59">
        <f t="shared" si="78"/>
        <v>0</v>
      </c>
      <c r="BI35" s="59">
        <f t="shared" si="50"/>
        <v>0</v>
      </c>
      <c r="BJ35" s="59"/>
      <c r="BK35" s="59">
        <f t="shared" si="79"/>
        <v>0</v>
      </c>
      <c r="BL35" s="59">
        <f t="shared" si="51"/>
        <v>0</v>
      </c>
      <c r="BM35" s="59"/>
      <c r="BN35" s="59">
        <f t="shared" si="62"/>
        <v>0</v>
      </c>
      <c r="BO35" s="59">
        <f t="shared" si="80"/>
        <v>0</v>
      </c>
      <c r="BP35" s="59"/>
      <c r="BQ35" s="59">
        <f t="shared" si="59"/>
        <v>0</v>
      </c>
      <c r="BR35" s="59">
        <f t="shared" si="81"/>
        <v>0</v>
      </c>
      <c r="BS35" s="59"/>
      <c r="BT35" s="59">
        <f t="shared" si="25"/>
        <v>0</v>
      </c>
      <c r="BU35" s="59">
        <f t="shared" si="82"/>
        <v>0</v>
      </c>
      <c r="BV35" s="61">
        <v>632.25</v>
      </c>
      <c r="BW35" s="59">
        <f t="shared" si="53"/>
        <v>771.34500000000003</v>
      </c>
      <c r="BX35" s="59">
        <f t="shared" si="54"/>
        <v>6170.76</v>
      </c>
      <c r="BY35" s="20">
        <f t="shared" si="55"/>
        <v>640.05555555555554</v>
      </c>
      <c r="BZ35" s="20">
        <f t="shared" si="56"/>
        <v>780.86777777777775</v>
      </c>
      <c r="CA35" s="21">
        <f t="shared" si="57"/>
        <v>5120.4444444444443</v>
      </c>
      <c r="CB35" s="21">
        <f t="shared" si="58"/>
        <v>6246.942222222222</v>
      </c>
      <c r="CC35" s="20">
        <f t="shared" si="27"/>
        <v>2560.2222222222222</v>
      </c>
      <c r="CD35" s="20">
        <f t="shared" si="28"/>
        <v>3123.471111111111</v>
      </c>
      <c r="CE35" s="20">
        <f t="shared" si="29"/>
        <v>2560.2222222222222</v>
      </c>
      <c r="CF35" s="20">
        <f t="shared" si="30"/>
        <v>3123.471111111111</v>
      </c>
      <c r="CG35" s="20">
        <f t="shared" si="83"/>
        <v>6246.942222222222</v>
      </c>
      <c r="CH35" s="4">
        <f t="shared" si="32"/>
        <v>9</v>
      </c>
      <c r="CI35" s="4">
        <f t="shared" si="33"/>
        <v>3</v>
      </c>
      <c r="CN35" s="35" t="e">
        <f>MIN((H35,K35,N35,Q35,T35,W35,Z35,AC35,AF35,AI35,AL35,AO35,AR35,AU35,AX35,BA35,BD35,BG35,BJ35,BM35,BP35,BS35,BV35,#REF!,#REF!))</f>
        <v>#REF!</v>
      </c>
      <c r="CO35" s="35" t="e">
        <f>MAX((H35,K35,N35,Q35,T35,W35,Z35,AC35,AF35,AI35,AL35,AO35,AR35,AU35,AX35,BA35,BD35,BG35,BJ35,BM35,BP35,BS35,BV35,#REF!,#REF!))</f>
        <v>#REF!</v>
      </c>
      <c r="CP35" s="47" t="e">
        <f t="shared" si="34"/>
        <v>#REF!</v>
      </c>
      <c r="CQ35" s="40"/>
      <c r="CS35" s="4">
        <v>0.17499999999999999</v>
      </c>
      <c r="CT35" s="4" t="b">
        <f t="shared" si="35"/>
        <v>0</v>
      </c>
      <c r="CU35" s="4">
        <v>2.5000000000000001E-2</v>
      </c>
      <c r="CV35" s="4" t="b">
        <f t="shared" si="84"/>
        <v>1</v>
      </c>
      <c r="CW35" s="19">
        <v>0.2</v>
      </c>
      <c r="CZ35" s="4" t="s">
        <v>147</v>
      </c>
    </row>
    <row r="36" spans="1:104" s="4" customFormat="1" ht="61.5" thickBot="1" x14ac:dyDescent="0.3">
      <c r="A36" s="18">
        <v>20</v>
      </c>
      <c r="B36" s="62" t="s">
        <v>70</v>
      </c>
      <c r="C36" s="48" t="s">
        <v>14</v>
      </c>
      <c r="D36" s="107">
        <f t="shared" si="37"/>
        <v>8</v>
      </c>
      <c r="E36" s="107">
        <v>4</v>
      </c>
      <c r="F36" s="107">
        <v>4</v>
      </c>
      <c r="G36" s="60" t="s">
        <v>17</v>
      </c>
      <c r="H36" s="61">
        <v>771.87777777777785</v>
      </c>
      <c r="I36" s="59">
        <f t="shared" si="38"/>
        <v>941.69088888888894</v>
      </c>
      <c r="J36" s="59">
        <f t="shared" si="39"/>
        <v>7533.5271111111115</v>
      </c>
      <c r="K36" s="59"/>
      <c r="L36" s="59">
        <f t="shared" si="60"/>
        <v>0</v>
      </c>
      <c r="M36" s="59">
        <f t="shared" si="63"/>
        <v>0</v>
      </c>
      <c r="N36" s="59"/>
      <c r="O36" s="59">
        <f t="shared" si="61"/>
        <v>0</v>
      </c>
      <c r="P36" s="59">
        <f t="shared" si="64"/>
        <v>0</v>
      </c>
      <c r="Q36" s="59"/>
      <c r="R36" s="59">
        <f t="shared" si="4"/>
        <v>0</v>
      </c>
      <c r="S36" s="59">
        <f t="shared" si="65"/>
        <v>0</v>
      </c>
      <c r="T36" s="59"/>
      <c r="U36" s="59">
        <f t="shared" si="66"/>
        <v>0</v>
      </c>
      <c r="V36" s="59">
        <f t="shared" si="40"/>
        <v>0</v>
      </c>
      <c r="W36" s="59"/>
      <c r="X36" s="59">
        <f t="shared" si="67"/>
        <v>0</v>
      </c>
      <c r="Y36" s="59">
        <f t="shared" si="41"/>
        <v>0</v>
      </c>
      <c r="Z36" s="59"/>
      <c r="AA36" s="59">
        <f t="shared" si="68"/>
        <v>0</v>
      </c>
      <c r="AB36" s="59">
        <f t="shared" si="42"/>
        <v>0</v>
      </c>
      <c r="AC36" s="59"/>
      <c r="AD36" s="59">
        <f t="shared" si="9"/>
        <v>0</v>
      </c>
      <c r="AE36" s="59">
        <f t="shared" si="69"/>
        <v>0</v>
      </c>
      <c r="AF36" s="59"/>
      <c r="AG36" s="59">
        <f t="shared" si="11"/>
        <v>0</v>
      </c>
      <c r="AH36" s="59">
        <f t="shared" si="70"/>
        <v>0</v>
      </c>
      <c r="AI36" s="59"/>
      <c r="AJ36" s="59">
        <f t="shared" si="13"/>
        <v>0</v>
      </c>
      <c r="AK36" s="59">
        <f t="shared" si="71"/>
        <v>0</v>
      </c>
      <c r="AL36" s="59"/>
      <c r="AM36" s="59">
        <f t="shared" si="72"/>
        <v>0</v>
      </c>
      <c r="AN36" s="59">
        <f t="shared" si="43"/>
        <v>0</v>
      </c>
      <c r="AO36" s="59"/>
      <c r="AP36" s="59">
        <f t="shared" si="73"/>
        <v>0</v>
      </c>
      <c r="AQ36" s="59">
        <f t="shared" si="44"/>
        <v>0</v>
      </c>
      <c r="AR36" s="59"/>
      <c r="AS36" s="59">
        <f t="shared" si="17"/>
        <v>0</v>
      </c>
      <c r="AT36" s="59">
        <f t="shared" si="74"/>
        <v>0</v>
      </c>
      <c r="AU36" s="59"/>
      <c r="AV36" s="59">
        <f t="shared" si="75"/>
        <v>0</v>
      </c>
      <c r="AW36" s="59">
        <f t="shared" si="45"/>
        <v>0</v>
      </c>
      <c r="AX36" s="59"/>
      <c r="AY36" s="59">
        <f t="shared" si="76"/>
        <v>0</v>
      </c>
      <c r="AZ36" s="59">
        <f t="shared" si="46"/>
        <v>0</v>
      </c>
      <c r="BA36" s="61">
        <v>808.34444444444455</v>
      </c>
      <c r="BB36" s="59">
        <f t="shared" si="47"/>
        <v>986.18022222222237</v>
      </c>
      <c r="BC36" s="59">
        <f t="shared" si="48"/>
        <v>7889.441777777779</v>
      </c>
      <c r="BD36" s="59"/>
      <c r="BE36" s="59">
        <f t="shared" si="77"/>
        <v>0</v>
      </c>
      <c r="BF36" s="59">
        <f t="shared" si="49"/>
        <v>0</v>
      </c>
      <c r="BG36" s="59"/>
      <c r="BH36" s="59">
        <f t="shared" si="78"/>
        <v>0</v>
      </c>
      <c r="BI36" s="59">
        <f t="shared" si="50"/>
        <v>0</v>
      </c>
      <c r="BJ36" s="59"/>
      <c r="BK36" s="59">
        <f t="shared" si="79"/>
        <v>0</v>
      </c>
      <c r="BL36" s="59">
        <f t="shared" si="51"/>
        <v>0</v>
      </c>
      <c r="BM36" s="59"/>
      <c r="BN36" s="59">
        <f t="shared" si="62"/>
        <v>0</v>
      </c>
      <c r="BO36" s="59">
        <f t="shared" si="80"/>
        <v>0</v>
      </c>
      <c r="BP36" s="59"/>
      <c r="BQ36" s="59">
        <f t="shared" si="59"/>
        <v>0</v>
      </c>
      <c r="BR36" s="59">
        <f t="shared" si="81"/>
        <v>0</v>
      </c>
      <c r="BS36" s="59"/>
      <c r="BT36" s="59">
        <f t="shared" si="25"/>
        <v>0</v>
      </c>
      <c r="BU36" s="59">
        <f t="shared" si="82"/>
        <v>0</v>
      </c>
      <c r="BV36" s="61">
        <v>771.87777777777785</v>
      </c>
      <c r="BW36" s="59">
        <f t="shared" si="53"/>
        <v>941.69088888888894</v>
      </c>
      <c r="BX36" s="59">
        <f t="shared" si="54"/>
        <v>7533.5271111111115</v>
      </c>
      <c r="BY36" s="20">
        <f t="shared" si="55"/>
        <v>784.03333333333342</v>
      </c>
      <c r="BZ36" s="20">
        <f t="shared" si="56"/>
        <v>956.52066666666678</v>
      </c>
      <c r="CA36" s="21">
        <f t="shared" si="57"/>
        <v>6272.2666666666673</v>
      </c>
      <c r="CB36" s="21">
        <f t="shared" si="58"/>
        <v>7652.1653333333343</v>
      </c>
      <c r="CC36" s="20">
        <f t="shared" si="27"/>
        <v>3136.1333333333337</v>
      </c>
      <c r="CD36" s="20">
        <f t="shared" si="28"/>
        <v>3826.0826666666671</v>
      </c>
      <c r="CE36" s="20">
        <f t="shared" si="29"/>
        <v>3136.1333333333337</v>
      </c>
      <c r="CF36" s="20">
        <f t="shared" si="30"/>
        <v>3826.0826666666671</v>
      </c>
      <c r="CG36" s="20">
        <f t="shared" si="83"/>
        <v>7652.1653333333343</v>
      </c>
      <c r="CH36" s="4">
        <f t="shared" si="32"/>
        <v>9</v>
      </c>
      <c r="CI36" s="4">
        <f t="shared" si="33"/>
        <v>3</v>
      </c>
      <c r="CN36" s="35" t="e">
        <f>MIN((H36,K36,N36,Q36,T36,W36,Z36,AC36,AF36,AI36,AL36,AO36,AR36,AU36,AX36,BA36,BD36,BG36,BJ36,BM36,BP36,BS36,BV36,#REF!,#REF!))</f>
        <v>#REF!</v>
      </c>
      <c r="CO36" s="35" t="e">
        <f>MAX((H36,K36,N36,Q36,T36,W36,Z36,AC36,AF36,AI36,AL36,AO36,AR36,AU36,AX36,BA36,BD36,BG36,BJ36,BM36,BP36,BS36,BV36,#REF!,#REF!))</f>
        <v>#REF!</v>
      </c>
      <c r="CP36" s="47" t="e">
        <f t="shared" si="34"/>
        <v>#REF!</v>
      </c>
      <c r="CQ36" s="40"/>
      <c r="CS36" s="4">
        <v>1.2</v>
      </c>
      <c r="CT36" s="4" t="b">
        <f t="shared" si="35"/>
        <v>0</v>
      </c>
      <c r="CU36" s="4">
        <v>1</v>
      </c>
      <c r="CV36" s="4" t="b">
        <f t="shared" si="84"/>
        <v>1</v>
      </c>
      <c r="CW36" s="19">
        <v>2.2000000000000002</v>
      </c>
      <c r="CZ36" s="4" t="s">
        <v>147</v>
      </c>
    </row>
    <row r="37" spans="1:104" s="4" customFormat="1" ht="41.25" thickBot="1" x14ac:dyDescent="0.3">
      <c r="A37" s="18">
        <v>21</v>
      </c>
      <c r="B37" s="62" t="s">
        <v>71</v>
      </c>
      <c r="C37" s="48" t="s">
        <v>14</v>
      </c>
      <c r="D37" s="107">
        <f t="shared" si="37"/>
        <v>8</v>
      </c>
      <c r="E37" s="107">
        <v>4</v>
      </c>
      <c r="F37" s="107">
        <v>4</v>
      </c>
      <c r="G37" s="60" t="s">
        <v>17</v>
      </c>
      <c r="H37" s="61">
        <v>2991.220416666667</v>
      </c>
      <c r="I37" s="59">
        <f t="shared" si="38"/>
        <v>3649.2889083333339</v>
      </c>
      <c r="J37" s="59">
        <f t="shared" si="39"/>
        <v>29194.311266666671</v>
      </c>
      <c r="K37" s="59"/>
      <c r="L37" s="59">
        <f t="shared" si="60"/>
        <v>0</v>
      </c>
      <c r="M37" s="59">
        <f t="shared" si="63"/>
        <v>0</v>
      </c>
      <c r="N37" s="59"/>
      <c r="O37" s="59">
        <f t="shared" si="61"/>
        <v>0</v>
      </c>
      <c r="P37" s="59">
        <f t="shared" si="64"/>
        <v>0</v>
      </c>
      <c r="Q37" s="59"/>
      <c r="R37" s="59">
        <f t="shared" si="4"/>
        <v>0</v>
      </c>
      <c r="S37" s="59">
        <f t="shared" si="65"/>
        <v>0</v>
      </c>
      <c r="T37" s="59"/>
      <c r="U37" s="59">
        <f t="shared" si="66"/>
        <v>0</v>
      </c>
      <c r="V37" s="59">
        <f t="shared" si="40"/>
        <v>0</v>
      </c>
      <c r="W37" s="59"/>
      <c r="X37" s="59">
        <f t="shared" si="67"/>
        <v>0</v>
      </c>
      <c r="Y37" s="59">
        <f t="shared" si="41"/>
        <v>0</v>
      </c>
      <c r="Z37" s="59"/>
      <c r="AA37" s="59">
        <f t="shared" si="68"/>
        <v>0</v>
      </c>
      <c r="AB37" s="59">
        <f t="shared" si="42"/>
        <v>0</v>
      </c>
      <c r="AC37" s="59"/>
      <c r="AD37" s="59">
        <f t="shared" si="9"/>
        <v>0</v>
      </c>
      <c r="AE37" s="59">
        <f t="shared" si="69"/>
        <v>0</v>
      </c>
      <c r="AF37" s="59"/>
      <c r="AG37" s="59">
        <f t="shared" si="11"/>
        <v>0</v>
      </c>
      <c r="AH37" s="59">
        <f t="shared" si="70"/>
        <v>0</v>
      </c>
      <c r="AI37" s="59"/>
      <c r="AJ37" s="59">
        <f t="shared" si="13"/>
        <v>0</v>
      </c>
      <c r="AK37" s="59">
        <f t="shared" si="71"/>
        <v>0</v>
      </c>
      <c r="AL37" s="59"/>
      <c r="AM37" s="59">
        <f t="shared" si="72"/>
        <v>0</v>
      </c>
      <c r="AN37" s="59">
        <f t="shared" si="43"/>
        <v>0</v>
      </c>
      <c r="AO37" s="59"/>
      <c r="AP37" s="59">
        <f t="shared" si="73"/>
        <v>0</v>
      </c>
      <c r="AQ37" s="59">
        <f t="shared" si="44"/>
        <v>0</v>
      </c>
      <c r="AR37" s="59"/>
      <c r="AS37" s="59">
        <f t="shared" si="17"/>
        <v>0</v>
      </c>
      <c r="AT37" s="59">
        <f t="shared" si="74"/>
        <v>0</v>
      </c>
      <c r="AU37" s="59"/>
      <c r="AV37" s="59">
        <f t="shared" si="75"/>
        <v>0</v>
      </c>
      <c r="AW37" s="59">
        <f t="shared" si="45"/>
        <v>0</v>
      </c>
      <c r="AX37" s="59"/>
      <c r="AY37" s="59">
        <f t="shared" si="76"/>
        <v>0</v>
      </c>
      <c r="AZ37" s="59">
        <f t="shared" si="46"/>
        <v>0</v>
      </c>
      <c r="BA37" s="61">
        <v>2920.561666666667</v>
      </c>
      <c r="BB37" s="59">
        <f t="shared" si="47"/>
        <v>3563.0852333333337</v>
      </c>
      <c r="BC37" s="59">
        <f t="shared" si="48"/>
        <v>28504.68186666667</v>
      </c>
      <c r="BD37" s="59"/>
      <c r="BE37" s="59">
        <f t="shared" si="77"/>
        <v>0</v>
      </c>
      <c r="BF37" s="59">
        <f t="shared" si="49"/>
        <v>0</v>
      </c>
      <c r="BG37" s="59"/>
      <c r="BH37" s="59">
        <f t="shared" si="78"/>
        <v>0</v>
      </c>
      <c r="BI37" s="59">
        <f t="shared" si="50"/>
        <v>0</v>
      </c>
      <c r="BJ37" s="59"/>
      <c r="BK37" s="59">
        <f t="shared" si="79"/>
        <v>0</v>
      </c>
      <c r="BL37" s="59">
        <f t="shared" si="51"/>
        <v>0</v>
      </c>
      <c r="BM37" s="59"/>
      <c r="BN37" s="59">
        <f t="shared" si="62"/>
        <v>0</v>
      </c>
      <c r="BO37" s="59">
        <f t="shared" si="80"/>
        <v>0</v>
      </c>
      <c r="BP37" s="59"/>
      <c r="BQ37" s="59">
        <f t="shared" si="59"/>
        <v>0</v>
      </c>
      <c r="BR37" s="59">
        <f t="shared" si="81"/>
        <v>0</v>
      </c>
      <c r="BS37" s="59"/>
      <c r="BT37" s="59">
        <f t="shared" si="25"/>
        <v>0</v>
      </c>
      <c r="BU37" s="59">
        <f t="shared" si="82"/>
        <v>0</v>
      </c>
      <c r="BV37" s="61">
        <v>3038.3262500000005</v>
      </c>
      <c r="BW37" s="59">
        <f t="shared" si="53"/>
        <v>3706.7580250000005</v>
      </c>
      <c r="BX37" s="59">
        <f t="shared" si="54"/>
        <v>29654.064200000004</v>
      </c>
      <c r="BY37" s="20">
        <f t="shared" si="55"/>
        <v>2983.3694444444445</v>
      </c>
      <c r="BZ37" s="20">
        <f t="shared" si="56"/>
        <v>3639.7107222222221</v>
      </c>
      <c r="CA37" s="21">
        <f t="shared" si="57"/>
        <v>23866.955555555556</v>
      </c>
      <c r="CB37" s="21">
        <f t="shared" si="58"/>
        <v>29117.685777777777</v>
      </c>
      <c r="CC37" s="20">
        <f t="shared" si="27"/>
        <v>11933.477777777778</v>
      </c>
      <c r="CD37" s="20">
        <f t="shared" si="28"/>
        <v>14558.842888888888</v>
      </c>
      <c r="CE37" s="20">
        <f t="shared" si="29"/>
        <v>11933.477777777778</v>
      </c>
      <c r="CF37" s="20">
        <f t="shared" si="30"/>
        <v>14558.842888888888</v>
      </c>
      <c r="CG37" s="20">
        <f t="shared" si="83"/>
        <v>29117.685777777777</v>
      </c>
      <c r="CH37" s="4">
        <f t="shared" si="32"/>
        <v>9</v>
      </c>
      <c r="CI37" s="3">
        <f t="shared" si="33"/>
        <v>3</v>
      </c>
      <c r="CN37" s="35" t="e">
        <f>MIN((H37,K37,N37,Q37,T37,W37,Z37,AC37,AF37,AI37,AL37,AO37,AR37,AU37,AX37,BA37,BD37,BG37,BJ37,BM37,BP37,BS37,BV37,#REF!,#REF!))</f>
        <v>#REF!</v>
      </c>
      <c r="CO37" s="35" t="e">
        <f>MAX((H37,K37,N37,Q37,T37,W37,Z37,AC37,AF37,AI37,AL37,AO37,AR37,AU37,AX37,BA37,BD37,BG37,BJ37,BM37,BP37,BS37,BV37,#REF!,#REF!))</f>
        <v>#REF!</v>
      </c>
      <c r="CP37" s="47" t="e">
        <f t="shared" si="34"/>
        <v>#REF!</v>
      </c>
      <c r="CQ37" s="41" t="e">
        <f t="shared" ref="CQ37:CQ44" si="85">CN37*1.3</f>
        <v>#REF!</v>
      </c>
      <c r="CS37" s="4">
        <v>1</v>
      </c>
      <c r="CT37" s="4" t="b">
        <f t="shared" si="35"/>
        <v>0</v>
      </c>
      <c r="CU37" s="4">
        <v>1</v>
      </c>
      <c r="CV37" s="4" t="b">
        <f t="shared" si="84"/>
        <v>1</v>
      </c>
      <c r="CW37" s="19">
        <v>2</v>
      </c>
      <c r="CZ37" s="4" t="s">
        <v>147</v>
      </c>
    </row>
    <row r="38" spans="1:104" s="4" customFormat="1" ht="61.5" thickBot="1" x14ac:dyDescent="0.3">
      <c r="A38" s="18">
        <v>22</v>
      </c>
      <c r="B38" s="63" t="s">
        <v>72</v>
      </c>
      <c r="C38" s="48" t="s">
        <v>14</v>
      </c>
      <c r="D38" s="107">
        <f t="shared" si="37"/>
        <v>0.156</v>
      </c>
      <c r="E38" s="107">
        <v>7.8E-2</v>
      </c>
      <c r="F38" s="107">
        <v>7.8E-2</v>
      </c>
      <c r="G38" s="19" t="s">
        <v>142</v>
      </c>
      <c r="H38" s="61">
        <v>88217.650000000009</v>
      </c>
      <c r="I38" s="59">
        <f t="shared" si="38"/>
        <v>107625.53300000001</v>
      </c>
      <c r="J38" s="59">
        <f t="shared" si="39"/>
        <v>16789.583148000002</v>
      </c>
      <c r="K38" s="59"/>
      <c r="L38" s="59">
        <f t="shared" si="60"/>
        <v>0</v>
      </c>
      <c r="M38" s="59">
        <f t="shared" si="63"/>
        <v>0</v>
      </c>
      <c r="N38" s="59"/>
      <c r="O38" s="59">
        <f t="shared" si="61"/>
        <v>0</v>
      </c>
      <c r="P38" s="59">
        <f t="shared" si="64"/>
        <v>0</v>
      </c>
      <c r="Q38" s="59"/>
      <c r="R38" s="59">
        <f t="shared" si="4"/>
        <v>0</v>
      </c>
      <c r="S38" s="59">
        <f t="shared" si="65"/>
        <v>0</v>
      </c>
      <c r="T38" s="59"/>
      <c r="U38" s="59">
        <f t="shared" si="66"/>
        <v>0</v>
      </c>
      <c r="V38" s="59">
        <f t="shared" si="40"/>
        <v>0</v>
      </c>
      <c r="W38" s="59"/>
      <c r="X38" s="59">
        <f t="shared" si="67"/>
        <v>0</v>
      </c>
      <c r="Y38" s="59">
        <f t="shared" si="41"/>
        <v>0</v>
      </c>
      <c r="Z38" s="59"/>
      <c r="AA38" s="59">
        <f t="shared" si="68"/>
        <v>0</v>
      </c>
      <c r="AB38" s="59">
        <f t="shared" si="42"/>
        <v>0</v>
      </c>
      <c r="AC38" s="59"/>
      <c r="AD38" s="59">
        <f t="shared" si="9"/>
        <v>0</v>
      </c>
      <c r="AE38" s="59">
        <f t="shared" si="69"/>
        <v>0</v>
      </c>
      <c r="AF38" s="59"/>
      <c r="AG38" s="59">
        <f t="shared" si="11"/>
        <v>0</v>
      </c>
      <c r="AH38" s="59">
        <f t="shared" si="70"/>
        <v>0</v>
      </c>
      <c r="AI38" s="59"/>
      <c r="AJ38" s="59">
        <f t="shared" si="13"/>
        <v>0</v>
      </c>
      <c r="AK38" s="59">
        <f t="shared" si="71"/>
        <v>0</v>
      </c>
      <c r="AL38" s="59"/>
      <c r="AM38" s="59">
        <f t="shared" si="72"/>
        <v>0</v>
      </c>
      <c r="AN38" s="59">
        <f t="shared" si="43"/>
        <v>0</v>
      </c>
      <c r="AO38" s="59"/>
      <c r="AP38" s="59">
        <f t="shared" si="73"/>
        <v>0</v>
      </c>
      <c r="AQ38" s="59">
        <f t="shared" si="44"/>
        <v>0</v>
      </c>
      <c r="AR38" s="59"/>
      <c r="AS38" s="59">
        <f t="shared" si="17"/>
        <v>0</v>
      </c>
      <c r="AT38" s="59">
        <f t="shared" si="74"/>
        <v>0</v>
      </c>
      <c r="AU38" s="59"/>
      <c r="AV38" s="59">
        <f t="shared" si="75"/>
        <v>0</v>
      </c>
      <c r="AW38" s="59">
        <f t="shared" si="45"/>
        <v>0</v>
      </c>
      <c r="AX38" s="59"/>
      <c r="AY38" s="59">
        <f t="shared" si="76"/>
        <v>0</v>
      </c>
      <c r="AZ38" s="59">
        <f t="shared" si="46"/>
        <v>0</v>
      </c>
      <c r="BA38" s="61">
        <v>95389.81666666668</v>
      </c>
      <c r="BB38" s="59">
        <f t="shared" si="47"/>
        <v>116375.57633333335</v>
      </c>
      <c r="BC38" s="59">
        <f t="shared" si="48"/>
        <v>18154.589908000002</v>
      </c>
      <c r="BD38" s="59"/>
      <c r="BE38" s="59">
        <f t="shared" si="77"/>
        <v>0</v>
      </c>
      <c r="BF38" s="59">
        <f t="shared" si="49"/>
        <v>0</v>
      </c>
      <c r="BG38" s="59"/>
      <c r="BH38" s="59">
        <f t="shared" si="78"/>
        <v>0</v>
      </c>
      <c r="BI38" s="59">
        <f t="shared" si="50"/>
        <v>0</v>
      </c>
      <c r="BJ38" s="59"/>
      <c r="BK38" s="59">
        <f t="shared" si="79"/>
        <v>0</v>
      </c>
      <c r="BL38" s="59">
        <f t="shared" si="51"/>
        <v>0</v>
      </c>
      <c r="BM38" s="59"/>
      <c r="BN38" s="59">
        <f t="shared" si="62"/>
        <v>0</v>
      </c>
      <c r="BO38" s="59">
        <f t="shared" si="80"/>
        <v>0</v>
      </c>
      <c r="BP38" s="59"/>
      <c r="BQ38" s="59">
        <f t="shared" si="59"/>
        <v>0</v>
      </c>
      <c r="BR38" s="59">
        <f t="shared" si="81"/>
        <v>0</v>
      </c>
      <c r="BS38" s="59"/>
      <c r="BT38" s="59">
        <f t="shared" si="25"/>
        <v>0</v>
      </c>
      <c r="BU38" s="59">
        <f t="shared" si="82"/>
        <v>0</v>
      </c>
      <c r="BV38" s="61">
        <v>95389.81666666668</v>
      </c>
      <c r="BW38" s="59">
        <f t="shared" si="53"/>
        <v>116375.57633333335</v>
      </c>
      <c r="BX38" s="59">
        <f t="shared" si="54"/>
        <v>18154.589908000002</v>
      </c>
      <c r="BY38" s="20">
        <f t="shared" si="55"/>
        <v>92999.094444444447</v>
      </c>
      <c r="BZ38" s="20">
        <f t="shared" si="56"/>
        <v>113458.89522222223</v>
      </c>
      <c r="CA38" s="21">
        <f t="shared" si="57"/>
        <v>14507.858733333334</v>
      </c>
      <c r="CB38" s="21">
        <f t="shared" si="58"/>
        <v>17699.587654666666</v>
      </c>
      <c r="CC38" s="20">
        <f t="shared" si="27"/>
        <v>7253.9293666666672</v>
      </c>
      <c r="CD38" s="20">
        <f t="shared" si="28"/>
        <v>8849.793827333333</v>
      </c>
      <c r="CE38" s="20">
        <f t="shared" si="29"/>
        <v>7253.9293666666672</v>
      </c>
      <c r="CF38" s="20">
        <f t="shared" si="30"/>
        <v>8849.793827333333</v>
      </c>
      <c r="CG38" s="20">
        <f t="shared" si="83"/>
        <v>17699.587654666666</v>
      </c>
      <c r="CH38" s="4">
        <f t="shared" si="32"/>
        <v>9</v>
      </c>
      <c r="CI38" s="3">
        <f t="shared" si="33"/>
        <v>3</v>
      </c>
      <c r="CN38" s="35" t="e">
        <f>MIN((H38,K38,N38,Q38,T38,W38,Z38,AC38,AF38,AI38,AL38,AO38,AR38,AU38,AX38,BA38,BD38,BG38,BJ38,BM38,BP38,BS38,BV38,#REF!,#REF!))</f>
        <v>#REF!</v>
      </c>
      <c r="CO38" s="35" t="e">
        <f>MAX((H38,K38,N38,Q38,T38,W38,Z38,AC38,AF38,AI38,AL38,AO38,AR38,AU38,AX38,BA38,BD38,BG38,BJ38,BM38,BP38,BS38,BV38,#REF!,#REF!))</f>
        <v>#REF!</v>
      </c>
      <c r="CP38" s="47" t="e">
        <f t="shared" si="34"/>
        <v>#REF!</v>
      </c>
      <c r="CQ38" s="41" t="e">
        <f t="shared" si="85"/>
        <v>#REF!</v>
      </c>
      <c r="CS38" s="4">
        <v>2</v>
      </c>
      <c r="CT38" s="4" t="b">
        <f t="shared" si="35"/>
        <v>0</v>
      </c>
      <c r="CU38" s="4">
        <v>6</v>
      </c>
      <c r="CV38" s="4" t="b">
        <f t="shared" si="84"/>
        <v>1</v>
      </c>
      <c r="CW38" s="19">
        <v>8</v>
      </c>
      <c r="CZ38" s="4" t="s">
        <v>147</v>
      </c>
    </row>
    <row r="39" spans="1:104" s="4" customFormat="1" ht="122.25" thickBot="1" x14ac:dyDescent="0.3">
      <c r="A39" s="18">
        <v>23</v>
      </c>
      <c r="B39" s="62" t="s">
        <v>73</v>
      </c>
      <c r="C39" s="48" t="s">
        <v>14</v>
      </c>
      <c r="D39" s="107">
        <f t="shared" si="37"/>
        <v>240</v>
      </c>
      <c r="E39" s="107">
        <v>120</v>
      </c>
      <c r="F39" s="107">
        <v>120</v>
      </c>
      <c r="G39" s="19" t="s">
        <v>143</v>
      </c>
      <c r="H39" s="61">
        <v>793.75</v>
      </c>
      <c r="I39" s="59">
        <f t="shared" si="38"/>
        <v>968.375</v>
      </c>
      <c r="J39" s="59">
        <f t="shared" si="39"/>
        <v>232410</v>
      </c>
      <c r="K39" s="59"/>
      <c r="L39" s="59">
        <f t="shared" si="60"/>
        <v>0</v>
      </c>
      <c r="M39" s="59">
        <f t="shared" si="63"/>
        <v>0</v>
      </c>
      <c r="N39" s="59"/>
      <c r="O39" s="59">
        <f t="shared" si="61"/>
        <v>0</v>
      </c>
      <c r="P39" s="59">
        <f t="shared" si="64"/>
        <v>0</v>
      </c>
      <c r="Q39" s="59"/>
      <c r="R39" s="59">
        <f t="shared" si="4"/>
        <v>0</v>
      </c>
      <c r="S39" s="59">
        <f t="shared" si="65"/>
        <v>0</v>
      </c>
      <c r="T39" s="59"/>
      <c r="U39" s="59">
        <f t="shared" si="66"/>
        <v>0</v>
      </c>
      <c r="V39" s="59">
        <f t="shared" si="40"/>
        <v>0</v>
      </c>
      <c r="W39" s="59"/>
      <c r="X39" s="59">
        <f t="shared" si="67"/>
        <v>0</v>
      </c>
      <c r="Y39" s="59">
        <f t="shared" si="41"/>
        <v>0</v>
      </c>
      <c r="Z39" s="59"/>
      <c r="AA39" s="59">
        <f t="shared" si="68"/>
        <v>0</v>
      </c>
      <c r="AB39" s="59">
        <f t="shared" si="42"/>
        <v>0</v>
      </c>
      <c r="AC39" s="59"/>
      <c r="AD39" s="59">
        <f t="shared" si="9"/>
        <v>0</v>
      </c>
      <c r="AE39" s="59">
        <f t="shared" si="69"/>
        <v>0</v>
      </c>
      <c r="AF39" s="59"/>
      <c r="AG39" s="59">
        <f t="shared" si="11"/>
        <v>0</v>
      </c>
      <c r="AH39" s="59">
        <f t="shared" si="70"/>
        <v>0</v>
      </c>
      <c r="AI39" s="59"/>
      <c r="AJ39" s="59">
        <f t="shared" si="13"/>
        <v>0</v>
      </c>
      <c r="AK39" s="59">
        <f t="shared" si="71"/>
        <v>0</v>
      </c>
      <c r="AL39" s="59"/>
      <c r="AM39" s="59">
        <f t="shared" si="72"/>
        <v>0</v>
      </c>
      <c r="AN39" s="59">
        <f t="shared" si="43"/>
        <v>0</v>
      </c>
      <c r="AO39" s="59"/>
      <c r="AP39" s="59">
        <f t="shared" si="73"/>
        <v>0</v>
      </c>
      <c r="AQ39" s="59">
        <f t="shared" si="44"/>
        <v>0</v>
      </c>
      <c r="AR39" s="59"/>
      <c r="AS39" s="59">
        <f t="shared" si="17"/>
        <v>0</v>
      </c>
      <c r="AT39" s="59">
        <f t="shared" si="74"/>
        <v>0</v>
      </c>
      <c r="AU39" s="59"/>
      <c r="AV39" s="59">
        <f t="shared" si="75"/>
        <v>0</v>
      </c>
      <c r="AW39" s="59">
        <f t="shared" si="45"/>
        <v>0</v>
      </c>
      <c r="AX39" s="59"/>
      <c r="AY39" s="59">
        <f t="shared" si="76"/>
        <v>0</v>
      </c>
      <c r="AZ39" s="59">
        <f t="shared" si="46"/>
        <v>0</v>
      </c>
      <c r="BA39" s="61">
        <v>806.45</v>
      </c>
      <c r="BB39" s="59">
        <f t="shared" si="47"/>
        <v>983.86900000000003</v>
      </c>
      <c r="BC39" s="59">
        <f t="shared" si="48"/>
        <v>236128.56</v>
      </c>
      <c r="BD39" s="59"/>
      <c r="BE39" s="59">
        <f t="shared" si="77"/>
        <v>0</v>
      </c>
      <c r="BF39" s="59">
        <f t="shared" si="49"/>
        <v>0</v>
      </c>
      <c r="BG39" s="59"/>
      <c r="BH39" s="59">
        <f t="shared" si="78"/>
        <v>0</v>
      </c>
      <c r="BI39" s="59">
        <f t="shared" si="50"/>
        <v>0</v>
      </c>
      <c r="BJ39" s="59"/>
      <c r="BK39" s="59">
        <f t="shared" si="79"/>
        <v>0</v>
      </c>
      <c r="BL39" s="59">
        <f t="shared" si="51"/>
        <v>0</v>
      </c>
      <c r="BM39" s="59"/>
      <c r="BN39" s="59">
        <f t="shared" si="62"/>
        <v>0</v>
      </c>
      <c r="BO39" s="59">
        <f t="shared" si="80"/>
        <v>0</v>
      </c>
      <c r="BP39" s="59"/>
      <c r="BQ39" s="59">
        <f t="shared" si="59"/>
        <v>0</v>
      </c>
      <c r="BR39" s="59">
        <f t="shared" si="81"/>
        <v>0</v>
      </c>
      <c r="BS39" s="59"/>
      <c r="BT39" s="59">
        <f t="shared" si="25"/>
        <v>0</v>
      </c>
      <c r="BU39" s="59">
        <f t="shared" si="82"/>
        <v>0</v>
      </c>
      <c r="BV39" s="61">
        <v>800.1</v>
      </c>
      <c r="BW39" s="59">
        <f t="shared" si="53"/>
        <v>976.12199999999996</v>
      </c>
      <c r="BX39" s="59">
        <f t="shared" si="54"/>
        <v>234269.28</v>
      </c>
      <c r="BY39" s="20">
        <f t="shared" si="55"/>
        <v>800.1</v>
      </c>
      <c r="BZ39" s="20">
        <f t="shared" si="56"/>
        <v>976.12199999999996</v>
      </c>
      <c r="CA39" s="21">
        <f t="shared" si="57"/>
        <v>192024</v>
      </c>
      <c r="CB39" s="21">
        <f t="shared" si="58"/>
        <v>234269.28</v>
      </c>
      <c r="CC39" s="20">
        <f t="shared" si="27"/>
        <v>96012</v>
      </c>
      <c r="CD39" s="20">
        <f t="shared" si="28"/>
        <v>117134.64</v>
      </c>
      <c r="CE39" s="20">
        <f t="shared" si="29"/>
        <v>96012</v>
      </c>
      <c r="CF39" s="20">
        <f t="shared" si="30"/>
        <v>117134.64</v>
      </c>
      <c r="CG39" s="20">
        <f t="shared" si="83"/>
        <v>234269.28</v>
      </c>
      <c r="CH39" s="4">
        <f t="shared" si="32"/>
        <v>9</v>
      </c>
      <c r="CI39" s="3">
        <f t="shared" si="33"/>
        <v>3</v>
      </c>
      <c r="CN39" s="35" t="e">
        <f>MIN((H39,K39,N39,Q39,T39,W39,Z39,AC39,AF39,AI39,AL39,AO39,AR39,AU39,AX39,BA39,BD39,BG39,BJ39,BM39,BP39,BS39,BV39,#REF!,#REF!))</f>
        <v>#REF!</v>
      </c>
      <c r="CO39" s="35" t="e">
        <f>MAX((H39,K39,N39,Q39,T39,W39,Z39,AC39,AF39,AI39,AL39,AO39,AR39,AU39,AX39,BA39,BD39,BG39,BJ39,BM39,BP39,BS39,BV39,#REF!,#REF!))</f>
        <v>#REF!</v>
      </c>
      <c r="CP39" s="47" t="e">
        <f t="shared" si="34"/>
        <v>#REF!</v>
      </c>
      <c r="CQ39" s="41" t="e">
        <f t="shared" si="85"/>
        <v>#REF!</v>
      </c>
      <c r="CS39" s="4">
        <v>2</v>
      </c>
      <c r="CT39" s="4" t="b">
        <f t="shared" si="35"/>
        <v>0</v>
      </c>
      <c r="CU39" s="4">
        <v>9</v>
      </c>
      <c r="CV39" s="4" t="b">
        <f t="shared" si="84"/>
        <v>1</v>
      </c>
      <c r="CW39" s="19">
        <v>11</v>
      </c>
      <c r="CZ39" s="4" t="s">
        <v>147</v>
      </c>
    </row>
    <row r="40" spans="1:104" s="4" customFormat="1" ht="122.25" thickBot="1" x14ac:dyDescent="0.3">
      <c r="A40" s="18">
        <v>24</v>
      </c>
      <c r="B40" s="64" t="s">
        <v>74</v>
      </c>
      <c r="C40" s="48" t="s">
        <v>14</v>
      </c>
      <c r="D40" s="107">
        <f t="shared" si="37"/>
        <v>240</v>
      </c>
      <c r="E40" s="107">
        <v>120</v>
      </c>
      <c r="F40" s="107">
        <v>120</v>
      </c>
      <c r="G40" s="60" t="s">
        <v>143</v>
      </c>
      <c r="H40" s="61">
        <v>697.05000000000007</v>
      </c>
      <c r="I40" s="59">
        <f t="shared" si="38"/>
        <v>850.40100000000007</v>
      </c>
      <c r="J40" s="59">
        <f t="shared" si="39"/>
        <v>204096.24000000002</v>
      </c>
      <c r="K40" s="59"/>
      <c r="L40" s="59">
        <f t="shared" si="60"/>
        <v>0</v>
      </c>
      <c r="M40" s="59">
        <f t="shared" si="63"/>
        <v>0</v>
      </c>
      <c r="N40" s="59"/>
      <c r="O40" s="59">
        <f t="shared" si="61"/>
        <v>0</v>
      </c>
      <c r="P40" s="59">
        <f t="shared" si="64"/>
        <v>0</v>
      </c>
      <c r="Q40" s="59"/>
      <c r="R40" s="59">
        <f t="shared" si="4"/>
        <v>0</v>
      </c>
      <c r="S40" s="59">
        <f t="shared" si="65"/>
        <v>0</v>
      </c>
      <c r="T40" s="59"/>
      <c r="U40" s="59">
        <f t="shared" si="66"/>
        <v>0</v>
      </c>
      <c r="V40" s="59">
        <f t="shared" si="40"/>
        <v>0</v>
      </c>
      <c r="W40" s="59"/>
      <c r="X40" s="59">
        <f t="shared" si="67"/>
        <v>0</v>
      </c>
      <c r="Y40" s="59">
        <f t="shared" si="41"/>
        <v>0</v>
      </c>
      <c r="Z40" s="59"/>
      <c r="AA40" s="59">
        <f t="shared" si="68"/>
        <v>0</v>
      </c>
      <c r="AB40" s="59">
        <f t="shared" si="42"/>
        <v>0</v>
      </c>
      <c r="AC40" s="59"/>
      <c r="AD40" s="59">
        <f t="shared" si="9"/>
        <v>0</v>
      </c>
      <c r="AE40" s="59">
        <f t="shared" si="69"/>
        <v>0</v>
      </c>
      <c r="AF40" s="59"/>
      <c r="AG40" s="59">
        <f t="shared" si="11"/>
        <v>0</v>
      </c>
      <c r="AH40" s="59">
        <f t="shared" si="70"/>
        <v>0</v>
      </c>
      <c r="AI40" s="59"/>
      <c r="AJ40" s="59">
        <f t="shared" si="13"/>
        <v>0</v>
      </c>
      <c r="AK40" s="59">
        <f t="shared" si="71"/>
        <v>0</v>
      </c>
      <c r="AL40" s="59"/>
      <c r="AM40" s="59">
        <f t="shared" si="72"/>
        <v>0</v>
      </c>
      <c r="AN40" s="59">
        <f t="shared" si="43"/>
        <v>0</v>
      </c>
      <c r="AO40" s="59"/>
      <c r="AP40" s="59">
        <f t="shared" si="73"/>
        <v>0</v>
      </c>
      <c r="AQ40" s="59">
        <f t="shared" si="44"/>
        <v>0</v>
      </c>
      <c r="AR40" s="59"/>
      <c r="AS40" s="59">
        <f t="shared" si="17"/>
        <v>0</v>
      </c>
      <c r="AT40" s="59">
        <f t="shared" si="74"/>
        <v>0</v>
      </c>
      <c r="AU40" s="59"/>
      <c r="AV40" s="59">
        <f t="shared" si="75"/>
        <v>0</v>
      </c>
      <c r="AW40" s="59">
        <f t="shared" si="45"/>
        <v>0</v>
      </c>
      <c r="AX40" s="59"/>
      <c r="AY40" s="59">
        <f t="shared" si="76"/>
        <v>0</v>
      </c>
      <c r="AZ40" s="59">
        <f t="shared" si="46"/>
        <v>0</v>
      </c>
      <c r="BA40" s="61">
        <v>671.23333333333346</v>
      </c>
      <c r="BB40" s="59">
        <f t="shared" si="47"/>
        <v>818.9046666666668</v>
      </c>
      <c r="BC40" s="59">
        <f t="shared" si="48"/>
        <v>196537.12000000002</v>
      </c>
      <c r="BD40" s="59"/>
      <c r="BE40" s="59">
        <f t="shared" si="77"/>
        <v>0</v>
      </c>
      <c r="BF40" s="59">
        <f t="shared" si="49"/>
        <v>0</v>
      </c>
      <c r="BG40" s="59"/>
      <c r="BH40" s="59">
        <f t="shared" si="78"/>
        <v>0</v>
      </c>
      <c r="BI40" s="59">
        <f t="shared" si="50"/>
        <v>0</v>
      </c>
      <c r="BJ40" s="59"/>
      <c r="BK40" s="59">
        <f t="shared" si="79"/>
        <v>0</v>
      </c>
      <c r="BL40" s="59">
        <f t="shared" si="51"/>
        <v>0</v>
      </c>
      <c r="BM40" s="59"/>
      <c r="BN40" s="59">
        <f t="shared" si="62"/>
        <v>0</v>
      </c>
      <c r="BO40" s="59">
        <f t="shared" si="80"/>
        <v>0</v>
      </c>
      <c r="BP40" s="59"/>
      <c r="BQ40" s="59">
        <f t="shared" si="59"/>
        <v>0</v>
      </c>
      <c r="BR40" s="59">
        <f t="shared" si="81"/>
        <v>0</v>
      </c>
      <c r="BS40" s="59"/>
      <c r="BT40" s="59">
        <f t="shared" si="25"/>
        <v>0</v>
      </c>
      <c r="BU40" s="59">
        <f t="shared" si="82"/>
        <v>0</v>
      </c>
      <c r="BV40" s="61">
        <v>686.72333333333347</v>
      </c>
      <c r="BW40" s="59">
        <f t="shared" si="53"/>
        <v>837.80246666666676</v>
      </c>
      <c r="BX40" s="59">
        <f t="shared" si="54"/>
        <v>201072.59200000003</v>
      </c>
      <c r="BY40" s="20">
        <f t="shared" si="55"/>
        <v>685.00222222222237</v>
      </c>
      <c r="BZ40" s="20">
        <f t="shared" si="56"/>
        <v>835.70271111111128</v>
      </c>
      <c r="CA40" s="21">
        <f t="shared" si="57"/>
        <v>164400.53333333338</v>
      </c>
      <c r="CB40" s="21">
        <f t="shared" si="58"/>
        <v>200568.65066666671</v>
      </c>
      <c r="CC40" s="20">
        <f t="shared" si="27"/>
        <v>82200.266666666692</v>
      </c>
      <c r="CD40" s="20">
        <f t="shared" si="28"/>
        <v>100284.32533333336</v>
      </c>
      <c r="CE40" s="20">
        <f t="shared" si="29"/>
        <v>82200.266666666692</v>
      </c>
      <c r="CF40" s="20">
        <f t="shared" si="30"/>
        <v>100284.32533333336</v>
      </c>
      <c r="CG40" s="20">
        <f t="shared" si="83"/>
        <v>200568.65066666671</v>
      </c>
      <c r="CH40" s="4">
        <f t="shared" si="32"/>
        <v>9</v>
      </c>
      <c r="CI40" s="3">
        <f t="shared" si="33"/>
        <v>3</v>
      </c>
      <c r="CN40" s="35" t="e">
        <f>MIN((H40,K40,N40,Q40,T40,W40,Z40,AC40,AF40,AI40,AL40,AO40,AR40,AU40,AX40,BA40,BD40,BG40,BJ40,BM40,BP40,BS40,BV40,#REF!,#REF!))</f>
        <v>#REF!</v>
      </c>
      <c r="CO40" s="35" t="e">
        <f>MAX((H40,K40,N40,Q40,T40,W40,Z40,AC40,AF40,AI40,AL40,AO40,AR40,AU40,AX40,BA40,BD40,BG40,BJ40,BM40,BP40,BS40,BV40,#REF!,#REF!))</f>
        <v>#REF!</v>
      </c>
      <c r="CP40" s="47" t="e">
        <f t="shared" si="34"/>
        <v>#REF!</v>
      </c>
      <c r="CQ40" s="41" t="e">
        <f t="shared" si="85"/>
        <v>#REF!</v>
      </c>
      <c r="CS40" s="4">
        <v>3</v>
      </c>
      <c r="CT40" s="4" t="b">
        <f t="shared" si="35"/>
        <v>0</v>
      </c>
      <c r="CU40" s="4">
        <v>4</v>
      </c>
      <c r="CV40" s="4" t="b">
        <f t="shared" si="84"/>
        <v>1</v>
      </c>
      <c r="CW40" s="19">
        <v>7</v>
      </c>
      <c r="CZ40" s="4" t="s">
        <v>147</v>
      </c>
    </row>
    <row r="41" spans="1:104" s="4" customFormat="1" ht="81.75" thickBot="1" x14ac:dyDescent="0.3">
      <c r="A41" s="18">
        <v>25</v>
      </c>
      <c r="B41" s="64" t="s">
        <v>75</v>
      </c>
      <c r="C41" s="48" t="s">
        <v>14</v>
      </c>
      <c r="D41" s="107">
        <f t="shared" si="37"/>
        <v>24</v>
      </c>
      <c r="E41" s="107">
        <v>12</v>
      </c>
      <c r="F41" s="107">
        <v>12</v>
      </c>
      <c r="G41" s="60" t="s">
        <v>17</v>
      </c>
      <c r="H41" s="61">
        <v>794.63333333333333</v>
      </c>
      <c r="I41" s="59">
        <f t="shared" si="38"/>
        <v>969.45266666666669</v>
      </c>
      <c r="J41" s="59">
        <f t="shared" si="39"/>
        <v>23266.864000000001</v>
      </c>
      <c r="K41" s="59"/>
      <c r="L41" s="59">
        <f t="shared" si="60"/>
        <v>0</v>
      </c>
      <c r="M41" s="59">
        <f t="shared" si="63"/>
        <v>0</v>
      </c>
      <c r="N41" s="59"/>
      <c r="O41" s="59">
        <f t="shared" si="61"/>
        <v>0</v>
      </c>
      <c r="P41" s="59">
        <f t="shared" si="64"/>
        <v>0</v>
      </c>
      <c r="Q41" s="59"/>
      <c r="R41" s="59">
        <f t="shared" si="4"/>
        <v>0</v>
      </c>
      <c r="S41" s="59">
        <f t="shared" si="65"/>
        <v>0</v>
      </c>
      <c r="T41" s="59"/>
      <c r="U41" s="59">
        <f t="shared" si="66"/>
        <v>0</v>
      </c>
      <c r="V41" s="59">
        <f t="shared" si="40"/>
        <v>0</v>
      </c>
      <c r="W41" s="59"/>
      <c r="X41" s="59">
        <f t="shared" si="67"/>
        <v>0</v>
      </c>
      <c r="Y41" s="59">
        <f t="shared" si="41"/>
        <v>0</v>
      </c>
      <c r="Z41" s="59"/>
      <c r="AA41" s="59">
        <f t="shared" si="68"/>
        <v>0</v>
      </c>
      <c r="AB41" s="59">
        <f t="shared" si="42"/>
        <v>0</v>
      </c>
      <c r="AC41" s="59"/>
      <c r="AD41" s="59">
        <f t="shared" si="9"/>
        <v>0</v>
      </c>
      <c r="AE41" s="59">
        <f t="shared" si="69"/>
        <v>0</v>
      </c>
      <c r="AF41" s="59"/>
      <c r="AG41" s="59">
        <f t="shared" si="11"/>
        <v>0</v>
      </c>
      <c r="AH41" s="59">
        <f t="shared" si="70"/>
        <v>0</v>
      </c>
      <c r="AI41" s="59"/>
      <c r="AJ41" s="59">
        <f t="shared" si="13"/>
        <v>0</v>
      </c>
      <c r="AK41" s="59">
        <f t="shared" si="71"/>
        <v>0</v>
      </c>
      <c r="AL41" s="59"/>
      <c r="AM41" s="59">
        <f t="shared" si="72"/>
        <v>0</v>
      </c>
      <c r="AN41" s="59">
        <f t="shared" si="43"/>
        <v>0</v>
      </c>
      <c r="AO41" s="59"/>
      <c r="AP41" s="59">
        <f t="shared" si="73"/>
        <v>0</v>
      </c>
      <c r="AQ41" s="59">
        <f t="shared" si="44"/>
        <v>0</v>
      </c>
      <c r="AR41" s="59"/>
      <c r="AS41" s="59">
        <f t="shared" si="17"/>
        <v>0</v>
      </c>
      <c r="AT41" s="59">
        <f t="shared" si="74"/>
        <v>0</v>
      </c>
      <c r="AU41" s="59"/>
      <c r="AV41" s="59">
        <f t="shared" si="75"/>
        <v>0</v>
      </c>
      <c r="AW41" s="59">
        <f t="shared" si="45"/>
        <v>0</v>
      </c>
      <c r="AX41" s="59"/>
      <c r="AY41" s="59">
        <f t="shared" si="76"/>
        <v>0</v>
      </c>
      <c r="AZ41" s="59">
        <f t="shared" si="46"/>
        <v>0</v>
      </c>
      <c r="BA41" s="61">
        <v>858.71666666666681</v>
      </c>
      <c r="BB41" s="59">
        <f t="shared" si="47"/>
        <v>1047.6343333333334</v>
      </c>
      <c r="BC41" s="59">
        <f t="shared" si="48"/>
        <v>25143.224000000002</v>
      </c>
      <c r="BD41" s="59"/>
      <c r="BE41" s="59">
        <f t="shared" si="77"/>
        <v>0</v>
      </c>
      <c r="BF41" s="59">
        <f t="shared" si="49"/>
        <v>0</v>
      </c>
      <c r="BG41" s="59"/>
      <c r="BH41" s="59">
        <f t="shared" si="78"/>
        <v>0</v>
      </c>
      <c r="BI41" s="59">
        <f t="shared" si="50"/>
        <v>0</v>
      </c>
      <c r="BJ41" s="59"/>
      <c r="BK41" s="59">
        <f t="shared" si="79"/>
        <v>0</v>
      </c>
      <c r="BL41" s="59">
        <f t="shared" si="51"/>
        <v>0</v>
      </c>
      <c r="BM41" s="59"/>
      <c r="BN41" s="59">
        <f t="shared" si="62"/>
        <v>0</v>
      </c>
      <c r="BO41" s="59">
        <f t="shared" si="80"/>
        <v>0</v>
      </c>
      <c r="BP41" s="59"/>
      <c r="BQ41" s="59">
        <f t="shared" si="59"/>
        <v>0</v>
      </c>
      <c r="BR41" s="59">
        <f t="shared" si="81"/>
        <v>0</v>
      </c>
      <c r="BS41" s="59"/>
      <c r="BT41" s="59">
        <f t="shared" si="25"/>
        <v>0</v>
      </c>
      <c r="BU41" s="59">
        <f t="shared" si="82"/>
        <v>0</v>
      </c>
      <c r="BV41" s="61">
        <v>865.12500000000011</v>
      </c>
      <c r="BW41" s="59">
        <f t="shared" si="53"/>
        <v>1055.4525000000001</v>
      </c>
      <c r="BX41" s="59">
        <f t="shared" si="54"/>
        <v>25330.86</v>
      </c>
      <c r="BY41" s="20">
        <f t="shared" si="55"/>
        <v>839.49166666666679</v>
      </c>
      <c r="BZ41" s="20">
        <f t="shared" si="56"/>
        <v>1024.1798333333334</v>
      </c>
      <c r="CA41" s="21">
        <f t="shared" si="57"/>
        <v>20147.800000000003</v>
      </c>
      <c r="CB41" s="21">
        <f t="shared" si="58"/>
        <v>24580.316000000003</v>
      </c>
      <c r="CC41" s="20">
        <f t="shared" si="27"/>
        <v>10073.900000000001</v>
      </c>
      <c r="CD41" s="20">
        <f t="shared" si="28"/>
        <v>12290.157999999999</v>
      </c>
      <c r="CE41" s="20">
        <f t="shared" si="29"/>
        <v>10073.900000000001</v>
      </c>
      <c r="CF41" s="20">
        <f t="shared" si="30"/>
        <v>12290.157999999999</v>
      </c>
      <c r="CG41" s="20">
        <f t="shared" si="83"/>
        <v>24580.315999999999</v>
      </c>
      <c r="CH41" s="4">
        <f t="shared" si="32"/>
        <v>9</v>
      </c>
      <c r="CI41" s="3">
        <f t="shared" si="33"/>
        <v>3</v>
      </c>
      <c r="CN41" s="35" t="e">
        <f>MIN((H41,K41,N41,Q41,T41,W41,Z41,AC41,AF41,AI41,AL41,AO41,AR41,AU41,AX41,BA41,BD41,BG41,BJ41,BM41,BP41,BS41,BV41,#REF!,#REF!))</f>
        <v>#REF!</v>
      </c>
      <c r="CO41" s="35" t="e">
        <f>MAX((H41,K41,N41,Q41,T41,W41,Z41,AC41,AF41,AI41,AL41,AO41,AR41,AU41,AX41,BA41,BD41,BG41,BJ41,BM41,BP41,BS41,BV41,#REF!,#REF!))</f>
        <v>#REF!</v>
      </c>
      <c r="CP41" s="47" t="e">
        <f t="shared" si="34"/>
        <v>#REF!</v>
      </c>
      <c r="CQ41" s="41" t="e">
        <f t="shared" si="85"/>
        <v>#REF!</v>
      </c>
      <c r="CS41" s="4">
        <v>2</v>
      </c>
      <c r="CT41" s="4" t="b">
        <f t="shared" si="35"/>
        <v>0</v>
      </c>
      <c r="CU41" s="4">
        <v>2</v>
      </c>
      <c r="CV41" s="4" t="b">
        <f t="shared" si="84"/>
        <v>1</v>
      </c>
      <c r="CW41" s="19">
        <v>4</v>
      </c>
      <c r="CZ41" s="4" t="s">
        <v>147</v>
      </c>
    </row>
    <row r="42" spans="1:104" s="4" customFormat="1" ht="102" thickBot="1" x14ac:dyDescent="0.3">
      <c r="A42" s="18">
        <v>26</v>
      </c>
      <c r="B42" s="64" t="s">
        <v>76</v>
      </c>
      <c r="C42" s="48" t="s">
        <v>14</v>
      </c>
      <c r="D42" s="107">
        <f t="shared" si="37"/>
        <v>6000</v>
      </c>
      <c r="E42" s="107">
        <v>3000</v>
      </c>
      <c r="F42" s="107">
        <v>3000</v>
      </c>
      <c r="G42" s="60" t="s">
        <v>17</v>
      </c>
      <c r="H42" s="61">
        <v>0.45072222222222225</v>
      </c>
      <c r="I42" s="59">
        <f t="shared" si="38"/>
        <v>0.54988111111111115</v>
      </c>
      <c r="J42" s="59">
        <f t="shared" si="39"/>
        <v>3299.2866666666669</v>
      </c>
      <c r="K42" s="59"/>
      <c r="L42" s="59">
        <f t="shared" si="60"/>
        <v>0</v>
      </c>
      <c r="M42" s="59">
        <f t="shared" si="63"/>
        <v>0</v>
      </c>
      <c r="N42" s="59"/>
      <c r="O42" s="59">
        <f t="shared" si="61"/>
        <v>0</v>
      </c>
      <c r="P42" s="59">
        <f t="shared" si="64"/>
        <v>0</v>
      </c>
      <c r="Q42" s="59"/>
      <c r="R42" s="59">
        <f t="shared" si="4"/>
        <v>0</v>
      </c>
      <c r="S42" s="59">
        <f t="shared" si="65"/>
        <v>0</v>
      </c>
      <c r="T42" s="59"/>
      <c r="U42" s="59">
        <f t="shared" si="66"/>
        <v>0</v>
      </c>
      <c r="V42" s="59">
        <f t="shared" si="40"/>
        <v>0</v>
      </c>
      <c r="W42" s="59"/>
      <c r="X42" s="59">
        <f t="shared" si="67"/>
        <v>0</v>
      </c>
      <c r="Y42" s="59">
        <f t="shared" si="41"/>
        <v>0</v>
      </c>
      <c r="Z42" s="59"/>
      <c r="AA42" s="59">
        <f t="shared" si="68"/>
        <v>0</v>
      </c>
      <c r="AB42" s="59">
        <f t="shared" si="42"/>
        <v>0</v>
      </c>
      <c r="AC42" s="59"/>
      <c r="AD42" s="59">
        <f t="shared" si="9"/>
        <v>0</v>
      </c>
      <c r="AE42" s="59">
        <f t="shared" si="69"/>
        <v>0</v>
      </c>
      <c r="AF42" s="59"/>
      <c r="AG42" s="59">
        <f t="shared" si="11"/>
        <v>0</v>
      </c>
      <c r="AH42" s="59">
        <f t="shared" si="70"/>
        <v>0</v>
      </c>
      <c r="AI42" s="59"/>
      <c r="AJ42" s="59">
        <f t="shared" si="13"/>
        <v>0</v>
      </c>
      <c r="AK42" s="59">
        <f t="shared" si="71"/>
        <v>0</v>
      </c>
      <c r="AL42" s="59"/>
      <c r="AM42" s="59">
        <f t="shared" si="72"/>
        <v>0</v>
      </c>
      <c r="AN42" s="59">
        <f t="shared" si="43"/>
        <v>0</v>
      </c>
      <c r="AO42" s="59"/>
      <c r="AP42" s="59">
        <f t="shared" si="73"/>
        <v>0</v>
      </c>
      <c r="AQ42" s="59">
        <f t="shared" si="44"/>
        <v>0</v>
      </c>
      <c r="AR42" s="59"/>
      <c r="AS42" s="59">
        <f t="shared" si="17"/>
        <v>0</v>
      </c>
      <c r="AT42" s="59">
        <f t="shared" si="74"/>
        <v>0</v>
      </c>
      <c r="AU42" s="59"/>
      <c r="AV42" s="59">
        <f t="shared" si="75"/>
        <v>0</v>
      </c>
      <c r="AW42" s="59">
        <f t="shared" si="45"/>
        <v>0</v>
      </c>
      <c r="AX42" s="59"/>
      <c r="AY42" s="59">
        <f t="shared" si="76"/>
        <v>0</v>
      </c>
      <c r="AZ42" s="59">
        <f t="shared" si="46"/>
        <v>0</v>
      </c>
      <c r="BA42" s="61">
        <v>0.50244444444444447</v>
      </c>
      <c r="BB42" s="59">
        <f t="shared" si="47"/>
        <v>0.61298222222222221</v>
      </c>
      <c r="BC42" s="59">
        <f t="shared" si="48"/>
        <v>3677.8933333333334</v>
      </c>
      <c r="BD42" s="59"/>
      <c r="BE42" s="59">
        <f t="shared" si="77"/>
        <v>0</v>
      </c>
      <c r="BF42" s="59">
        <f t="shared" si="49"/>
        <v>0</v>
      </c>
      <c r="BG42" s="59"/>
      <c r="BH42" s="59">
        <f t="shared" si="78"/>
        <v>0</v>
      </c>
      <c r="BI42" s="59">
        <f t="shared" si="50"/>
        <v>0</v>
      </c>
      <c r="BJ42" s="59"/>
      <c r="BK42" s="59">
        <f t="shared" si="79"/>
        <v>0</v>
      </c>
      <c r="BL42" s="59">
        <f t="shared" si="51"/>
        <v>0</v>
      </c>
      <c r="BM42" s="59"/>
      <c r="BN42" s="59">
        <f t="shared" si="62"/>
        <v>0</v>
      </c>
      <c r="BO42" s="59">
        <f t="shared" si="80"/>
        <v>0</v>
      </c>
      <c r="BP42" s="59"/>
      <c r="BQ42" s="59">
        <f t="shared" si="59"/>
        <v>0</v>
      </c>
      <c r="BR42" s="59">
        <f t="shared" si="81"/>
        <v>0</v>
      </c>
      <c r="BS42" s="59"/>
      <c r="BT42" s="59">
        <f t="shared" si="25"/>
        <v>0</v>
      </c>
      <c r="BU42" s="59">
        <f t="shared" si="82"/>
        <v>0</v>
      </c>
      <c r="BV42" s="61">
        <v>0.49136111111111114</v>
      </c>
      <c r="BW42" s="59">
        <f t="shared" si="53"/>
        <v>0.59946055555555555</v>
      </c>
      <c r="BX42" s="59">
        <f t="shared" si="54"/>
        <v>3596.7633333333333</v>
      </c>
      <c r="BY42" s="20">
        <f t="shared" si="55"/>
        <v>0.4815092592592593</v>
      </c>
      <c r="BZ42" s="20">
        <f t="shared" si="56"/>
        <v>0.58744129629629638</v>
      </c>
      <c r="CA42" s="21">
        <f t="shared" si="57"/>
        <v>2889.0555555555557</v>
      </c>
      <c r="CB42" s="21">
        <f t="shared" si="58"/>
        <v>3524.6477777777777</v>
      </c>
      <c r="CC42" s="20">
        <f t="shared" si="27"/>
        <v>1444.5277777777778</v>
      </c>
      <c r="CD42" s="20">
        <f t="shared" si="28"/>
        <v>1762.3238888888891</v>
      </c>
      <c r="CE42" s="20">
        <f t="shared" si="29"/>
        <v>1444.5277777777778</v>
      </c>
      <c r="CF42" s="20">
        <f t="shared" si="30"/>
        <v>1762.3238888888891</v>
      </c>
      <c r="CG42" s="20">
        <f t="shared" si="83"/>
        <v>3524.6477777777782</v>
      </c>
      <c r="CH42" s="4">
        <f t="shared" si="32"/>
        <v>9</v>
      </c>
      <c r="CI42" s="3">
        <f t="shared" si="33"/>
        <v>3</v>
      </c>
      <c r="CN42" s="35" t="e">
        <f>MIN((H42,K42,N42,Q42,T42,W42,Z42,AC42,AF42,AI42,AL42,AO42,AR42,AU42,AX42,BA42,BD42,BG42,BJ42,BM42,BP42,BS42,BV42,#REF!,#REF!))</f>
        <v>#REF!</v>
      </c>
      <c r="CO42" s="35" t="e">
        <f>MAX((H42,K42,N42,Q42,T42,W42,Z42,AC42,AF42,AI42,AL42,AO42,AR42,AU42,AX42,BA42,BD42,BG42,BJ42,BM42,BP42,BS42,BV42,#REF!,#REF!))</f>
        <v>#REF!</v>
      </c>
      <c r="CP42" s="47" t="e">
        <f t="shared" si="34"/>
        <v>#REF!</v>
      </c>
      <c r="CQ42" s="41" t="e">
        <f t="shared" si="85"/>
        <v>#REF!</v>
      </c>
      <c r="CS42" s="4">
        <v>1</v>
      </c>
      <c r="CT42" s="4" t="b">
        <f t="shared" si="35"/>
        <v>0</v>
      </c>
      <c r="CU42" s="4">
        <v>5</v>
      </c>
      <c r="CV42" s="4" t="b">
        <f t="shared" si="84"/>
        <v>1</v>
      </c>
      <c r="CW42" s="19">
        <v>6</v>
      </c>
      <c r="CZ42" s="4" t="s">
        <v>147</v>
      </c>
    </row>
    <row r="43" spans="1:104" s="4" customFormat="1" ht="81.75" thickBot="1" x14ac:dyDescent="0.3">
      <c r="A43" s="18">
        <v>27</v>
      </c>
      <c r="B43" s="64" t="s">
        <v>77</v>
      </c>
      <c r="C43" s="48" t="s">
        <v>14</v>
      </c>
      <c r="D43" s="107">
        <f t="shared" si="37"/>
        <v>6000</v>
      </c>
      <c r="E43" s="107">
        <v>3000</v>
      </c>
      <c r="F43" s="107">
        <v>3000</v>
      </c>
      <c r="G43" s="60" t="s">
        <v>17</v>
      </c>
      <c r="H43" s="61">
        <v>0.84058333333333346</v>
      </c>
      <c r="I43" s="59">
        <f t="shared" si="38"/>
        <v>1.0255116666666668</v>
      </c>
      <c r="J43" s="59">
        <f t="shared" si="39"/>
        <v>6153.0700000000006</v>
      </c>
      <c r="K43" s="59"/>
      <c r="L43" s="59">
        <f t="shared" si="60"/>
        <v>0</v>
      </c>
      <c r="M43" s="59">
        <f t="shared" si="63"/>
        <v>0</v>
      </c>
      <c r="N43" s="59"/>
      <c r="O43" s="59">
        <f t="shared" si="61"/>
        <v>0</v>
      </c>
      <c r="P43" s="59">
        <f t="shared" si="64"/>
        <v>0</v>
      </c>
      <c r="Q43" s="59"/>
      <c r="R43" s="59">
        <f t="shared" si="4"/>
        <v>0</v>
      </c>
      <c r="S43" s="59">
        <f t="shared" si="65"/>
        <v>0</v>
      </c>
      <c r="T43" s="59"/>
      <c r="U43" s="59">
        <f t="shared" si="66"/>
        <v>0</v>
      </c>
      <c r="V43" s="59">
        <f t="shared" si="40"/>
        <v>0</v>
      </c>
      <c r="W43" s="59"/>
      <c r="X43" s="59">
        <f t="shared" si="67"/>
        <v>0</v>
      </c>
      <c r="Y43" s="59">
        <f t="shared" si="41"/>
        <v>0</v>
      </c>
      <c r="Z43" s="59"/>
      <c r="AA43" s="59">
        <f t="shared" si="68"/>
        <v>0</v>
      </c>
      <c r="AB43" s="59">
        <f t="shared" si="42"/>
        <v>0</v>
      </c>
      <c r="AC43" s="59"/>
      <c r="AD43" s="59">
        <f t="shared" si="9"/>
        <v>0</v>
      </c>
      <c r="AE43" s="59">
        <f t="shared" si="69"/>
        <v>0</v>
      </c>
      <c r="AF43" s="59"/>
      <c r="AG43" s="59">
        <f t="shared" si="11"/>
        <v>0</v>
      </c>
      <c r="AH43" s="59">
        <f t="shared" si="70"/>
        <v>0</v>
      </c>
      <c r="AI43" s="59"/>
      <c r="AJ43" s="59">
        <f t="shared" si="13"/>
        <v>0</v>
      </c>
      <c r="AK43" s="59">
        <f t="shared" si="71"/>
        <v>0</v>
      </c>
      <c r="AL43" s="59"/>
      <c r="AM43" s="59">
        <f t="shared" si="72"/>
        <v>0</v>
      </c>
      <c r="AN43" s="59">
        <f t="shared" si="43"/>
        <v>0</v>
      </c>
      <c r="AO43" s="59"/>
      <c r="AP43" s="59">
        <f t="shared" si="73"/>
        <v>0</v>
      </c>
      <c r="AQ43" s="59">
        <f t="shared" si="44"/>
        <v>0</v>
      </c>
      <c r="AR43" s="59"/>
      <c r="AS43" s="59">
        <f t="shared" si="17"/>
        <v>0</v>
      </c>
      <c r="AT43" s="59">
        <f t="shared" si="74"/>
        <v>0</v>
      </c>
      <c r="AU43" s="59"/>
      <c r="AV43" s="59">
        <f t="shared" si="75"/>
        <v>0</v>
      </c>
      <c r="AW43" s="59">
        <f t="shared" si="45"/>
        <v>0</v>
      </c>
      <c r="AX43" s="59"/>
      <c r="AY43" s="59">
        <f t="shared" si="76"/>
        <v>0</v>
      </c>
      <c r="AZ43" s="59">
        <f t="shared" si="46"/>
        <v>0</v>
      </c>
      <c r="BA43" s="61">
        <v>0.86625000000000008</v>
      </c>
      <c r="BB43" s="59">
        <f t="shared" si="47"/>
        <v>1.0568250000000001</v>
      </c>
      <c r="BC43" s="59">
        <f t="shared" si="48"/>
        <v>6340.9500000000007</v>
      </c>
      <c r="BD43" s="59"/>
      <c r="BE43" s="59">
        <f t="shared" si="77"/>
        <v>0</v>
      </c>
      <c r="BF43" s="59">
        <f t="shared" si="49"/>
        <v>0</v>
      </c>
      <c r="BG43" s="59"/>
      <c r="BH43" s="59">
        <f t="shared" si="78"/>
        <v>0</v>
      </c>
      <c r="BI43" s="59">
        <f t="shared" si="50"/>
        <v>0</v>
      </c>
      <c r="BJ43" s="59"/>
      <c r="BK43" s="59">
        <f t="shared" si="79"/>
        <v>0</v>
      </c>
      <c r="BL43" s="59">
        <f t="shared" si="51"/>
        <v>0</v>
      </c>
      <c r="BM43" s="59"/>
      <c r="BN43" s="59">
        <f t="shared" si="62"/>
        <v>0</v>
      </c>
      <c r="BO43" s="59">
        <f t="shared" si="80"/>
        <v>0</v>
      </c>
      <c r="BP43" s="59"/>
      <c r="BQ43" s="59">
        <f t="shared" si="59"/>
        <v>0</v>
      </c>
      <c r="BR43" s="59">
        <f t="shared" si="81"/>
        <v>0</v>
      </c>
      <c r="BS43" s="59"/>
      <c r="BT43" s="59">
        <f t="shared" si="25"/>
        <v>0</v>
      </c>
      <c r="BU43" s="59">
        <f t="shared" si="82"/>
        <v>0</v>
      </c>
      <c r="BV43" s="61">
        <v>0.84058333333333346</v>
      </c>
      <c r="BW43" s="59">
        <f t="shared" si="53"/>
        <v>1.0255116666666668</v>
      </c>
      <c r="BX43" s="59">
        <f t="shared" si="54"/>
        <v>6153.0700000000006</v>
      </c>
      <c r="BY43" s="20">
        <f t="shared" si="55"/>
        <v>0.849138888888889</v>
      </c>
      <c r="BZ43" s="20">
        <f t="shared" si="56"/>
        <v>1.0359494444444446</v>
      </c>
      <c r="CA43" s="21">
        <f t="shared" si="57"/>
        <v>5094.8333333333339</v>
      </c>
      <c r="CB43" s="21">
        <f t="shared" si="58"/>
        <v>6215.6966666666676</v>
      </c>
      <c r="CC43" s="20">
        <f t="shared" si="27"/>
        <v>2547.416666666667</v>
      </c>
      <c r="CD43" s="20">
        <f t="shared" si="28"/>
        <v>3107.8483333333338</v>
      </c>
      <c r="CE43" s="20">
        <f t="shared" si="29"/>
        <v>2547.416666666667</v>
      </c>
      <c r="CF43" s="20">
        <f t="shared" si="30"/>
        <v>3107.8483333333338</v>
      </c>
      <c r="CG43" s="20">
        <f t="shared" si="83"/>
        <v>6215.6966666666676</v>
      </c>
      <c r="CH43" s="4">
        <f t="shared" si="32"/>
        <v>9</v>
      </c>
      <c r="CI43" s="3">
        <f t="shared" si="33"/>
        <v>3</v>
      </c>
      <c r="CN43" s="35" t="e">
        <f>MIN((H43,K43,N43,Q43,T43,W43,Z43,AC43,AF43,AI43,AL43,AO43,AR43,AU43,AX43,BA43,BD43,BG43,BJ43,BM43,BP43,BS43,BV43,#REF!,#REF!))</f>
        <v>#REF!</v>
      </c>
      <c r="CO43" s="35" t="e">
        <f>MAX((H43,K43,N43,Q43,T43,W43,Z43,AC43,AF43,AI43,AL43,AO43,AR43,AU43,AX43,BA43,BD43,BG43,BJ43,BM43,BP43,BS43,BV43,#REF!,#REF!))</f>
        <v>#REF!</v>
      </c>
      <c r="CP43" s="47" t="e">
        <f t="shared" si="34"/>
        <v>#REF!</v>
      </c>
      <c r="CQ43" s="41" t="e">
        <f t="shared" si="85"/>
        <v>#REF!</v>
      </c>
      <c r="CS43" s="4">
        <v>1</v>
      </c>
      <c r="CT43" s="4" t="b">
        <f t="shared" si="35"/>
        <v>0</v>
      </c>
      <c r="CU43" s="4">
        <v>1</v>
      </c>
      <c r="CV43" s="4" t="b">
        <f t="shared" si="84"/>
        <v>1</v>
      </c>
      <c r="CW43" s="19">
        <v>2</v>
      </c>
      <c r="CZ43" s="4" t="s">
        <v>147</v>
      </c>
    </row>
    <row r="44" spans="1:104" s="4" customFormat="1" ht="61.5" thickBot="1" x14ac:dyDescent="0.3">
      <c r="A44" s="18">
        <v>28</v>
      </c>
      <c r="B44" s="63" t="s">
        <v>78</v>
      </c>
      <c r="C44" s="48" t="s">
        <v>14</v>
      </c>
      <c r="D44" s="107">
        <f t="shared" si="37"/>
        <v>6000</v>
      </c>
      <c r="E44" s="107">
        <v>3000</v>
      </c>
      <c r="F44" s="107">
        <v>3000</v>
      </c>
      <c r="G44" s="60" t="s">
        <v>17</v>
      </c>
      <c r="H44" s="61">
        <v>1.8262129629629609</v>
      </c>
      <c r="I44" s="59">
        <f t="shared" si="38"/>
        <v>2.227979814814812</v>
      </c>
      <c r="J44" s="59">
        <f t="shared" si="39"/>
        <v>13367.878888888872</v>
      </c>
      <c r="K44" s="59"/>
      <c r="L44" s="59">
        <f t="shared" si="60"/>
        <v>0</v>
      </c>
      <c r="M44" s="59">
        <f t="shared" si="63"/>
        <v>0</v>
      </c>
      <c r="N44" s="59"/>
      <c r="O44" s="59">
        <f t="shared" si="61"/>
        <v>0</v>
      </c>
      <c r="P44" s="59">
        <f t="shared" si="64"/>
        <v>0</v>
      </c>
      <c r="Q44" s="59"/>
      <c r="R44" s="59">
        <f t="shared" si="4"/>
        <v>0</v>
      </c>
      <c r="S44" s="59">
        <f t="shared" si="65"/>
        <v>0</v>
      </c>
      <c r="T44" s="59"/>
      <c r="U44" s="59">
        <f t="shared" si="66"/>
        <v>0</v>
      </c>
      <c r="V44" s="59">
        <f t="shared" si="40"/>
        <v>0</v>
      </c>
      <c r="W44" s="59"/>
      <c r="X44" s="59">
        <f t="shared" si="67"/>
        <v>0</v>
      </c>
      <c r="Y44" s="59">
        <f t="shared" si="41"/>
        <v>0</v>
      </c>
      <c r="Z44" s="59"/>
      <c r="AA44" s="59">
        <f t="shared" si="68"/>
        <v>0</v>
      </c>
      <c r="AB44" s="59">
        <f t="shared" si="42"/>
        <v>0</v>
      </c>
      <c r="AC44" s="59"/>
      <c r="AD44" s="59">
        <f t="shared" si="9"/>
        <v>0</v>
      </c>
      <c r="AE44" s="59">
        <f t="shared" si="69"/>
        <v>0</v>
      </c>
      <c r="AF44" s="59"/>
      <c r="AG44" s="59">
        <f t="shared" si="11"/>
        <v>0</v>
      </c>
      <c r="AH44" s="59">
        <f t="shared" si="70"/>
        <v>0</v>
      </c>
      <c r="AI44" s="59"/>
      <c r="AJ44" s="59">
        <f t="shared" si="13"/>
        <v>0</v>
      </c>
      <c r="AK44" s="59">
        <f t="shared" si="71"/>
        <v>0</v>
      </c>
      <c r="AL44" s="59"/>
      <c r="AM44" s="59">
        <f t="shared" si="72"/>
        <v>0</v>
      </c>
      <c r="AN44" s="59">
        <f t="shared" si="43"/>
        <v>0</v>
      </c>
      <c r="AO44" s="59"/>
      <c r="AP44" s="59">
        <f t="shared" si="73"/>
        <v>0</v>
      </c>
      <c r="AQ44" s="59">
        <f t="shared" si="44"/>
        <v>0</v>
      </c>
      <c r="AR44" s="59"/>
      <c r="AS44" s="59">
        <f t="shared" si="17"/>
        <v>0</v>
      </c>
      <c r="AT44" s="59">
        <f t="shared" si="74"/>
        <v>0</v>
      </c>
      <c r="AU44" s="59"/>
      <c r="AV44" s="59">
        <f t="shared" si="75"/>
        <v>0</v>
      </c>
      <c r="AW44" s="59">
        <f t="shared" si="45"/>
        <v>0</v>
      </c>
      <c r="AX44" s="59"/>
      <c r="AY44" s="59">
        <f t="shared" si="76"/>
        <v>0</v>
      </c>
      <c r="AZ44" s="59">
        <f t="shared" si="46"/>
        <v>0</v>
      </c>
      <c r="BA44" s="61">
        <v>1.783074074074072</v>
      </c>
      <c r="BB44" s="59">
        <f t="shared" si="47"/>
        <v>2.175350370370368</v>
      </c>
      <c r="BC44" s="59">
        <f t="shared" si="48"/>
        <v>13052.102222222209</v>
      </c>
      <c r="BD44" s="59"/>
      <c r="BE44" s="59">
        <f t="shared" si="77"/>
        <v>0</v>
      </c>
      <c r="BF44" s="59">
        <f t="shared" si="49"/>
        <v>0</v>
      </c>
      <c r="BG44" s="59"/>
      <c r="BH44" s="59">
        <f t="shared" si="78"/>
        <v>0</v>
      </c>
      <c r="BI44" s="59">
        <f t="shared" si="50"/>
        <v>0</v>
      </c>
      <c r="BJ44" s="59"/>
      <c r="BK44" s="59">
        <f t="shared" si="79"/>
        <v>0</v>
      </c>
      <c r="BL44" s="59">
        <f t="shared" si="51"/>
        <v>0</v>
      </c>
      <c r="BM44" s="59"/>
      <c r="BN44" s="59">
        <f t="shared" si="62"/>
        <v>0</v>
      </c>
      <c r="BO44" s="59">
        <f t="shared" si="80"/>
        <v>0</v>
      </c>
      <c r="BP44" s="59"/>
      <c r="BQ44" s="59">
        <f t="shared" si="59"/>
        <v>0</v>
      </c>
      <c r="BR44" s="59">
        <f t="shared" si="81"/>
        <v>0</v>
      </c>
      <c r="BS44" s="59"/>
      <c r="BT44" s="59">
        <f t="shared" si="25"/>
        <v>0</v>
      </c>
      <c r="BU44" s="59">
        <f t="shared" si="82"/>
        <v>0</v>
      </c>
      <c r="BV44" s="61">
        <v>1.7974537037037017</v>
      </c>
      <c r="BW44" s="59">
        <f t="shared" si="53"/>
        <v>2.1928935185185159</v>
      </c>
      <c r="BX44" s="59">
        <f t="shared" si="54"/>
        <v>13157.361111111095</v>
      </c>
      <c r="BY44" s="20">
        <f t="shared" si="55"/>
        <v>1.8022469135802448</v>
      </c>
      <c r="BZ44" s="20">
        <f t="shared" si="56"/>
        <v>2.1987412345678985</v>
      </c>
      <c r="CA44" s="21">
        <f t="shared" si="57"/>
        <v>10813.481481481469</v>
      </c>
      <c r="CB44" s="21">
        <f t="shared" si="58"/>
        <v>13192.447407407391</v>
      </c>
      <c r="CC44" s="20">
        <f t="shared" si="27"/>
        <v>5406.7407407407345</v>
      </c>
      <c r="CD44" s="20">
        <f t="shared" si="28"/>
        <v>6596.2237037036957</v>
      </c>
      <c r="CE44" s="20">
        <f t="shared" si="29"/>
        <v>5406.7407407407345</v>
      </c>
      <c r="CF44" s="20">
        <f t="shared" si="30"/>
        <v>6596.2237037036957</v>
      </c>
      <c r="CG44" s="20">
        <f t="shared" si="83"/>
        <v>13192.447407407391</v>
      </c>
      <c r="CH44" s="4">
        <f t="shared" si="32"/>
        <v>9</v>
      </c>
      <c r="CI44" s="3">
        <f t="shared" si="33"/>
        <v>3</v>
      </c>
      <c r="CN44" s="35" t="e">
        <f>MIN((H44,K44,N44,Q44,T44,W44,Z44,AC44,AF44,AI44,AL44,AO44,AR44,AU44,AX44,BA44,BD44,BG44,BJ44,BM44,BP44,BS44,BV44,#REF!,#REF!))</f>
        <v>#REF!</v>
      </c>
      <c r="CO44" s="35" t="e">
        <f>MAX((H44,K44,N44,Q44,T44,W44,Z44,AC44,AF44,AI44,AL44,AO44,AR44,AU44,AX44,BA44,BD44,BG44,BJ44,BM44,BP44,BS44,BV44,#REF!,#REF!))</f>
        <v>#REF!</v>
      </c>
      <c r="CP44" s="47" t="e">
        <f t="shared" si="34"/>
        <v>#REF!</v>
      </c>
      <c r="CQ44" s="41" t="e">
        <f t="shared" si="85"/>
        <v>#REF!</v>
      </c>
      <c r="CS44" s="4">
        <v>1</v>
      </c>
      <c r="CT44" s="4" t="b">
        <f t="shared" si="35"/>
        <v>0</v>
      </c>
      <c r="CU44" s="4">
        <v>0</v>
      </c>
      <c r="CV44" s="4" t="b">
        <f t="shared" si="84"/>
        <v>1</v>
      </c>
      <c r="CW44" s="19">
        <v>1</v>
      </c>
      <c r="CZ44" s="4" t="s">
        <v>147</v>
      </c>
    </row>
    <row r="45" spans="1:104" s="4" customFormat="1" ht="41.25" thickBot="1" x14ac:dyDescent="0.3">
      <c r="A45" s="18">
        <v>29</v>
      </c>
      <c r="B45" s="62" t="s">
        <v>79</v>
      </c>
      <c r="C45" s="48" t="s">
        <v>14</v>
      </c>
      <c r="D45" s="107">
        <f t="shared" si="37"/>
        <v>24</v>
      </c>
      <c r="E45" s="107">
        <v>12</v>
      </c>
      <c r="F45" s="107">
        <v>12</v>
      </c>
      <c r="G45" s="60" t="s">
        <v>50</v>
      </c>
      <c r="H45" s="61">
        <v>57.638888888888893</v>
      </c>
      <c r="I45" s="59">
        <f t="shared" si="38"/>
        <v>70.319444444444443</v>
      </c>
      <c r="J45" s="59">
        <f t="shared" si="39"/>
        <v>1687.6666666666665</v>
      </c>
      <c r="K45" s="59"/>
      <c r="L45" s="59">
        <f t="shared" si="60"/>
        <v>0</v>
      </c>
      <c r="M45" s="59">
        <f t="shared" si="63"/>
        <v>0</v>
      </c>
      <c r="N45" s="59"/>
      <c r="O45" s="59">
        <f t="shared" si="61"/>
        <v>0</v>
      </c>
      <c r="P45" s="59">
        <f t="shared" si="64"/>
        <v>0</v>
      </c>
      <c r="Q45" s="59"/>
      <c r="R45" s="59">
        <f t="shared" si="4"/>
        <v>0</v>
      </c>
      <c r="S45" s="59">
        <f t="shared" si="65"/>
        <v>0</v>
      </c>
      <c r="T45" s="59"/>
      <c r="U45" s="59">
        <f t="shared" si="66"/>
        <v>0</v>
      </c>
      <c r="V45" s="59">
        <f t="shared" si="40"/>
        <v>0</v>
      </c>
      <c r="W45" s="59"/>
      <c r="X45" s="59">
        <f t="shared" si="67"/>
        <v>0</v>
      </c>
      <c r="Y45" s="59">
        <f t="shared" si="41"/>
        <v>0</v>
      </c>
      <c r="Z45" s="59"/>
      <c r="AA45" s="59">
        <f t="shared" si="68"/>
        <v>0</v>
      </c>
      <c r="AB45" s="59">
        <f t="shared" si="42"/>
        <v>0</v>
      </c>
      <c r="AC45" s="59"/>
      <c r="AD45" s="59">
        <f t="shared" si="9"/>
        <v>0</v>
      </c>
      <c r="AE45" s="59">
        <f t="shared" si="69"/>
        <v>0</v>
      </c>
      <c r="AF45" s="59"/>
      <c r="AG45" s="59">
        <f t="shared" si="11"/>
        <v>0</v>
      </c>
      <c r="AH45" s="59">
        <f t="shared" si="70"/>
        <v>0</v>
      </c>
      <c r="AI45" s="59"/>
      <c r="AJ45" s="59">
        <f t="shared" si="13"/>
        <v>0</v>
      </c>
      <c r="AK45" s="59">
        <f t="shared" si="71"/>
        <v>0</v>
      </c>
      <c r="AL45" s="59"/>
      <c r="AM45" s="59">
        <f t="shared" si="72"/>
        <v>0</v>
      </c>
      <c r="AN45" s="59">
        <f t="shared" si="43"/>
        <v>0</v>
      </c>
      <c r="AO45" s="59"/>
      <c r="AP45" s="59">
        <f t="shared" si="73"/>
        <v>0</v>
      </c>
      <c r="AQ45" s="59">
        <f t="shared" si="44"/>
        <v>0</v>
      </c>
      <c r="AR45" s="59"/>
      <c r="AS45" s="59">
        <f t="shared" si="17"/>
        <v>0</v>
      </c>
      <c r="AT45" s="59">
        <f t="shared" si="74"/>
        <v>0</v>
      </c>
      <c r="AU45" s="59"/>
      <c r="AV45" s="59">
        <f t="shared" si="75"/>
        <v>0</v>
      </c>
      <c r="AW45" s="59">
        <f t="shared" si="45"/>
        <v>0</v>
      </c>
      <c r="AX45" s="59"/>
      <c r="AY45" s="59">
        <f t="shared" si="76"/>
        <v>0</v>
      </c>
      <c r="AZ45" s="59">
        <f t="shared" si="46"/>
        <v>0</v>
      </c>
      <c r="BA45" s="61">
        <v>57.177777777777784</v>
      </c>
      <c r="BB45" s="59">
        <f t="shared" si="47"/>
        <v>69.756888888888895</v>
      </c>
      <c r="BC45" s="59">
        <f t="shared" si="48"/>
        <v>1674.1653333333334</v>
      </c>
      <c r="BD45" s="59"/>
      <c r="BE45" s="59">
        <f t="shared" si="77"/>
        <v>0</v>
      </c>
      <c r="BF45" s="59">
        <f t="shared" si="49"/>
        <v>0</v>
      </c>
      <c r="BG45" s="59"/>
      <c r="BH45" s="59">
        <f t="shared" si="78"/>
        <v>0</v>
      </c>
      <c r="BI45" s="59">
        <f t="shared" si="50"/>
        <v>0</v>
      </c>
      <c r="BJ45" s="59"/>
      <c r="BK45" s="59">
        <f t="shared" si="79"/>
        <v>0</v>
      </c>
      <c r="BL45" s="59">
        <f t="shared" si="51"/>
        <v>0</v>
      </c>
      <c r="BM45" s="59"/>
      <c r="BN45" s="59">
        <f t="shared" si="62"/>
        <v>0</v>
      </c>
      <c r="BO45" s="59">
        <f t="shared" si="80"/>
        <v>0</v>
      </c>
      <c r="BP45" s="59"/>
      <c r="BQ45" s="59">
        <f t="shared" si="59"/>
        <v>0</v>
      </c>
      <c r="BR45" s="59">
        <f t="shared" si="81"/>
        <v>0</v>
      </c>
      <c r="BS45" s="59"/>
      <c r="BT45" s="59">
        <f t="shared" si="25"/>
        <v>0</v>
      </c>
      <c r="BU45" s="59">
        <f t="shared" si="82"/>
        <v>0</v>
      </c>
      <c r="BV45" s="61">
        <v>56.25555555555556</v>
      </c>
      <c r="BW45" s="59">
        <f t="shared" si="53"/>
        <v>68.631777777777785</v>
      </c>
      <c r="BX45" s="59">
        <f t="shared" si="54"/>
        <v>1647.1626666666668</v>
      </c>
      <c r="BY45" s="20">
        <f t="shared" si="55"/>
        <v>57.024074074074086</v>
      </c>
      <c r="BZ45" s="20">
        <f t="shared" si="56"/>
        <v>69.569370370370379</v>
      </c>
      <c r="CA45" s="21">
        <f t="shared" si="57"/>
        <v>1368.577777777778</v>
      </c>
      <c r="CB45" s="21">
        <f t="shared" si="58"/>
        <v>1669.6648888888892</v>
      </c>
      <c r="CC45" s="20">
        <f t="shared" si="27"/>
        <v>684.28888888888901</v>
      </c>
      <c r="CD45" s="20">
        <f t="shared" si="28"/>
        <v>834.83244444444449</v>
      </c>
      <c r="CE45" s="20">
        <f t="shared" si="29"/>
        <v>684.28888888888901</v>
      </c>
      <c r="CF45" s="20">
        <f t="shared" si="30"/>
        <v>834.83244444444449</v>
      </c>
      <c r="CG45" s="20">
        <f t="shared" si="83"/>
        <v>1669.664888888889</v>
      </c>
      <c r="CH45" s="4">
        <f t="shared" si="32"/>
        <v>9</v>
      </c>
      <c r="CI45" s="4">
        <f t="shared" si="33"/>
        <v>3</v>
      </c>
      <c r="CN45" s="35" t="e">
        <f>MIN((H45,K45,N45,Q45,T45,W45,Z45,AC45,AF45,AI45,AL45,AO45,AR45,AU45,AX45,BA45,BD45,BG45,BJ45,BM45,BP45,BS45,BV45,#REF!,#REF!))</f>
        <v>#REF!</v>
      </c>
      <c r="CO45" s="35" t="e">
        <f>MAX((H45,K45,N45,Q45,T45,W45,Z45,AC45,AF45,AI45,AL45,AO45,AR45,AU45,AX45,BA45,BD45,BG45,BJ45,BM45,BP45,BS45,BV45,#REF!,#REF!))</f>
        <v>#REF!</v>
      </c>
      <c r="CP45" s="47" t="e">
        <f t="shared" si="34"/>
        <v>#REF!</v>
      </c>
      <c r="CQ45" s="40"/>
      <c r="CS45" s="4">
        <v>0.2</v>
      </c>
      <c r="CT45" s="4" t="b">
        <f t="shared" si="35"/>
        <v>0</v>
      </c>
      <c r="CU45" s="4">
        <v>0</v>
      </c>
      <c r="CV45" s="4" t="b">
        <f t="shared" si="84"/>
        <v>1</v>
      </c>
      <c r="CW45" s="19">
        <v>0.2</v>
      </c>
      <c r="CZ45" s="4" t="s">
        <v>147</v>
      </c>
    </row>
    <row r="46" spans="1:104" s="4" customFormat="1" ht="41.25" thickBot="1" x14ac:dyDescent="0.3">
      <c r="A46" s="18">
        <v>30</v>
      </c>
      <c r="B46" s="63" t="s">
        <v>80</v>
      </c>
      <c r="C46" s="48" t="s">
        <v>14</v>
      </c>
      <c r="D46" s="107">
        <f t="shared" si="37"/>
        <v>24</v>
      </c>
      <c r="E46" s="107">
        <v>12</v>
      </c>
      <c r="F46" s="107">
        <v>12</v>
      </c>
      <c r="G46" s="19" t="s">
        <v>50</v>
      </c>
      <c r="H46" s="61">
        <v>110.1388888888889</v>
      </c>
      <c r="I46" s="59">
        <f t="shared" si="38"/>
        <v>134.36944444444447</v>
      </c>
      <c r="J46" s="59">
        <f t="shared" si="39"/>
        <v>3224.8666666666672</v>
      </c>
      <c r="K46" s="59"/>
      <c r="L46" s="59">
        <f t="shared" si="60"/>
        <v>0</v>
      </c>
      <c r="M46" s="59">
        <f t="shared" si="63"/>
        <v>0</v>
      </c>
      <c r="N46" s="59"/>
      <c r="O46" s="59">
        <f t="shared" si="61"/>
        <v>0</v>
      </c>
      <c r="P46" s="59">
        <f t="shared" si="64"/>
        <v>0</v>
      </c>
      <c r="Q46" s="59"/>
      <c r="R46" s="59">
        <f t="shared" si="4"/>
        <v>0</v>
      </c>
      <c r="S46" s="59">
        <f t="shared" si="65"/>
        <v>0</v>
      </c>
      <c r="T46" s="59"/>
      <c r="U46" s="59">
        <f t="shared" si="66"/>
        <v>0</v>
      </c>
      <c r="V46" s="59">
        <f t="shared" si="40"/>
        <v>0</v>
      </c>
      <c r="W46" s="59"/>
      <c r="X46" s="59">
        <f t="shared" si="67"/>
        <v>0</v>
      </c>
      <c r="Y46" s="59">
        <f t="shared" si="41"/>
        <v>0</v>
      </c>
      <c r="Z46" s="59"/>
      <c r="AA46" s="59">
        <f t="shared" si="68"/>
        <v>0</v>
      </c>
      <c r="AB46" s="59">
        <f t="shared" si="42"/>
        <v>0</v>
      </c>
      <c r="AC46" s="59"/>
      <c r="AD46" s="59">
        <f t="shared" si="9"/>
        <v>0</v>
      </c>
      <c r="AE46" s="59">
        <f t="shared" si="69"/>
        <v>0</v>
      </c>
      <c r="AF46" s="59"/>
      <c r="AG46" s="59">
        <f t="shared" si="11"/>
        <v>0</v>
      </c>
      <c r="AH46" s="59">
        <f t="shared" si="70"/>
        <v>0</v>
      </c>
      <c r="AI46" s="59"/>
      <c r="AJ46" s="59">
        <f t="shared" si="13"/>
        <v>0</v>
      </c>
      <c r="AK46" s="59">
        <f t="shared" si="71"/>
        <v>0</v>
      </c>
      <c r="AL46" s="59"/>
      <c r="AM46" s="59">
        <f t="shared" si="72"/>
        <v>0</v>
      </c>
      <c r="AN46" s="59">
        <f t="shared" si="43"/>
        <v>0</v>
      </c>
      <c r="AO46" s="59"/>
      <c r="AP46" s="59">
        <f t="shared" si="73"/>
        <v>0</v>
      </c>
      <c r="AQ46" s="59">
        <f t="shared" si="44"/>
        <v>0</v>
      </c>
      <c r="AR46" s="59"/>
      <c r="AS46" s="59">
        <f t="shared" si="17"/>
        <v>0</v>
      </c>
      <c r="AT46" s="59">
        <f t="shared" si="74"/>
        <v>0</v>
      </c>
      <c r="AU46" s="59"/>
      <c r="AV46" s="59">
        <f t="shared" si="75"/>
        <v>0</v>
      </c>
      <c r="AW46" s="59">
        <f t="shared" si="45"/>
        <v>0</v>
      </c>
      <c r="AX46" s="59"/>
      <c r="AY46" s="59">
        <f t="shared" si="76"/>
        <v>0</v>
      </c>
      <c r="AZ46" s="59">
        <f t="shared" si="46"/>
        <v>0</v>
      </c>
      <c r="BA46" s="61">
        <v>105.05555555555556</v>
      </c>
      <c r="BB46" s="59">
        <f t="shared" si="47"/>
        <v>128.16777777777779</v>
      </c>
      <c r="BC46" s="59">
        <f t="shared" si="48"/>
        <v>3076.0266666666666</v>
      </c>
      <c r="BD46" s="59"/>
      <c r="BE46" s="59">
        <f t="shared" si="77"/>
        <v>0</v>
      </c>
      <c r="BF46" s="59">
        <f t="shared" si="49"/>
        <v>0</v>
      </c>
      <c r="BG46" s="59"/>
      <c r="BH46" s="59">
        <f t="shared" si="78"/>
        <v>0</v>
      </c>
      <c r="BI46" s="59">
        <f t="shared" si="50"/>
        <v>0</v>
      </c>
      <c r="BJ46" s="59"/>
      <c r="BK46" s="59">
        <f t="shared" si="79"/>
        <v>0</v>
      </c>
      <c r="BL46" s="59">
        <f t="shared" si="51"/>
        <v>0</v>
      </c>
      <c r="BM46" s="59"/>
      <c r="BN46" s="59">
        <f t="shared" si="62"/>
        <v>0</v>
      </c>
      <c r="BO46" s="59">
        <f t="shared" si="80"/>
        <v>0</v>
      </c>
      <c r="BP46" s="59"/>
      <c r="BQ46" s="59">
        <f t="shared" si="59"/>
        <v>0</v>
      </c>
      <c r="BR46" s="59">
        <f t="shared" si="81"/>
        <v>0</v>
      </c>
      <c r="BS46" s="59"/>
      <c r="BT46" s="59">
        <f t="shared" si="25"/>
        <v>0</v>
      </c>
      <c r="BU46" s="59">
        <f t="shared" si="82"/>
        <v>0</v>
      </c>
      <c r="BV46" s="61">
        <v>103.36111111111111</v>
      </c>
      <c r="BW46" s="59">
        <f t="shared" si="53"/>
        <v>126.10055555555556</v>
      </c>
      <c r="BX46" s="59">
        <f t="shared" si="54"/>
        <v>3026.4133333333334</v>
      </c>
      <c r="BY46" s="20">
        <f t="shared" si="55"/>
        <v>106.18518518518518</v>
      </c>
      <c r="BZ46" s="20">
        <f t="shared" si="56"/>
        <v>129.5459259259259</v>
      </c>
      <c r="CA46" s="21">
        <f t="shared" si="57"/>
        <v>2548.4444444444443</v>
      </c>
      <c r="CB46" s="21">
        <f t="shared" si="58"/>
        <v>3109.1022222222218</v>
      </c>
      <c r="CC46" s="20">
        <f t="shared" si="27"/>
        <v>1274.2222222222222</v>
      </c>
      <c r="CD46" s="20">
        <f t="shared" si="28"/>
        <v>1554.5511111111109</v>
      </c>
      <c r="CE46" s="20">
        <f t="shared" si="29"/>
        <v>1274.2222222222222</v>
      </c>
      <c r="CF46" s="20">
        <f t="shared" si="30"/>
        <v>1554.5511111111109</v>
      </c>
      <c r="CG46" s="20">
        <f t="shared" si="83"/>
        <v>3109.1022222222218</v>
      </c>
      <c r="CH46" s="4">
        <f t="shared" si="32"/>
        <v>9</v>
      </c>
      <c r="CI46" s="4">
        <f t="shared" si="33"/>
        <v>3</v>
      </c>
      <c r="CN46" s="35" t="e">
        <f>MIN((H46,K46,N46,Q46,T46,W46,Z46,AC46,AF46,AI46,AL46,AO46,AR46,AU46,AX46,BA46,BD46,BG46,BJ46,BM46,BP46,BS46,BV46,#REF!,#REF!))</f>
        <v>#REF!</v>
      </c>
      <c r="CO46" s="35" t="e">
        <f>MAX((H46,K46,N46,Q46,T46,W46,Z46,AC46,AF46,AI46,AL46,AO46,AR46,AU46,AX46,BA46,BD46,BG46,BJ46,BM46,BP46,BS46,BV46,#REF!,#REF!))</f>
        <v>#REF!</v>
      </c>
      <c r="CP46" s="47" t="e">
        <f t="shared" si="34"/>
        <v>#REF!</v>
      </c>
      <c r="CQ46" s="40"/>
      <c r="CS46" s="4">
        <v>110</v>
      </c>
      <c r="CT46" s="4" t="b">
        <f t="shared" si="35"/>
        <v>0</v>
      </c>
      <c r="CU46" s="4">
        <v>0</v>
      </c>
      <c r="CV46" s="4" t="b">
        <f t="shared" si="84"/>
        <v>1</v>
      </c>
      <c r="CW46" s="19">
        <v>110</v>
      </c>
      <c r="CZ46" s="4" t="s">
        <v>147</v>
      </c>
    </row>
    <row r="47" spans="1:104" s="4" customFormat="1" ht="41.25" thickBot="1" x14ac:dyDescent="0.3">
      <c r="A47" s="18">
        <v>31</v>
      </c>
      <c r="B47" s="62" t="s">
        <v>81</v>
      </c>
      <c r="C47" s="48" t="s">
        <v>14</v>
      </c>
      <c r="D47" s="107">
        <f t="shared" si="37"/>
        <v>24</v>
      </c>
      <c r="E47" s="107">
        <v>12</v>
      </c>
      <c r="F47" s="107">
        <v>12</v>
      </c>
      <c r="G47" s="60" t="s">
        <v>50</v>
      </c>
      <c r="H47" s="61">
        <v>168.62777777777779</v>
      </c>
      <c r="I47" s="59">
        <f t="shared" si="38"/>
        <v>205.7258888888889</v>
      </c>
      <c r="J47" s="59">
        <f t="shared" si="39"/>
        <v>4937.4213333333337</v>
      </c>
      <c r="K47" s="59"/>
      <c r="L47" s="59">
        <f t="shared" si="60"/>
        <v>0</v>
      </c>
      <c r="M47" s="59">
        <f t="shared" si="63"/>
        <v>0</v>
      </c>
      <c r="N47" s="59"/>
      <c r="O47" s="59">
        <f t="shared" si="61"/>
        <v>0</v>
      </c>
      <c r="P47" s="59">
        <f t="shared" si="64"/>
        <v>0</v>
      </c>
      <c r="Q47" s="59"/>
      <c r="R47" s="59">
        <f t="shared" si="4"/>
        <v>0</v>
      </c>
      <c r="S47" s="59">
        <f t="shared" si="65"/>
        <v>0</v>
      </c>
      <c r="T47" s="59"/>
      <c r="U47" s="59">
        <f t="shared" si="66"/>
        <v>0</v>
      </c>
      <c r="V47" s="59">
        <f t="shared" si="40"/>
        <v>0</v>
      </c>
      <c r="W47" s="59"/>
      <c r="X47" s="59">
        <f t="shared" si="67"/>
        <v>0</v>
      </c>
      <c r="Y47" s="59">
        <f t="shared" si="41"/>
        <v>0</v>
      </c>
      <c r="Z47" s="59"/>
      <c r="AA47" s="59">
        <f t="shared" si="68"/>
        <v>0</v>
      </c>
      <c r="AB47" s="59">
        <f t="shared" si="42"/>
        <v>0</v>
      </c>
      <c r="AC47" s="59"/>
      <c r="AD47" s="59">
        <f t="shared" si="9"/>
        <v>0</v>
      </c>
      <c r="AE47" s="59">
        <f t="shared" si="69"/>
        <v>0</v>
      </c>
      <c r="AF47" s="59"/>
      <c r="AG47" s="59">
        <f t="shared" si="11"/>
        <v>0</v>
      </c>
      <c r="AH47" s="59">
        <f t="shared" si="70"/>
        <v>0</v>
      </c>
      <c r="AI47" s="59"/>
      <c r="AJ47" s="59">
        <f t="shared" si="13"/>
        <v>0</v>
      </c>
      <c r="AK47" s="59">
        <f t="shared" si="71"/>
        <v>0</v>
      </c>
      <c r="AL47" s="59"/>
      <c r="AM47" s="59">
        <f t="shared" si="72"/>
        <v>0</v>
      </c>
      <c r="AN47" s="59">
        <f t="shared" si="43"/>
        <v>0</v>
      </c>
      <c r="AO47" s="59"/>
      <c r="AP47" s="59">
        <f t="shared" si="73"/>
        <v>0</v>
      </c>
      <c r="AQ47" s="59">
        <f t="shared" si="44"/>
        <v>0</v>
      </c>
      <c r="AR47" s="59"/>
      <c r="AS47" s="59">
        <f t="shared" si="17"/>
        <v>0</v>
      </c>
      <c r="AT47" s="59">
        <f t="shared" si="74"/>
        <v>0</v>
      </c>
      <c r="AU47" s="59"/>
      <c r="AV47" s="59">
        <f t="shared" si="75"/>
        <v>0</v>
      </c>
      <c r="AW47" s="59">
        <f t="shared" si="45"/>
        <v>0</v>
      </c>
      <c r="AX47" s="59"/>
      <c r="AY47" s="59">
        <f t="shared" si="76"/>
        <v>0</v>
      </c>
      <c r="AZ47" s="59">
        <f t="shared" si="46"/>
        <v>0</v>
      </c>
      <c r="BA47" s="61">
        <v>165.97222222222226</v>
      </c>
      <c r="BB47" s="59">
        <f t="shared" si="47"/>
        <v>202.48611111111114</v>
      </c>
      <c r="BC47" s="59">
        <f t="shared" si="48"/>
        <v>4859.6666666666679</v>
      </c>
      <c r="BD47" s="59"/>
      <c r="BE47" s="59">
        <f t="shared" si="77"/>
        <v>0</v>
      </c>
      <c r="BF47" s="59">
        <f t="shared" si="49"/>
        <v>0</v>
      </c>
      <c r="BG47" s="59"/>
      <c r="BH47" s="59">
        <f t="shared" si="78"/>
        <v>0</v>
      </c>
      <c r="BI47" s="59">
        <f t="shared" si="50"/>
        <v>0</v>
      </c>
      <c r="BJ47" s="59"/>
      <c r="BK47" s="59">
        <f t="shared" si="79"/>
        <v>0</v>
      </c>
      <c r="BL47" s="59">
        <f t="shared" si="51"/>
        <v>0</v>
      </c>
      <c r="BM47" s="59"/>
      <c r="BN47" s="59">
        <f t="shared" si="62"/>
        <v>0</v>
      </c>
      <c r="BO47" s="59">
        <f t="shared" si="80"/>
        <v>0</v>
      </c>
      <c r="BP47" s="59"/>
      <c r="BQ47" s="59">
        <f t="shared" si="59"/>
        <v>0</v>
      </c>
      <c r="BR47" s="59">
        <f t="shared" si="81"/>
        <v>0</v>
      </c>
      <c r="BS47" s="59"/>
      <c r="BT47" s="59">
        <f t="shared" si="25"/>
        <v>0</v>
      </c>
      <c r="BU47" s="59">
        <f t="shared" si="82"/>
        <v>0</v>
      </c>
      <c r="BV47" s="61">
        <v>177.92222222222227</v>
      </c>
      <c r="BW47" s="59">
        <f t="shared" si="53"/>
        <v>217.06511111111118</v>
      </c>
      <c r="BX47" s="59">
        <f t="shared" si="54"/>
        <v>5209.5626666666685</v>
      </c>
      <c r="BY47" s="20">
        <f t="shared" si="55"/>
        <v>170.84074074074078</v>
      </c>
      <c r="BZ47" s="20">
        <f t="shared" si="56"/>
        <v>208.42570370370376</v>
      </c>
      <c r="CA47" s="21">
        <f t="shared" si="57"/>
        <v>4100.1777777777788</v>
      </c>
      <c r="CB47" s="21">
        <f t="shared" si="58"/>
        <v>5002.21688888889</v>
      </c>
      <c r="CC47" s="20">
        <f t="shared" si="27"/>
        <v>2050.0888888888894</v>
      </c>
      <c r="CD47" s="20">
        <f t="shared" si="28"/>
        <v>2501.108444444445</v>
      </c>
      <c r="CE47" s="20">
        <f t="shared" si="29"/>
        <v>2050.0888888888894</v>
      </c>
      <c r="CF47" s="20">
        <f t="shared" si="30"/>
        <v>2501.108444444445</v>
      </c>
      <c r="CG47" s="20">
        <f t="shared" si="83"/>
        <v>5002.21688888889</v>
      </c>
      <c r="CH47" s="4">
        <f t="shared" si="32"/>
        <v>9</v>
      </c>
      <c r="CI47" s="4">
        <f t="shared" si="33"/>
        <v>3</v>
      </c>
      <c r="CN47" s="35" t="e">
        <f>MIN((H47,K47,N47,Q47,T47,W47,Z47,AC47,AF47,AI47,AL47,AO47,AR47,AU47,AX47,BA47,BD47,BG47,BJ47,BM47,BP47,BS47,BV47,#REF!,#REF!))</f>
        <v>#REF!</v>
      </c>
      <c r="CO47" s="35" t="e">
        <f>MAX((H47,K47,N47,Q47,T47,W47,Z47,AC47,AF47,AI47,AL47,AO47,AR47,AU47,AX47,BA47,BD47,BG47,BJ47,BM47,BP47,BS47,BV47,#REF!,#REF!))</f>
        <v>#REF!</v>
      </c>
      <c r="CP47" s="47" t="e">
        <f t="shared" si="34"/>
        <v>#REF!</v>
      </c>
      <c r="CQ47" s="40"/>
      <c r="CS47" s="4">
        <v>9</v>
      </c>
      <c r="CT47" s="4" t="b">
        <f t="shared" si="35"/>
        <v>0</v>
      </c>
      <c r="CU47" s="4">
        <v>1</v>
      </c>
      <c r="CV47" s="4" t="b">
        <f t="shared" si="84"/>
        <v>1</v>
      </c>
      <c r="CW47" s="19">
        <v>10</v>
      </c>
      <c r="CZ47" s="4" t="s">
        <v>147</v>
      </c>
    </row>
    <row r="48" spans="1:104" s="4" customFormat="1" ht="61.5" thickBot="1" x14ac:dyDescent="0.3">
      <c r="A48" s="18">
        <v>32</v>
      </c>
      <c r="B48" s="62" t="s">
        <v>82</v>
      </c>
      <c r="C48" s="48" t="s">
        <v>14</v>
      </c>
      <c r="D48" s="107">
        <f t="shared" si="37"/>
        <v>12</v>
      </c>
      <c r="E48" s="107">
        <v>6</v>
      </c>
      <c r="F48" s="107">
        <v>6</v>
      </c>
      <c r="G48" s="60" t="s">
        <v>143</v>
      </c>
      <c r="H48" s="61">
        <v>98.541666666666686</v>
      </c>
      <c r="I48" s="59">
        <f t="shared" si="38"/>
        <v>120.22083333333336</v>
      </c>
      <c r="J48" s="59">
        <f t="shared" si="39"/>
        <v>1442.6500000000003</v>
      </c>
      <c r="K48" s="59"/>
      <c r="L48" s="59">
        <f t="shared" si="60"/>
        <v>0</v>
      </c>
      <c r="M48" s="59">
        <f t="shared" si="63"/>
        <v>0</v>
      </c>
      <c r="N48" s="59"/>
      <c r="O48" s="59">
        <f t="shared" si="61"/>
        <v>0</v>
      </c>
      <c r="P48" s="59">
        <f t="shared" si="64"/>
        <v>0</v>
      </c>
      <c r="Q48" s="59"/>
      <c r="R48" s="59">
        <f t="shared" si="4"/>
        <v>0</v>
      </c>
      <c r="S48" s="59">
        <f t="shared" si="65"/>
        <v>0</v>
      </c>
      <c r="T48" s="59"/>
      <c r="U48" s="59">
        <f t="shared" si="66"/>
        <v>0</v>
      </c>
      <c r="V48" s="59">
        <f t="shared" si="40"/>
        <v>0</v>
      </c>
      <c r="W48" s="59"/>
      <c r="X48" s="59">
        <f t="shared" si="67"/>
        <v>0</v>
      </c>
      <c r="Y48" s="59">
        <f t="shared" si="41"/>
        <v>0</v>
      </c>
      <c r="Z48" s="59"/>
      <c r="AA48" s="59">
        <f t="shared" si="68"/>
        <v>0</v>
      </c>
      <c r="AB48" s="59">
        <f t="shared" si="42"/>
        <v>0</v>
      </c>
      <c r="AC48" s="59"/>
      <c r="AD48" s="59">
        <f t="shared" si="9"/>
        <v>0</v>
      </c>
      <c r="AE48" s="59">
        <f t="shared" si="69"/>
        <v>0</v>
      </c>
      <c r="AF48" s="59"/>
      <c r="AG48" s="59">
        <f t="shared" si="11"/>
        <v>0</v>
      </c>
      <c r="AH48" s="59">
        <f t="shared" si="70"/>
        <v>0</v>
      </c>
      <c r="AI48" s="59"/>
      <c r="AJ48" s="59">
        <f t="shared" si="13"/>
        <v>0</v>
      </c>
      <c r="AK48" s="59">
        <f t="shared" si="71"/>
        <v>0</v>
      </c>
      <c r="AL48" s="59"/>
      <c r="AM48" s="59">
        <f t="shared" si="72"/>
        <v>0</v>
      </c>
      <c r="AN48" s="59">
        <f t="shared" si="43"/>
        <v>0</v>
      </c>
      <c r="AO48" s="59"/>
      <c r="AP48" s="59">
        <f t="shared" si="73"/>
        <v>0</v>
      </c>
      <c r="AQ48" s="59">
        <f t="shared" si="44"/>
        <v>0</v>
      </c>
      <c r="AR48" s="59"/>
      <c r="AS48" s="59">
        <f t="shared" si="17"/>
        <v>0</v>
      </c>
      <c r="AT48" s="59">
        <f t="shared" si="74"/>
        <v>0</v>
      </c>
      <c r="AU48" s="59"/>
      <c r="AV48" s="59">
        <f t="shared" si="75"/>
        <v>0</v>
      </c>
      <c r="AW48" s="59">
        <f t="shared" si="45"/>
        <v>0</v>
      </c>
      <c r="AX48" s="59"/>
      <c r="AY48" s="59">
        <f t="shared" si="76"/>
        <v>0</v>
      </c>
      <c r="AZ48" s="59">
        <f t="shared" si="46"/>
        <v>0</v>
      </c>
      <c r="BA48" s="61">
        <v>98.541666666666686</v>
      </c>
      <c r="BB48" s="59">
        <f t="shared" si="47"/>
        <v>120.22083333333336</v>
      </c>
      <c r="BC48" s="59">
        <f t="shared" si="48"/>
        <v>1442.6500000000003</v>
      </c>
      <c r="BD48" s="59"/>
      <c r="BE48" s="59">
        <f t="shared" si="77"/>
        <v>0</v>
      </c>
      <c r="BF48" s="59">
        <f t="shared" si="49"/>
        <v>0</v>
      </c>
      <c r="BG48" s="59"/>
      <c r="BH48" s="59">
        <f t="shared" si="78"/>
        <v>0</v>
      </c>
      <c r="BI48" s="59">
        <f t="shared" si="50"/>
        <v>0</v>
      </c>
      <c r="BJ48" s="59"/>
      <c r="BK48" s="59">
        <f t="shared" si="79"/>
        <v>0</v>
      </c>
      <c r="BL48" s="59">
        <f t="shared" si="51"/>
        <v>0</v>
      </c>
      <c r="BM48" s="59"/>
      <c r="BN48" s="59">
        <f t="shared" si="62"/>
        <v>0</v>
      </c>
      <c r="BO48" s="59">
        <f t="shared" si="80"/>
        <v>0</v>
      </c>
      <c r="BP48" s="59"/>
      <c r="BQ48" s="59">
        <f t="shared" si="59"/>
        <v>0</v>
      </c>
      <c r="BR48" s="59">
        <f t="shared" si="81"/>
        <v>0</v>
      </c>
      <c r="BS48" s="59"/>
      <c r="BT48" s="59">
        <f t="shared" si="25"/>
        <v>0</v>
      </c>
      <c r="BU48" s="59">
        <f t="shared" si="82"/>
        <v>0</v>
      </c>
      <c r="BV48" s="61">
        <v>102.36111111111113</v>
      </c>
      <c r="BW48" s="59">
        <f t="shared" si="53"/>
        <v>124.88055555555557</v>
      </c>
      <c r="BX48" s="59">
        <f t="shared" si="54"/>
        <v>1498.5666666666668</v>
      </c>
      <c r="BY48" s="20">
        <f t="shared" si="55"/>
        <v>99.814814814814838</v>
      </c>
      <c r="BZ48" s="20">
        <f t="shared" si="56"/>
        <v>121.77407407407409</v>
      </c>
      <c r="CA48" s="21">
        <f t="shared" si="57"/>
        <v>1197.7777777777781</v>
      </c>
      <c r="CB48" s="21">
        <f t="shared" si="58"/>
        <v>1461.2888888888892</v>
      </c>
      <c r="CC48" s="20">
        <f t="shared" si="27"/>
        <v>598.88888888888903</v>
      </c>
      <c r="CD48" s="20">
        <f t="shared" si="28"/>
        <v>730.64444444444462</v>
      </c>
      <c r="CE48" s="20">
        <f t="shared" si="29"/>
        <v>598.88888888888903</v>
      </c>
      <c r="CF48" s="20">
        <f t="shared" si="30"/>
        <v>730.64444444444462</v>
      </c>
      <c r="CG48" s="20">
        <f t="shared" si="83"/>
        <v>1461.2888888888892</v>
      </c>
      <c r="CH48" s="4">
        <f t="shared" si="32"/>
        <v>9</v>
      </c>
      <c r="CI48" s="4">
        <f t="shared" si="33"/>
        <v>3</v>
      </c>
      <c r="CN48" s="35" t="e">
        <f>MIN((H48,K48,N48,Q48,T48,W48,Z48,AC48,AF48,AI48,AL48,AO48,AR48,AU48,AX48,BA48,BD48,BG48,BJ48,BM48,BP48,BS48,BV48,#REF!,#REF!))</f>
        <v>#REF!</v>
      </c>
      <c r="CO48" s="35" t="e">
        <f>MAX((H48,K48,N48,Q48,T48,W48,Z48,AC48,AF48,AI48,AL48,AO48,AR48,AU48,AX48,BA48,BD48,BG48,BJ48,BM48,BP48,BS48,BV48,#REF!,#REF!))</f>
        <v>#REF!</v>
      </c>
      <c r="CP48" s="47" t="e">
        <f t="shared" si="34"/>
        <v>#REF!</v>
      </c>
      <c r="CQ48" s="40"/>
      <c r="CS48" s="4">
        <v>0.05</v>
      </c>
      <c r="CT48" s="4" t="b">
        <f t="shared" si="35"/>
        <v>0</v>
      </c>
      <c r="CU48" s="4">
        <v>0</v>
      </c>
      <c r="CV48" s="4" t="b">
        <f t="shared" si="84"/>
        <v>1</v>
      </c>
      <c r="CW48" s="19">
        <v>0.05</v>
      </c>
      <c r="CZ48" s="4" t="s">
        <v>147</v>
      </c>
    </row>
    <row r="49" spans="1:104" s="4" customFormat="1" ht="61.5" thickBot="1" x14ac:dyDescent="0.3">
      <c r="A49" s="18">
        <v>33</v>
      </c>
      <c r="B49" s="62" t="s">
        <v>83</v>
      </c>
      <c r="C49" s="48" t="s">
        <v>14</v>
      </c>
      <c r="D49" s="107">
        <f t="shared" si="37"/>
        <v>12</v>
      </c>
      <c r="E49" s="107">
        <v>6</v>
      </c>
      <c r="F49" s="107">
        <v>6</v>
      </c>
      <c r="G49" s="60" t="s">
        <v>143</v>
      </c>
      <c r="H49" s="61">
        <v>344.58274999999998</v>
      </c>
      <c r="I49" s="59">
        <f t="shared" si="38"/>
        <v>420.39095499999996</v>
      </c>
      <c r="J49" s="59">
        <f t="shared" si="39"/>
        <v>5044.69146</v>
      </c>
      <c r="K49" s="59"/>
      <c r="L49" s="59">
        <f t="shared" si="60"/>
        <v>0</v>
      </c>
      <c r="M49" s="59">
        <f t="shared" si="63"/>
        <v>0</v>
      </c>
      <c r="N49" s="59"/>
      <c r="O49" s="59">
        <f t="shared" si="61"/>
        <v>0</v>
      </c>
      <c r="P49" s="59">
        <f t="shared" si="64"/>
        <v>0</v>
      </c>
      <c r="Q49" s="59"/>
      <c r="R49" s="59">
        <f t="shared" si="4"/>
        <v>0</v>
      </c>
      <c r="S49" s="59">
        <f t="shared" si="65"/>
        <v>0</v>
      </c>
      <c r="T49" s="59"/>
      <c r="U49" s="59">
        <f t="shared" si="66"/>
        <v>0</v>
      </c>
      <c r="V49" s="59">
        <f t="shared" si="40"/>
        <v>0</v>
      </c>
      <c r="W49" s="59"/>
      <c r="X49" s="59">
        <f t="shared" si="67"/>
        <v>0</v>
      </c>
      <c r="Y49" s="59">
        <f t="shared" si="41"/>
        <v>0</v>
      </c>
      <c r="Z49" s="59"/>
      <c r="AA49" s="59">
        <f t="shared" si="68"/>
        <v>0</v>
      </c>
      <c r="AB49" s="59">
        <f t="shared" si="42"/>
        <v>0</v>
      </c>
      <c r="AC49" s="59"/>
      <c r="AD49" s="59">
        <f t="shared" si="9"/>
        <v>0</v>
      </c>
      <c r="AE49" s="59">
        <f t="shared" si="69"/>
        <v>0</v>
      </c>
      <c r="AF49" s="59"/>
      <c r="AG49" s="59">
        <f t="shared" si="11"/>
        <v>0</v>
      </c>
      <c r="AH49" s="59">
        <f t="shared" si="70"/>
        <v>0</v>
      </c>
      <c r="AI49" s="59"/>
      <c r="AJ49" s="59">
        <f t="shared" si="13"/>
        <v>0</v>
      </c>
      <c r="AK49" s="59">
        <f t="shared" si="71"/>
        <v>0</v>
      </c>
      <c r="AL49" s="59"/>
      <c r="AM49" s="59">
        <f t="shared" si="72"/>
        <v>0</v>
      </c>
      <c r="AN49" s="59">
        <f t="shared" si="43"/>
        <v>0</v>
      </c>
      <c r="AO49" s="59"/>
      <c r="AP49" s="59">
        <f t="shared" si="73"/>
        <v>0</v>
      </c>
      <c r="AQ49" s="59">
        <f t="shared" si="44"/>
        <v>0</v>
      </c>
      <c r="AR49" s="59"/>
      <c r="AS49" s="59">
        <f t="shared" si="17"/>
        <v>0</v>
      </c>
      <c r="AT49" s="59">
        <f t="shared" si="74"/>
        <v>0</v>
      </c>
      <c r="AU49" s="59"/>
      <c r="AV49" s="59">
        <f t="shared" si="75"/>
        <v>0</v>
      </c>
      <c r="AW49" s="59">
        <f t="shared" si="45"/>
        <v>0</v>
      </c>
      <c r="AX49" s="59"/>
      <c r="AY49" s="59">
        <f t="shared" si="76"/>
        <v>0</v>
      </c>
      <c r="AZ49" s="59">
        <f t="shared" si="46"/>
        <v>0</v>
      </c>
      <c r="BA49" s="61">
        <v>358.149</v>
      </c>
      <c r="BB49" s="59">
        <f t="shared" si="47"/>
        <v>436.94177999999999</v>
      </c>
      <c r="BC49" s="59">
        <f t="shared" si="48"/>
        <v>5243.3013599999995</v>
      </c>
      <c r="BD49" s="59"/>
      <c r="BE49" s="59">
        <f t="shared" si="77"/>
        <v>0</v>
      </c>
      <c r="BF49" s="59">
        <f t="shared" si="49"/>
        <v>0</v>
      </c>
      <c r="BG49" s="59"/>
      <c r="BH49" s="59">
        <f t="shared" si="78"/>
        <v>0</v>
      </c>
      <c r="BI49" s="59">
        <f t="shared" si="50"/>
        <v>0</v>
      </c>
      <c r="BJ49" s="59"/>
      <c r="BK49" s="59">
        <f t="shared" si="79"/>
        <v>0</v>
      </c>
      <c r="BL49" s="59">
        <f t="shared" si="51"/>
        <v>0</v>
      </c>
      <c r="BM49" s="59"/>
      <c r="BN49" s="59">
        <f t="shared" si="62"/>
        <v>0</v>
      </c>
      <c r="BO49" s="59">
        <f t="shared" si="80"/>
        <v>0</v>
      </c>
      <c r="BP49" s="59"/>
      <c r="BQ49" s="59">
        <f t="shared" si="59"/>
        <v>0</v>
      </c>
      <c r="BR49" s="59">
        <f t="shared" si="81"/>
        <v>0</v>
      </c>
      <c r="BS49" s="59"/>
      <c r="BT49" s="59">
        <f t="shared" si="25"/>
        <v>0</v>
      </c>
      <c r="BU49" s="59">
        <f t="shared" si="82"/>
        <v>0</v>
      </c>
      <c r="BV49" s="61">
        <v>344.58274999999998</v>
      </c>
      <c r="BW49" s="59">
        <f t="shared" si="53"/>
        <v>420.39095499999996</v>
      </c>
      <c r="BX49" s="59">
        <f t="shared" si="54"/>
        <v>5044.69146</v>
      </c>
      <c r="BY49" s="20">
        <f t="shared" si="55"/>
        <v>349.10483333333332</v>
      </c>
      <c r="BZ49" s="20">
        <f t="shared" si="56"/>
        <v>425.90789666666666</v>
      </c>
      <c r="CA49" s="21">
        <f t="shared" si="57"/>
        <v>4189.2579999999998</v>
      </c>
      <c r="CB49" s="21">
        <f t="shared" si="58"/>
        <v>5110.8947599999992</v>
      </c>
      <c r="CC49" s="20">
        <f t="shared" ref="CC49:CC80" si="86">$E49*$BY49</f>
        <v>2094.6289999999999</v>
      </c>
      <c r="CD49" s="20">
        <f t="shared" ref="CD49:CD80" si="87">$E49*$BZ49</f>
        <v>2555.4473800000001</v>
      </c>
      <c r="CE49" s="20">
        <f t="shared" ref="CE49:CE80" si="88">$F49*$BY49</f>
        <v>2094.6289999999999</v>
      </c>
      <c r="CF49" s="20">
        <f t="shared" ref="CF49:CF80" si="89">$F49*$BZ49</f>
        <v>2555.4473800000001</v>
      </c>
      <c r="CG49" s="20">
        <f t="shared" si="83"/>
        <v>5110.8947600000001</v>
      </c>
      <c r="CH49" s="4">
        <f t="shared" ref="CH49:CH80" si="90">COUNTIF(H49:BX49,"&gt;0")</f>
        <v>9</v>
      </c>
      <c r="CI49" s="4">
        <f t="shared" si="33"/>
        <v>3</v>
      </c>
      <c r="CN49" s="35" t="e">
        <f>MIN((H49,K49,N49,Q49,T49,W49,Z49,AC49,AF49,AI49,AL49,AO49,AR49,AU49,AX49,BA49,BD49,BG49,BJ49,BM49,BP49,BS49,BV49,#REF!,#REF!))</f>
        <v>#REF!</v>
      </c>
      <c r="CO49" s="35" t="e">
        <f>MAX((H49,K49,N49,Q49,T49,W49,Z49,AC49,AF49,AI49,AL49,AO49,AR49,AU49,AX49,BA49,BD49,BG49,BJ49,BM49,BP49,BS49,BV49,#REF!,#REF!))</f>
        <v>#REF!</v>
      </c>
      <c r="CP49" s="47" t="e">
        <f t="shared" si="34"/>
        <v>#REF!</v>
      </c>
      <c r="CQ49" s="40"/>
      <c r="CS49" s="4">
        <v>12</v>
      </c>
      <c r="CT49" s="4" t="b">
        <f t="shared" ref="CT49:CT80" si="91">CS49=E49</f>
        <v>0</v>
      </c>
      <c r="CU49" s="4">
        <v>2</v>
      </c>
      <c r="CV49" s="4" t="b">
        <f t="shared" si="84"/>
        <v>1</v>
      </c>
      <c r="CW49" s="19">
        <v>14</v>
      </c>
      <c r="CZ49" s="4" t="s">
        <v>147</v>
      </c>
    </row>
    <row r="50" spans="1:104" s="4" customFormat="1" ht="61.5" thickBot="1" x14ac:dyDescent="0.3">
      <c r="A50" s="18">
        <v>34</v>
      </c>
      <c r="B50" s="62" t="s">
        <v>84</v>
      </c>
      <c r="C50" s="48" t="s">
        <v>14</v>
      </c>
      <c r="D50" s="107">
        <f t="shared" si="37"/>
        <v>12</v>
      </c>
      <c r="E50" s="107">
        <v>6</v>
      </c>
      <c r="F50" s="107">
        <v>6</v>
      </c>
      <c r="G50" s="60" t="s">
        <v>143</v>
      </c>
      <c r="H50" s="61">
        <v>264.66002777777783</v>
      </c>
      <c r="I50" s="59">
        <f t="shared" si="38"/>
        <v>322.88523388888893</v>
      </c>
      <c r="J50" s="59">
        <f t="shared" si="39"/>
        <v>3874.6228066666672</v>
      </c>
      <c r="K50" s="59"/>
      <c r="L50" s="59">
        <f t="shared" si="60"/>
        <v>0</v>
      </c>
      <c r="M50" s="59">
        <f t="shared" si="63"/>
        <v>0</v>
      </c>
      <c r="N50" s="59"/>
      <c r="O50" s="59">
        <f t="shared" si="61"/>
        <v>0</v>
      </c>
      <c r="P50" s="59">
        <f t="shared" si="64"/>
        <v>0</v>
      </c>
      <c r="Q50" s="59"/>
      <c r="R50" s="59">
        <f t="shared" si="4"/>
        <v>0</v>
      </c>
      <c r="S50" s="59">
        <f t="shared" si="65"/>
        <v>0</v>
      </c>
      <c r="T50" s="59"/>
      <c r="U50" s="59">
        <f t="shared" si="66"/>
        <v>0</v>
      </c>
      <c r="V50" s="59">
        <f t="shared" si="40"/>
        <v>0</v>
      </c>
      <c r="W50" s="59"/>
      <c r="X50" s="59">
        <f t="shared" si="67"/>
        <v>0</v>
      </c>
      <c r="Y50" s="59">
        <f t="shared" si="41"/>
        <v>0</v>
      </c>
      <c r="Z50" s="59"/>
      <c r="AA50" s="59">
        <f t="shared" si="68"/>
        <v>0</v>
      </c>
      <c r="AB50" s="59">
        <f t="shared" si="42"/>
        <v>0</v>
      </c>
      <c r="AC50" s="59"/>
      <c r="AD50" s="59">
        <f t="shared" si="9"/>
        <v>0</v>
      </c>
      <c r="AE50" s="59">
        <f t="shared" si="69"/>
        <v>0</v>
      </c>
      <c r="AF50" s="59"/>
      <c r="AG50" s="59">
        <f t="shared" si="11"/>
        <v>0</v>
      </c>
      <c r="AH50" s="59">
        <f t="shared" si="70"/>
        <v>0</v>
      </c>
      <c r="AI50" s="59"/>
      <c r="AJ50" s="59">
        <f t="shared" si="13"/>
        <v>0</v>
      </c>
      <c r="AK50" s="59">
        <f t="shared" si="71"/>
        <v>0</v>
      </c>
      <c r="AL50" s="59"/>
      <c r="AM50" s="59">
        <f t="shared" si="72"/>
        <v>0</v>
      </c>
      <c r="AN50" s="59">
        <f t="shared" si="43"/>
        <v>0</v>
      </c>
      <c r="AO50" s="59"/>
      <c r="AP50" s="59">
        <f t="shared" si="73"/>
        <v>0</v>
      </c>
      <c r="AQ50" s="59">
        <f t="shared" si="44"/>
        <v>0</v>
      </c>
      <c r="AR50" s="59"/>
      <c r="AS50" s="59">
        <f t="shared" si="17"/>
        <v>0</v>
      </c>
      <c r="AT50" s="59">
        <f t="shared" si="74"/>
        <v>0</v>
      </c>
      <c r="AU50" s="59"/>
      <c r="AV50" s="59">
        <f t="shared" si="75"/>
        <v>0</v>
      </c>
      <c r="AW50" s="59">
        <f t="shared" si="45"/>
        <v>0</v>
      </c>
      <c r="AX50" s="59"/>
      <c r="AY50" s="59">
        <f t="shared" si="76"/>
        <v>0</v>
      </c>
      <c r="AZ50" s="59">
        <f t="shared" si="46"/>
        <v>0</v>
      </c>
      <c r="BA50" s="61">
        <v>248.49758333333335</v>
      </c>
      <c r="BB50" s="59">
        <f t="shared" si="47"/>
        <v>303.16705166666668</v>
      </c>
      <c r="BC50" s="59">
        <f t="shared" si="48"/>
        <v>3638.0046200000002</v>
      </c>
      <c r="BD50" s="59"/>
      <c r="BE50" s="59">
        <f t="shared" si="77"/>
        <v>0</v>
      </c>
      <c r="BF50" s="59">
        <f t="shared" si="49"/>
        <v>0</v>
      </c>
      <c r="BG50" s="59"/>
      <c r="BH50" s="59">
        <f t="shared" si="78"/>
        <v>0</v>
      </c>
      <c r="BI50" s="59">
        <f t="shared" si="50"/>
        <v>0</v>
      </c>
      <c r="BJ50" s="59"/>
      <c r="BK50" s="59">
        <f t="shared" si="79"/>
        <v>0</v>
      </c>
      <c r="BL50" s="59">
        <f t="shared" si="51"/>
        <v>0</v>
      </c>
      <c r="BM50" s="59"/>
      <c r="BN50" s="59">
        <f t="shared" si="62"/>
        <v>0</v>
      </c>
      <c r="BO50" s="59">
        <f t="shared" si="80"/>
        <v>0</v>
      </c>
      <c r="BP50" s="59"/>
      <c r="BQ50" s="59">
        <f t="shared" si="59"/>
        <v>0</v>
      </c>
      <c r="BR50" s="59">
        <f t="shared" si="81"/>
        <v>0</v>
      </c>
      <c r="BS50" s="59"/>
      <c r="BT50" s="59">
        <f t="shared" si="25"/>
        <v>0</v>
      </c>
      <c r="BU50" s="59">
        <f t="shared" si="82"/>
        <v>0</v>
      </c>
      <c r="BV50" s="61">
        <v>260.61941666666667</v>
      </c>
      <c r="BW50" s="59">
        <f t="shared" si="53"/>
        <v>317.95568833333334</v>
      </c>
      <c r="BX50" s="59">
        <f t="shared" si="54"/>
        <v>3815.4682600000001</v>
      </c>
      <c r="BY50" s="20">
        <f t="shared" si="55"/>
        <v>257.92567592592599</v>
      </c>
      <c r="BZ50" s="20">
        <f t="shared" si="56"/>
        <v>314.66932462962967</v>
      </c>
      <c r="CA50" s="21">
        <f t="shared" si="57"/>
        <v>3095.1081111111116</v>
      </c>
      <c r="CB50" s="21">
        <f t="shared" si="58"/>
        <v>3776.0318955555563</v>
      </c>
      <c r="CC50" s="20">
        <f t="shared" si="86"/>
        <v>1547.5540555555558</v>
      </c>
      <c r="CD50" s="20">
        <f t="shared" si="87"/>
        <v>1888.0159477777779</v>
      </c>
      <c r="CE50" s="20">
        <f t="shared" si="88"/>
        <v>1547.5540555555558</v>
      </c>
      <c r="CF50" s="20">
        <f t="shared" si="89"/>
        <v>1888.0159477777779</v>
      </c>
      <c r="CG50" s="20">
        <f t="shared" si="83"/>
        <v>3776.0318955555558</v>
      </c>
      <c r="CH50" s="4">
        <f t="shared" si="90"/>
        <v>9</v>
      </c>
      <c r="CI50" s="4">
        <f t="shared" si="33"/>
        <v>3</v>
      </c>
      <c r="CN50" s="35" t="e">
        <f>MIN((H50,K50,N50,Q50,T50,W50,Z50,AC50,AF50,AI50,AL50,AO50,AR50,AU50,AX50,BA50,BD50,BG50,BJ50,BM50,BP50,BS50,BV50,#REF!,#REF!))</f>
        <v>#REF!</v>
      </c>
      <c r="CO50" s="35" t="e">
        <f>MAX((H50,K50,N50,Q50,T50,W50,Z50,AC50,AF50,AI50,AL50,AO50,AR50,AU50,AX50,BA50,BD50,BG50,BJ50,BM50,BP50,BS50,BV50,#REF!,#REF!))</f>
        <v>#REF!</v>
      </c>
      <c r="CP50" s="47" t="e">
        <f t="shared" si="34"/>
        <v>#REF!</v>
      </c>
      <c r="CQ50" s="40"/>
      <c r="CS50" s="4">
        <v>0.15000000000000002</v>
      </c>
      <c r="CT50" s="4" t="b">
        <f t="shared" si="91"/>
        <v>0</v>
      </c>
      <c r="CU50" s="4">
        <v>0</v>
      </c>
      <c r="CV50" s="4" t="b">
        <f t="shared" si="84"/>
        <v>1</v>
      </c>
      <c r="CW50" s="19">
        <v>0.15000000000000002</v>
      </c>
      <c r="CZ50" s="4" t="s">
        <v>147</v>
      </c>
    </row>
    <row r="51" spans="1:104" s="4" customFormat="1" ht="61.5" thickBot="1" x14ac:dyDescent="0.3">
      <c r="A51" s="18">
        <v>35</v>
      </c>
      <c r="B51" s="62" t="s">
        <v>85</v>
      </c>
      <c r="C51" s="48" t="s">
        <v>14</v>
      </c>
      <c r="D51" s="107">
        <f t="shared" si="37"/>
        <v>12</v>
      </c>
      <c r="E51" s="107">
        <v>6</v>
      </c>
      <c r="F51" s="107">
        <v>6</v>
      </c>
      <c r="G51" s="60" t="s">
        <v>143</v>
      </c>
      <c r="H51" s="61">
        <v>222.79166666666669</v>
      </c>
      <c r="I51" s="59">
        <f t="shared" si="38"/>
        <v>271.80583333333334</v>
      </c>
      <c r="J51" s="59">
        <f t="shared" si="39"/>
        <v>3261.67</v>
      </c>
      <c r="K51" s="59"/>
      <c r="L51" s="59">
        <f t="shared" si="60"/>
        <v>0</v>
      </c>
      <c r="M51" s="59">
        <f t="shared" si="63"/>
        <v>0</v>
      </c>
      <c r="N51" s="59"/>
      <c r="O51" s="59">
        <f t="shared" si="61"/>
        <v>0</v>
      </c>
      <c r="P51" s="59">
        <f t="shared" si="64"/>
        <v>0</v>
      </c>
      <c r="Q51" s="59"/>
      <c r="R51" s="59">
        <f t="shared" si="4"/>
        <v>0</v>
      </c>
      <c r="S51" s="59">
        <f t="shared" si="65"/>
        <v>0</v>
      </c>
      <c r="T51" s="59"/>
      <c r="U51" s="59">
        <f t="shared" si="66"/>
        <v>0</v>
      </c>
      <c r="V51" s="59">
        <f t="shared" si="40"/>
        <v>0</v>
      </c>
      <c r="W51" s="59"/>
      <c r="X51" s="59">
        <f t="shared" si="67"/>
        <v>0</v>
      </c>
      <c r="Y51" s="59">
        <f t="shared" si="41"/>
        <v>0</v>
      </c>
      <c r="Z51" s="59"/>
      <c r="AA51" s="59">
        <f t="shared" si="68"/>
        <v>0</v>
      </c>
      <c r="AB51" s="59">
        <f t="shared" si="42"/>
        <v>0</v>
      </c>
      <c r="AC51" s="59"/>
      <c r="AD51" s="59">
        <f t="shared" si="9"/>
        <v>0</v>
      </c>
      <c r="AE51" s="59">
        <f t="shared" si="69"/>
        <v>0</v>
      </c>
      <c r="AF51" s="59"/>
      <c r="AG51" s="59">
        <f t="shared" si="11"/>
        <v>0</v>
      </c>
      <c r="AH51" s="59">
        <f t="shared" si="70"/>
        <v>0</v>
      </c>
      <c r="AI51" s="59"/>
      <c r="AJ51" s="59">
        <f t="shared" si="13"/>
        <v>0</v>
      </c>
      <c r="AK51" s="59">
        <f t="shared" si="71"/>
        <v>0</v>
      </c>
      <c r="AL51" s="59"/>
      <c r="AM51" s="59">
        <f t="shared" si="72"/>
        <v>0</v>
      </c>
      <c r="AN51" s="59">
        <f t="shared" si="43"/>
        <v>0</v>
      </c>
      <c r="AO51" s="59"/>
      <c r="AP51" s="59">
        <f t="shared" si="73"/>
        <v>0</v>
      </c>
      <c r="AQ51" s="59">
        <f t="shared" si="44"/>
        <v>0</v>
      </c>
      <c r="AR51" s="59"/>
      <c r="AS51" s="59">
        <f t="shared" si="17"/>
        <v>0</v>
      </c>
      <c r="AT51" s="59">
        <f t="shared" si="74"/>
        <v>0</v>
      </c>
      <c r="AU51" s="59"/>
      <c r="AV51" s="59">
        <f t="shared" si="75"/>
        <v>0</v>
      </c>
      <c r="AW51" s="59">
        <f t="shared" si="45"/>
        <v>0</v>
      </c>
      <c r="AX51" s="59"/>
      <c r="AY51" s="59">
        <f t="shared" si="76"/>
        <v>0</v>
      </c>
      <c r="AZ51" s="59">
        <f t="shared" si="46"/>
        <v>0</v>
      </c>
      <c r="BA51" s="61">
        <v>219.227</v>
      </c>
      <c r="BB51" s="59">
        <f t="shared" si="47"/>
        <v>267.45693999999997</v>
      </c>
      <c r="BC51" s="59">
        <f t="shared" si="48"/>
        <v>3209.4832799999995</v>
      </c>
      <c r="BD51" s="59"/>
      <c r="BE51" s="59">
        <f t="shared" si="77"/>
        <v>0</v>
      </c>
      <c r="BF51" s="59">
        <f t="shared" si="49"/>
        <v>0</v>
      </c>
      <c r="BG51" s="59"/>
      <c r="BH51" s="59">
        <f t="shared" si="78"/>
        <v>0</v>
      </c>
      <c r="BI51" s="59">
        <f t="shared" si="50"/>
        <v>0</v>
      </c>
      <c r="BJ51" s="59"/>
      <c r="BK51" s="59">
        <f t="shared" si="79"/>
        <v>0</v>
      </c>
      <c r="BL51" s="59">
        <f t="shared" si="51"/>
        <v>0</v>
      </c>
      <c r="BM51" s="59"/>
      <c r="BN51" s="59">
        <f t="shared" si="62"/>
        <v>0</v>
      </c>
      <c r="BO51" s="59">
        <f t="shared" si="80"/>
        <v>0</v>
      </c>
      <c r="BP51" s="59"/>
      <c r="BQ51" s="59">
        <f t="shared" si="59"/>
        <v>0</v>
      </c>
      <c r="BR51" s="59">
        <f t="shared" si="81"/>
        <v>0</v>
      </c>
      <c r="BS51" s="59"/>
      <c r="BT51" s="59">
        <f t="shared" si="25"/>
        <v>0</v>
      </c>
      <c r="BU51" s="59">
        <f t="shared" si="82"/>
        <v>0</v>
      </c>
      <c r="BV51" s="61">
        <v>226.35633333333337</v>
      </c>
      <c r="BW51" s="59">
        <f t="shared" si="53"/>
        <v>276.1547266666667</v>
      </c>
      <c r="BX51" s="59">
        <f t="shared" si="54"/>
        <v>3313.8567200000007</v>
      </c>
      <c r="BY51" s="20">
        <f t="shared" si="55"/>
        <v>222.79166666666671</v>
      </c>
      <c r="BZ51" s="20">
        <f t="shared" si="56"/>
        <v>271.8058333333334</v>
      </c>
      <c r="CA51" s="21">
        <f t="shared" si="57"/>
        <v>2673.5000000000005</v>
      </c>
      <c r="CB51" s="21">
        <f t="shared" si="58"/>
        <v>3261.6700000000005</v>
      </c>
      <c r="CC51" s="20">
        <f t="shared" si="86"/>
        <v>1336.7500000000002</v>
      </c>
      <c r="CD51" s="20">
        <f t="shared" si="87"/>
        <v>1630.8350000000005</v>
      </c>
      <c r="CE51" s="20">
        <f t="shared" si="88"/>
        <v>1336.7500000000002</v>
      </c>
      <c r="CF51" s="20">
        <f t="shared" si="89"/>
        <v>1630.8350000000005</v>
      </c>
      <c r="CG51" s="20">
        <f t="shared" si="83"/>
        <v>3261.670000000001</v>
      </c>
      <c r="CH51" s="4">
        <f t="shared" si="90"/>
        <v>9</v>
      </c>
      <c r="CI51" s="4">
        <f t="shared" si="33"/>
        <v>3</v>
      </c>
      <c r="CN51" s="35" t="e">
        <f>MIN((H51,K51,N51,Q51,T51,W51,Z51,AC51,AF51,AI51,AL51,AO51,AR51,AU51,AX51,BA51,BD51,BG51,BJ51,BM51,BP51,BS51,BV51,#REF!,#REF!))</f>
        <v>#REF!</v>
      </c>
      <c r="CO51" s="35" t="e">
        <f>MAX((H51,K51,N51,Q51,T51,W51,Z51,AC51,AF51,AI51,AL51,AO51,AR51,AU51,AX51,BA51,BD51,BG51,BJ51,BM51,BP51,BS51,BV51,#REF!,#REF!))</f>
        <v>#REF!</v>
      </c>
      <c r="CP51" s="47" t="e">
        <f t="shared" si="34"/>
        <v>#REF!</v>
      </c>
      <c r="CQ51" s="40"/>
      <c r="CS51" s="4">
        <v>2.5000000000000001E-2</v>
      </c>
      <c r="CT51" s="4" t="b">
        <f t="shared" si="91"/>
        <v>0</v>
      </c>
      <c r="CU51" s="4">
        <v>0</v>
      </c>
      <c r="CV51" s="4" t="b">
        <f t="shared" si="84"/>
        <v>1</v>
      </c>
      <c r="CW51" s="19">
        <v>2.5000000000000001E-2</v>
      </c>
      <c r="CZ51" s="4" t="s">
        <v>147</v>
      </c>
    </row>
    <row r="52" spans="1:104" s="4" customFormat="1" ht="61.5" thickBot="1" x14ac:dyDescent="0.3">
      <c r="A52" s="18">
        <v>36</v>
      </c>
      <c r="B52" s="62" t="s">
        <v>86</v>
      </c>
      <c r="C52" s="48" t="s">
        <v>14</v>
      </c>
      <c r="D52" s="107">
        <f t="shared" si="37"/>
        <v>12</v>
      </c>
      <c r="E52" s="107">
        <v>6</v>
      </c>
      <c r="F52" s="107">
        <v>6</v>
      </c>
      <c r="G52" s="60" t="s">
        <v>143</v>
      </c>
      <c r="H52" s="61">
        <v>325.16247435897424</v>
      </c>
      <c r="I52" s="59">
        <f t="shared" si="38"/>
        <v>396.69821871794858</v>
      </c>
      <c r="J52" s="59">
        <f t="shared" si="39"/>
        <v>4760.3786246153832</v>
      </c>
      <c r="K52" s="59"/>
      <c r="L52" s="59">
        <f t="shared" si="60"/>
        <v>0</v>
      </c>
      <c r="M52" s="59">
        <f t="shared" si="63"/>
        <v>0</v>
      </c>
      <c r="N52" s="59"/>
      <c r="O52" s="59">
        <f t="shared" si="61"/>
        <v>0</v>
      </c>
      <c r="P52" s="59">
        <f t="shared" si="64"/>
        <v>0</v>
      </c>
      <c r="Q52" s="59"/>
      <c r="R52" s="59">
        <f t="shared" si="4"/>
        <v>0</v>
      </c>
      <c r="S52" s="59">
        <f t="shared" si="65"/>
        <v>0</v>
      </c>
      <c r="T52" s="59"/>
      <c r="U52" s="59">
        <f t="shared" si="66"/>
        <v>0</v>
      </c>
      <c r="V52" s="59">
        <f t="shared" si="40"/>
        <v>0</v>
      </c>
      <c r="W52" s="59"/>
      <c r="X52" s="59">
        <f t="shared" si="67"/>
        <v>0</v>
      </c>
      <c r="Y52" s="59">
        <f t="shared" si="41"/>
        <v>0</v>
      </c>
      <c r="Z52" s="59"/>
      <c r="AA52" s="59">
        <f t="shared" si="68"/>
        <v>0</v>
      </c>
      <c r="AB52" s="59">
        <f t="shared" si="42"/>
        <v>0</v>
      </c>
      <c r="AC52" s="59"/>
      <c r="AD52" s="59">
        <f t="shared" si="9"/>
        <v>0</v>
      </c>
      <c r="AE52" s="59">
        <f t="shared" si="69"/>
        <v>0</v>
      </c>
      <c r="AF52" s="59"/>
      <c r="AG52" s="59">
        <f t="shared" si="11"/>
        <v>0</v>
      </c>
      <c r="AH52" s="59">
        <f t="shared" si="70"/>
        <v>0</v>
      </c>
      <c r="AI52" s="59"/>
      <c r="AJ52" s="59">
        <f t="shared" si="13"/>
        <v>0</v>
      </c>
      <c r="AK52" s="59">
        <f t="shared" si="71"/>
        <v>0</v>
      </c>
      <c r="AL52" s="59"/>
      <c r="AM52" s="59">
        <f t="shared" si="72"/>
        <v>0</v>
      </c>
      <c r="AN52" s="59">
        <f t="shared" si="43"/>
        <v>0</v>
      </c>
      <c r="AO52" s="59"/>
      <c r="AP52" s="59">
        <f t="shared" si="73"/>
        <v>0</v>
      </c>
      <c r="AQ52" s="59">
        <f t="shared" si="44"/>
        <v>0</v>
      </c>
      <c r="AR52" s="59"/>
      <c r="AS52" s="59">
        <f t="shared" si="17"/>
        <v>0</v>
      </c>
      <c r="AT52" s="59">
        <f t="shared" si="74"/>
        <v>0</v>
      </c>
      <c r="AU52" s="59"/>
      <c r="AV52" s="59">
        <f t="shared" si="75"/>
        <v>0</v>
      </c>
      <c r="AW52" s="59">
        <f t="shared" si="45"/>
        <v>0</v>
      </c>
      <c r="AX52" s="59"/>
      <c r="AY52" s="59">
        <f t="shared" si="76"/>
        <v>0</v>
      </c>
      <c r="AZ52" s="59">
        <f t="shared" si="46"/>
        <v>0</v>
      </c>
      <c r="BA52" s="61">
        <v>299.05453846153836</v>
      </c>
      <c r="BB52" s="59">
        <f t="shared" si="47"/>
        <v>364.84653692307677</v>
      </c>
      <c r="BC52" s="59">
        <f t="shared" si="48"/>
        <v>4378.1584430769217</v>
      </c>
      <c r="BD52" s="59"/>
      <c r="BE52" s="59">
        <f t="shared" si="77"/>
        <v>0</v>
      </c>
      <c r="BF52" s="59">
        <f t="shared" si="49"/>
        <v>0</v>
      </c>
      <c r="BG52" s="59"/>
      <c r="BH52" s="59">
        <f t="shared" si="78"/>
        <v>0</v>
      </c>
      <c r="BI52" s="59">
        <f t="shared" si="50"/>
        <v>0</v>
      </c>
      <c r="BJ52" s="59"/>
      <c r="BK52" s="59">
        <f t="shared" si="79"/>
        <v>0</v>
      </c>
      <c r="BL52" s="59">
        <f t="shared" si="51"/>
        <v>0</v>
      </c>
      <c r="BM52" s="59"/>
      <c r="BN52" s="59">
        <f t="shared" si="62"/>
        <v>0</v>
      </c>
      <c r="BO52" s="59">
        <f t="shared" si="80"/>
        <v>0</v>
      </c>
      <c r="BP52" s="59"/>
      <c r="BQ52" s="59">
        <f t="shared" si="59"/>
        <v>0</v>
      </c>
      <c r="BR52" s="59">
        <f t="shared" si="81"/>
        <v>0</v>
      </c>
      <c r="BS52" s="59"/>
      <c r="BT52" s="59">
        <f t="shared" si="25"/>
        <v>0</v>
      </c>
      <c r="BU52" s="59">
        <f t="shared" si="82"/>
        <v>0</v>
      </c>
      <c r="BV52" s="61">
        <v>308.54833333333323</v>
      </c>
      <c r="BW52" s="59">
        <f t="shared" si="53"/>
        <v>376.42896666666655</v>
      </c>
      <c r="BX52" s="59">
        <f t="shared" si="54"/>
        <v>4517.1475999999984</v>
      </c>
      <c r="BY52" s="20">
        <f t="shared" si="55"/>
        <v>310.92178205128192</v>
      </c>
      <c r="BZ52" s="20">
        <f t="shared" si="56"/>
        <v>379.32457410256393</v>
      </c>
      <c r="CA52" s="21">
        <f t="shared" si="57"/>
        <v>3731.0613846153828</v>
      </c>
      <c r="CB52" s="21">
        <f t="shared" si="58"/>
        <v>4551.8948892307671</v>
      </c>
      <c r="CC52" s="20">
        <f t="shared" si="86"/>
        <v>1865.5306923076914</v>
      </c>
      <c r="CD52" s="20">
        <f t="shared" si="87"/>
        <v>2275.9474446153836</v>
      </c>
      <c r="CE52" s="20">
        <f t="shared" si="88"/>
        <v>1865.5306923076914</v>
      </c>
      <c r="CF52" s="20">
        <f t="shared" si="89"/>
        <v>2275.9474446153836</v>
      </c>
      <c r="CG52" s="20">
        <f t="shared" si="83"/>
        <v>4551.8948892307671</v>
      </c>
      <c r="CH52" s="4">
        <f t="shared" si="90"/>
        <v>9</v>
      </c>
      <c r="CI52" s="4">
        <f t="shared" si="33"/>
        <v>3</v>
      </c>
      <c r="CN52" s="35" t="e">
        <f>MIN((H52,K52,N52,Q52,T52,W52,Z52,AC52,AF52,AI52,AL52,AO52,AR52,AU52,AX52,BA52,BD52,BG52,BJ52,BM52,BP52,BS52,BV52,#REF!,#REF!))</f>
        <v>#REF!</v>
      </c>
      <c r="CO52" s="35" t="e">
        <f>MAX((H52,K52,N52,Q52,T52,W52,Z52,AC52,AF52,AI52,AL52,AO52,AR52,AU52,AX52,BA52,BD52,BG52,BJ52,BM52,BP52,BS52,BV52,#REF!,#REF!))</f>
        <v>#REF!</v>
      </c>
      <c r="CP52" s="47" t="e">
        <f t="shared" si="34"/>
        <v>#REF!</v>
      </c>
      <c r="CQ52" s="40"/>
      <c r="CS52" s="4">
        <v>0.97</v>
      </c>
      <c r="CT52" s="4" t="b">
        <f t="shared" si="91"/>
        <v>0</v>
      </c>
      <c r="CU52" s="4">
        <v>0.97</v>
      </c>
      <c r="CV52" s="4" t="b">
        <f t="shared" si="84"/>
        <v>1</v>
      </c>
      <c r="CW52" s="19">
        <v>1.94</v>
      </c>
      <c r="CZ52" s="4" t="s">
        <v>147</v>
      </c>
    </row>
    <row r="53" spans="1:104" s="4" customFormat="1" ht="61.5" thickBot="1" x14ac:dyDescent="0.3">
      <c r="A53" s="18">
        <v>37</v>
      </c>
      <c r="B53" s="63" t="s">
        <v>87</v>
      </c>
      <c r="C53" s="48" t="s">
        <v>14</v>
      </c>
      <c r="D53" s="107">
        <f t="shared" si="37"/>
        <v>12</v>
      </c>
      <c r="E53" s="107">
        <v>6</v>
      </c>
      <c r="F53" s="107">
        <v>6</v>
      </c>
      <c r="G53" s="19" t="s">
        <v>143</v>
      </c>
      <c r="H53" s="61">
        <v>299.79405555555559</v>
      </c>
      <c r="I53" s="59">
        <f t="shared" si="38"/>
        <v>365.74874777777779</v>
      </c>
      <c r="J53" s="59">
        <f t="shared" si="39"/>
        <v>4388.984973333334</v>
      </c>
      <c r="K53" s="59"/>
      <c r="L53" s="59">
        <f t="shared" si="60"/>
        <v>0</v>
      </c>
      <c r="M53" s="59">
        <f t="shared" si="63"/>
        <v>0</v>
      </c>
      <c r="N53" s="59"/>
      <c r="O53" s="59">
        <f t="shared" si="61"/>
        <v>0</v>
      </c>
      <c r="P53" s="59">
        <f t="shared" si="64"/>
        <v>0</v>
      </c>
      <c r="Q53" s="59"/>
      <c r="R53" s="59">
        <f t="shared" si="4"/>
        <v>0</v>
      </c>
      <c r="S53" s="59">
        <f t="shared" si="65"/>
        <v>0</v>
      </c>
      <c r="T53" s="59"/>
      <c r="U53" s="59">
        <f t="shared" si="66"/>
        <v>0</v>
      </c>
      <c r="V53" s="59">
        <f t="shared" si="40"/>
        <v>0</v>
      </c>
      <c r="W53" s="59"/>
      <c r="X53" s="59">
        <f t="shared" si="67"/>
        <v>0</v>
      </c>
      <c r="Y53" s="59">
        <f t="shared" si="41"/>
        <v>0</v>
      </c>
      <c r="Z53" s="59"/>
      <c r="AA53" s="59">
        <f t="shared" si="68"/>
        <v>0</v>
      </c>
      <c r="AB53" s="59">
        <f t="shared" si="42"/>
        <v>0</v>
      </c>
      <c r="AC53" s="59"/>
      <c r="AD53" s="59">
        <f t="shared" si="9"/>
        <v>0</v>
      </c>
      <c r="AE53" s="59">
        <f t="shared" si="69"/>
        <v>0</v>
      </c>
      <c r="AF53" s="59"/>
      <c r="AG53" s="59">
        <f t="shared" si="11"/>
        <v>0</v>
      </c>
      <c r="AH53" s="59">
        <f t="shared" si="70"/>
        <v>0</v>
      </c>
      <c r="AI53" s="59"/>
      <c r="AJ53" s="59">
        <f t="shared" si="13"/>
        <v>0</v>
      </c>
      <c r="AK53" s="59">
        <f t="shared" si="71"/>
        <v>0</v>
      </c>
      <c r="AL53" s="59"/>
      <c r="AM53" s="59">
        <f t="shared" si="72"/>
        <v>0</v>
      </c>
      <c r="AN53" s="59">
        <f t="shared" si="43"/>
        <v>0</v>
      </c>
      <c r="AO53" s="59"/>
      <c r="AP53" s="59">
        <f t="shared" si="73"/>
        <v>0</v>
      </c>
      <c r="AQ53" s="59">
        <f t="shared" si="44"/>
        <v>0</v>
      </c>
      <c r="AR53" s="59"/>
      <c r="AS53" s="59">
        <f t="shared" si="17"/>
        <v>0</v>
      </c>
      <c r="AT53" s="59">
        <f t="shared" si="74"/>
        <v>0</v>
      </c>
      <c r="AU53" s="59"/>
      <c r="AV53" s="59">
        <f t="shared" si="75"/>
        <v>0</v>
      </c>
      <c r="AW53" s="59">
        <f t="shared" si="45"/>
        <v>0</v>
      </c>
      <c r="AX53" s="59"/>
      <c r="AY53" s="59">
        <f t="shared" si="76"/>
        <v>0</v>
      </c>
      <c r="AZ53" s="59">
        <f t="shared" si="46"/>
        <v>0</v>
      </c>
      <c r="BA53" s="61">
        <v>297.60577777777775</v>
      </c>
      <c r="BB53" s="59">
        <f t="shared" si="47"/>
        <v>363.07904888888885</v>
      </c>
      <c r="BC53" s="59">
        <f t="shared" si="48"/>
        <v>4356.9485866666664</v>
      </c>
      <c r="BD53" s="59"/>
      <c r="BE53" s="59">
        <f t="shared" si="77"/>
        <v>0</v>
      </c>
      <c r="BF53" s="59">
        <f t="shared" si="49"/>
        <v>0</v>
      </c>
      <c r="BG53" s="59"/>
      <c r="BH53" s="59">
        <f t="shared" si="78"/>
        <v>0</v>
      </c>
      <c r="BI53" s="59">
        <f t="shared" si="50"/>
        <v>0</v>
      </c>
      <c r="BJ53" s="59"/>
      <c r="BK53" s="59">
        <f t="shared" si="79"/>
        <v>0</v>
      </c>
      <c r="BL53" s="59">
        <f t="shared" si="51"/>
        <v>0</v>
      </c>
      <c r="BM53" s="59"/>
      <c r="BN53" s="59">
        <f t="shared" si="62"/>
        <v>0</v>
      </c>
      <c r="BO53" s="59">
        <f t="shared" si="80"/>
        <v>0</v>
      </c>
      <c r="BP53" s="59"/>
      <c r="BQ53" s="59">
        <f t="shared" si="59"/>
        <v>0</v>
      </c>
      <c r="BR53" s="59">
        <f t="shared" si="81"/>
        <v>0</v>
      </c>
      <c r="BS53" s="59"/>
      <c r="BT53" s="59">
        <f t="shared" si="25"/>
        <v>0</v>
      </c>
      <c r="BU53" s="59">
        <f t="shared" si="82"/>
        <v>0</v>
      </c>
      <c r="BV53" s="61">
        <v>280.09955555555558</v>
      </c>
      <c r="BW53" s="59">
        <f t="shared" si="53"/>
        <v>341.7214577777778</v>
      </c>
      <c r="BX53" s="59">
        <f t="shared" si="54"/>
        <v>4100.6574933333341</v>
      </c>
      <c r="BY53" s="20">
        <f t="shared" si="55"/>
        <v>292.49979629629632</v>
      </c>
      <c r="BZ53" s="20">
        <f t="shared" si="56"/>
        <v>356.84975148148152</v>
      </c>
      <c r="CA53" s="21">
        <f t="shared" si="57"/>
        <v>3509.9975555555557</v>
      </c>
      <c r="CB53" s="21">
        <f t="shared" si="58"/>
        <v>4282.1970177777775</v>
      </c>
      <c r="CC53" s="20">
        <f t="shared" si="86"/>
        <v>1754.9987777777778</v>
      </c>
      <c r="CD53" s="20">
        <f t="shared" si="87"/>
        <v>2141.0985088888892</v>
      </c>
      <c r="CE53" s="20">
        <f t="shared" si="88"/>
        <v>1754.9987777777778</v>
      </c>
      <c r="CF53" s="20">
        <f t="shared" si="89"/>
        <v>2141.0985088888892</v>
      </c>
      <c r="CG53" s="20">
        <f t="shared" si="83"/>
        <v>4282.1970177777785</v>
      </c>
      <c r="CH53" s="4">
        <f t="shared" si="90"/>
        <v>9</v>
      </c>
      <c r="CI53" s="4">
        <f t="shared" si="33"/>
        <v>3</v>
      </c>
      <c r="CN53" s="35" t="e">
        <f>MIN((H53,K53,N53,Q53,T53,W53,Z53,AC53,AF53,AI53,AL53,AO53,AR53,AU53,AX53,BA53,BD53,BG53,BJ53,BM53,BP53,BS53,BV53,#REF!,#REF!))</f>
        <v>#REF!</v>
      </c>
      <c r="CO53" s="35" t="e">
        <f>MAX((H53,K53,N53,Q53,T53,W53,Z53,AC53,AF53,AI53,AL53,AO53,AR53,AU53,AX53,BA53,BD53,BG53,BJ53,BM53,BP53,BS53,BV53,#REF!,#REF!))</f>
        <v>#REF!</v>
      </c>
      <c r="CP53" s="47" t="e">
        <f t="shared" si="34"/>
        <v>#REF!</v>
      </c>
      <c r="CQ53" s="40" t="e">
        <f>CN53*1.3</f>
        <v>#REF!</v>
      </c>
      <c r="CS53" s="4">
        <v>10</v>
      </c>
      <c r="CT53" s="4" t="b">
        <f t="shared" si="91"/>
        <v>0</v>
      </c>
      <c r="CU53" s="4">
        <v>0</v>
      </c>
      <c r="CV53" s="4" t="b">
        <f t="shared" si="84"/>
        <v>1</v>
      </c>
      <c r="CW53" s="19">
        <v>10</v>
      </c>
      <c r="CZ53" s="4" t="s">
        <v>147</v>
      </c>
    </row>
    <row r="54" spans="1:104" s="4" customFormat="1" ht="41.25" thickBot="1" x14ac:dyDescent="0.3">
      <c r="A54" s="18">
        <v>38</v>
      </c>
      <c r="B54" s="62" t="s">
        <v>88</v>
      </c>
      <c r="C54" s="48" t="s">
        <v>14</v>
      </c>
      <c r="D54" s="107">
        <f t="shared" si="37"/>
        <v>12</v>
      </c>
      <c r="E54" s="107">
        <v>6</v>
      </c>
      <c r="F54" s="107">
        <v>6</v>
      </c>
      <c r="G54" s="60" t="s">
        <v>143</v>
      </c>
      <c r="H54" s="61">
        <v>189.6865</v>
      </c>
      <c r="I54" s="59">
        <f t="shared" si="38"/>
        <v>231.41753</v>
      </c>
      <c r="J54" s="59">
        <f t="shared" si="39"/>
        <v>2777.0103600000002</v>
      </c>
      <c r="K54" s="59"/>
      <c r="L54" s="59">
        <f t="shared" si="60"/>
        <v>0</v>
      </c>
      <c r="M54" s="59">
        <f t="shared" si="63"/>
        <v>0</v>
      </c>
      <c r="N54" s="59"/>
      <c r="O54" s="59">
        <f t="shared" si="61"/>
        <v>0</v>
      </c>
      <c r="P54" s="59">
        <f t="shared" si="64"/>
        <v>0</v>
      </c>
      <c r="Q54" s="59"/>
      <c r="R54" s="59">
        <f t="shared" si="4"/>
        <v>0</v>
      </c>
      <c r="S54" s="59">
        <f t="shared" si="65"/>
        <v>0</v>
      </c>
      <c r="T54" s="59"/>
      <c r="U54" s="59">
        <f t="shared" si="66"/>
        <v>0</v>
      </c>
      <c r="V54" s="59">
        <f t="shared" si="40"/>
        <v>0</v>
      </c>
      <c r="W54" s="59"/>
      <c r="X54" s="59">
        <f t="shared" si="67"/>
        <v>0</v>
      </c>
      <c r="Y54" s="59">
        <f t="shared" si="41"/>
        <v>0</v>
      </c>
      <c r="Z54" s="59"/>
      <c r="AA54" s="59">
        <f t="shared" si="68"/>
        <v>0</v>
      </c>
      <c r="AB54" s="59">
        <f t="shared" si="42"/>
        <v>0</v>
      </c>
      <c r="AC54" s="59"/>
      <c r="AD54" s="59">
        <f t="shared" si="9"/>
        <v>0</v>
      </c>
      <c r="AE54" s="59">
        <f t="shared" si="69"/>
        <v>0</v>
      </c>
      <c r="AF54" s="59"/>
      <c r="AG54" s="59">
        <f t="shared" si="11"/>
        <v>0</v>
      </c>
      <c r="AH54" s="59">
        <f t="shared" si="70"/>
        <v>0</v>
      </c>
      <c r="AI54" s="59"/>
      <c r="AJ54" s="59">
        <f t="shared" si="13"/>
        <v>0</v>
      </c>
      <c r="AK54" s="59">
        <f t="shared" si="71"/>
        <v>0</v>
      </c>
      <c r="AL54" s="59"/>
      <c r="AM54" s="59">
        <f t="shared" si="72"/>
        <v>0</v>
      </c>
      <c r="AN54" s="59">
        <f t="shared" si="43"/>
        <v>0</v>
      </c>
      <c r="AO54" s="59"/>
      <c r="AP54" s="59">
        <f t="shared" si="73"/>
        <v>0</v>
      </c>
      <c r="AQ54" s="59">
        <f t="shared" si="44"/>
        <v>0</v>
      </c>
      <c r="AR54" s="59"/>
      <c r="AS54" s="59">
        <f t="shared" si="17"/>
        <v>0</v>
      </c>
      <c r="AT54" s="59">
        <f t="shared" si="74"/>
        <v>0</v>
      </c>
      <c r="AU54" s="59"/>
      <c r="AV54" s="59">
        <f t="shared" si="75"/>
        <v>0</v>
      </c>
      <c r="AW54" s="59">
        <f t="shared" si="45"/>
        <v>0</v>
      </c>
      <c r="AX54" s="59"/>
      <c r="AY54" s="59">
        <f t="shared" si="76"/>
        <v>0</v>
      </c>
      <c r="AZ54" s="59">
        <f t="shared" si="46"/>
        <v>0</v>
      </c>
      <c r="BA54" s="61">
        <v>205.10816666666668</v>
      </c>
      <c r="BB54" s="59">
        <f t="shared" si="47"/>
        <v>250.23196333333334</v>
      </c>
      <c r="BC54" s="59">
        <f t="shared" si="48"/>
        <v>3002.7835599999999</v>
      </c>
      <c r="BD54" s="59"/>
      <c r="BE54" s="59">
        <f t="shared" si="77"/>
        <v>0</v>
      </c>
      <c r="BF54" s="59">
        <f t="shared" si="49"/>
        <v>0</v>
      </c>
      <c r="BG54" s="59"/>
      <c r="BH54" s="59">
        <f t="shared" si="78"/>
        <v>0</v>
      </c>
      <c r="BI54" s="59">
        <f t="shared" si="50"/>
        <v>0</v>
      </c>
      <c r="BJ54" s="59"/>
      <c r="BK54" s="59">
        <f t="shared" si="79"/>
        <v>0</v>
      </c>
      <c r="BL54" s="59">
        <f t="shared" si="51"/>
        <v>0</v>
      </c>
      <c r="BM54" s="59"/>
      <c r="BN54" s="59">
        <f t="shared" si="62"/>
        <v>0</v>
      </c>
      <c r="BO54" s="59">
        <f t="shared" si="80"/>
        <v>0</v>
      </c>
      <c r="BP54" s="59"/>
      <c r="BQ54" s="59">
        <f t="shared" si="59"/>
        <v>0</v>
      </c>
      <c r="BR54" s="59">
        <f t="shared" si="81"/>
        <v>0</v>
      </c>
      <c r="BS54" s="59"/>
      <c r="BT54" s="59">
        <f t="shared" si="25"/>
        <v>0</v>
      </c>
      <c r="BU54" s="59">
        <f t="shared" si="82"/>
        <v>0</v>
      </c>
      <c r="BV54" s="61">
        <v>205.10816666666668</v>
      </c>
      <c r="BW54" s="59">
        <f t="shared" si="53"/>
        <v>250.23196333333334</v>
      </c>
      <c r="BX54" s="59">
        <f t="shared" si="54"/>
        <v>3002.7835599999999</v>
      </c>
      <c r="BY54" s="20">
        <f t="shared" si="55"/>
        <v>199.9676111111111</v>
      </c>
      <c r="BZ54" s="20">
        <f t="shared" si="56"/>
        <v>243.96048555555552</v>
      </c>
      <c r="CA54" s="21">
        <f t="shared" si="57"/>
        <v>2399.6113333333333</v>
      </c>
      <c r="CB54" s="21">
        <f t="shared" si="58"/>
        <v>2927.5258266666665</v>
      </c>
      <c r="CC54" s="20">
        <f t="shared" si="86"/>
        <v>1199.8056666666666</v>
      </c>
      <c r="CD54" s="20">
        <f t="shared" si="87"/>
        <v>1463.762913333333</v>
      </c>
      <c r="CE54" s="20">
        <f t="shared" si="88"/>
        <v>1199.8056666666666</v>
      </c>
      <c r="CF54" s="20">
        <f t="shared" si="89"/>
        <v>1463.762913333333</v>
      </c>
      <c r="CG54" s="20">
        <f t="shared" si="83"/>
        <v>2927.525826666666</v>
      </c>
      <c r="CH54" s="4">
        <f t="shared" si="90"/>
        <v>9</v>
      </c>
      <c r="CI54" s="4">
        <f t="shared" si="33"/>
        <v>3</v>
      </c>
      <c r="CN54" s="35" t="e">
        <f>MIN((H54,K54,N54,Q54,T54,W54,Z54,AC54,AF54,AI54,AL54,AO54,AR54,AU54,AX54,BA54,BD54,BG54,BJ54,BM54,BP54,BS54,BV54,#REF!,#REF!))</f>
        <v>#REF!</v>
      </c>
      <c r="CO54" s="35" t="e">
        <f>MAX((H54,K54,N54,Q54,T54,W54,Z54,AC54,AF54,AI54,AL54,AO54,AR54,AU54,AX54,BA54,BD54,BG54,BJ54,BM54,BP54,BS54,BV54,#REF!,#REF!))</f>
        <v>#REF!</v>
      </c>
      <c r="CP54" s="47" t="e">
        <f t="shared" si="34"/>
        <v>#REF!</v>
      </c>
      <c r="CQ54" s="40"/>
      <c r="CS54" s="4">
        <v>2.5000000000000001E-2</v>
      </c>
      <c r="CT54" s="4" t="b">
        <f t="shared" si="91"/>
        <v>0</v>
      </c>
      <c r="CU54" s="4">
        <v>0</v>
      </c>
      <c r="CV54" s="4" t="b">
        <f t="shared" si="84"/>
        <v>1</v>
      </c>
      <c r="CW54" s="19">
        <v>2.5000000000000001E-2</v>
      </c>
      <c r="CZ54" s="4" t="s">
        <v>147</v>
      </c>
    </row>
    <row r="55" spans="1:104" s="4" customFormat="1" ht="61.5" thickBot="1" x14ac:dyDescent="0.3">
      <c r="A55" s="18">
        <v>39</v>
      </c>
      <c r="B55" s="62" t="s">
        <v>89</v>
      </c>
      <c r="C55" s="48" t="s">
        <v>14</v>
      </c>
      <c r="D55" s="107">
        <f t="shared" si="37"/>
        <v>12</v>
      </c>
      <c r="E55" s="107">
        <v>6</v>
      </c>
      <c r="F55" s="107">
        <v>6</v>
      </c>
      <c r="G55" s="60" t="s">
        <v>143</v>
      </c>
      <c r="H55" s="61">
        <v>229.50755555555557</v>
      </c>
      <c r="I55" s="59">
        <f t="shared" si="38"/>
        <v>279.9992177777778</v>
      </c>
      <c r="J55" s="59">
        <f t="shared" si="39"/>
        <v>3359.9906133333334</v>
      </c>
      <c r="K55" s="59"/>
      <c r="L55" s="59">
        <f t="shared" si="60"/>
        <v>0</v>
      </c>
      <c r="M55" s="59">
        <f t="shared" si="63"/>
        <v>0</v>
      </c>
      <c r="N55" s="59"/>
      <c r="O55" s="59">
        <f t="shared" si="61"/>
        <v>0</v>
      </c>
      <c r="P55" s="59">
        <f t="shared" si="64"/>
        <v>0</v>
      </c>
      <c r="Q55" s="59"/>
      <c r="R55" s="59">
        <f t="shared" si="4"/>
        <v>0</v>
      </c>
      <c r="S55" s="59">
        <f t="shared" si="65"/>
        <v>0</v>
      </c>
      <c r="T55" s="59"/>
      <c r="U55" s="59">
        <f t="shared" si="66"/>
        <v>0</v>
      </c>
      <c r="V55" s="59">
        <f t="shared" si="40"/>
        <v>0</v>
      </c>
      <c r="W55" s="59"/>
      <c r="X55" s="59">
        <f t="shared" si="67"/>
        <v>0</v>
      </c>
      <c r="Y55" s="59">
        <f t="shared" si="41"/>
        <v>0</v>
      </c>
      <c r="Z55" s="59"/>
      <c r="AA55" s="59">
        <f t="shared" si="68"/>
        <v>0</v>
      </c>
      <c r="AB55" s="59">
        <f t="shared" si="42"/>
        <v>0</v>
      </c>
      <c r="AC55" s="59"/>
      <c r="AD55" s="59">
        <f t="shared" si="9"/>
        <v>0</v>
      </c>
      <c r="AE55" s="59">
        <f t="shared" si="69"/>
        <v>0</v>
      </c>
      <c r="AF55" s="59"/>
      <c r="AG55" s="59">
        <f t="shared" si="11"/>
        <v>0</v>
      </c>
      <c r="AH55" s="59">
        <f t="shared" si="70"/>
        <v>0</v>
      </c>
      <c r="AI55" s="59"/>
      <c r="AJ55" s="59">
        <f t="shared" si="13"/>
        <v>0</v>
      </c>
      <c r="AK55" s="59">
        <f t="shared" si="71"/>
        <v>0</v>
      </c>
      <c r="AL55" s="59"/>
      <c r="AM55" s="59">
        <f t="shared" si="72"/>
        <v>0</v>
      </c>
      <c r="AN55" s="59">
        <f t="shared" si="43"/>
        <v>0</v>
      </c>
      <c r="AO55" s="59"/>
      <c r="AP55" s="59">
        <f t="shared" si="73"/>
        <v>0</v>
      </c>
      <c r="AQ55" s="59">
        <f t="shared" si="44"/>
        <v>0</v>
      </c>
      <c r="AR55" s="59"/>
      <c r="AS55" s="59">
        <f t="shared" si="17"/>
        <v>0</v>
      </c>
      <c r="AT55" s="59">
        <f t="shared" si="74"/>
        <v>0</v>
      </c>
      <c r="AU55" s="59"/>
      <c r="AV55" s="59">
        <f t="shared" si="75"/>
        <v>0</v>
      </c>
      <c r="AW55" s="59">
        <f t="shared" si="45"/>
        <v>0</v>
      </c>
      <c r="AX55" s="59"/>
      <c r="AY55" s="59">
        <f t="shared" si="76"/>
        <v>0</v>
      </c>
      <c r="AZ55" s="59">
        <f t="shared" si="46"/>
        <v>0</v>
      </c>
      <c r="BA55" s="61">
        <v>236.67966666666669</v>
      </c>
      <c r="BB55" s="59">
        <f t="shared" si="47"/>
        <v>288.74919333333338</v>
      </c>
      <c r="BC55" s="59">
        <f t="shared" si="48"/>
        <v>3464.9903200000008</v>
      </c>
      <c r="BD55" s="59"/>
      <c r="BE55" s="59">
        <f t="shared" si="77"/>
        <v>0</v>
      </c>
      <c r="BF55" s="59">
        <f t="shared" si="49"/>
        <v>0</v>
      </c>
      <c r="BG55" s="59"/>
      <c r="BH55" s="59">
        <f t="shared" si="78"/>
        <v>0</v>
      </c>
      <c r="BI55" s="59">
        <f t="shared" si="50"/>
        <v>0</v>
      </c>
      <c r="BJ55" s="59"/>
      <c r="BK55" s="59">
        <f t="shared" si="79"/>
        <v>0</v>
      </c>
      <c r="BL55" s="59">
        <f t="shared" si="51"/>
        <v>0</v>
      </c>
      <c r="BM55" s="59"/>
      <c r="BN55" s="59">
        <f t="shared" si="62"/>
        <v>0</v>
      </c>
      <c r="BO55" s="59">
        <f t="shared" si="80"/>
        <v>0</v>
      </c>
      <c r="BP55" s="59"/>
      <c r="BQ55" s="59">
        <f t="shared" si="59"/>
        <v>0</v>
      </c>
      <c r="BR55" s="59">
        <f t="shared" si="81"/>
        <v>0</v>
      </c>
      <c r="BS55" s="59"/>
      <c r="BT55" s="59">
        <f t="shared" si="25"/>
        <v>0</v>
      </c>
      <c r="BU55" s="59">
        <f t="shared" si="82"/>
        <v>0</v>
      </c>
      <c r="BV55" s="61">
        <v>242.05875</v>
      </c>
      <c r="BW55" s="59">
        <f t="shared" si="53"/>
        <v>295.31167499999998</v>
      </c>
      <c r="BX55" s="59">
        <f t="shared" si="54"/>
        <v>3543.7401</v>
      </c>
      <c r="BY55" s="20">
        <f t="shared" si="55"/>
        <v>236.08199074074074</v>
      </c>
      <c r="BZ55" s="20">
        <f t="shared" si="56"/>
        <v>288.0200287037037</v>
      </c>
      <c r="CA55" s="21">
        <f t="shared" si="57"/>
        <v>2832.9838888888889</v>
      </c>
      <c r="CB55" s="21">
        <f t="shared" si="58"/>
        <v>3456.2403444444444</v>
      </c>
      <c r="CC55" s="20">
        <f t="shared" si="86"/>
        <v>1416.4919444444445</v>
      </c>
      <c r="CD55" s="20">
        <f t="shared" si="87"/>
        <v>1728.1201722222222</v>
      </c>
      <c r="CE55" s="20">
        <f t="shared" si="88"/>
        <v>1416.4919444444445</v>
      </c>
      <c r="CF55" s="20">
        <f t="shared" si="89"/>
        <v>1728.1201722222222</v>
      </c>
      <c r="CG55" s="20">
        <f t="shared" si="83"/>
        <v>3456.2403444444444</v>
      </c>
      <c r="CH55" s="4">
        <f t="shared" si="90"/>
        <v>9</v>
      </c>
      <c r="CI55" s="4">
        <f t="shared" si="33"/>
        <v>3</v>
      </c>
      <c r="CN55" s="35" t="e">
        <f>MIN((H55,K55,N55,Q55,T55,W55,Z55,AC55,AF55,AI55,AL55,AO55,AR55,AU55,AX55,BA55,BD55,BG55,BJ55,BM55,BP55,BS55,BV55,#REF!,#REF!))</f>
        <v>#REF!</v>
      </c>
      <c r="CO55" s="35" t="e">
        <f>MAX((H55,K55,N55,Q55,T55,W55,Z55,AC55,AF55,AI55,AL55,AO55,AR55,AU55,AX55,BA55,BD55,BG55,BJ55,BM55,BP55,BS55,BV55,#REF!,#REF!))</f>
        <v>#REF!</v>
      </c>
      <c r="CP55" s="47" t="e">
        <f t="shared" si="34"/>
        <v>#REF!</v>
      </c>
      <c r="CQ55" s="40"/>
      <c r="CS55" s="4">
        <v>0.17499999999999999</v>
      </c>
      <c r="CT55" s="4" t="b">
        <f t="shared" si="91"/>
        <v>0</v>
      </c>
      <c r="CU55" s="4">
        <v>2.5000000000000001E-2</v>
      </c>
      <c r="CV55" s="4" t="b">
        <f t="shared" si="84"/>
        <v>1</v>
      </c>
      <c r="CW55" s="19">
        <v>0.2</v>
      </c>
      <c r="CZ55" s="4" t="s">
        <v>147</v>
      </c>
    </row>
    <row r="56" spans="1:104" s="4" customFormat="1" ht="61.5" thickBot="1" x14ac:dyDescent="0.3">
      <c r="A56" s="18">
        <v>40</v>
      </c>
      <c r="B56" s="62" t="s">
        <v>90</v>
      </c>
      <c r="C56" s="48" t="s">
        <v>14</v>
      </c>
      <c r="D56" s="107">
        <f t="shared" si="37"/>
        <v>12</v>
      </c>
      <c r="E56" s="107">
        <v>6</v>
      </c>
      <c r="F56" s="107">
        <v>6</v>
      </c>
      <c r="G56" s="60" t="s">
        <v>143</v>
      </c>
      <c r="H56" s="61">
        <v>239.87700000000004</v>
      </c>
      <c r="I56" s="59">
        <f t="shared" si="38"/>
        <v>292.64994000000002</v>
      </c>
      <c r="J56" s="59">
        <f t="shared" si="39"/>
        <v>3511.7992800000002</v>
      </c>
      <c r="K56" s="59"/>
      <c r="L56" s="59">
        <f t="shared" si="60"/>
        <v>0</v>
      </c>
      <c r="M56" s="59">
        <f t="shared" si="63"/>
        <v>0</v>
      </c>
      <c r="N56" s="59"/>
      <c r="O56" s="59">
        <f t="shared" si="61"/>
        <v>0</v>
      </c>
      <c r="P56" s="59">
        <f t="shared" si="64"/>
        <v>0</v>
      </c>
      <c r="Q56" s="59"/>
      <c r="R56" s="59">
        <f t="shared" si="4"/>
        <v>0</v>
      </c>
      <c r="S56" s="59">
        <f t="shared" si="65"/>
        <v>0</v>
      </c>
      <c r="T56" s="59"/>
      <c r="U56" s="59">
        <f t="shared" si="66"/>
        <v>0</v>
      </c>
      <c r="V56" s="59">
        <f t="shared" si="40"/>
        <v>0</v>
      </c>
      <c r="W56" s="59"/>
      <c r="X56" s="59">
        <f t="shared" si="67"/>
        <v>0</v>
      </c>
      <c r="Y56" s="59">
        <f t="shared" si="41"/>
        <v>0</v>
      </c>
      <c r="Z56" s="59"/>
      <c r="AA56" s="59">
        <f t="shared" si="68"/>
        <v>0</v>
      </c>
      <c r="AB56" s="59">
        <f t="shared" si="42"/>
        <v>0</v>
      </c>
      <c r="AC56" s="59"/>
      <c r="AD56" s="59">
        <f t="shared" si="9"/>
        <v>0</v>
      </c>
      <c r="AE56" s="59">
        <f t="shared" si="69"/>
        <v>0</v>
      </c>
      <c r="AF56" s="59"/>
      <c r="AG56" s="59">
        <f t="shared" si="11"/>
        <v>0</v>
      </c>
      <c r="AH56" s="59">
        <f t="shared" si="70"/>
        <v>0</v>
      </c>
      <c r="AI56" s="59"/>
      <c r="AJ56" s="59">
        <f t="shared" si="13"/>
        <v>0</v>
      </c>
      <c r="AK56" s="59">
        <f t="shared" si="71"/>
        <v>0</v>
      </c>
      <c r="AL56" s="59"/>
      <c r="AM56" s="59">
        <f t="shared" si="72"/>
        <v>0</v>
      </c>
      <c r="AN56" s="59">
        <f t="shared" si="43"/>
        <v>0</v>
      </c>
      <c r="AO56" s="59"/>
      <c r="AP56" s="59">
        <f t="shared" si="73"/>
        <v>0</v>
      </c>
      <c r="AQ56" s="59">
        <f t="shared" si="44"/>
        <v>0</v>
      </c>
      <c r="AR56" s="59"/>
      <c r="AS56" s="59">
        <f t="shared" si="17"/>
        <v>0</v>
      </c>
      <c r="AT56" s="59">
        <f t="shared" si="74"/>
        <v>0</v>
      </c>
      <c r="AU56" s="59"/>
      <c r="AV56" s="59">
        <f t="shared" si="75"/>
        <v>0</v>
      </c>
      <c r="AW56" s="59">
        <f t="shared" si="45"/>
        <v>0</v>
      </c>
      <c r="AX56" s="59"/>
      <c r="AY56" s="59">
        <f t="shared" si="76"/>
        <v>0</v>
      </c>
      <c r="AZ56" s="59">
        <f t="shared" si="46"/>
        <v>0</v>
      </c>
      <c r="BA56" s="61">
        <v>241.69425000000004</v>
      </c>
      <c r="BB56" s="59">
        <f t="shared" si="47"/>
        <v>294.86698500000006</v>
      </c>
      <c r="BC56" s="59">
        <f t="shared" si="48"/>
        <v>3538.4038200000005</v>
      </c>
      <c r="BD56" s="59"/>
      <c r="BE56" s="59">
        <f t="shared" si="77"/>
        <v>0</v>
      </c>
      <c r="BF56" s="59">
        <f t="shared" si="49"/>
        <v>0</v>
      </c>
      <c r="BG56" s="59"/>
      <c r="BH56" s="59">
        <f t="shared" si="78"/>
        <v>0</v>
      </c>
      <c r="BI56" s="59">
        <f t="shared" si="50"/>
        <v>0</v>
      </c>
      <c r="BJ56" s="59"/>
      <c r="BK56" s="59">
        <f t="shared" si="79"/>
        <v>0</v>
      </c>
      <c r="BL56" s="59">
        <f t="shared" si="51"/>
        <v>0</v>
      </c>
      <c r="BM56" s="59"/>
      <c r="BN56" s="59">
        <f t="shared" si="62"/>
        <v>0</v>
      </c>
      <c r="BO56" s="59">
        <f t="shared" si="80"/>
        <v>0</v>
      </c>
      <c r="BP56" s="59"/>
      <c r="BQ56" s="59">
        <f t="shared" si="59"/>
        <v>0</v>
      </c>
      <c r="BR56" s="59">
        <f t="shared" si="81"/>
        <v>0</v>
      </c>
      <c r="BS56" s="59"/>
      <c r="BT56" s="59">
        <f t="shared" si="25"/>
        <v>0</v>
      </c>
      <c r="BU56" s="59">
        <f t="shared" si="82"/>
        <v>0</v>
      </c>
      <c r="BV56" s="61">
        <v>223.52175000000003</v>
      </c>
      <c r="BW56" s="59">
        <f t="shared" si="53"/>
        <v>272.69653500000004</v>
      </c>
      <c r="BX56" s="59">
        <f t="shared" si="54"/>
        <v>3272.3584200000005</v>
      </c>
      <c r="BY56" s="20">
        <f t="shared" si="55"/>
        <v>235.03100000000003</v>
      </c>
      <c r="BZ56" s="20">
        <f t="shared" si="56"/>
        <v>286.73782000000006</v>
      </c>
      <c r="CA56" s="21">
        <f t="shared" si="57"/>
        <v>2820.3720000000003</v>
      </c>
      <c r="CB56" s="21">
        <f t="shared" si="58"/>
        <v>3440.8538400000002</v>
      </c>
      <c r="CC56" s="20">
        <f t="shared" si="86"/>
        <v>1410.1860000000001</v>
      </c>
      <c r="CD56" s="20">
        <f t="shared" si="87"/>
        <v>1720.4269200000003</v>
      </c>
      <c r="CE56" s="20">
        <f t="shared" si="88"/>
        <v>1410.1860000000001</v>
      </c>
      <c r="CF56" s="20">
        <f t="shared" si="89"/>
        <v>1720.4269200000003</v>
      </c>
      <c r="CG56" s="20">
        <f t="shared" si="83"/>
        <v>3440.8538400000007</v>
      </c>
      <c r="CH56" s="4">
        <f t="shared" si="90"/>
        <v>9</v>
      </c>
      <c r="CI56" s="4">
        <f t="shared" si="33"/>
        <v>3</v>
      </c>
      <c r="CN56" s="35" t="e">
        <f>MIN((H56,K56,N56,Q56,T56,W56,Z56,AC56,AF56,AI56,AL56,AO56,AR56,AU56,AX56,BA56,BD56,BG56,BJ56,BM56,BP56,BS56,BV56,#REF!,#REF!))</f>
        <v>#REF!</v>
      </c>
      <c r="CO56" s="35" t="e">
        <f>MAX((H56,K56,N56,Q56,T56,W56,Z56,AC56,AF56,AI56,AL56,AO56,AR56,AU56,AX56,BA56,BD56,BG56,BJ56,BM56,BP56,BS56,BV56,#REF!,#REF!))</f>
        <v>#REF!</v>
      </c>
      <c r="CP56" s="47" t="e">
        <f t="shared" si="34"/>
        <v>#REF!</v>
      </c>
      <c r="CQ56" s="40"/>
      <c r="CS56" s="4">
        <v>1.2</v>
      </c>
      <c r="CT56" s="4" t="b">
        <f t="shared" si="91"/>
        <v>0</v>
      </c>
      <c r="CU56" s="4">
        <v>1</v>
      </c>
      <c r="CV56" s="4" t="b">
        <f t="shared" si="84"/>
        <v>1</v>
      </c>
      <c r="CW56" s="19">
        <v>2.2000000000000002</v>
      </c>
      <c r="CZ56" s="4" t="s">
        <v>147</v>
      </c>
    </row>
    <row r="57" spans="1:104" s="4" customFormat="1" ht="41.25" thickBot="1" x14ac:dyDescent="0.3">
      <c r="A57" s="18">
        <v>41</v>
      </c>
      <c r="B57" s="62" t="s">
        <v>91</v>
      </c>
      <c r="C57" s="48" t="s">
        <v>14</v>
      </c>
      <c r="D57" s="107">
        <f t="shared" si="37"/>
        <v>12</v>
      </c>
      <c r="E57" s="107">
        <v>6</v>
      </c>
      <c r="F57" s="107">
        <v>6</v>
      </c>
      <c r="G57" s="60" t="s">
        <v>143</v>
      </c>
      <c r="H57" s="61">
        <v>340.06222222222226</v>
      </c>
      <c r="I57" s="59">
        <f t="shared" si="38"/>
        <v>414.87591111111112</v>
      </c>
      <c r="J57" s="59">
        <f t="shared" si="39"/>
        <v>4978.510933333333</v>
      </c>
      <c r="K57" s="59"/>
      <c r="L57" s="59">
        <f t="shared" si="60"/>
        <v>0</v>
      </c>
      <c r="M57" s="59">
        <f t="shared" si="63"/>
        <v>0</v>
      </c>
      <c r="N57" s="59"/>
      <c r="O57" s="59">
        <f t="shared" si="61"/>
        <v>0</v>
      </c>
      <c r="P57" s="59">
        <f t="shared" si="64"/>
        <v>0</v>
      </c>
      <c r="Q57" s="59"/>
      <c r="R57" s="59">
        <f t="shared" si="4"/>
        <v>0</v>
      </c>
      <c r="S57" s="59">
        <f t="shared" si="65"/>
        <v>0</v>
      </c>
      <c r="T57" s="59"/>
      <c r="U57" s="59">
        <f t="shared" si="66"/>
        <v>0</v>
      </c>
      <c r="V57" s="59">
        <f t="shared" si="40"/>
        <v>0</v>
      </c>
      <c r="W57" s="59"/>
      <c r="X57" s="59">
        <f t="shared" si="67"/>
        <v>0</v>
      </c>
      <c r="Y57" s="59">
        <f t="shared" si="41"/>
        <v>0</v>
      </c>
      <c r="Z57" s="59"/>
      <c r="AA57" s="59">
        <f t="shared" si="68"/>
        <v>0</v>
      </c>
      <c r="AB57" s="59">
        <f t="shared" si="42"/>
        <v>0</v>
      </c>
      <c r="AC57" s="59"/>
      <c r="AD57" s="59">
        <f t="shared" si="9"/>
        <v>0</v>
      </c>
      <c r="AE57" s="59">
        <f t="shared" si="69"/>
        <v>0</v>
      </c>
      <c r="AF57" s="59"/>
      <c r="AG57" s="59">
        <f t="shared" si="11"/>
        <v>0</v>
      </c>
      <c r="AH57" s="59">
        <f t="shared" si="70"/>
        <v>0</v>
      </c>
      <c r="AI57" s="59"/>
      <c r="AJ57" s="59">
        <f t="shared" si="13"/>
        <v>0</v>
      </c>
      <c r="AK57" s="59">
        <f t="shared" si="71"/>
        <v>0</v>
      </c>
      <c r="AL57" s="59"/>
      <c r="AM57" s="59">
        <f t="shared" si="72"/>
        <v>0</v>
      </c>
      <c r="AN57" s="59">
        <f t="shared" si="43"/>
        <v>0</v>
      </c>
      <c r="AO57" s="59"/>
      <c r="AP57" s="59">
        <f t="shared" si="73"/>
        <v>0</v>
      </c>
      <c r="AQ57" s="59">
        <f t="shared" si="44"/>
        <v>0</v>
      </c>
      <c r="AR57" s="59"/>
      <c r="AS57" s="59">
        <f t="shared" si="17"/>
        <v>0</v>
      </c>
      <c r="AT57" s="59">
        <f t="shared" si="74"/>
        <v>0</v>
      </c>
      <c r="AU57" s="59"/>
      <c r="AV57" s="59">
        <f t="shared" si="75"/>
        <v>0</v>
      </c>
      <c r="AW57" s="59">
        <f t="shared" si="45"/>
        <v>0</v>
      </c>
      <c r="AX57" s="59"/>
      <c r="AY57" s="59">
        <f t="shared" si="76"/>
        <v>0</v>
      </c>
      <c r="AZ57" s="59">
        <f t="shared" si="46"/>
        <v>0</v>
      </c>
      <c r="BA57" s="61">
        <v>342.60000000000008</v>
      </c>
      <c r="BB57" s="59">
        <f t="shared" si="47"/>
        <v>417.97200000000009</v>
      </c>
      <c r="BC57" s="59">
        <f t="shared" si="48"/>
        <v>5015.6640000000007</v>
      </c>
      <c r="BD57" s="59"/>
      <c r="BE57" s="59">
        <f t="shared" si="77"/>
        <v>0</v>
      </c>
      <c r="BF57" s="59">
        <f t="shared" si="49"/>
        <v>0</v>
      </c>
      <c r="BG57" s="59"/>
      <c r="BH57" s="59">
        <f t="shared" si="78"/>
        <v>0</v>
      </c>
      <c r="BI57" s="59">
        <f t="shared" si="50"/>
        <v>0</v>
      </c>
      <c r="BJ57" s="59"/>
      <c r="BK57" s="59">
        <f t="shared" si="79"/>
        <v>0</v>
      </c>
      <c r="BL57" s="59">
        <f t="shared" si="51"/>
        <v>0</v>
      </c>
      <c r="BM57" s="59"/>
      <c r="BN57" s="59">
        <f t="shared" si="62"/>
        <v>0</v>
      </c>
      <c r="BO57" s="59">
        <f t="shared" si="80"/>
        <v>0</v>
      </c>
      <c r="BP57" s="59"/>
      <c r="BQ57" s="59">
        <f t="shared" si="59"/>
        <v>0</v>
      </c>
      <c r="BR57" s="59">
        <f t="shared" si="81"/>
        <v>0</v>
      </c>
      <c r="BS57" s="59"/>
      <c r="BT57" s="59">
        <f t="shared" si="25"/>
        <v>0</v>
      </c>
      <c r="BU57" s="59">
        <f t="shared" si="82"/>
        <v>0</v>
      </c>
      <c r="BV57" s="61">
        <v>327.37333333333339</v>
      </c>
      <c r="BW57" s="59">
        <f t="shared" si="53"/>
        <v>399.39546666666672</v>
      </c>
      <c r="BX57" s="59">
        <f t="shared" si="54"/>
        <v>4792.7456000000002</v>
      </c>
      <c r="BY57" s="20">
        <f t="shared" si="55"/>
        <v>336.67851851851856</v>
      </c>
      <c r="BZ57" s="20">
        <f t="shared" si="56"/>
        <v>410.74779259259265</v>
      </c>
      <c r="CA57" s="21">
        <f t="shared" si="57"/>
        <v>4040.1422222222227</v>
      </c>
      <c r="CB57" s="21">
        <f t="shared" si="58"/>
        <v>4928.9735111111113</v>
      </c>
      <c r="CC57" s="20">
        <f t="shared" si="86"/>
        <v>2020.0711111111113</v>
      </c>
      <c r="CD57" s="20">
        <f t="shared" si="87"/>
        <v>2464.4867555555556</v>
      </c>
      <c r="CE57" s="20">
        <f t="shared" si="88"/>
        <v>2020.0711111111113</v>
      </c>
      <c r="CF57" s="20">
        <f t="shared" si="89"/>
        <v>2464.4867555555556</v>
      </c>
      <c r="CG57" s="20">
        <f t="shared" si="83"/>
        <v>4928.9735111111113</v>
      </c>
      <c r="CH57" s="4">
        <f t="shared" si="90"/>
        <v>9</v>
      </c>
      <c r="CI57" s="3">
        <f t="shared" si="33"/>
        <v>3</v>
      </c>
      <c r="CN57" s="35" t="e">
        <f>MIN((H57,K57,N57,Q57,T57,W57,Z57,AC57,AF57,AI57,AL57,AO57,AR57,AU57,AX57,BA57,BD57,BG57,BJ57,BM57,BP57,BS57,BV57,#REF!,#REF!))</f>
        <v>#REF!</v>
      </c>
      <c r="CO57" s="35" t="e">
        <f>MAX((H57,K57,N57,Q57,T57,W57,Z57,AC57,AF57,AI57,AL57,AO57,AR57,AU57,AX57,BA57,BD57,BG57,BJ57,BM57,BP57,BS57,BV57,#REF!,#REF!))</f>
        <v>#REF!</v>
      </c>
      <c r="CP57" s="47" t="e">
        <f t="shared" si="34"/>
        <v>#REF!</v>
      </c>
      <c r="CQ57" s="41" t="e">
        <f t="shared" ref="CQ57:CQ64" si="92">CN57*1.3</f>
        <v>#REF!</v>
      </c>
      <c r="CS57" s="4">
        <v>1</v>
      </c>
      <c r="CT57" s="4" t="b">
        <f t="shared" si="91"/>
        <v>0</v>
      </c>
      <c r="CU57" s="4">
        <v>1</v>
      </c>
      <c r="CV57" s="4" t="b">
        <f t="shared" si="84"/>
        <v>1</v>
      </c>
      <c r="CW57" s="19">
        <v>2</v>
      </c>
      <c r="CZ57" s="4" t="s">
        <v>147</v>
      </c>
    </row>
    <row r="58" spans="1:104" s="4" customFormat="1" ht="41.25" thickBot="1" x14ac:dyDescent="0.3">
      <c r="A58" s="18">
        <v>42</v>
      </c>
      <c r="B58" s="63" t="s">
        <v>92</v>
      </c>
      <c r="C58" s="48" t="s">
        <v>14</v>
      </c>
      <c r="D58" s="107">
        <f t="shared" si="37"/>
        <v>12</v>
      </c>
      <c r="E58" s="107">
        <v>6</v>
      </c>
      <c r="F58" s="107">
        <v>6</v>
      </c>
      <c r="G58" s="19" t="s">
        <v>143</v>
      </c>
      <c r="H58" s="61">
        <v>371.1825</v>
      </c>
      <c r="I58" s="59">
        <f t="shared" si="38"/>
        <v>452.84264999999999</v>
      </c>
      <c r="J58" s="59">
        <f t="shared" si="39"/>
        <v>5434.1117999999997</v>
      </c>
      <c r="K58" s="59"/>
      <c r="L58" s="59">
        <f t="shared" si="60"/>
        <v>0</v>
      </c>
      <c r="M58" s="59">
        <f t="shared" si="63"/>
        <v>0</v>
      </c>
      <c r="N58" s="59"/>
      <c r="O58" s="59">
        <f t="shared" si="61"/>
        <v>0</v>
      </c>
      <c r="P58" s="59">
        <f t="shared" si="64"/>
        <v>0</v>
      </c>
      <c r="Q58" s="59"/>
      <c r="R58" s="59">
        <f t="shared" si="4"/>
        <v>0</v>
      </c>
      <c r="S58" s="59">
        <f t="shared" si="65"/>
        <v>0</v>
      </c>
      <c r="T58" s="59"/>
      <c r="U58" s="59">
        <f t="shared" si="66"/>
        <v>0</v>
      </c>
      <c r="V58" s="59">
        <f t="shared" si="40"/>
        <v>0</v>
      </c>
      <c r="W58" s="59"/>
      <c r="X58" s="59">
        <f t="shared" si="67"/>
        <v>0</v>
      </c>
      <c r="Y58" s="59">
        <f t="shared" si="41"/>
        <v>0</v>
      </c>
      <c r="Z58" s="59"/>
      <c r="AA58" s="59">
        <f t="shared" si="68"/>
        <v>0</v>
      </c>
      <c r="AB58" s="59">
        <f t="shared" si="42"/>
        <v>0</v>
      </c>
      <c r="AC58" s="59"/>
      <c r="AD58" s="59">
        <f t="shared" si="9"/>
        <v>0</v>
      </c>
      <c r="AE58" s="59">
        <f t="shared" si="69"/>
        <v>0</v>
      </c>
      <c r="AF58" s="59"/>
      <c r="AG58" s="59">
        <f t="shared" si="11"/>
        <v>0</v>
      </c>
      <c r="AH58" s="59">
        <f t="shared" si="70"/>
        <v>0</v>
      </c>
      <c r="AI58" s="59"/>
      <c r="AJ58" s="59">
        <f t="shared" si="13"/>
        <v>0</v>
      </c>
      <c r="AK58" s="59">
        <f t="shared" si="71"/>
        <v>0</v>
      </c>
      <c r="AL58" s="59"/>
      <c r="AM58" s="59">
        <f t="shared" si="72"/>
        <v>0</v>
      </c>
      <c r="AN58" s="59">
        <f t="shared" si="43"/>
        <v>0</v>
      </c>
      <c r="AO58" s="59"/>
      <c r="AP58" s="59">
        <f t="shared" si="73"/>
        <v>0</v>
      </c>
      <c r="AQ58" s="59">
        <f t="shared" si="44"/>
        <v>0</v>
      </c>
      <c r="AR58" s="59"/>
      <c r="AS58" s="59">
        <f t="shared" si="17"/>
        <v>0</v>
      </c>
      <c r="AT58" s="59">
        <f t="shared" si="74"/>
        <v>0</v>
      </c>
      <c r="AU58" s="59"/>
      <c r="AV58" s="59">
        <f t="shared" si="75"/>
        <v>0</v>
      </c>
      <c r="AW58" s="59">
        <f t="shared" si="45"/>
        <v>0</v>
      </c>
      <c r="AX58" s="59"/>
      <c r="AY58" s="59">
        <f t="shared" si="76"/>
        <v>0</v>
      </c>
      <c r="AZ58" s="59">
        <f t="shared" si="46"/>
        <v>0</v>
      </c>
      <c r="BA58" s="61">
        <v>349.18649999999997</v>
      </c>
      <c r="BB58" s="59">
        <f t="shared" si="47"/>
        <v>426.00752999999997</v>
      </c>
      <c r="BC58" s="59">
        <f t="shared" si="48"/>
        <v>5112.0903600000001</v>
      </c>
      <c r="BD58" s="59"/>
      <c r="BE58" s="59">
        <f t="shared" si="77"/>
        <v>0</v>
      </c>
      <c r="BF58" s="59">
        <f t="shared" si="49"/>
        <v>0</v>
      </c>
      <c r="BG58" s="59"/>
      <c r="BH58" s="59">
        <f t="shared" si="78"/>
        <v>0</v>
      </c>
      <c r="BI58" s="59">
        <f t="shared" si="50"/>
        <v>0</v>
      </c>
      <c r="BJ58" s="59"/>
      <c r="BK58" s="59">
        <f t="shared" si="79"/>
        <v>0</v>
      </c>
      <c r="BL58" s="59">
        <f t="shared" si="51"/>
        <v>0</v>
      </c>
      <c r="BM58" s="59"/>
      <c r="BN58" s="59">
        <f t="shared" si="62"/>
        <v>0</v>
      </c>
      <c r="BO58" s="59">
        <f t="shared" si="80"/>
        <v>0</v>
      </c>
      <c r="BP58" s="59"/>
      <c r="BQ58" s="59">
        <f t="shared" si="59"/>
        <v>0</v>
      </c>
      <c r="BR58" s="59">
        <f t="shared" si="81"/>
        <v>0</v>
      </c>
      <c r="BS58" s="59"/>
      <c r="BT58" s="59">
        <f t="shared" si="25"/>
        <v>0</v>
      </c>
      <c r="BU58" s="59">
        <f t="shared" si="82"/>
        <v>0</v>
      </c>
      <c r="BV58" s="61">
        <v>379.43099999999998</v>
      </c>
      <c r="BW58" s="59">
        <f t="shared" si="53"/>
        <v>462.90581999999995</v>
      </c>
      <c r="BX58" s="59">
        <f t="shared" si="54"/>
        <v>5554.8698399999994</v>
      </c>
      <c r="BY58" s="20">
        <f t="shared" si="55"/>
        <v>366.59999999999997</v>
      </c>
      <c r="BZ58" s="20">
        <f t="shared" si="56"/>
        <v>447.25199999999995</v>
      </c>
      <c r="CA58" s="21">
        <f t="shared" si="57"/>
        <v>4399.2</v>
      </c>
      <c r="CB58" s="21">
        <f t="shared" si="58"/>
        <v>5367.0239999999994</v>
      </c>
      <c r="CC58" s="20">
        <f t="shared" si="86"/>
        <v>2199.6</v>
      </c>
      <c r="CD58" s="20">
        <f t="shared" si="87"/>
        <v>2683.5119999999997</v>
      </c>
      <c r="CE58" s="20">
        <f t="shared" si="88"/>
        <v>2199.6</v>
      </c>
      <c r="CF58" s="20">
        <f t="shared" si="89"/>
        <v>2683.5119999999997</v>
      </c>
      <c r="CG58" s="20">
        <f t="shared" si="83"/>
        <v>5367.0239999999994</v>
      </c>
      <c r="CH58" s="4">
        <f t="shared" si="90"/>
        <v>9</v>
      </c>
      <c r="CI58" s="3">
        <f t="shared" si="33"/>
        <v>3</v>
      </c>
      <c r="CN58" s="35" t="e">
        <f>MIN((H58,K58,N58,Q58,T58,W58,Z58,AC58,AF58,AI58,AL58,AO58,AR58,AU58,AX58,BA58,BD58,BG58,BJ58,BM58,BP58,BS58,BV58,#REF!,#REF!))</f>
        <v>#REF!</v>
      </c>
      <c r="CO58" s="35" t="e">
        <f>MAX((H58,K58,N58,Q58,T58,W58,Z58,AC58,AF58,AI58,AL58,AO58,AR58,AU58,AX58,BA58,BD58,BG58,BJ58,BM58,BP58,BS58,BV58,#REF!,#REF!))</f>
        <v>#REF!</v>
      </c>
      <c r="CP58" s="47" t="e">
        <f t="shared" si="34"/>
        <v>#REF!</v>
      </c>
      <c r="CQ58" s="41" t="e">
        <f t="shared" si="92"/>
        <v>#REF!</v>
      </c>
      <c r="CS58" s="4">
        <v>2</v>
      </c>
      <c r="CT58" s="4" t="b">
        <f t="shared" si="91"/>
        <v>0</v>
      </c>
      <c r="CU58" s="4">
        <v>6</v>
      </c>
      <c r="CV58" s="4" t="b">
        <f t="shared" si="84"/>
        <v>1</v>
      </c>
      <c r="CW58" s="19">
        <v>8</v>
      </c>
      <c r="CZ58" s="4" t="s">
        <v>147</v>
      </c>
    </row>
    <row r="59" spans="1:104" s="4" customFormat="1" ht="41.25" thickBot="1" x14ac:dyDescent="0.3">
      <c r="A59" s="18">
        <v>43</v>
      </c>
      <c r="B59" s="62" t="s">
        <v>93</v>
      </c>
      <c r="C59" s="48" t="s">
        <v>14</v>
      </c>
      <c r="D59" s="107">
        <f t="shared" si="37"/>
        <v>12</v>
      </c>
      <c r="E59" s="107">
        <v>6</v>
      </c>
      <c r="F59" s="107">
        <v>6</v>
      </c>
      <c r="G59" s="19" t="s">
        <v>143</v>
      </c>
      <c r="H59" s="61">
        <v>394.70461111111115</v>
      </c>
      <c r="I59" s="59">
        <f t="shared" si="38"/>
        <v>481.53962555555557</v>
      </c>
      <c r="J59" s="59">
        <f t="shared" si="39"/>
        <v>5778.4755066666667</v>
      </c>
      <c r="K59" s="59"/>
      <c r="L59" s="59">
        <f t="shared" si="60"/>
        <v>0</v>
      </c>
      <c r="M59" s="59">
        <f t="shared" si="63"/>
        <v>0</v>
      </c>
      <c r="N59" s="59"/>
      <c r="O59" s="59">
        <f t="shared" si="61"/>
        <v>0</v>
      </c>
      <c r="P59" s="59">
        <f t="shared" si="64"/>
        <v>0</v>
      </c>
      <c r="Q59" s="59"/>
      <c r="R59" s="59">
        <f t="shared" si="4"/>
        <v>0</v>
      </c>
      <c r="S59" s="59">
        <f t="shared" si="65"/>
        <v>0</v>
      </c>
      <c r="T59" s="59"/>
      <c r="U59" s="59">
        <f t="shared" si="66"/>
        <v>0</v>
      </c>
      <c r="V59" s="59">
        <f t="shared" si="40"/>
        <v>0</v>
      </c>
      <c r="W59" s="59"/>
      <c r="X59" s="59">
        <f t="shared" si="67"/>
        <v>0</v>
      </c>
      <c r="Y59" s="59">
        <f t="shared" si="41"/>
        <v>0</v>
      </c>
      <c r="Z59" s="59"/>
      <c r="AA59" s="59">
        <f t="shared" si="68"/>
        <v>0</v>
      </c>
      <c r="AB59" s="59">
        <f t="shared" si="42"/>
        <v>0</v>
      </c>
      <c r="AC59" s="59"/>
      <c r="AD59" s="59">
        <f t="shared" si="9"/>
        <v>0</v>
      </c>
      <c r="AE59" s="59">
        <f t="shared" si="69"/>
        <v>0</v>
      </c>
      <c r="AF59" s="59"/>
      <c r="AG59" s="59">
        <f t="shared" si="11"/>
        <v>0</v>
      </c>
      <c r="AH59" s="59">
        <f t="shared" si="70"/>
        <v>0</v>
      </c>
      <c r="AI59" s="59"/>
      <c r="AJ59" s="59">
        <f t="shared" si="13"/>
        <v>0</v>
      </c>
      <c r="AK59" s="59">
        <f t="shared" si="71"/>
        <v>0</v>
      </c>
      <c r="AL59" s="59"/>
      <c r="AM59" s="59">
        <f t="shared" si="72"/>
        <v>0</v>
      </c>
      <c r="AN59" s="59">
        <f t="shared" si="43"/>
        <v>0</v>
      </c>
      <c r="AO59" s="59"/>
      <c r="AP59" s="59">
        <f t="shared" si="73"/>
        <v>0</v>
      </c>
      <c r="AQ59" s="59">
        <f t="shared" si="44"/>
        <v>0</v>
      </c>
      <c r="AR59" s="59"/>
      <c r="AS59" s="59">
        <f t="shared" si="17"/>
        <v>0</v>
      </c>
      <c r="AT59" s="59">
        <f t="shared" si="74"/>
        <v>0</v>
      </c>
      <c r="AU59" s="59"/>
      <c r="AV59" s="59">
        <f t="shared" si="75"/>
        <v>0</v>
      </c>
      <c r="AW59" s="59">
        <f t="shared" si="45"/>
        <v>0</v>
      </c>
      <c r="AX59" s="59"/>
      <c r="AY59" s="59">
        <f t="shared" si="76"/>
        <v>0</v>
      </c>
      <c r="AZ59" s="59">
        <f t="shared" si="46"/>
        <v>0</v>
      </c>
      <c r="BA59" s="61">
        <v>360.13194444444446</v>
      </c>
      <c r="BB59" s="59">
        <f t="shared" si="47"/>
        <v>439.36097222222224</v>
      </c>
      <c r="BC59" s="59">
        <f t="shared" si="48"/>
        <v>5272.3316666666669</v>
      </c>
      <c r="BD59" s="59"/>
      <c r="BE59" s="59">
        <f t="shared" si="77"/>
        <v>0</v>
      </c>
      <c r="BF59" s="59">
        <f t="shared" si="49"/>
        <v>0</v>
      </c>
      <c r="BG59" s="59"/>
      <c r="BH59" s="59">
        <f t="shared" si="78"/>
        <v>0</v>
      </c>
      <c r="BI59" s="59">
        <f t="shared" si="50"/>
        <v>0</v>
      </c>
      <c r="BJ59" s="59"/>
      <c r="BK59" s="59">
        <f t="shared" si="79"/>
        <v>0</v>
      </c>
      <c r="BL59" s="59">
        <f t="shared" si="51"/>
        <v>0</v>
      </c>
      <c r="BM59" s="59"/>
      <c r="BN59" s="59">
        <f t="shared" si="62"/>
        <v>0</v>
      </c>
      <c r="BO59" s="59">
        <f t="shared" si="80"/>
        <v>0</v>
      </c>
      <c r="BP59" s="59"/>
      <c r="BQ59" s="59">
        <f t="shared" si="59"/>
        <v>0</v>
      </c>
      <c r="BR59" s="59">
        <f t="shared" si="81"/>
        <v>0</v>
      </c>
      <c r="BS59" s="59"/>
      <c r="BT59" s="59">
        <f t="shared" si="25"/>
        <v>0</v>
      </c>
      <c r="BU59" s="59">
        <f t="shared" si="82"/>
        <v>0</v>
      </c>
      <c r="BV59" s="61">
        <v>360.13194444444446</v>
      </c>
      <c r="BW59" s="59">
        <f t="shared" si="53"/>
        <v>439.36097222222224</v>
      </c>
      <c r="BX59" s="59">
        <f t="shared" si="54"/>
        <v>5272.3316666666669</v>
      </c>
      <c r="BY59" s="20">
        <f t="shared" si="55"/>
        <v>371.65616666666665</v>
      </c>
      <c r="BZ59" s="20">
        <f t="shared" si="56"/>
        <v>453.42052333333328</v>
      </c>
      <c r="CA59" s="21">
        <f t="shared" si="57"/>
        <v>4459.8739999999998</v>
      </c>
      <c r="CB59" s="21">
        <f t="shared" si="58"/>
        <v>5441.0462799999996</v>
      </c>
      <c r="CC59" s="20">
        <f t="shared" si="86"/>
        <v>2229.9369999999999</v>
      </c>
      <c r="CD59" s="20">
        <f t="shared" si="87"/>
        <v>2720.5231399999998</v>
      </c>
      <c r="CE59" s="20">
        <f t="shared" si="88"/>
        <v>2229.9369999999999</v>
      </c>
      <c r="CF59" s="20">
        <f t="shared" si="89"/>
        <v>2720.5231399999998</v>
      </c>
      <c r="CG59" s="20">
        <f t="shared" si="83"/>
        <v>5441.0462799999996</v>
      </c>
      <c r="CH59" s="4">
        <f t="shared" si="90"/>
        <v>9</v>
      </c>
      <c r="CI59" s="3">
        <f t="shared" si="33"/>
        <v>3</v>
      </c>
      <c r="CN59" s="35" t="e">
        <f>MIN((H59,K59,N59,Q59,T59,W59,Z59,AC59,AF59,AI59,AL59,AO59,AR59,AU59,AX59,BA59,BD59,BG59,BJ59,BM59,BP59,BS59,BV59,#REF!,#REF!))</f>
        <v>#REF!</v>
      </c>
      <c r="CO59" s="35" t="e">
        <f>MAX((H59,K59,N59,Q59,T59,W59,Z59,AC59,AF59,AI59,AL59,AO59,AR59,AU59,AX59,BA59,BD59,BG59,BJ59,BM59,BP59,BS59,BV59,#REF!,#REF!))</f>
        <v>#REF!</v>
      </c>
      <c r="CP59" s="47" t="e">
        <f t="shared" si="34"/>
        <v>#REF!</v>
      </c>
      <c r="CQ59" s="41" t="e">
        <f t="shared" si="92"/>
        <v>#REF!</v>
      </c>
      <c r="CS59" s="4">
        <v>2</v>
      </c>
      <c r="CT59" s="4" t="b">
        <f t="shared" si="91"/>
        <v>0</v>
      </c>
      <c r="CU59" s="4">
        <v>9</v>
      </c>
      <c r="CV59" s="4" t="b">
        <f t="shared" si="84"/>
        <v>1</v>
      </c>
      <c r="CW59" s="19">
        <v>11</v>
      </c>
      <c r="CZ59" s="4" t="s">
        <v>147</v>
      </c>
    </row>
    <row r="60" spans="1:104" s="4" customFormat="1" ht="41.25" thickBot="1" x14ac:dyDescent="0.3">
      <c r="A60" s="18">
        <v>44</v>
      </c>
      <c r="B60" s="64" t="s">
        <v>94</v>
      </c>
      <c r="C60" s="48" t="s">
        <v>14</v>
      </c>
      <c r="D60" s="107">
        <f t="shared" si="37"/>
        <v>12</v>
      </c>
      <c r="E60" s="107">
        <v>6</v>
      </c>
      <c r="F60" s="107">
        <v>6</v>
      </c>
      <c r="G60" s="60" t="s">
        <v>143</v>
      </c>
      <c r="H60" s="61">
        <v>299.38333333333333</v>
      </c>
      <c r="I60" s="59">
        <f t="shared" si="38"/>
        <v>365.24766666666665</v>
      </c>
      <c r="J60" s="59">
        <f t="shared" si="39"/>
        <v>4382.9719999999998</v>
      </c>
      <c r="K60" s="59"/>
      <c r="L60" s="59">
        <f t="shared" si="60"/>
        <v>0</v>
      </c>
      <c r="M60" s="59">
        <f t="shared" si="63"/>
        <v>0</v>
      </c>
      <c r="N60" s="59"/>
      <c r="O60" s="59">
        <f t="shared" si="61"/>
        <v>0</v>
      </c>
      <c r="P60" s="59">
        <f t="shared" si="64"/>
        <v>0</v>
      </c>
      <c r="Q60" s="59"/>
      <c r="R60" s="59">
        <f t="shared" si="4"/>
        <v>0</v>
      </c>
      <c r="S60" s="59">
        <f t="shared" si="65"/>
        <v>0</v>
      </c>
      <c r="T60" s="59"/>
      <c r="U60" s="59">
        <f t="shared" si="66"/>
        <v>0</v>
      </c>
      <c r="V60" s="59">
        <f t="shared" si="40"/>
        <v>0</v>
      </c>
      <c r="W60" s="59"/>
      <c r="X60" s="59">
        <f t="shared" si="67"/>
        <v>0</v>
      </c>
      <c r="Y60" s="59">
        <f t="shared" si="41"/>
        <v>0</v>
      </c>
      <c r="Z60" s="59"/>
      <c r="AA60" s="59">
        <f t="shared" si="68"/>
        <v>0</v>
      </c>
      <c r="AB60" s="59">
        <f t="shared" si="42"/>
        <v>0</v>
      </c>
      <c r="AC60" s="59"/>
      <c r="AD60" s="59">
        <f t="shared" si="9"/>
        <v>0</v>
      </c>
      <c r="AE60" s="59">
        <f t="shared" si="69"/>
        <v>0</v>
      </c>
      <c r="AF60" s="59"/>
      <c r="AG60" s="59">
        <f t="shared" si="11"/>
        <v>0</v>
      </c>
      <c r="AH60" s="59">
        <f t="shared" si="70"/>
        <v>0</v>
      </c>
      <c r="AI60" s="59"/>
      <c r="AJ60" s="59">
        <f t="shared" si="13"/>
        <v>0</v>
      </c>
      <c r="AK60" s="59">
        <f t="shared" si="71"/>
        <v>0</v>
      </c>
      <c r="AL60" s="59"/>
      <c r="AM60" s="59">
        <f t="shared" si="72"/>
        <v>0</v>
      </c>
      <c r="AN60" s="59">
        <f t="shared" si="43"/>
        <v>0</v>
      </c>
      <c r="AO60" s="59"/>
      <c r="AP60" s="59">
        <f t="shared" si="73"/>
        <v>0</v>
      </c>
      <c r="AQ60" s="59">
        <f t="shared" si="44"/>
        <v>0</v>
      </c>
      <c r="AR60" s="59"/>
      <c r="AS60" s="59">
        <f t="shared" si="17"/>
        <v>0</v>
      </c>
      <c r="AT60" s="59">
        <f t="shared" si="74"/>
        <v>0</v>
      </c>
      <c r="AU60" s="59"/>
      <c r="AV60" s="59">
        <f t="shared" si="75"/>
        <v>0</v>
      </c>
      <c r="AW60" s="59">
        <f t="shared" si="45"/>
        <v>0</v>
      </c>
      <c r="AX60" s="59"/>
      <c r="AY60" s="59">
        <f t="shared" si="76"/>
        <v>0</v>
      </c>
      <c r="AZ60" s="59">
        <f t="shared" si="46"/>
        <v>0</v>
      </c>
      <c r="BA60" s="61">
        <v>264.67222222222222</v>
      </c>
      <c r="BB60" s="59">
        <f t="shared" si="47"/>
        <v>322.90011111111107</v>
      </c>
      <c r="BC60" s="59">
        <f t="shared" si="48"/>
        <v>3874.8013333333329</v>
      </c>
      <c r="BD60" s="59"/>
      <c r="BE60" s="59">
        <f t="shared" si="77"/>
        <v>0</v>
      </c>
      <c r="BF60" s="59">
        <f t="shared" si="49"/>
        <v>0</v>
      </c>
      <c r="BG60" s="59"/>
      <c r="BH60" s="59">
        <f t="shared" si="78"/>
        <v>0</v>
      </c>
      <c r="BI60" s="59">
        <f t="shared" si="50"/>
        <v>0</v>
      </c>
      <c r="BJ60" s="59"/>
      <c r="BK60" s="59">
        <f t="shared" si="79"/>
        <v>0</v>
      </c>
      <c r="BL60" s="59">
        <f t="shared" si="51"/>
        <v>0</v>
      </c>
      <c r="BM60" s="59"/>
      <c r="BN60" s="59">
        <f t="shared" si="62"/>
        <v>0</v>
      </c>
      <c r="BO60" s="59">
        <f t="shared" si="80"/>
        <v>0</v>
      </c>
      <c r="BP60" s="59"/>
      <c r="BQ60" s="59">
        <f t="shared" si="59"/>
        <v>0</v>
      </c>
      <c r="BR60" s="59">
        <f t="shared" si="81"/>
        <v>0</v>
      </c>
      <c r="BS60" s="59"/>
      <c r="BT60" s="59">
        <f t="shared" si="25"/>
        <v>0</v>
      </c>
      <c r="BU60" s="59">
        <f t="shared" si="82"/>
        <v>0</v>
      </c>
      <c r="BV60" s="61">
        <v>273.35000000000002</v>
      </c>
      <c r="BW60" s="59">
        <f t="shared" si="53"/>
        <v>333.48700000000002</v>
      </c>
      <c r="BX60" s="59">
        <f t="shared" si="54"/>
        <v>4001.8440000000001</v>
      </c>
      <c r="BY60" s="20">
        <f t="shared" si="55"/>
        <v>279.13518518518521</v>
      </c>
      <c r="BZ60" s="20">
        <f t="shared" si="56"/>
        <v>340.54492592592595</v>
      </c>
      <c r="CA60" s="21">
        <f t="shared" si="57"/>
        <v>3349.6222222222223</v>
      </c>
      <c r="CB60" s="21">
        <f t="shared" si="58"/>
        <v>4086.5391111111112</v>
      </c>
      <c r="CC60" s="20">
        <f t="shared" si="86"/>
        <v>1674.8111111111111</v>
      </c>
      <c r="CD60" s="20">
        <f t="shared" si="87"/>
        <v>2043.2695555555556</v>
      </c>
      <c r="CE60" s="20">
        <f t="shared" si="88"/>
        <v>1674.8111111111111</v>
      </c>
      <c r="CF60" s="20">
        <f t="shared" si="89"/>
        <v>2043.2695555555556</v>
      </c>
      <c r="CG60" s="20">
        <f t="shared" si="83"/>
        <v>4086.5391111111112</v>
      </c>
      <c r="CH60" s="4">
        <f t="shared" si="90"/>
        <v>9</v>
      </c>
      <c r="CI60" s="3">
        <f t="shared" si="33"/>
        <v>3</v>
      </c>
      <c r="CN60" s="35" t="e">
        <f>MIN((H60,K60,N60,Q60,T60,W60,Z60,AC60,AF60,AI60,AL60,AO60,AR60,AU60,AX60,BA60,BD60,BG60,BJ60,BM60,BP60,BS60,BV60,#REF!,#REF!))</f>
        <v>#REF!</v>
      </c>
      <c r="CO60" s="35" t="e">
        <f>MAX((H60,K60,N60,Q60,T60,W60,Z60,AC60,AF60,AI60,AL60,AO60,AR60,AU60,AX60,BA60,BD60,BG60,BJ60,BM60,BP60,BS60,BV60,#REF!,#REF!))</f>
        <v>#REF!</v>
      </c>
      <c r="CP60" s="47" t="e">
        <f t="shared" si="34"/>
        <v>#REF!</v>
      </c>
      <c r="CQ60" s="41" t="e">
        <f t="shared" si="92"/>
        <v>#REF!</v>
      </c>
      <c r="CS60" s="4">
        <v>3</v>
      </c>
      <c r="CT60" s="4" t="b">
        <f t="shared" si="91"/>
        <v>0</v>
      </c>
      <c r="CU60" s="4">
        <v>4</v>
      </c>
      <c r="CV60" s="4" t="b">
        <f t="shared" si="84"/>
        <v>1</v>
      </c>
      <c r="CW60" s="19">
        <v>7</v>
      </c>
      <c r="CZ60" s="4" t="s">
        <v>147</v>
      </c>
    </row>
    <row r="61" spans="1:104" s="4" customFormat="1" ht="41.25" thickBot="1" x14ac:dyDescent="0.3">
      <c r="A61" s="18">
        <v>45</v>
      </c>
      <c r="B61" s="64" t="s">
        <v>95</v>
      </c>
      <c r="C61" s="48" t="s">
        <v>14</v>
      </c>
      <c r="D61" s="107">
        <f t="shared" si="37"/>
        <v>12</v>
      </c>
      <c r="E61" s="107">
        <v>6</v>
      </c>
      <c r="F61" s="107">
        <v>6</v>
      </c>
      <c r="G61" s="60" t="s">
        <v>143</v>
      </c>
      <c r="H61" s="61">
        <v>650.31111111111113</v>
      </c>
      <c r="I61" s="59">
        <f t="shared" si="38"/>
        <v>793.37955555555561</v>
      </c>
      <c r="J61" s="59">
        <f t="shared" si="39"/>
        <v>9520.5546666666669</v>
      </c>
      <c r="K61" s="59"/>
      <c r="L61" s="59">
        <f t="shared" si="60"/>
        <v>0</v>
      </c>
      <c r="M61" s="59">
        <f t="shared" si="63"/>
        <v>0</v>
      </c>
      <c r="N61" s="59"/>
      <c r="O61" s="59">
        <f t="shared" si="61"/>
        <v>0</v>
      </c>
      <c r="P61" s="59">
        <f t="shared" si="64"/>
        <v>0</v>
      </c>
      <c r="Q61" s="59"/>
      <c r="R61" s="59">
        <f t="shared" si="4"/>
        <v>0</v>
      </c>
      <c r="S61" s="59">
        <f t="shared" si="65"/>
        <v>0</v>
      </c>
      <c r="T61" s="59"/>
      <c r="U61" s="59">
        <f t="shared" si="66"/>
        <v>0</v>
      </c>
      <c r="V61" s="59">
        <f t="shared" si="40"/>
        <v>0</v>
      </c>
      <c r="W61" s="59"/>
      <c r="X61" s="59">
        <f t="shared" si="67"/>
        <v>0</v>
      </c>
      <c r="Y61" s="59">
        <f t="shared" si="41"/>
        <v>0</v>
      </c>
      <c r="Z61" s="59"/>
      <c r="AA61" s="59">
        <f t="shared" si="68"/>
        <v>0</v>
      </c>
      <c r="AB61" s="59">
        <f t="shared" si="42"/>
        <v>0</v>
      </c>
      <c r="AC61" s="59"/>
      <c r="AD61" s="59">
        <f t="shared" si="9"/>
        <v>0</v>
      </c>
      <c r="AE61" s="59">
        <f t="shared" si="69"/>
        <v>0</v>
      </c>
      <c r="AF61" s="59"/>
      <c r="AG61" s="59">
        <f t="shared" si="11"/>
        <v>0</v>
      </c>
      <c r="AH61" s="59">
        <f t="shared" si="70"/>
        <v>0</v>
      </c>
      <c r="AI61" s="59"/>
      <c r="AJ61" s="59">
        <f t="shared" si="13"/>
        <v>0</v>
      </c>
      <c r="AK61" s="59">
        <f t="shared" si="71"/>
        <v>0</v>
      </c>
      <c r="AL61" s="59"/>
      <c r="AM61" s="59">
        <f t="shared" si="72"/>
        <v>0</v>
      </c>
      <c r="AN61" s="59">
        <f t="shared" si="43"/>
        <v>0</v>
      </c>
      <c r="AO61" s="59"/>
      <c r="AP61" s="59">
        <f t="shared" si="73"/>
        <v>0</v>
      </c>
      <c r="AQ61" s="59">
        <f t="shared" si="44"/>
        <v>0</v>
      </c>
      <c r="AR61" s="59"/>
      <c r="AS61" s="59">
        <f t="shared" si="17"/>
        <v>0</v>
      </c>
      <c r="AT61" s="59">
        <f t="shared" si="74"/>
        <v>0</v>
      </c>
      <c r="AU61" s="59"/>
      <c r="AV61" s="59">
        <f t="shared" si="75"/>
        <v>0</v>
      </c>
      <c r="AW61" s="59">
        <f t="shared" si="45"/>
        <v>0</v>
      </c>
      <c r="AX61" s="59"/>
      <c r="AY61" s="59">
        <f t="shared" si="76"/>
        <v>0</v>
      </c>
      <c r="AZ61" s="59">
        <f t="shared" si="46"/>
        <v>0</v>
      </c>
      <c r="BA61" s="61">
        <v>692.26666666666677</v>
      </c>
      <c r="BB61" s="59">
        <f t="shared" si="47"/>
        <v>844.56533333333346</v>
      </c>
      <c r="BC61" s="59">
        <f t="shared" si="48"/>
        <v>10134.784000000001</v>
      </c>
      <c r="BD61" s="59"/>
      <c r="BE61" s="59">
        <f t="shared" si="77"/>
        <v>0</v>
      </c>
      <c r="BF61" s="59">
        <f t="shared" si="49"/>
        <v>0</v>
      </c>
      <c r="BG61" s="59"/>
      <c r="BH61" s="59">
        <f t="shared" si="78"/>
        <v>0</v>
      </c>
      <c r="BI61" s="59">
        <f t="shared" si="50"/>
        <v>0</v>
      </c>
      <c r="BJ61" s="59"/>
      <c r="BK61" s="59">
        <f t="shared" si="79"/>
        <v>0</v>
      </c>
      <c r="BL61" s="59">
        <f t="shared" si="51"/>
        <v>0</v>
      </c>
      <c r="BM61" s="59"/>
      <c r="BN61" s="59">
        <f t="shared" si="62"/>
        <v>0</v>
      </c>
      <c r="BO61" s="59">
        <f t="shared" si="80"/>
        <v>0</v>
      </c>
      <c r="BP61" s="59"/>
      <c r="BQ61" s="59">
        <f t="shared" si="59"/>
        <v>0</v>
      </c>
      <c r="BR61" s="59">
        <f t="shared" si="81"/>
        <v>0</v>
      </c>
      <c r="BS61" s="59"/>
      <c r="BT61" s="59">
        <f t="shared" si="25"/>
        <v>0</v>
      </c>
      <c r="BU61" s="59">
        <f t="shared" si="82"/>
        <v>0</v>
      </c>
      <c r="BV61" s="61">
        <v>645.06666666666672</v>
      </c>
      <c r="BW61" s="59">
        <f t="shared" si="53"/>
        <v>786.9813333333334</v>
      </c>
      <c r="BX61" s="59">
        <f t="shared" si="54"/>
        <v>9443.7760000000017</v>
      </c>
      <c r="BY61" s="20">
        <f t="shared" si="55"/>
        <v>662.54814814814824</v>
      </c>
      <c r="BZ61" s="20">
        <f t="shared" si="56"/>
        <v>808.30874074074086</v>
      </c>
      <c r="CA61" s="21">
        <f t="shared" si="57"/>
        <v>7950.5777777777785</v>
      </c>
      <c r="CB61" s="21">
        <f t="shared" si="58"/>
        <v>9699.7048888888894</v>
      </c>
      <c r="CC61" s="20">
        <f t="shared" si="86"/>
        <v>3975.2888888888892</v>
      </c>
      <c r="CD61" s="20">
        <f t="shared" si="87"/>
        <v>4849.8524444444447</v>
      </c>
      <c r="CE61" s="20">
        <f t="shared" si="88"/>
        <v>3975.2888888888892</v>
      </c>
      <c r="CF61" s="20">
        <f t="shared" si="89"/>
        <v>4849.8524444444447</v>
      </c>
      <c r="CG61" s="20">
        <f t="shared" si="83"/>
        <v>9699.7048888888894</v>
      </c>
      <c r="CH61" s="4">
        <f t="shared" si="90"/>
        <v>9</v>
      </c>
      <c r="CI61" s="3">
        <f t="shared" si="33"/>
        <v>3</v>
      </c>
      <c r="CN61" s="35" t="e">
        <f>MIN((H61,K61,N61,Q61,T61,W61,Z61,AC61,AF61,AI61,AL61,AO61,AR61,AU61,AX61,BA61,BD61,BG61,BJ61,BM61,BP61,BS61,BV61,#REF!,#REF!))</f>
        <v>#REF!</v>
      </c>
      <c r="CO61" s="35" t="e">
        <f>MAX((H61,K61,N61,Q61,T61,W61,Z61,AC61,AF61,AI61,AL61,AO61,AR61,AU61,AX61,BA61,BD61,BG61,BJ61,BM61,BP61,BS61,BV61,#REF!,#REF!))</f>
        <v>#REF!</v>
      </c>
      <c r="CP61" s="47" t="e">
        <f t="shared" si="34"/>
        <v>#REF!</v>
      </c>
      <c r="CQ61" s="41" t="e">
        <f t="shared" si="92"/>
        <v>#REF!</v>
      </c>
      <c r="CS61" s="4">
        <v>2</v>
      </c>
      <c r="CT61" s="4" t="b">
        <f t="shared" si="91"/>
        <v>0</v>
      </c>
      <c r="CU61" s="4">
        <v>2</v>
      </c>
      <c r="CV61" s="4" t="b">
        <f t="shared" si="84"/>
        <v>1</v>
      </c>
      <c r="CW61" s="19">
        <v>4</v>
      </c>
      <c r="CZ61" s="4" t="s">
        <v>147</v>
      </c>
    </row>
    <row r="62" spans="1:104" s="4" customFormat="1" ht="41.25" thickBot="1" x14ac:dyDescent="0.3">
      <c r="A62" s="18">
        <v>46</v>
      </c>
      <c r="B62" s="64" t="s">
        <v>96</v>
      </c>
      <c r="C62" s="48" t="s">
        <v>14</v>
      </c>
      <c r="D62" s="107">
        <f t="shared" si="37"/>
        <v>12</v>
      </c>
      <c r="E62" s="107">
        <v>6</v>
      </c>
      <c r="F62" s="107">
        <v>6</v>
      </c>
      <c r="G62" s="60" t="s">
        <v>143</v>
      </c>
      <c r="H62" s="61">
        <v>277.77777777777783</v>
      </c>
      <c r="I62" s="59">
        <f t="shared" si="38"/>
        <v>338.88888888888897</v>
      </c>
      <c r="J62" s="59">
        <f t="shared" si="39"/>
        <v>4066.6666666666679</v>
      </c>
      <c r="K62" s="59"/>
      <c r="L62" s="59">
        <f t="shared" si="60"/>
        <v>0</v>
      </c>
      <c r="M62" s="59">
        <f t="shared" si="63"/>
        <v>0</v>
      </c>
      <c r="N62" s="59"/>
      <c r="O62" s="59">
        <f t="shared" si="61"/>
        <v>0</v>
      </c>
      <c r="P62" s="59">
        <f t="shared" si="64"/>
        <v>0</v>
      </c>
      <c r="Q62" s="59"/>
      <c r="R62" s="59">
        <f t="shared" si="4"/>
        <v>0</v>
      </c>
      <c r="S62" s="59">
        <f t="shared" si="65"/>
        <v>0</v>
      </c>
      <c r="T62" s="59"/>
      <c r="U62" s="59">
        <f t="shared" si="66"/>
        <v>0</v>
      </c>
      <c r="V62" s="59">
        <f t="shared" si="40"/>
        <v>0</v>
      </c>
      <c r="W62" s="59"/>
      <c r="X62" s="59">
        <f t="shared" si="67"/>
        <v>0</v>
      </c>
      <c r="Y62" s="59">
        <f t="shared" si="41"/>
        <v>0</v>
      </c>
      <c r="Z62" s="59"/>
      <c r="AA62" s="59">
        <f t="shared" si="68"/>
        <v>0</v>
      </c>
      <c r="AB62" s="59">
        <f t="shared" si="42"/>
        <v>0</v>
      </c>
      <c r="AC62" s="59"/>
      <c r="AD62" s="59">
        <f t="shared" si="9"/>
        <v>0</v>
      </c>
      <c r="AE62" s="59">
        <f t="shared" si="69"/>
        <v>0</v>
      </c>
      <c r="AF62" s="59"/>
      <c r="AG62" s="59">
        <f t="shared" si="11"/>
        <v>0</v>
      </c>
      <c r="AH62" s="59">
        <f t="shared" si="70"/>
        <v>0</v>
      </c>
      <c r="AI62" s="59"/>
      <c r="AJ62" s="59">
        <f t="shared" si="13"/>
        <v>0</v>
      </c>
      <c r="AK62" s="59">
        <f t="shared" si="71"/>
        <v>0</v>
      </c>
      <c r="AL62" s="59"/>
      <c r="AM62" s="59">
        <f t="shared" si="72"/>
        <v>0</v>
      </c>
      <c r="AN62" s="59">
        <f t="shared" si="43"/>
        <v>0</v>
      </c>
      <c r="AO62" s="59"/>
      <c r="AP62" s="59">
        <f t="shared" si="73"/>
        <v>0</v>
      </c>
      <c r="AQ62" s="59">
        <f t="shared" si="44"/>
        <v>0</v>
      </c>
      <c r="AR62" s="59"/>
      <c r="AS62" s="59">
        <f t="shared" si="17"/>
        <v>0</v>
      </c>
      <c r="AT62" s="59">
        <f t="shared" si="74"/>
        <v>0</v>
      </c>
      <c r="AU62" s="59"/>
      <c r="AV62" s="59">
        <f t="shared" si="75"/>
        <v>0</v>
      </c>
      <c r="AW62" s="59">
        <f t="shared" si="45"/>
        <v>0</v>
      </c>
      <c r="AX62" s="59"/>
      <c r="AY62" s="59">
        <f t="shared" si="76"/>
        <v>0</v>
      </c>
      <c r="AZ62" s="59">
        <f t="shared" si="46"/>
        <v>0</v>
      </c>
      <c r="BA62" s="61">
        <v>302.22222222222223</v>
      </c>
      <c r="BB62" s="59">
        <f t="shared" si="47"/>
        <v>368.71111111111111</v>
      </c>
      <c r="BC62" s="59">
        <f t="shared" si="48"/>
        <v>4424.5333333333328</v>
      </c>
      <c r="BD62" s="59"/>
      <c r="BE62" s="59">
        <f t="shared" si="77"/>
        <v>0</v>
      </c>
      <c r="BF62" s="59">
        <f t="shared" si="49"/>
        <v>0</v>
      </c>
      <c r="BG62" s="59"/>
      <c r="BH62" s="59">
        <f t="shared" si="78"/>
        <v>0</v>
      </c>
      <c r="BI62" s="59">
        <f t="shared" si="50"/>
        <v>0</v>
      </c>
      <c r="BJ62" s="59"/>
      <c r="BK62" s="59">
        <f t="shared" si="79"/>
        <v>0</v>
      </c>
      <c r="BL62" s="59">
        <f t="shared" si="51"/>
        <v>0</v>
      </c>
      <c r="BM62" s="59"/>
      <c r="BN62" s="59">
        <f t="shared" si="62"/>
        <v>0</v>
      </c>
      <c r="BO62" s="59">
        <f t="shared" si="80"/>
        <v>0</v>
      </c>
      <c r="BP62" s="59"/>
      <c r="BQ62" s="59">
        <f t="shared" si="59"/>
        <v>0</v>
      </c>
      <c r="BR62" s="59">
        <f t="shared" si="81"/>
        <v>0</v>
      </c>
      <c r="BS62" s="59"/>
      <c r="BT62" s="59">
        <f t="shared" si="25"/>
        <v>0</v>
      </c>
      <c r="BU62" s="59">
        <f t="shared" si="82"/>
        <v>0</v>
      </c>
      <c r="BV62" s="61">
        <v>304.44444444444451</v>
      </c>
      <c r="BW62" s="59">
        <f t="shared" si="53"/>
        <v>371.42222222222227</v>
      </c>
      <c r="BX62" s="59">
        <f t="shared" si="54"/>
        <v>4457.0666666666675</v>
      </c>
      <c r="BY62" s="20">
        <f t="shared" si="55"/>
        <v>294.81481481481484</v>
      </c>
      <c r="BZ62" s="20">
        <f t="shared" si="56"/>
        <v>359.6740740740741</v>
      </c>
      <c r="CA62" s="21">
        <f t="shared" si="57"/>
        <v>3537.7777777777783</v>
      </c>
      <c r="CB62" s="21">
        <f t="shared" si="58"/>
        <v>4316.0888888888894</v>
      </c>
      <c r="CC62" s="20">
        <f t="shared" si="86"/>
        <v>1768.8888888888891</v>
      </c>
      <c r="CD62" s="20">
        <f t="shared" si="87"/>
        <v>2158.0444444444447</v>
      </c>
      <c r="CE62" s="20">
        <f t="shared" si="88"/>
        <v>1768.8888888888891</v>
      </c>
      <c r="CF62" s="20">
        <f t="shared" si="89"/>
        <v>2158.0444444444447</v>
      </c>
      <c r="CG62" s="20">
        <f t="shared" si="83"/>
        <v>4316.0888888888894</v>
      </c>
      <c r="CH62" s="4">
        <f t="shared" si="90"/>
        <v>9</v>
      </c>
      <c r="CI62" s="3">
        <f t="shared" si="33"/>
        <v>3</v>
      </c>
      <c r="CN62" s="35" t="e">
        <f>MIN((H62,K62,N62,Q62,T62,W62,Z62,AC62,AF62,AI62,AL62,AO62,AR62,AU62,AX62,BA62,BD62,BG62,BJ62,BM62,BP62,BS62,BV62,#REF!,#REF!))</f>
        <v>#REF!</v>
      </c>
      <c r="CO62" s="35" t="e">
        <f>MAX((H62,K62,N62,Q62,T62,W62,Z62,AC62,AF62,AI62,AL62,AO62,AR62,AU62,AX62,BA62,BD62,BG62,BJ62,BM62,BP62,BS62,BV62,#REF!,#REF!))</f>
        <v>#REF!</v>
      </c>
      <c r="CP62" s="47" t="e">
        <f t="shared" si="34"/>
        <v>#REF!</v>
      </c>
      <c r="CQ62" s="41" t="e">
        <f t="shared" si="92"/>
        <v>#REF!</v>
      </c>
      <c r="CS62" s="4">
        <v>1</v>
      </c>
      <c r="CT62" s="4" t="b">
        <f t="shared" si="91"/>
        <v>0</v>
      </c>
      <c r="CU62" s="4">
        <v>5</v>
      </c>
      <c r="CV62" s="4" t="b">
        <f t="shared" si="84"/>
        <v>1</v>
      </c>
      <c r="CW62" s="19">
        <v>6</v>
      </c>
      <c r="CZ62" s="4" t="s">
        <v>147</v>
      </c>
    </row>
    <row r="63" spans="1:104" s="4" customFormat="1" ht="61.5" thickBot="1" x14ac:dyDescent="0.3">
      <c r="A63" s="18">
        <v>47</v>
      </c>
      <c r="B63" s="64" t="s">
        <v>97</v>
      </c>
      <c r="C63" s="48" t="s">
        <v>14</v>
      </c>
      <c r="D63" s="107">
        <f t="shared" si="37"/>
        <v>12</v>
      </c>
      <c r="E63" s="107">
        <v>6</v>
      </c>
      <c r="F63" s="107">
        <v>6</v>
      </c>
      <c r="G63" s="60" t="s">
        <v>143</v>
      </c>
      <c r="H63" s="61">
        <v>302.5</v>
      </c>
      <c r="I63" s="59">
        <f t="shared" si="38"/>
        <v>369.05</v>
      </c>
      <c r="J63" s="59">
        <f t="shared" si="39"/>
        <v>4428.6000000000004</v>
      </c>
      <c r="K63" s="59"/>
      <c r="L63" s="59">
        <f t="shared" si="60"/>
        <v>0</v>
      </c>
      <c r="M63" s="59">
        <f t="shared" si="63"/>
        <v>0</v>
      </c>
      <c r="N63" s="59"/>
      <c r="O63" s="59">
        <f t="shared" si="61"/>
        <v>0</v>
      </c>
      <c r="P63" s="59">
        <f t="shared" si="64"/>
        <v>0</v>
      </c>
      <c r="Q63" s="59"/>
      <c r="R63" s="59">
        <f t="shared" si="4"/>
        <v>0</v>
      </c>
      <c r="S63" s="59">
        <f t="shared" si="65"/>
        <v>0</v>
      </c>
      <c r="T63" s="59"/>
      <c r="U63" s="59">
        <f t="shared" si="66"/>
        <v>0</v>
      </c>
      <c r="V63" s="59">
        <f t="shared" si="40"/>
        <v>0</v>
      </c>
      <c r="W63" s="59"/>
      <c r="X63" s="59">
        <f t="shared" si="67"/>
        <v>0</v>
      </c>
      <c r="Y63" s="59">
        <f t="shared" si="41"/>
        <v>0</v>
      </c>
      <c r="Z63" s="59"/>
      <c r="AA63" s="59">
        <f t="shared" si="68"/>
        <v>0</v>
      </c>
      <c r="AB63" s="59">
        <f t="shared" si="42"/>
        <v>0</v>
      </c>
      <c r="AC63" s="59"/>
      <c r="AD63" s="59">
        <f t="shared" si="9"/>
        <v>0</v>
      </c>
      <c r="AE63" s="59">
        <f t="shared" si="69"/>
        <v>0</v>
      </c>
      <c r="AF63" s="59"/>
      <c r="AG63" s="59">
        <f t="shared" si="11"/>
        <v>0</v>
      </c>
      <c r="AH63" s="59">
        <f t="shared" si="70"/>
        <v>0</v>
      </c>
      <c r="AI63" s="59"/>
      <c r="AJ63" s="59">
        <f t="shared" si="13"/>
        <v>0</v>
      </c>
      <c r="AK63" s="59">
        <f t="shared" si="71"/>
        <v>0</v>
      </c>
      <c r="AL63" s="59"/>
      <c r="AM63" s="59">
        <f t="shared" si="72"/>
        <v>0</v>
      </c>
      <c r="AN63" s="59">
        <f t="shared" si="43"/>
        <v>0</v>
      </c>
      <c r="AO63" s="59"/>
      <c r="AP63" s="59">
        <f t="shared" si="73"/>
        <v>0</v>
      </c>
      <c r="AQ63" s="59">
        <f t="shared" si="44"/>
        <v>0</v>
      </c>
      <c r="AR63" s="59"/>
      <c r="AS63" s="59">
        <f t="shared" si="17"/>
        <v>0</v>
      </c>
      <c r="AT63" s="59">
        <f t="shared" si="74"/>
        <v>0</v>
      </c>
      <c r="AU63" s="59"/>
      <c r="AV63" s="59">
        <f t="shared" si="75"/>
        <v>0</v>
      </c>
      <c r="AW63" s="59">
        <f t="shared" si="45"/>
        <v>0</v>
      </c>
      <c r="AX63" s="59"/>
      <c r="AY63" s="59">
        <f t="shared" si="76"/>
        <v>0</v>
      </c>
      <c r="AZ63" s="59">
        <f t="shared" si="46"/>
        <v>0</v>
      </c>
      <c r="BA63" s="61">
        <v>313.95833333333337</v>
      </c>
      <c r="BB63" s="59">
        <f t="shared" si="47"/>
        <v>383.0291666666667</v>
      </c>
      <c r="BC63" s="59">
        <f t="shared" si="48"/>
        <v>4596.3500000000004</v>
      </c>
      <c r="BD63" s="59"/>
      <c r="BE63" s="59">
        <f t="shared" si="77"/>
        <v>0</v>
      </c>
      <c r="BF63" s="59">
        <f t="shared" si="49"/>
        <v>0</v>
      </c>
      <c r="BG63" s="59"/>
      <c r="BH63" s="59">
        <f t="shared" si="78"/>
        <v>0</v>
      </c>
      <c r="BI63" s="59">
        <f t="shared" si="50"/>
        <v>0</v>
      </c>
      <c r="BJ63" s="59"/>
      <c r="BK63" s="59">
        <f t="shared" si="79"/>
        <v>0</v>
      </c>
      <c r="BL63" s="59">
        <f t="shared" si="51"/>
        <v>0</v>
      </c>
      <c r="BM63" s="59"/>
      <c r="BN63" s="59">
        <f t="shared" ref="BN63:BN70" si="93">ROUND(BM63*1.2,2)</f>
        <v>0</v>
      </c>
      <c r="BO63" s="59">
        <f t="shared" si="80"/>
        <v>0</v>
      </c>
      <c r="BP63" s="59"/>
      <c r="BQ63" s="59">
        <f t="shared" si="59"/>
        <v>0</v>
      </c>
      <c r="BR63" s="59">
        <f t="shared" si="81"/>
        <v>0</v>
      </c>
      <c r="BS63" s="59"/>
      <c r="BT63" s="59">
        <f t="shared" si="25"/>
        <v>0</v>
      </c>
      <c r="BU63" s="59">
        <f t="shared" si="82"/>
        <v>0</v>
      </c>
      <c r="BV63" s="61">
        <v>295.625</v>
      </c>
      <c r="BW63" s="59">
        <f t="shared" si="53"/>
        <v>360.66249999999997</v>
      </c>
      <c r="BX63" s="59">
        <f t="shared" si="54"/>
        <v>4327.95</v>
      </c>
      <c r="BY63" s="20">
        <f t="shared" si="55"/>
        <v>304.02777777777777</v>
      </c>
      <c r="BZ63" s="20">
        <f t="shared" si="56"/>
        <v>370.91388888888889</v>
      </c>
      <c r="CA63" s="21">
        <f t="shared" si="57"/>
        <v>3648.333333333333</v>
      </c>
      <c r="CB63" s="21">
        <f t="shared" si="58"/>
        <v>4450.9666666666662</v>
      </c>
      <c r="CC63" s="20">
        <f t="shared" si="86"/>
        <v>1824.1666666666665</v>
      </c>
      <c r="CD63" s="20">
        <f t="shared" si="87"/>
        <v>2225.4833333333336</v>
      </c>
      <c r="CE63" s="20">
        <f t="shared" si="88"/>
        <v>1824.1666666666665</v>
      </c>
      <c r="CF63" s="20">
        <f t="shared" si="89"/>
        <v>2225.4833333333336</v>
      </c>
      <c r="CG63" s="20">
        <f t="shared" si="83"/>
        <v>4450.9666666666672</v>
      </c>
      <c r="CH63" s="4">
        <f t="shared" si="90"/>
        <v>9</v>
      </c>
      <c r="CI63" s="3">
        <f t="shared" si="33"/>
        <v>3</v>
      </c>
      <c r="CN63" s="35" t="e">
        <f>MIN((H63,K63,N63,Q63,T63,W63,Z63,AC63,AF63,AI63,AL63,AO63,AR63,AU63,AX63,BA63,BD63,BG63,BJ63,BM63,BP63,BS63,BV63,#REF!,#REF!))</f>
        <v>#REF!</v>
      </c>
      <c r="CO63" s="35" t="e">
        <f>MAX((H63,K63,N63,Q63,T63,W63,Z63,AC63,AF63,AI63,AL63,AO63,AR63,AU63,AX63,BA63,BD63,BG63,BJ63,BM63,BP63,BS63,BV63,#REF!,#REF!))</f>
        <v>#REF!</v>
      </c>
      <c r="CP63" s="47" t="e">
        <f t="shared" si="34"/>
        <v>#REF!</v>
      </c>
      <c r="CQ63" s="41" t="e">
        <f t="shared" si="92"/>
        <v>#REF!</v>
      </c>
      <c r="CS63" s="4">
        <v>1</v>
      </c>
      <c r="CT63" s="4" t="b">
        <f t="shared" si="91"/>
        <v>0</v>
      </c>
      <c r="CU63" s="4">
        <v>1</v>
      </c>
      <c r="CV63" s="4" t="b">
        <f t="shared" si="84"/>
        <v>1</v>
      </c>
      <c r="CW63" s="19">
        <v>2</v>
      </c>
      <c r="CZ63" s="4" t="s">
        <v>147</v>
      </c>
    </row>
    <row r="64" spans="1:104" s="4" customFormat="1" ht="41.25" thickBot="1" x14ac:dyDescent="0.3">
      <c r="A64" s="18">
        <v>48</v>
      </c>
      <c r="B64" s="63" t="s">
        <v>98</v>
      </c>
      <c r="C64" s="48" t="s">
        <v>14</v>
      </c>
      <c r="D64" s="107">
        <f t="shared" si="37"/>
        <v>12</v>
      </c>
      <c r="E64" s="107">
        <v>6</v>
      </c>
      <c r="F64" s="107">
        <v>6</v>
      </c>
      <c r="G64" s="60" t="s">
        <v>143</v>
      </c>
      <c r="H64" s="61">
        <v>600.00000000000011</v>
      </c>
      <c r="I64" s="59">
        <f t="shared" si="38"/>
        <v>732.00000000000011</v>
      </c>
      <c r="J64" s="59">
        <f t="shared" si="39"/>
        <v>8784.0000000000018</v>
      </c>
      <c r="K64" s="59"/>
      <c r="L64" s="59">
        <f t="shared" si="60"/>
        <v>0</v>
      </c>
      <c r="M64" s="59">
        <f t="shared" si="63"/>
        <v>0</v>
      </c>
      <c r="N64" s="59"/>
      <c r="O64" s="59">
        <f t="shared" si="61"/>
        <v>0</v>
      </c>
      <c r="P64" s="59">
        <f t="shared" si="64"/>
        <v>0</v>
      </c>
      <c r="Q64" s="59"/>
      <c r="R64" s="59">
        <f t="shared" si="4"/>
        <v>0</v>
      </c>
      <c r="S64" s="59">
        <f t="shared" si="65"/>
        <v>0</v>
      </c>
      <c r="T64" s="59"/>
      <c r="U64" s="59">
        <f t="shared" si="66"/>
        <v>0</v>
      </c>
      <c r="V64" s="59">
        <f t="shared" si="40"/>
        <v>0</v>
      </c>
      <c r="W64" s="59"/>
      <c r="X64" s="59">
        <f t="shared" si="67"/>
        <v>0</v>
      </c>
      <c r="Y64" s="59">
        <f t="shared" si="41"/>
        <v>0</v>
      </c>
      <c r="Z64" s="59"/>
      <c r="AA64" s="59">
        <f t="shared" si="68"/>
        <v>0</v>
      </c>
      <c r="AB64" s="59">
        <f t="shared" si="42"/>
        <v>0</v>
      </c>
      <c r="AC64" s="59"/>
      <c r="AD64" s="59">
        <f t="shared" si="9"/>
        <v>0</v>
      </c>
      <c r="AE64" s="59">
        <f t="shared" si="69"/>
        <v>0</v>
      </c>
      <c r="AF64" s="59"/>
      <c r="AG64" s="59">
        <f t="shared" si="11"/>
        <v>0</v>
      </c>
      <c r="AH64" s="59">
        <f t="shared" si="70"/>
        <v>0</v>
      </c>
      <c r="AI64" s="59"/>
      <c r="AJ64" s="59">
        <f t="shared" si="13"/>
        <v>0</v>
      </c>
      <c r="AK64" s="59">
        <f t="shared" si="71"/>
        <v>0</v>
      </c>
      <c r="AL64" s="59"/>
      <c r="AM64" s="59">
        <f t="shared" si="72"/>
        <v>0</v>
      </c>
      <c r="AN64" s="59">
        <f t="shared" si="43"/>
        <v>0</v>
      </c>
      <c r="AO64" s="59"/>
      <c r="AP64" s="59">
        <f t="shared" si="73"/>
        <v>0</v>
      </c>
      <c r="AQ64" s="59">
        <f t="shared" si="44"/>
        <v>0</v>
      </c>
      <c r="AR64" s="59"/>
      <c r="AS64" s="59">
        <f t="shared" si="17"/>
        <v>0</v>
      </c>
      <c r="AT64" s="59">
        <f t="shared" si="74"/>
        <v>0</v>
      </c>
      <c r="AU64" s="59"/>
      <c r="AV64" s="59">
        <f t="shared" si="75"/>
        <v>0</v>
      </c>
      <c r="AW64" s="59">
        <f t="shared" si="45"/>
        <v>0</v>
      </c>
      <c r="AX64" s="59"/>
      <c r="AY64" s="59">
        <f t="shared" si="76"/>
        <v>0</v>
      </c>
      <c r="AZ64" s="59">
        <f t="shared" si="46"/>
        <v>0</v>
      </c>
      <c r="BA64" s="61">
        <v>604.80000000000007</v>
      </c>
      <c r="BB64" s="59">
        <f t="shared" si="47"/>
        <v>737.85600000000011</v>
      </c>
      <c r="BC64" s="59">
        <f t="shared" si="48"/>
        <v>8854.2720000000008</v>
      </c>
      <c r="BD64" s="59"/>
      <c r="BE64" s="59">
        <f t="shared" si="77"/>
        <v>0</v>
      </c>
      <c r="BF64" s="59">
        <f t="shared" si="49"/>
        <v>0</v>
      </c>
      <c r="BG64" s="59"/>
      <c r="BH64" s="59">
        <f t="shared" si="78"/>
        <v>0</v>
      </c>
      <c r="BI64" s="59">
        <f t="shared" si="50"/>
        <v>0</v>
      </c>
      <c r="BJ64" s="59"/>
      <c r="BK64" s="59">
        <f t="shared" si="79"/>
        <v>0</v>
      </c>
      <c r="BL64" s="59">
        <f t="shared" si="51"/>
        <v>0</v>
      </c>
      <c r="BM64" s="59"/>
      <c r="BN64" s="59">
        <f t="shared" si="93"/>
        <v>0</v>
      </c>
      <c r="BO64" s="59">
        <f t="shared" si="80"/>
        <v>0</v>
      </c>
      <c r="BP64" s="59"/>
      <c r="BQ64" s="59">
        <f t="shared" si="59"/>
        <v>0</v>
      </c>
      <c r="BR64" s="59">
        <f t="shared" si="81"/>
        <v>0</v>
      </c>
      <c r="BS64" s="59"/>
      <c r="BT64" s="59">
        <f t="shared" si="25"/>
        <v>0</v>
      </c>
      <c r="BU64" s="59">
        <f t="shared" si="82"/>
        <v>0</v>
      </c>
      <c r="BV64" s="61">
        <v>624.00000000000011</v>
      </c>
      <c r="BW64" s="59">
        <f t="shared" si="53"/>
        <v>761.28000000000009</v>
      </c>
      <c r="BX64" s="59">
        <f t="shared" si="54"/>
        <v>9135.36</v>
      </c>
      <c r="BY64" s="20">
        <f t="shared" si="55"/>
        <v>609.6</v>
      </c>
      <c r="BZ64" s="20">
        <f t="shared" si="56"/>
        <v>743.71199999999999</v>
      </c>
      <c r="CA64" s="21">
        <f t="shared" si="57"/>
        <v>7315.2000000000007</v>
      </c>
      <c r="CB64" s="21">
        <f t="shared" si="58"/>
        <v>8924.5439999999999</v>
      </c>
      <c r="CC64" s="20">
        <f t="shared" si="86"/>
        <v>3657.6000000000004</v>
      </c>
      <c r="CD64" s="20">
        <f t="shared" si="87"/>
        <v>4462.2719999999999</v>
      </c>
      <c r="CE64" s="20">
        <f t="shared" si="88"/>
        <v>3657.6000000000004</v>
      </c>
      <c r="CF64" s="20">
        <f t="shared" si="89"/>
        <v>4462.2719999999999</v>
      </c>
      <c r="CG64" s="20">
        <f t="shared" si="83"/>
        <v>8924.5439999999999</v>
      </c>
      <c r="CH64" s="4">
        <f t="shared" si="90"/>
        <v>9</v>
      </c>
      <c r="CI64" s="3">
        <f t="shared" si="33"/>
        <v>3</v>
      </c>
      <c r="CN64" s="35" t="e">
        <f>MIN((H64,K64,N64,Q64,T64,W64,Z64,AC64,AF64,AI64,AL64,AO64,AR64,AU64,AX64,BA64,BD64,BG64,BJ64,BM64,BP64,BS64,BV64,#REF!,#REF!))</f>
        <v>#REF!</v>
      </c>
      <c r="CO64" s="35" t="e">
        <f>MAX((H64,K64,N64,Q64,T64,W64,Z64,AC64,AF64,AI64,AL64,AO64,AR64,AU64,AX64,BA64,BD64,BG64,BJ64,BM64,BP64,BS64,BV64,#REF!,#REF!))</f>
        <v>#REF!</v>
      </c>
      <c r="CP64" s="47" t="e">
        <f t="shared" si="34"/>
        <v>#REF!</v>
      </c>
      <c r="CQ64" s="41" t="e">
        <f t="shared" si="92"/>
        <v>#REF!</v>
      </c>
      <c r="CS64" s="4">
        <v>1</v>
      </c>
      <c r="CT64" s="4" t="b">
        <f t="shared" si="91"/>
        <v>0</v>
      </c>
      <c r="CU64" s="4">
        <v>0</v>
      </c>
      <c r="CV64" s="4" t="b">
        <f t="shared" si="84"/>
        <v>1</v>
      </c>
      <c r="CW64" s="19">
        <v>1</v>
      </c>
      <c r="CZ64" s="4" t="s">
        <v>147</v>
      </c>
    </row>
    <row r="65" spans="1:104" s="4" customFormat="1" ht="41.25" thickBot="1" x14ac:dyDescent="0.3">
      <c r="A65" s="18">
        <v>49</v>
      </c>
      <c r="B65" s="62" t="s">
        <v>99</v>
      </c>
      <c r="C65" s="48" t="s">
        <v>14</v>
      </c>
      <c r="D65" s="107">
        <f t="shared" si="37"/>
        <v>12</v>
      </c>
      <c r="E65" s="107">
        <v>6</v>
      </c>
      <c r="F65" s="107">
        <v>6</v>
      </c>
      <c r="G65" s="60" t="s">
        <v>143</v>
      </c>
      <c r="H65" s="61">
        <v>579.125</v>
      </c>
      <c r="I65" s="59">
        <f t="shared" si="38"/>
        <v>706.53250000000003</v>
      </c>
      <c r="J65" s="59">
        <f t="shared" si="39"/>
        <v>8478.39</v>
      </c>
      <c r="K65" s="59"/>
      <c r="L65" s="59">
        <f t="shared" si="60"/>
        <v>0</v>
      </c>
      <c r="M65" s="59">
        <f t="shared" si="63"/>
        <v>0</v>
      </c>
      <c r="N65" s="59"/>
      <c r="O65" s="59">
        <f t="shared" ref="O65:O70" si="94">ROUND(N65*1.2,2)</f>
        <v>0</v>
      </c>
      <c r="P65" s="59">
        <f t="shared" si="64"/>
        <v>0</v>
      </c>
      <c r="Q65" s="59"/>
      <c r="R65" s="59">
        <f t="shared" si="4"/>
        <v>0</v>
      </c>
      <c r="S65" s="59">
        <f t="shared" si="65"/>
        <v>0</v>
      </c>
      <c r="T65" s="59"/>
      <c r="U65" s="59">
        <f t="shared" si="66"/>
        <v>0</v>
      </c>
      <c r="V65" s="59">
        <f t="shared" si="40"/>
        <v>0</v>
      </c>
      <c r="W65" s="59"/>
      <c r="X65" s="59">
        <f t="shared" si="67"/>
        <v>0</v>
      </c>
      <c r="Y65" s="59">
        <f t="shared" si="41"/>
        <v>0</v>
      </c>
      <c r="Z65" s="59"/>
      <c r="AA65" s="59">
        <f t="shared" si="68"/>
        <v>0</v>
      </c>
      <c r="AB65" s="59">
        <f t="shared" si="42"/>
        <v>0</v>
      </c>
      <c r="AC65" s="59"/>
      <c r="AD65" s="59">
        <f t="shared" si="9"/>
        <v>0</v>
      </c>
      <c r="AE65" s="59">
        <f t="shared" si="69"/>
        <v>0</v>
      </c>
      <c r="AF65" s="59"/>
      <c r="AG65" s="59">
        <f t="shared" si="11"/>
        <v>0</v>
      </c>
      <c r="AH65" s="59">
        <f t="shared" si="70"/>
        <v>0</v>
      </c>
      <c r="AI65" s="59"/>
      <c r="AJ65" s="59">
        <f t="shared" si="13"/>
        <v>0</v>
      </c>
      <c r="AK65" s="59">
        <f t="shared" si="71"/>
        <v>0</v>
      </c>
      <c r="AL65" s="59"/>
      <c r="AM65" s="59">
        <f t="shared" si="72"/>
        <v>0</v>
      </c>
      <c r="AN65" s="59">
        <f t="shared" si="43"/>
        <v>0</v>
      </c>
      <c r="AO65" s="59"/>
      <c r="AP65" s="59">
        <f t="shared" si="73"/>
        <v>0</v>
      </c>
      <c r="AQ65" s="59">
        <f t="shared" si="44"/>
        <v>0</v>
      </c>
      <c r="AR65" s="59"/>
      <c r="AS65" s="59">
        <f t="shared" si="17"/>
        <v>0</v>
      </c>
      <c r="AT65" s="59">
        <f t="shared" si="74"/>
        <v>0</v>
      </c>
      <c r="AU65" s="59"/>
      <c r="AV65" s="59">
        <f t="shared" si="75"/>
        <v>0</v>
      </c>
      <c r="AW65" s="59">
        <f t="shared" si="45"/>
        <v>0</v>
      </c>
      <c r="AX65" s="59"/>
      <c r="AY65" s="59">
        <f t="shared" si="76"/>
        <v>0</v>
      </c>
      <c r="AZ65" s="59">
        <f t="shared" si="46"/>
        <v>0</v>
      </c>
      <c r="BA65" s="61">
        <v>626.20833333333337</v>
      </c>
      <c r="BB65" s="59">
        <f t="shared" si="47"/>
        <v>763.97416666666675</v>
      </c>
      <c r="BC65" s="59">
        <f t="shared" si="48"/>
        <v>9167.69</v>
      </c>
      <c r="BD65" s="59"/>
      <c r="BE65" s="59">
        <f t="shared" si="77"/>
        <v>0</v>
      </c>
      <c r="BF65" s="59">
        <f t="shared" si="49"/>
        <v>0</v>
      </c>
      <c r="BG65" s="59"/>
      <c r="BH65" s="59">
        <f t="shared" si="78"/>
        <v>0</v>
      </c>
      <c r="BI65" s="59">
        <f t="shared" si="50"/>
        <v>0</v>
      </c>
      <c r="BJ65" s="59"/>
      <c r="BK65" s="59">
        <f t="shared" si="79"/>
        <v>0</v>
      </c>
      <c r="BL65" s="59">
        <f t="shared" si="51"/>
        <v>0</v>
      </c>
      <c r="BM65" s="59"/>
      <c r="BN65" s="59">
        <f t="shared" si="93"/>
        <v>0</v>
      </c>
      <c r="BO65" s="59">
        <f t="shared" si="80"/>
        <v>0</v>
      </c>
      <c r="BP65" s="59"/>
      <c r="BQ65" s="59">
        <f t="shared" si="59"/>
        <v>0</v>
      </c>
      <c r="BR65" s="59">
        <f t="shared" si="81"/>
        <v>0</v>
      </c>
      <c r="BS65" s="59"/>
      <c r="BT65" s="59">
        <f t="shared" si="25"/>
        <v>0</v>
      </c>
      <c r="BU65" s="59">
        <f t="shared" si="82"/>
        <v>0</v>
      </c>
      <c r="BV65" s="61">
        <v>593.25</v>
      </c>
      <c r="BW65" s="59">
        <f t="shared" si="53"/>
        <v>723.76499999999999</v>
      </c>
      <c r="BX65" s="59">
        <f t="shared" si="54"/>
        <v>8685.18</v>
      </c>
      <c r="BY65" s="20">
        <f t="shared" si="55"/>
        <v>599.52777777777783</v>
      </c>
      <c r="BZ65" s="20">
        <f t="shared" si="56"/>
        <v>731.42388888888888</v>
      </c>
      <c r="CA65" s="21">
        <f t="shared" si="57"/>
        <v>7194.3333333333339</v>
      </c>
      <c r="CB65" s="21">
        <f t="shared" si="58"/>
        <v>8777.086666666668</v>
      </c>
      <c r="CC65" s="20">
        <f t="shared" si="86"/>
        <v>3597.166666666667</v>
      </c>
      <c r="CD65" s="20">
        <f t="shared" si="87"/>
        <v>4388.5433333333331</v>
      </c>
      <c r="CE65" s="20">
        <f t="shared" si="88"/>
        <v>3597.166666666667</v>
      </c>
      <c r="CF65" s="20">
        <f t="shared" si="89"/>
        <v>4388.5433333333331</v>
      </c>
      <c r="CG65" s="20">
        <f t="shared" si="83"/>
        <v>8777.0866666666661</v>
      </c>
      <c r="CH65" s="4">
        <f t="shared" si="90"/>
        <v>9</v>
      </c>
      <c r="CI65" s="4">
        <f t="shared" si="33"/>
        <v>3</v>
      </c>
      <c r="CN65" s="35" t="e">
        <f>MIN((H65,K65,N65,Q65,T65,W65,Z65,AC65,AF65,AI65,AL65,AO65,AR65,AU65,AX65,BA65,BD65,BG65,BJ65,BM65,BP65,BS65,BV65,#REF!,#REF!))</f>
        <v>#REF!</v>
      </c>
      <c r="CO65" s="35" t="e">
        <f>MAX((H65,K65,N65,Q65,T65,W65,Z65,AC65,AF65,AI65,AL65,AO65,AR65,AU65,AX65,BA65,BD65,BG65,BJ65,BM65,BP65,BS65,BV65,#REF!,#REF!))</f>
        <v>#REF!</v>
      </c>
      <c r="CP65" s="47" t="e">
        <f t="shared" si="34"/>
        <v>#REF!</v>
      </c>
      <c r="CQ65" s="40"/>
      <c r="CS65" s="4">
        <v>1.2</v>
      </c>
      <c r="CT65" s="4" t="b">
        <f t="shared" si="91"/>
        <v>0</v>
      </c>
      <c r="CU65" s="4">
        <v>1</v>
      </c>
      <c r="CV65" s="4" t="b">
        <f t="shared" si="84"/>
        <v>1</v>
      </c>
      <c r="CW65" s="19">
        <v>2.2000000000000002</v>
      </c>
      <c r="CZ65" s="4" t="s">
        <v>147</v>
      </c>
    </row>
    <row r="66" spans="1:104" s="4" customFormat="1" ht="41.25" thickBot="1" x14ac:dyDescent="0.3">
      <c r="A66" s="18">
        <v>50</v>
      </c>
      <c r="B66" s="62" t="s">
        <v>100</v>
      </c>
      <c r="C66" s="48" t="s">
        <v>14</v>
      </c>
      <c r="D66" s="107">
        <f t="shared" si="37"/>
        <v>12</v>
      </c>
      <c r="E66" s="107">
        <v>6</v>
      </c>
      <c r="F66" s="107">
        <v>6</v>
      </c>
      <c r="G66" s="60" t="s">
        <v>143</v>
      </c>
      <c r="H66" s="61">
        <v>660.00000000000011</v>
      </c>
      <c r="I66" s="59">
        <f t="shared" si="38"/>
        <v>805.20000000000016</v>
      </c>
      <c r="J66" s="59">
        <f t="shared" si="39"/>
        <v>9662.4000000000015</v>
      </c>
      <c r="K66" s="59"/>
      <c r="L66" s="59">
        <f t="shared" si="60"/>
        <v>0</v>
      </c>
      <c r="M66" s="59">
        <f t="shared" si="63"/>
        <v>0</v>
      </c>
      <c r="N66" s="59"/>
      <c r="O66" s="59">
        <f t="shared" si="94"/>
        <v>0</v>
      </c>
      <c r="P66" s="59">
        <f t="shared" si="64"/>
        <v>0</v>
      </c>
      <c r="Q66" s="59"/>
      <c r="R66" s="59">
        <f t="shared" si="4"/>
        <v>0</v>
      </c>
      <c r="S66" s="59">
        <f t="shared" si="65"/>
        <v>0</v>
      </c>
      <c r="T66" s="59"/>
      <c r="U66" s="59">
        <f t="shared" si="66"/>
        <v>0</v>
      </c>
      <c r="V66" s="59">
        <f t="shared" si="40"/>
        <v>0</v>
      </c>
      <c r="W66" s="59"/>
      <c r="X66" s="59">
        <f t="shared" si="67"/>
        <v>0</v>
      </c>
      <c r="Y66" s="59">
        <f t="shared" si="41"/>
        <v>0</v>
      </c>
      <c r="Z66" s="59"/>
      <c r="AA66" s="59">
        <f t="shared" si="68"/>
        <v>0</v>
      </c>
      <c r="AB66" s="59">
        <f t="shared" si="42"/>
        <v>0</v>
      </c>
      <c r="AC66" s="59"/>
      <c r="AD66" s="59">
        <f t="shared" si="9"/>
        <v>0</v>
      </c>
      <c r="AE66" s="59">
        <f t="shared" si="69"/>
        <v>0</v>
      </c>
      <c r="AF66" s="59"/>
      <c r="AG66" s="59">
        <f t="shared" si="11"/>
        <v>0</v>
      </c>
      <c r="AH66" s="59">
        <f t="shared" si="70"/>
        <v>0</v>
      </c>
      <c r="AI66" s="59"/>
      <c r="AJ66" s="59">
        <f t="shared" si="13"/>
        <v>0</v>
      </c>
      <c r="AK66" s="59">
        <f t="shared" si="71"/>
        <v>0</v>
      </c>
      <c r="AL66" s="59"/>
      <c r="AM66" s="59">
        <f t="shared" si="72"/>
        <v>0</v>
      </c>
      <c r="AN66" s="59">
        <f t="shared" si="43"/>
        <v>0</v>
      </c>
      <c r="AO66" s="59"/>
      <c r="AP66" s="59">
        <f t="shared" si="73"/>
        <v>0</v>
      </c>
      <c r="AQ66" s="59">
        <f t="shared" si="44"/>
        <v>0</v>
      </c>
      <c r="AR66" s="59"/>
      <c r="AS66" s="59">
        <f t="shared" si="17"/>
        <v>0</v>
      </c>
      <c r="AT66" s="59">
        <f t="shared" si="74"/>
        <v>0</v>
      </c>
      <c r="AU66" s="59"/>
      <c r="AV66" s="59">
        <f t="shared" si="75"/>
        <v>0</v>
      </c>
      <c r="AW66" s="59">
        <f t="shared" si="45"/>
        <v>0</v>
      </c>
      <c r="AX66" s="59"/>
      <c r="AY66" s="59">
        <f t="shared" si="76"/>
        <v>0</v>
      </c>
      <c r="AZ66" s="59">
        <f t="shared" si="46"/>
        <v>0</v>
      </c>
      <c r="BA66" s="61">
        <v>601.33333333333337</v>
      </c>
      <c r="BB66" s="59">
        <f t="shared" si="47"/>
        <v>733.62666666666667</v>
      </c>
      <c r="BC66" s="59">
        <f t="shared" si="48"/>
        <v>8803.52</v>
      </c>
      <c r="BD66" s="59"/>
      <c r="BE66" s="59">
        <f t="shared" si="77"/>
        <v>0</v>
      </c>
      <c r="BF66" s="59">
        <f t="shared" si="49"/>
        <v>0</v>
      </c>
      <c r="BG66" s="59"/>
      <c r="BH66" s="59">
        <f t="shared" si="78"/>
        <v>0</v>
      </c>
      <c r="BI66" s="59">
        <f t="shared" si="50"/>
        <v>0</v>
      </c>
      <c r="BJ66" s="59"/>
      <c r="BK66" s="59">
        <f t="shared" si="79"/>
        <v>0</v>
      </c>
      <c r="BL66" s="59">
        <f t="shared" si="51"/>
        <v>0</v>
      </c>
      <c r="BM66" s="59"/>
      <c r="BN66" s="59">
        <f t="shared" si="93"/>
        <v>0</v>
      </c>
      <c r="BO66" s="59">
        <f t="shared" si="80"/>
        <v>0</v>
      </c>
      <c r="BP66" s="59"/>
      <c r="BQ66" s="59">
        <f t="shared" si="59"/>
        <v>0</v>
      </c>
      <c r="BR66" s="59">
        <f t="shared" si="81"/>
        <v>0</v>
      </c>
      <c r="BS66" s="59"/>
      <c r="BT66" s="59">
        <f t="shared" si="25"/>
        <v>0</v>
      </c>
      <c r="BU66" s="59">
        <f t="shared" si="82"/>
        <v>0</v>
      </c>
      <c r="BV66" s="61">
        <v>620.88888888888891</v>
      </c>
      <c r="BW66" s="59">
        <f t="shared" si="53"/>
        <v>757.48444444444442</v>
      </c>
      <c r="BX66" s="59">
        <f t="shared" si="54"/>
        <v>9089.8133333333335</v>
      </c>
      <c r="BY66" s="20">
        <f t="shared" si="55"/>
        <v>627.4074074074075</v>
      </c>
      <c r="BZ66" s="20">
        <f t="shared" si="56"/>
        <v>765.43703703703716</v>
      </c>
      <c r="CA66" s="21">
        <f t="shared" si="57"/>
        <v>7528.8888888888905</v>
      </c>
      <c r="CB66" s="21">
        <f t="shared" si="58"/>
        <v>9185.2444444444463</v>
      </c>
      <c r="CC66" s="20">
        <f t="shared" si="86"/>
        <v>3764.4444444444453</v>
      </c>
      <c r="CD66" s="20">
        <f t="shared" si="87"/>
        <v>4592.6222222222232</v>
      </c>
      <c r="CE66" s="20">
        <f t="shared" si="88"/>
        <v>3764.4444444444453</v>
      </c>
      <c r="CF66" s="20">
        <f t="shared" si="89"/>
        <v>4592.6222222222232</v>
      </c>
      <c r="CG66" s="20">
        <f t="shared" si="83"/>
        <v>9185.2444444444463</v>
      </c>
      <c r="CH66" s="4">
        <f t="shared" si="90"/>
        <v>9</v>
      </c>
      <c r="CI66" s="3">
        <f t="shared" si="33"/>
        <v>3</v>
      </c>
      <c r="CN66" s="35" t="e">
        <f>MIN((H66,K66,N66,Q66,T66,W66,Z66,AC66,AF66,AI66,AL66,AO66,AR66,AU66,AX66,BA66,BD66,BG66,BJ66,BM66,BP66,BS66,BV66,#REF!,#REF!))</f>
        <v>#REF!</v>
      </c>
      <c r="CO66" s="35" t="e">
        <f>MAX((H66,K66,N66,Q66,T66,W66,Z66,AC66,AF66,AI66,AL66,AO66,AR66,AU66,AX66,BA66,BD66,BG66,BJ66,BM66,BP66,BS66,BV66,#REF!,#REF!))</f>
        <v>#REF!</v>
      </c>
      <c r="CP66" s="47" t="e">
        <f t="shared" si="34"/>
        <v>#REF!</v>
      </c>
      <c r="CQ66" s="41" t="e">
        <f>CN66*1.3</f>
        <v>#REF!</v>
      </c>
      <c r="CS66" s="4">
        <v>1</v>
      </c>
      <c r="CT66" s="4" t="b">
        <f t="shared" si="91"/>
        <v>0</v>
      </c>
      <c r="CU66" s="4">
        <v>1</v>
      </c>
      <c r="CV66" s="4" t="b">
        <f t="shared" si="84"/>
        <v>1</v>
      </c>
      <c r="CW66" s="19">
        <v>2</v>
      </c>
      <c r="CZ66" s="4" t="s">
        <v>147</v>
      </c>
    </row>
    <row r="67" spans="1:104" s="4" customFormat="1" ht="61.5" thickBot="1" x14ac:dyDescent="0.3">
      <c r="A67" s="18">
        <v>51</v>
      </c>
      <c r="B67" s="63" t="s">
        <v>101</v>
      </c>
      <c r="C67" s="48" t="s">
        <v>14</v>
      </c>
      <c r="D67" s="107">
        <f t="shared" si="37"/>
        <v>12</v>
      </c>
      <c r="E67" s="107">
        <v>6</v>
      </c>
      <c r="F67" s="107">
        <v>6</v>
      </c>
      <c r="G67" s="19" t="s">
        <v>143</v>
      </c>
      <c r="H67" s="61">
        <v>233.49358333333333</v>
      </c>
      <c r="I67" s="59">
        <f t="shared" si="38"/>
        <v>284.86217166666665</v>
      </c>
      <c r="J67" s="59">
        <f t="shared" si="39"/>
        <v>3418.3460599999999</v>
      </c>
      <c r="K67" s="59"/>
      <c r="L67" s="59">
        <f t="shared" si="60"/>
        <v>0</v>
      </c>
      <c r="M67" s="59">
        <f t="shared" si="63"/>
        <v>0</v>
      </c>
      <c r="N67" s="59"/>
      <c r="O67" s="59">
        <f t="shared" si="94"/>
        <v>0</v>
      </c>
      <c r="P67" s="59">
        <f t="shared" si="64"/>
        <v>0</v>
      </c>
      <c r="Q67" s="59"/>
      <c r="R67" s="59">
        <f t="shared" si="4"/>
        <v>0</v>
      </c>
      <c r="S67" s="59">
        <f t="shared" si="65"/>
        <v>0</v>
      </c>
      <c r="T67" s="59"/>
      <c r="U67" s="59">
        <f t="shared" si="66"/>
        <v>0</v>
      </c>
      <c r="V67" s="59">
        <f t="shared" si="40"/>
        <v>0</v>
      </c>
      <c r="W67" s="59"/>
      <c r="X67" s="59">
        <f t="shared" si="67"/>
        <v>0</v>
      </c>
      <c r="Y67" s="59">
        <f t="shared" si="41"/>
        <v>0</v>
      </c>
      <c r="Z67" s="59"/>
      <c r="AA67" s="59">
        <f t="shared" si="68"/>
        <v>0</v>
      </c>
      <c r="AB67" s="59">
        <f t="shared" si="42"/>
        <v>0</v>
      </c>
      <c r="AC67" s="59"/>
      <c r="AD67" s="59">
        <f t="shared" si="9"/>
        <v>0</v>
      </c>
      <c r="AE67" s="59">
        <f t="shared" si="69"/>
        <v>0</v>
      </c>
      <c r="AF67" s="59"/>
      <c r="AG67" s="59">
        <f t="shared" si="11"/>
        <v>0</v>
      </c>
      <c r="AH67" s="59">
        <f t="shared" si="70"/>
        <v>0</v>
      </c>
      <c r="AI67" s="59"/>
      <c r="AJ67" s="59">
        <f t="shared" si="13"/>
        <v>0</v>
      </c>
      <c r="AK67" s="59">
        <f t="shared" si="71"/>
        <v>0</v>
      </c>
      <c r="AL67" s="59"/>
      <c r="AM67" s="59">
        <f t="shared" si="72"/>
        <v>0</v>
      </c>
      <c r="AN67" s="59">
        <f t="shared" si="43"/>
        <v>0</v>
      </c>
      <c r="AO67" s="59"/>
      <c r="AP67" s="59">
        <f t="shared" si="73"/>
        <v>0</v>
      </c>
      <c r="AQ67" s="59">
        <f t="shared" si="44"/>
        <v>0</v>
      </c>
      <c r="AR67" s="59"/>
      <c r="AS67" s="59">
        <f t="shared" si="17"/>
        <v>0</v>
      </c>
      <c r="AT67" s="59">
        <f t="shared" si="74"/>
        <v>0</v>
      </c>
      <c r="AU67" s="59"/>
      <c r="AV67" s="59">
        <f t="shared" si="75"/>
        <v>0</v>
      </c>
      <c r="AW67" s="59">
        <f t="shared" si="45"/>
        <v>0</v>
      </c>
      <c r="AX67" s="59"/>
      <c r="AY67" s="59">
        <f t="shared" si="76"/>
        <v>0</v>
      </c>
      <c r="AZ67" s="59">
        <f t="shared" si="46"/>
        <v>0</v>
      </c>
      <c r="BA67" s="61">
        <v>238.92366666666666</v>
      </c>
      <c r="BB67" s="59">
        <f t="shared" si="47"/>
        <v>291.48687333333334</v>
      </c>
      <c r="BC67" s="59">
        <f t="shared" si="48"/>
        <v>3497.8424800000003</v>
      </c>
      <c r="BD67" s="59"/>
      <c r="BE67" s="59">
        <f t="shared" si="77"/>
        <v>0</v>
      </c>
      <c r="BF67" s="59">
        <f t="shared" si="49"/>
        <v>0</v>
      </c>
      <c r="BG67" s="59"/>
      <c r="BH67" s="59">
        <f t="shared" si="78"/>
        <v>0</v>
      </c>
      <c r="BI67" s="59">
        <f t="shared" si="50"/>
        <v>0</v>
      </c>
      <c r="BJ67" s="59"/>
      <c r="BK67" s="59">
        <f t="shared" si="79"/>
        <v>0</v>
      </c>
      <c r="BL67" s="59">
        <f t="shared" si="51"/>
        <v>0</v>
      </c>
      <c r="BM67" s="59"/>
      <c r="BN67" s="59">
        <f t="shared" si="93"/>
        <v>0</v>
      </c>
      <c r="BO67" s="59">
        <f t="shared" si="80"/>
        <v>0</v>
      </c>
      <c r="BP67" s="59"/>
      <c r="BQ67" s="59">
        <f t="shared" si="59"/>
        <v>0</v>
      </c>
      <c r="BR67" s="59">
        <f t="shared" si="81"/>
        <v>0</v>
      </c>
      <c r="BS67" s="59"/>
      <c r="BT67" s="59">
        <f t="shared" si="25"/>
        <v>0</v>
      </c>
      <c r="BU67" s="59">
        <f t="shared" si="82"/>
        <v>0</v>
      </c>
      <c r="BV67" s="61">
        <v>237.11363888888889</v>
      </c>
      <c r="BW67" s="59">
        <f t="shared" si="53"/>
        <v>289.27863944444442</v>
      </c>
      <c r="BX67" s="59">
        <f t="shared" si="54"/>
        <v>3471.3436733333328</v>
      </c>
      <c r="BY67" s="20">
        <f t="shared" si="55"/>
        <v>236.51029629629627</v>
      </c>
      <c r="BZ67" s="20">
        <f t="shared" si="56"/>
        <v>288.54256148148147</v>
      </c>
      <c r="CA67" s="21">
        <f t="shared" si="57"/>
        <v>2838.1235555555554</v>
      </c>
      <c r="CB67" s="21">
        <f t="shared" si="58"/>
        <v>3462.5107377777776</v>
      </c>
      <c r="CC67" s="20">
        <f t="shared" si="86"/>
        <v>1419.0617777777777</v>
      </c>
      <c r="CD67" s="20">
        <f t="shared" si="87"/>
        <v>1731.2553688888888</v>
      </c>
      <c r="CE67" s="20">
        <f t="shared" si="88"/>
        <v>1419.0617777777777</v>
      </c>
      <c r="CF67" s="20">
        <f t="shared" si="89"/>
        <v>1731.2553688888888</v>
      </c>
      <c r="CG67" s="20">
        <f t="shared" si="83"/>
        <v>3462.5107377777776</v>
      </c>
      <c r="CH67" s="4">
        <f t="shared" si="90"/>
        <v>9</v>
      </c>
      <c r="CI67" s="3">
        <f t="shared" si="33"/>
        <v>3</v>
      </c>
      <c r="CN67" s="35" t="e">
        <f>MIN((H67,K67,N67,Q67,T67,W67,Z67,AC67,AF67,AI67,AL67,AO67,AR67,AU67,AX67,BA67,BD67,BG67,BJ67,BM67,BP67,BS67,BV67,#REF!,#REF!))</f>
        <v>#REF!</v>
      </c>
      <c r="CO67" s="35" t="e">
        <f>MAX((H67,K67,N67,Q67,T67,W67,Z67,AC67,AF67,AI67,AL67,AO67,AR67,AU67,AX67,BA67,BD67,BG67,BJ67,BM67,BP67,BS67,BV67,#REF!,#REF!))</f>
        <v>#REF!</v>
      </c>
      <c r="CP67" s="47" t="e">
        <f t="shared" si="34"/>
        <v>#REF!</v>
      </c>
      <c r="CQ67" s="41" t="e">
        <f>CN67*1.3</f>
        <v>#REF!</v>
      </c>
      <c r="CS67" s="4">
        <v>2</v>
      </c>
      <c r="CT67" s="4" t="b">
        <f t="shared" si="91"/>
        <v>0</v>
      </c>
      <c r="CU67" s="4">
        <v>6</v>
      </c>
      <c r="CV67" s="4" t="b">
        <f t="shared" si="84"/>
        <v>1</v>
      </c>
      <c r="CW67" s="19">
        <v>8</v>
      </c>
      <c r="CZ67" s="4" t="s">
        <v>147</v>
      </c>
    </row>
    <row r="68" spans="1:104" s="4" customFormat="1" ht="41.25" thickBot="1" x14ac:dyDescent="0.3">
      <c r="A68" s="18">
        <v>52</v>
      </c>
      <c r="B68" s="62" t="s">
        <v>102</v>
      </c>
      <c r="C68" s="48" t="s">
        <v>14</v>
      </c>
      <c r="D68" s="107">
        <f t="shared" si="37"/>
        <v>12</v>
      </c>
      <c r="E68" s="107">
        <v>6</v>
      </c>
      <c r="F68" s="107">
        <v>6</v>
      </c>
      <c r="G68" s="19" t="s">
        <v>143</v>
      </c>
      <c r="H68" s="61">
        <v>551.74444444444453</v>
      </c>
      <c r="I68" s="59">
        <f t="shared" si="38"/>
        <v>673.12822222222235</v>
      </c>
      <c r="J68" s="59">
        <f t="shared" si="39"/>
        <v>8077.5386666666682</v>
      </c>
      <c r="K68" s="59"/>
      <c r="L68" s="59">
        <f t="shared" si="60"/>
        <v>0</v>
      </c>
      <c r="M68" s="59">
        <f t="shared" si="63"/>
        <v>0</v>
      </c>
      <c r="N68" s="59"/>
      <c r="O68" s="59">
        <f t="shared" si="94"/>
        <v>0</v>
      </c>
      <c r="P68" s="59">
        <f t="shared" si="64"/>
        <v>0</v>
      </c>
      <c r="Q68" s="59"/>
      <c r="R68" s="59">
        <f t="shared" si="4"/>
        <v>0</v>
      </c>
      <c r="S68" s="59">
        <f t="shared" si="65"/>
        <v>0</v>
      </c>
      <c r="T68" s="59"/>
      <c r="U68" s="59">
        <f t="shared" si="66"/>
        <v>0</v>
      </c>
      <c r="V68" s="59">
        <f t="shared" si="40"/>
        <v>0</v>
      </c>
      <c r="W68" s="59"/>
      <c r="X68" s="59">
        <f t="shared" si="67"/>
        <v>0</v>
      </c>
      <c r="Y68" s="59">
        <f t="shared" si="41"/>
        <v>0</v>
      </c>
      <c r="Z68" s="59"/>
      <c r="AA68" s="59">
        <f t="shared" si="68"/>
        <v>0</v>
      </c>
      <c r="AB68" s="59">
        <f t="shared" si="42"/>
        <v>0</v>
      </c>
      <c r="AC68" s="59"/>
      <c r="AD68" s="59">
        <f t="shared" si="9"/>
        <v>0</v>
      </c>
      <c r="AE68" s="59">
        <f t="shared" si="69"/>
        <v>0</v>
      </c>
      <c r="AF68" s="59"/>
      <c r="AG68" s="59">
        <f t="shared" si="11"/>
        <v>0</v>
      </c>
      <c r="AH68" s="59">
        <f t="shared" si="70"/>
        <v>0</v>
      </c>
      <c r="AI68" s="59"/>
      <c r="AJ68" s="59">
        <f t="shared" si="13"/>
        <v>0</v>
      </c>
      <c r="AK68" s="59">
        <f t="shared" si="71"/>
        <v>0</v>
      </c>
      <c r="AL68" s="59"/>
      <c r="AM68" s="59">
        <f t="shared" si="72"/>
        <v>0</v>
      </c>
      <c r="AN68" s="59">
        <f t="shared" si="43"/>
        <v>0</v>
      </c>
      <c r="AO68" s="59"/>
      <c r="AP68" s="59">
        <f t="shared" si="73"/>
        <v>0</v>
      </c>
      <c r="AQ68" s="59">
        <f t="shared" si="44"/>
        <v>0</v>
      </c>
      <c r="AR68" s="59"/>
      <c r="AS68" s="59">
        <f t="shared" si="17"/>
        <v>0</v>
      </c>
      <c r="AT68" s="59">
        <f t="shared" si="74"/>
        <v>0</v>
      </c>
      <c r="AU68" s="59"/>
      <c r="AV68" s="59">
        <f t="shared" si="75"/>
        <v>0</v>
      </c>
      <c r="AW68" s="59">
        <f t="shared" si="45"/>
        <v>0</v>
      </c>
      <c r="AX68" s="59"/>
      <c r="AY68" s="59">
        <f t="shared" si="76"/>
        <v>0</v>
      </c>
      <c r="AZ68" s="59">
        <f t="shared" si="46"/>
        <v>0</v>
      </c>
      <c r="BA68" s="61">
        <v>530.02222222222224</v>
      </c>
      <c r="BB68" s="59">
        <f t="shared" si="47"/>
        <v>646.62711111111116</v>
      </c>
      <c r="BC68" s="59">
        <f t="shared" si="48"/>
        <v>7759.5253333333339</v>
      </c>
      <c r="BD68" s="59"/>
      <c r="BE68" s="59">
        <f t="shared" si="77"/>
        <v>0</v>
      </c>
      <c r="BF68" s="59">
        <f t="shared" si="49"/>
        <v>0</v>
      </c>
      <c r="BG68" s="59"/>
      <c r="BH68" s="59">
        <f t="shared" si="78"/>
        <v>0</v>
      </c>
      <c r="BI68" s="59">
        <f t="shared" si="50"/>
        <v>0</v>
      </c>
      <c r="BJ68" s="59"/>
      <c r="BK68" s="59">
        <f t="shared" si="79"/>
        <v>0</v>
      </c>
      <c r="BL68" s="59">
        <f t="shared" si="51"/>
        <v>0</v>
      </c>
      <c r="BM68" s="59"/>
      <c r="BN68" s="59">
        <f t="shared" si="93"/>
        <v>0</v>
      </c>
      <c r="BO68" s="59">
        <f t="shared" si="80"/>
        <v>0</v>
      </c>
      <c r="BP68" s="59"/>
      <c r="BQ68" s="59">
        <f t="shared" si="59"/>
        <v>0</v>
      </c>
      <c r="BR68" s="59">
        <f t="shared" si="81"/>
        <v>0</v>
      </c>
      <c r="BS68" s="59"/>
      <c r="BT68" s="59">
        <f t="shared" si="25"/>
        <v>0</v>
      </c>
      <c r="BU68" s="59">
        <f t="shared" si="82"/>
        <v>0</v>
      </c>
      <c r="BV68" s="61">
        <v>530.02222222222224</v>
      </c>
      <c r="BW68" s="59">
        <f t="shared" si="53"/>
        <v>646.62711111111116</v>
      </c>
      <c r="BX68" s="59">
        <f t="shared" si="54"/>
        <v>7759.5253333333339</v>
      </c>
      <c r="BY68" s="20">
        <f t="shared" si="55"/>
        <v>537.26296296296312</v>
      </c>
      <c r="BZ68" s="20">
        <f t="shared" si="56"/>
        <v>655.46081481481497</v>
      </c>
      <c r="CA68" s="21">
        <f t="shared" si="57"/>
        <v>6447.1555555555569</v>
      </c>
      <c r="CB68" s="21">
        <f t="shared" si="58"/>
        <v>7865.5297777777796</v>
      </c>
      <c r="CC68" s="20">
        <f t="shared" si="86"/>
        <v>3223.5777777777785</v>
      </c>
      <c r="CD68" s="20">
        <f t="shared" si="87"/>
        <v>3932.7648888888898</v>
      </c>
      <c r="CE68" s="20">
        <f t="shared" si="88"/>
        <v>3223.5777777777785</v>
      </c>
      <c r="CF68" s="20">
        <f t="shared" si="89"/>
        <v>3932.7648888888898</v>
      </c>
      <c r="CG68" s="20">
        <f t="shared" si="83"/>
        <v>7865.5297777777796</v>
      </c>
      <c r="CH68" s="4">
        <f t="shared" si="90"/>
        <v>9</v>
      </c>
      <c r="CI68" s="3">
        <f t="shared" si="33"/>
        <v>3</v>
      </c>
      <c r="CN68" s="35" t="e">
        <f>MIN((H68,K68,N68,Q68,T68,W68,Z68,AC68,AF68,AI68,AL68,AO68,AR68,AU68,AX68,BA68,BD68,BG68,BJ68,BM68,BP68,BS68,BV68,#REF!,#REF!))</f>
        <v>#REF!</v>
      </c>
      <c r="CO68" s="35" t="e">
        <f>MAX((H68,K68,N68,Q68,T68,W68,Z68,AC68,AF68,AI68,AL68,AO68,AR68,AU68,AX68,BA68,BD68,BG68,BJ68,BM68,BP68,BS68,BV68,#REF!,#REF!))</f>
        <v>#REF!</v>
      </c>
      <c r="CP68" s="47" t="e">
        <f t="shared" si="34"/>
        <v>#REF!</v>
      </c>
      <c r="CQ68" s="41" t="e">
        <f>CN68*1.3</f>
        <v>#REF!</v>
      </c>
      <c r="CS68" s="4">
        <v>2</v>
      </c>
      <c r="CT68" s="4" t="b">
        <f t="shared" si="91"/>
        <v>0</v>
      </c>
      <c r="CU68" s="4">
        <v>9</v>
      </c>
      <c r="CV68" s="4" t="b">
        <f t="shared" si="84"/>
        <v>1</v>
      </c>
      <c r="CW68" s="19">
        <v>11</v>
      </c>
      <c r="CZ68" s="4" t="s">
        <v>147</v>
      </c>
    </row>
    <row r="69" spans="1:104" s="4" customFormat="1" ht="41.25" thickBot="1" x14ac:dyDescent="0.3">
      <c r="A69" s="18">
        <v>53</v>
      </c>
      <c r="B69" s="64" t="s">
        <v>103</v>
      </c>
      <c r="C69" s="48" t="s">
        <v>14</v>
      </c>
      <c r="D69" s="107">
        <f t="shared" si="37"/>
        <v>12</v>
      </c>
      <c r="E69" s="107">
        <v>6</v>
      </c>
      <c r="F69" s="107">
        <v>6</v>
      </c>
      <c r="G69" s="60" t="s">
        <v>143</v>
      </c>
      <c r="H69" s="61">
        <v>297.31333333333333</v>
      </c>
      <c r="I69" s="59">
        <f t="shared" si="38"/>
        <v>362.72226666666666</v>
      </c>
      <c r="J69" s="59">
        <f t="shared" si="39"/>
        <v>4352.6671999999999</v>
      </c>
      <c r="K69" s="59"/>
      <c r="L69" s="59">
        <f t="shared" si="60"/>
        <v>0</v>
      </c>
      <c r="M69" s="59">
        <f t="shared" si="63"/>
        <v>0</v>
      </c>
      <c r="N69" s="59"/>
      <c r="O69" s="59">
        <f t="shared" si="94"/>
        <v>0</v>
      </c>
      <c r="P69" s="59">
        <f t="shared" si="64"/>
        <v>0</v>
      </c>
      <c r="Q69" s="59"/>
      <c r="R69" s="59">
        <f t="shared" si="4"/>
        <v>0</v>
      </c>
      <c r="S69" s="59">
        <f t="shared" si="65"/>
        <v>0</v>
      </c>
      <c r="T69" s="59"/>
      <c r="U69" s="59">
        <f t="shared" si="66"/>
        <v>0</v>
      </c>
      <c r="V69" s="59">
        <f t="shared" si="40"/>
        <v>0</v>
      </c>
      <c r="W69" s="59"/>
      <c r="X69" s="59">
        <f t="shared" si="67"/>
        <v>0</v>
      </c>
      <c r="Y69" s="59">
        <f t="shared" si="41"/>
        <v>0</v>
      </c>
      <c r="Z69" s="59"/>
      <c r="AA69" s="59">
        <f t="shared" si="68"/>
        <v>0</v>
      </c>
      <c r="AB69" s="59">
        <f t="shared" si="42"/>
        <v>0</v>
      </c>
      <c r="AC69" s="59"/>
      <c r="AD69" s="59">
        <f t="shared" si="9"/>
        <v>0</v>
      </c>
      <c r="AE69" s="59">
        <f t="shared" si="69"/>
        <v>0</v>
      </c>
      <c r="AF69" s="59"/>
      <c r="AG69" s="59">
        <f t="shared" si="11"/>
        <v>0</v>
      </c>
      <c r="AH69" s="59">
        <f t="shared" si="70"/>
        <v>0</v>
      </c>
      <c r="AI69" s="59"/>
      <c r="AJ69" s="59">
        <f t="shared" si="13"/>
        <v>0</v>
      </c>
      <c r="AK69" s="59">
        <f t="shared" si="71"/>
        <v>0</v>
      </c>
      <c r="AL69" s="59"/>
      <c r="AM69" s="59">
        <f t="shared" si="72"/>
        <v>0</v>
      </c>
      <c r="AN69" s="59">
        <f t="shared" si="43"/>
        <v>0</v>
      </c>
      <c r="AO69" s="59"/>
      <c r="AP69" s="59">
        <f t="shared" si="73"/>
        <v>0</v>
      </c>
      <c r="AQ69" s="59">
        <f t="shared" si="44"/>
        <v>0</v>
      </c>
      <c r="AR69" s="59"/>
      <c r="AS69" s="59">
        <f t="shared" si="17"/>
        <v>0</v>
      </c>
      <c r="AT69" s="59">
        <f t="shared" si="74"/>
        <v>0</v>
      </c>
      <c r="AU69" s="59"/>
      <c r="AV69" s="59">
        <f t="shared" si="75"/>
        <v>0</v>
      </c>
      <c r="AW69" s="59">
        <f t="shared" si="45"/>
        <v>0</v>
      </c>
      <c r="AX69" s="59"/>
      <c r="AY69" s="59">
        <f t="shared" si="76"/>
        <v>0</v>
      </c>
      <c r="AZ69" s="59">
        <f t="shared" si="46"/>
        <v>0</v>
      </c>
      <c r="BA69" s="61">
        <v>264.99666666666667</v>
      </c>
      <c r="BB69" s="59">
        <f t="shared" si="47"/>
        <v>323.29593333333332</v>
      </c>
      <c r="BC69" s="59">
        <f t="shared" si="48"/>
        <v>3879.5511999999999</v>
      </c>
      <c r="BD69" s="59"/>
      <c r="BE69" s="59">
        <f t="shared" si="77"/>
        <v>0</v>
      </c>
      <c r="BF69" s="59">
        <f t="shared" si="49"/>
        <v>0</v>
      </c>
      <c r="BG69" s="59"/>
      <c r="BH69" s="59">
        <f t="shared" si="78"/>
        <v>0</v>
      </c>
      <c r="BI69" s="59">
        <f t="shared" si="50"/>
        <v>0</v>
      </c>
      <c r="BJ69" s="59"/>
      <c r="BK69" s="59">
        <f t="shared" si="79"/>
        <v>0</v>
      </c>
      <c r="BL69" s="59">
        <f t="shared" si="51"/>
        <v>0</v>
      </c>
      <c r="BM69" s="59"/>
      <c r="BN69" s="59">
        <f t="shared" si="93"/>
        <v>0</v>
      </c>
      <c r="BO69" s="59">
        <f t="shared" si="80"/>
        <v>0</v>
      </c>
      <c r="BP69" s="59"/>
      <c r="BQ69" s="59">
        <f t="shared" si="59"/>
        <v>0</v>
      </c>
      <c r="BR69" s="59">
        <f t="shared" si="81"/>
        <v>0</v>
      </c>
      <c r="BS69" s="59"/>
      <c r="BT69" s="59">
        <f t="shared" si="25"/>
        <v>0</v>
      </c>
      <c r="BU69" s="59">
        <f t="shared" si="82"/>
        <v>0</v>
      </c>
      <c r="BV69" s="61">
        <v>286.54111111111115</v>
      </c>
      <c r="BW69" s="59">
        <f t="shared" si="53"/>
        <v>349.58015555555562</v>
      </c>
      <c r="BX69" s="59">
        <f t="shared" si="54"/>
        <v>4194.9618666666674</v>
      </c>
      <c r="BY69" s="20">
        <f t="shared" si="55"/>
        <v>282.95037037037036</v>
      </c>
      <c r="BZ69" s="20">
        <f t="shared" si="56"/>
        <v>345.19945185185185</v>
      </c>
      <c r="CA69" s="21">
        <f t="shared" si="57"/>
        <v>3395.4044444444444</v>
      </c>
      <c r="CB69" s="21">
        <f t="shared" si="58"/>
        <v>4142.3934222222224</v>
      </c>
      <c r="CC69" s="20">
        <f t="shared" si="86"/>
        <v>1697.7022222222222</v>
      </c>
      <c r="CD69" s="20">
        <f t="shared" si="87"/>
        <v>2071.1967111111112</v>
      </c>
      <c r="CE69" s="20">
        <f t="shared" si="88"/>
        <v>1697.7022222222222</v>
      </c>
      <c r="CF69" s="20">
        <f t="shared" si="89"/>
        <v>2071.1967111111112</v>
      </c>
      <c r="CG69" s="20">
        <f t="shared" si="83"/>
        <v>4142.3934222222224</v>
      </c>
      <c r="CH69" s="4">
        <f t="shared" si="90"/>
        <v>9</v>
      </c>
      <c r="CI69" s="3">
        <f t="shared" si="33"/>
        <v>3</v>
      </c>
      <c r="CN69" s="35" t="e">
        <f>MIN((H69,K69,N69,Q69,T69,W69,Z69,AC69,AF69,AI69,AL69,AO69,AR69,AU69,AX69,BA69,BD69,BG69,BJ69,BM69,BP69,BS69,BV69,#REF!,#REF!))</f>
        <v>#REF!</v>
      </c>
      <c r="CO69" s="35" t="e">
        <f>MAX((H69,K69,N69,Q69,T69,W69,Z69,AC69,AF69,AI69,AL69,AO69,AR69,AU69,AX69,BA69,BD69,BG69,BJ69,BM69,BP69,BS69,BV69,#REF!,#REF!))</f>
        <v>#REF!</v>
      </c>
      <c r="CP69" s="47" t="e">
        <f t="shared" si="34"/>
        <v>#REF!</v>
      </c>
      <c r="CQ69" s="41" t="e">
        <f>CN69*1.3</f>
        <v>#REF!</v>
      </c>
      <c r="CS69" s="4">
        <v>3</v>
      </c>
      <c r="CT69" s="4" t="b">
        <f t="shared" si="91"/>
        <v>0</v>
      </c>
      <c r="CU69" s="4">
        <v>4</v>
      </c>
      <c r="CV69" s="4" t="b">
        <f t="shared" si="84"/>
        <v>1</v>
      </c>
      <c r="CW69" s="19">
        <v>7</v>
      </c>
      <c r="CZ69" s="4" t="s">
        <v>147</v>
      </c>
    </row>
    <row r="70" spans="1:104" s="4" customFormat="1" ht="41.25" thickBot="1" x14ac:dyDescent="0.3">
      <c r="A70" s="18">
        <v>54</v>
      </c>
      <c r="B70" s="64" t="s">
        <v>104</v>
      </c>
      <c r="C70" s="48" t="s">
        <v>14</v>
      </c>
      <c r="D70" s="107">
        <f t="shared" si="37"/>
        <v>12</v>
      </c>
      <c r="E70" s="107">
        <v>6</v>
      </c>
      <c r="F70" s="107">
        <v>6</v>
      </c>
      <c r="G70" s="60" t="s">
        <v>143</v>
      </c>
      <c r="H70" s="61">
        <v>244.48355555555563</v>
      </c>
      <c r="I70" s="59">
        <f t="shared" si="38"/>
        <v>298.26993777777784</v>
      </c>
      <c r="J70" s="59">
        <f t="shared" si="39"/>
        <v>3579.2392533333341</v>
      </c>
      <c r="K70" s="59"/>
      <c r="L70" s="59">
        <f t="shared" si="60"/>
        <v>0</v>
      </c>
      <c r="M70" s="59">
        <f t="shared" si="63"/>
        <v>0</v>
      </c>
      <c r="N70" s="59"/>
      <c r="O70" s="59">
        <f t="shared" si="94"/>
        <v>0</v>
      </c>
      <c r="P70" s="59">
        <f t="shared" si="64"/>
        <v>0</v>
      </c>
      <c r="Q70" s="59"/>
      <c r="R70" s="59">
        <f t="shared" si="4"/>
        <v>0</v>
      </c>
      <c r="S70" s="59">
        <f t="shared" si="65"/>
        <v>0</v>
      </c>
      <c r="T70" s="59"/>
      <c r="U70" s="59">
        <f t="shared" si="66"/>
        <v>0</v>
      </c>
      <c r="V70" s="59">
        <f t="shared" si="40"/>
        <v>0</v>
      </c>
      <c r="W70" s="59"/>
      <c r="X70" s="59">
        <f t="shared" si="67"/>
        <v>0</v>
      </c>
      <c r="Y70" s="59">
        <f t="shared" si="41"/>
        <v>0</v>
      </c>
      <c r="Z70" s="59"/>
      <c r="AA70" s="59">
        <f t="shared" si="68"/>
        <v>0</v>
      </c>
      <c r="AB70" s="59">
        <f t="shared" si="42"/>
        <v>0</v>
      </c>
      <c r="AC70" s="59"/>
      <c r="AD70" s="59">
        <f t="shared" si="9"/>
        <v>0</v>
      </c>
      <c r="AE70" s="59">
        <f t="shared" si="69"/>
        <v>0</v>
      </c>
      <c r="AF70" s="59"/>
      <c r="AG70" s="59">
        <f t="shared" si="11"/>
        <v>0</v>
      </c>
      <c r="AH70" s="59">
        <f t="shared" si="70"/>
        <v>0</v>
      </c>
      <c r="AI70" s="59"/>
      <c r="AJ70" s="59">
        <f t="shared" si="13"/>
        <v>0</v>
      </c>
      <c r="AK70" s="59">
        <f t="shared" si="71"/>
        <v>0</v>
      </c>
      <c r="AL70" s="59"/>
      <c r="AM70" s="59">
        <f t="shared" si="72"/>
        <v>0</v>
      </c>
      <c r="AN70" s="59">
        <f t="shared" si="43"/>
        <v>0</v>
      </c>
      <c r="AO70" s="59"/>
      <c r="AP70" s="59">
        <f t="shared" si="73"/>
        <v>0</v>
      </c>
      <c r="AQ70" s="59">
        <f t="shared" si="44"/>
        <v>0</v>
      </c>
      <c r="AR70" s="59"/>
      <c r="AS70" s="59">
        <f t="shared" si="17"/>
        <v>0</v>
      </c>
      <c r="AT70" s="59">
        <f t="shared" si="74"/>
        <v>0</v>
      </c>
      <c r="AU70" s="59"/>
      <c r="AV70" s="59">
        <f t="shared" si="75"/>
        <v>0</v>
      </c>
      <c r="AW70" s="59">
        <f t="shared" si="45"/>
        <v>0</v>
      </c>
      <c r="AX70" s="59"/>
      <c r="AY70" s="59">
        <f t="shared" si="76"/>
        <v>0</v>
      </c>
      <c r="AZ70" s="59">
        <f t="shared" si="46"/>
        <v>0</v>
      </c>
      <c r="BA70" s="61">
        <v>257.8537500000001</v>
      </c>
      <c r="BB70" s="59">
        <f t="shared" si="47"/>
        <v>314.5815750000001</v>
      </c>
      <c r="BC70" s="59">
        <f t="shared" si="48"/>
        <v>3774.978900000001</v>
      </c>
      <c r="BD70" s="59"/>
      <c r="BE70" s="59">
        <f t="shared" si="77"/>
        <v>0</v>
      </c>
      <c r="BF70" s="59">
        <f t="shared" si="49"/>
        <v>0</v>
      </c>
      <c r="BG70" s="59"/>
      <c r="BH70" s="59">
        <f t="shared" si="78"/>
        <v>0</v>
      </c>
      <c r="BI70" s="59">
        <f t="shared" si="50"/>
        <v>0</v>
      </c>
      <c r="BJ70" s="59"/>
      <c r="BK70" s="59">
        <f t="shared" si="79"/>
        <v>0</v>
      </c>
      <c r="BL70" s="59">
        <f t="shared" si="51"/>
        <v>0</v>
      </c>
      <c r="BM70" s="59"/>
      <c r="BN70" s="59">
        <f t="shared" si="93"/>
        <v>0</v>
      </c>
      <c r="BO70" s="59">
        <f t="shared" si="80"/>
        <v>0</v>
      </c>
      <c r="BP70" s="59"/>
      <c r="BQ70" s="59">
        <f t="shared" si="59"/>
        <v>0</v>
      </c>
      <c r="BR70" s="59">
        <f t="shared" si="81"/>
        <v>0</v>
      </c>
      <c r="BS70" s="59"/>
      <c r="BT70" s="59">
        <f t="shared" si="25"/>
        <v>0</v>
      </c>
      <c r="BU70" s="59">
        <f t="shared" si="82"/>
        <v>0</v>
      </c>
      <c r="BV70" s="61">
        <v>261.67380555555565</v>
      </c>
      <c r="BW70" s="59">
        <f t="shared" si="53"/>
        <v>319.2420427777779</v>
      </c>
      <c r="BX70" s="59">
        <f t="shared" si="54"/>
        <v>3830.9045133333348</v>
      </c>
      <c r="BY70" s="20">
        <f t="shared" si="55"/>
        <v>254.67037037037048</v>
      </c>
      <c r="BZ70" s="20">
        <f t="shared" si="56"/>
        <v>310.69785185185196</v>
      </c>
      <c r="CA70" s="21">
        <f t="shared" si="57"/>
        <v>3056.0444444444456</v>
      </c>
      <c r="CB70" s="21">
        <f t="shared" si="58"/>
        <v>3728.3742222222236</v>
      </c>
      <c r="CC70" s="20">
        <f t="shared" si="86"/>
        <v>1528.0222222222228</v>
      </c>
      <c r="CD70" s="20">
        <f t="shared" si="87"/>
        <v>1864.1871111111118</v>
      </c>
      <c r="CE70" s="20">
        <f t="shared" si="88"/>
        <v>1528.0222222222228</v>
      </c>
      <c r="CF70" s="20">
        <f t="shared" si="89"/>
        <v>1864.1871111111118</v>
      </c>
      <c r="CG70" s="20">
        <f t="shared" si="83"/>
        <v>3728.3742222222236</v>
      </c>
      <c r="CH70" s="4">
        <f t="shared" si="90"/>
        <v>9</v>
      </c>
      <c r="CI70" s="3">
        <f t="shared" si="33"/>
        <v>3</v>
      </c>
      <c r="CN70" s="35" t="e">
        <f>MIN((H70,K70,N70,Q70,T70,W70,Z70,AC70,AF70,AI70,AL70,AO70,AR70,AU70,AX70,BA70,BD70,BG70,BJ70,BM70,BP70,BS70,BV70,#REF!,#REF!))</f>
        <v>#REF!</v>
      </c>
      <c r="CO70" s="35" t="e">
        <f>MAX((H70,K70,N70,Q70,T70,W70,Z70,AC70,AF70,AI70,AL70,AO70,AR70,AU70,AX70,BA70,BD70,BG70,BJ70,BM70,BP70,BS70,BV70,#REF!,#REF!))</f>
        <v>#REF!</v>
      </c>
      <c r="CP70" s="47" t="e">
        <f t="shared" si="34"/>
        <v>#REF!</v>
      </c>
      <c r="CQ70" s="41" t="e">
        <f>CN70*1.3</f>
        <v>#REF!</v>
      </c>
      <c r="CS70" s="4">
        <v>2</v>
      </c>
      <c r="CT70" s="4" t="b">
        <f t="shared" si="91"/>
        <v>0</v>
      </c>
      <c r="CU70" s="4">
        <v>2</v>
      </c>
      <c r="CV70" s="4" t="b">
        <f t="shared" si="84"/>
        <v>1</v>
      </c>
      <c r="CW70" s="19">
        <v>4</v>
      </c>
      <c r="CZ70" s="4" t="s">
        <v>147</v>
      </c>
    </row>
    <row r="71" spans="1:104" s="4" customFormat="1" ht="41.25" thickBot="1" x14ac:dyDescent="0.3">
      <c r="A71" s="18">
        <v>55</v>
      </c>
      <c r="B71" s="62" t="s">
        <v>105</v>
      </c>
      <c r="C71" s="48" t="s">
        <v>14</v>
      </c>
      <c r="D71" s="107">
        <f t="shared" si="37"/>
        <v>12</v>
      </c>
      <c r="E71" s="107">
        <v>6</v>
      </c>
      <c r="F71" s="107">
        <v>6</v>
      </c>
      <c r="G71" s="60" t="s">
        <v>143</v>
      </c>
      <c r="H71" s="61">
        <v>314.85849999999994</v>
      </c>
      <c r="I71" s="59">
        <f t="shared" si="38"/>
        <v>384.12736999999993</v>
      </c>
      <c r="J71" s="59">
        <f t="shared" si="39"/>
        <v>4609.5284399999991</v>
      </c>
      <c r="K71" s="59"/>
      <c r="L71" s="59">
        <f t="shared" si="60"/>
        <v>0</v>
      </c>
      <c r="M71" s="59">
        <f t="shared" ref="M71:M79" si="95">L71*E71</f>
        <v>0</v>
      </c>
      <c r="N71" s="59"/>
      <c r="O71" s="59">
        <f t="shared" si="61"/>
        <v>0</v>
      </c>
      <c r="P71" s="59">
        <f t="shared" ref="P71:P79" si="96">O71*E71</f>
        <v>0</v>
      </c>
      <c r="Q71" s="59"/>
      <c r="R71" s="59">
        <f t="shared" si="4"/>
        <v>0</v>
      </c>
      <c r="S71" s="59">
        <f t="shared" ref="S71:S79" si="97">R71*E71</f>
        <v>0</v>
      </c>
      <c r="T71" s="59"/>
      <c r="U71" s="59">
        <f t="shared" ref="U71:U79" si="98">T71*1.2</f>
        <v>0</v>
      </c>
      <c r="V71" s="59">
        <f t="shared" si="40"/>
        <v>0</v>
      </c>
      <c r="W71" s="59"/>
      <c r="X71" s="59">
        <f t="shared" ref="X71:X79" si="99">W71*1.2</f>
        <v>0</v>
      </c>
      <c r="Y71" s="59">
        <f t="shared" si="41"/>
        <v>0</v>
      </c>
      <c r="Z71" s="59"/>
      <c r="AA71" s="59">
        <f t="shared" ref="AA71:AA79" si="100">Z71*1.2</f>
        <v>0</v>
      </c>
      <c r="AB71" s="59">
        <f t="shared" si="42"/>
        <v>0</v>
      </c>
      <c r="AC71" s="59"/>
      <c r="AD71" s="59">
        <f t="shared" si="9"/>
        <v>0</v>
      </c>
      <c r="AE71" s="59">
        <f t="shared" ref="AE71:AE79" si="101">AD71*E71</f>
        <v>0</v>
      </c>
      <c r="AF71" s="59"/>
      <c r="AG71" s="59">
        <f t="shared" si="11"/>
        <v>0</v>
      </c>
      <c r="AH71" s="59">
        <f t="shared" ref="AH71:AH79" si="102">AG71*E71</f>
        <v>0</v>
      </c>
      <c r="AI71" s="59"/>
      <c r="AJ71" s="59">
        <f t="shared" si="13"/>
        <v>0</v>
      </c>
      <c r="AK71" s="59">
        <f t="shared" ref="AK71:AK79" si="103">AJ71*E71</f>
        <v>0</v>
      </c>
      <c r="AL71" s="59"/>
      <c r="AM71" s="59">
        <f t="shared" ref="AM71:AM79" si="104">AL71*1.2</f>
        <v>0</v>
      </c>
      <c r="AN71" s="59">
        <f t="shared" si="43"/>
        <v>0</v>
      </c>
      <c r="AO71" s="59"/>
      <c r="AP71" s="59">
        <f t="shared" ref="AP71:AP79" si="105">AO71*1.2</f>
        <v>0</v>
      </c>
      <c r="AQ71" s="59">
        <f t="shared" si="44"/>
        <v>0</v>
      </c>
      <c r="AR71" s="59"/>
      <c r="AS71" s="59">
        <f t="shared" si="17"/>
        <v>0</v>
      </c>
      <c r="AT71" s="59">
        <f t="shared" ref="AT71:AT79" si="106">AS71*E71</f>
        <v>0</v>
      </c>
      <c r="AU71" s="59"/>
      <c r="AV71" s="59">
        <f t="shared" ref="AV71:AV79" si="107">AU71*1.2</f>
        <v>0</v>
      </c>
      <c r="AW71" s="59">
        <f t="shared" si="45"/>
        <v>0</v>
      </c>
      <c r="AX71" s="59"/>
      <c r="AY71" s="59">
        <f t="shared" ref="AY71:AY79" si="108">AX71*1.2</f>
        <v>0</v>
      </c>
      <c r="AZ71" s="59">
        <f t="shared" si="46"/>
        <v>0</v>
      </c>
      <c r="BA71" s="61">
        <v>312.57691666666665</v>
      </c>
      <c r="BB71" s="59">
        <f t="shared" si="47"/>
        <v>381.34383833333328</v>
      </c>
      <c r="BC71" s="59">
        <f t="shared" si="48"/>
        <v>4576.1260599999996</v>
      </c>
      <c r="BD71" s="59"/>
      <c r="BE71" s="59">
        <f t="shared" ref="BE71:BE79" si="109">BD71*1.2</f>
        <v>0</v>
      </c>
      <c r="BF71" s="59">
        <f t="shared" si="49"/>
        <v>0</v>
      </c>
      <c r="BG71" s="59"/>
      <c r="BH71" s="59">
        <f t="shared" ref="BH71:BH79" si="110">BG71*1.2</f>
        <v>0</v>
      </c>
      <c r="BI71" s="59">
        <f t="shared" si="50"/>
        <v>0</v>
      </c>
      <c r="BJ71" s="59"/>
      <c r="BK71" s="59">
        <f t="shared" ref="BK71:BK79" si="111">BJ71*1.2</f>
        <v>0</v>
      </c>
      <c r="BL71" s="59">
        <f t="shared" si="51"/>
        <v>0</v>
      </c>
      <c r="BM71" s="59"/>
      <c r="BN71" s="59">
        <f t="shared" si="62"/>
        <v>0</v>
      </c>
      <c r="BO71" s="59">
        <f t="shared" ref="BO71:BO79" si="112">BN71*E71</f>
        <v>0</v>
      </c>
      <c r="BP71" s="59"/>
      <c r="BQ71" s="59">
        <f t="shared" si="59"/>
        <v>0</v>
      </c>
      <c r="BR71" s="59">
        <f t="shared" ref="BR71:BR79" si="113">BQ71*E71</f>
        <v>0</v>
      </c>
      <c r="BS71" s="59"/>
      <c r="BT71" s="59">
        <f t="shared" si="25"/>
        <v>0</v>
      </c>
      <c r="BU71" s="59">
        <f t="shared" ref="BU71:BU79" si="114">BT71*E71</f>
        <v>0</v>
      </c>
      <c r="BV71" s="61">
        <v>312.57691666666665</v>
      </c>
      <c r="BW71" s="59">
        <f t="shared" si="53"/>
        <v>381.34383833333328</v>
      </c>
      <c r="BX71" s="59">
        <f t="shared" si="54"/>
        <v>4576.1260599999996</v>
      </c>
      <c r="BY71" s="20">
        <f t="shared" si="55"/>
        <v>313.33744444444443</v>
      </c>
      <c r="BZ71" s="20">
        <f t="shared" si="56"/>
        <v>382.27168222222218</v>
      </c>
      <c r="CA71" s="21">
        <f t="shared" si="57"/>
        <v>3760.0493333333334</v>
      </c>
      <c r="CB71" s="21">
        <f t="shared" si="58"/>
        <v>4587.2601866666664</v>
      </c>
      <c r="CC71" s="20">
        <f t="shared" si="86"/>
        <v>1880.0246666666667</v>
      </c>
      <c r="CD71" s="20">
        <f t="shared" si="87"/>
        <v>2293.6300933333332</v>
      </c>
      <c r="CE71" s="20">
        <f t="shared" si="88"/>
        <v>1880.0246666666667</v>
      </c>
      <c r="CF71" s="20">
        <f t="shared" si="89"/>
        <v>2293.6300933333332</v>
      </c>
      <c r="CG71" s="20">
        <f t="shared" ref="CG71:CG79" si="115">CD71+CF71</f>
        <v>4587.2601866666664</v>
      </c>
      <c r="CH71" s="4">
        <f t="shared" si="90"/>
        <v>9</v>
      </c>
      <c r="CI71" s="4">
        <f t="shared" si="33"/>
        <v>3</v>
      </c>
      <c r="CN71" s="35" t="e">
        <f>MIN((H71,K71,N71,Q71,T71,W71,Z71,AC71,AF71,AI71,AL71,AO71,AR71,AU71,AX71,BA71,BD71,BG71,BJ71,BM71,BP71,BS71,BV71,#REF!,#REF!))</f>
        <v>#REF!</v>
      </c>
      <c r="CO71" s="35" t="e">
        <f>MAX((H71,K71,N71,Q71,T71,W71,Z71,AC71,AF71,AI71,AL71,AO71,AR71,AU71,AX71,BA71,BD71,BG71,BJ71,BM71,BP71,BS71,BV71,#REF!,#REF!))</f>
        <v>#REF!</v>
      </c>
      <c r="CP71" s="47" t="e">
        <f t="shared" si="34"/>
        <v>#REF!</v>
      </c>
      <c r="CQ71" s="40"/>
      <c r="CS71" s="4">
        <v>9</v>
      </c>
      <c r="CT71" s="4" t="b">
        <f t="shared" si="91"/>
        <v>0</v>
      </c>
      <c r="CU71" s="4">
        <v>1</v>
      </c>
      <c r="CV71" s="4" t="b">
        <f t="shared" ref="CV71:CV79" si="116">(CS71+CU71)=CW71</f>
        <v>1</v>
      </c>
      <c r="CW71" s="19">
        <v>10</v>
      </c>
      <c r="CZ71" s="4" t="s">
        <v>147</v>
      </c>
    </row>
    <row r="72" spans="1:104" s="4" customFormat="1" ht="41.25" thickBot="1" x14ac:dyDescent="0.3">
      <c r="A72" s="18">
        <v>56</v>
      </c>
      <c r="B72" s="62" t="s">
        <v>106</v>
      </c>
      <c r="C72" s="48" t="s">
        <v>14</v>
      </c>
      <c r="D72" s="107">
        <f t="shared" si="37"/>
        <v>12</v>
      </c>
      <c r="E72" s="107">
        <v>6</v>
      </c>
      <c r="F72" s="107">
        <v>6</v>
      </c>
      <c r="G72" s="60" t="s">
        <v>143</v>
      </c>
      <c r="H72" s="61">
        <v>741.31944444444446</v>
      </c>
      <c r="I72" s="59">
        <f t="shared" si="38"/>
        <v>904.40972222222217</v>
      </c>
      <c r="J72" s="59">
        <f t="shared" si="39"/>
        <v>10852.916666666666</v>
      </c>
      <c r="K72" s="59"/>
      <c r="L72" s="59">
        <f t="shared" si="60"/>
        <v>0</v>
      </c>
      <c r="M72" s="59">
        <f t="shared" si="95"/>
        <v>0</v>
      </c>
      <c r="N72" s="59"/>
      <c r="O72" s="59">
        <f t="shared" si="61"/>
        <v>0</v>
      </c>
      <c r="P72" s="59">
        <f t="shared" si="96"/>
        <v>0</v>
      </c>
      <c r="Q72" s="59"/>
      <c r="R72" s="59">
        <f t="shared" si="4"/>
        <v>0</v>
      </c>
      <c r="S72" s="59">
        <f t="shared" si="97"/>
        <v>0</v>
      </c>
      <c r="T72" s="59"/>
      <c r="U72" s="59">
        <f t="shared" si="98"/>
        <v>0</v>
      </c>
      <c r="V72" s="59">
        <f t="shared" si="40"/>
        <v>0</v>
      </c>
      <c r="W72" s="59"/>
      <c r="X72" s="59">
        <f t="shared" si="99"/>
        <v>0</v>
      </c>
      <c r="Y72" s="59">
        <f t="shared" si="41"/>
        <v>0</v>
      </c>
      <c r="Z72" s="59"/>
      <c r="AA72" s="59">
        <f t="shared" si="100"/>
        <v>0</v>
      </c>
      <c r="AB72" s="59">
        <f t="shared" si="42"/>
        <v>0</v>
      </c>
      <c r="AC72" s="59"/>
      <c r="AD72" s="59">
        <f t="shared" si="9"/>
        <v>0</v>
      </c>
      <c r="AE72" s="59">
        <f t="shared" si="101"/>
        <v>0</v>
      </c>
      <c r="AF72" s="59"/>
      <c r="AG72" s="59">
        <f t="shared" si="11"/>
        <v>0</v>
      </c>
      <c r="AH72" s="59">
        <f t="shared" si="102"/>
        <v>0</v>
      </c>
      <c r="AI72" s="59"/>
      <c r="AJ72" s="59">
        <f t="shared" si="13"/>
        <v>0</v>
      </c>
      <c r="AK72" s="59">
        <f t="shared" si="103"/>
        <v>0</v>
      </c>
      <c r="AL72" s="59"/>
      <c r="AM72" s="59">
        <f t="shared" si="104"/>
        <v>0</v>
      </c>
      <c r="AN72" s="59">
        <f t="shared" si="43"/>
        <v>0</v>
      </c>
      <c r="AO72" s="59"/>
      <c r="AP72" s="59">
        <f t="shared" si="105"/>
        <v>0</v>
      </c>
      <c r="AQ72" s="59">
        <f t="shared" si="44"/>
        <v>0</v>
      </c>
      <c r="AR72" s="59"/>
      <c r="AS72" s="59">
        <f t="shared" si="17"/>
        <v>0</v>
      </c>
      <c r="AT72" s="59">
        <f t="shared" si="106"/>
        <v>0</v>
      </c>
      <c r="AU72" s="59"/>
      <c r="AV72" s="59">
        <f t="shared" si="107"/>
        <v>0</v>
      </c>
      <c r="AW72" s="59">
        <f t="shared" si="45"/>
        <v>0</v>
      </c>
      <c r="AX72" s="59"/>
      <c r="AY72" s="59">
        <f t="shared" si="108"/>
        <v>0</v>
      </c>
      <c r="AZ72" s="59">
        <f t="shared" si="46"/>
        <v>0</v>
      </c>
      <c r="BA72" s="61">
        <v>735.38888888888891</v>
      </c>
      <c r="BB72" s="59">
        <f t="shared" si="47"/>
        <v>897.17444444444448</v>
      </c>
      <c r="BC72" s="59">
        <f t="shared" si="48"/>
        <v>10766.093333333334</v>
      </c>
      <c r="BD72" s="59"/>
      <c r="BE72" s="59">
        <f t="shared" si="109"/>
        <v>0</v>
      </c>
      <c r="BF72" s="59">
        <f t="shared" si="49"/>
        <v>0</v>
      </c>
      <c r="BG72" s="59"/>
      <c r="BH72" s="59">
        <f t="shared" si="110"/>
        <v>0</v>
      </c>
      <c r="BI72" s="59">
        <f t="shared" si="50"/>
        <v>0</v>
      </c>
      <c r="BJ72" s="59"/>
      <c r="BK72" s="59">
        <f t="shared" si="111"/>
        <v>0</v>
      </c>
      <c r="BL72" s="59">
        <f t="shared" si="51"/>
        <v>0</v>
      </c>
      <c r="BM72" s="59"/>
      <c r="BN72" s="59">
        <f t="shared" si="62"/>
        <v>0</v>
      </c>
      <c r="BO72" s="59">
        <f t="shared" si="112"/>
        <v>0</v>
      </c>
      <c r="BP72" s="59"/>
      <c r="BQ72" s="59">
        <f t="shared" si="59"/>
        <v>0</v>
      </c>
      <c r="BR72" s="59">
        <f t="shared" si="113"/>
        <v>0</v>
      </c>
      <c r="BS72" s="59"/>
      <c r="BT72" s="59">
        <f t="shared" si="25"/>
        <v>0</v>
      </c>
      <c r="BU72" s="59">
        <f t="shared" si="114"/>
        <v>0</v>
      </c>
      <c r="BV72" s="61">
        <v>759.11111111111109</v>
      </c>
      <c r="BW72" s="59">
        <f t="shared" si="53"/>
        <v>926.11555555555549</v>
      </c>
      <c r="BX72" s="59">
        <f t="shared" si="54"/>
        <v>11113.386666666665</v>
      </c>
      <c r="BY72" s="20">
        <f t="shared" si="55"/>
        <v>745.27314814814815</v>
      </c>
      <c r="BZ72" s="20">
        <f t="shared" si="56"/>
        <v>909.23324074074071</v>
      </c>
      <c r="CA72" s="21">
        <f t="shared" si="57"/>
        <v>8943.2777777777774</v>
      </c>
      <c r="CB72" s="21">
        <f t="shared" si="58"/>
        <v>10910.798888888889</v>
      </c>
      <c r="CC72" s="20">
        <f t="shared" si="86"/>
        <v>4471.6388888888887</v>
      </c>
      <c r="CD72" s="20">
        <f t="shared" si="87"/>
        <v>5455.3994444444443</v>
      </c>
      <c r="CE72" s="20">
        <f t="shared" si="88"/>
        <v>4471.6388888888887</v>
      </c>
      <c r="CF72" s="20">
        <f t="shared" si="89"/>
        <v>5455.3994444444443</v>
      </c>
      <c r="CG72" s="20">
        <f t="shared" si="115"/>
        <v>10910.798888888889</v>
      </c>
      <c r="CH72" s="4">
        <f t="shared" si="90"/>
        <v>9</v>
      </c>
      <c r="CI72" s="4">
        <f t="shared" si="33"/>
        <v>3</v>
      </c>
      <c r="CN72" s="35" t="e">
        <f>MIN((H72,K72,N72,Q72,T72,W72,Z72,AC72,AF72,AI72,AL72,AO72,AR72,AU72,AX72,BA72,BD72,BG72,BJ72,BM72,BP72,BS72,BV72,#REF!,#REF!))</f>
        <v>#REF!</v>
      </c>
      <c r="CO72" s="35" t="e">
        <f>MAX((H72,K72,N72,Q72,T72,W72,Z72,AC72,AF72,AI72,AL72,AO72,AR72,AU72,AX72,BA72,BD72,BG72,BJ72,BM72,BP72,BS72,BV72,#REF!,#REF!))</f>
        <v>#REF!</v>
      </c>
      <c r="CP72" s="47" t="e">
        <f t="shared" si="34"/>
        <v>#REF!</v>
      </c>
      <c r="CQ72" s="40"/>
      <c r="CS72" s="4">
        <v>0.05</v>
      </c>
      <c r="CT72" s="4" t="b">
        <f t="shared" si="91"/>
        <v>0</v>
      </c>
      <c r="CU72" s="4">
        <v>0</v>
      </c>
      <c r="CV72" s="4" t="b">
        <f t="shared" si="116"/>
        <v>1</v>
      </c>
      <c r="CW72" s="19">
        <v>0.05</v>
      </c>
      <c r="CZ72" s="4" t="s">
        <v>147</v>
      </c>
    </row>
    <row r="73" spans="1:104" s="4" customFormat="1" ht="41.25" thickBot="1" x14ac:dyDescent="0.3">
      <c r="A73" s="18">
        <v>57</v>
      </c>
      <c r="B73" s="62" t="s">
        <v>107</v>
      </c>
      <c r="C73" s="48" t="s">
        <v>14</v>
      </c>
      <c r="D73" s="107">
        <f t="shared" si="37"/>
        <v>0.69</v>
      </c>
      <c r="E73" s="107">
        <v>0.06</v>
      </c>
      <c r="F73" s="107">
        <v>0.63</v>
      </c>
      <c r="G73" s="60" t="s">
        <v>142</v>
      </c>
      <c r="H73" s="61">
        <v>122575.60000000002</v>
      </c>
      <c r="I73" s="59">
        <f t="shared" si="38"/>
        <v>149542.23200000002</v>
      </c>
      <c r="J73" s="59">
        <f t="shared" si="39"/>
        <v>103184.14008</v>
      </c>
      <c r="K73" s="59"/>
      <c r="L73" s="59">
        <f t="shared" si="60"/>
        <v>0</v>
      </c>
      <c r="M73" s="59">
        <f t="shared" si="95"/>
        <v>0</v>
      </c>
      <c r="N73" s="59"/>
      <c r="O73" s="59">
        <f t="shared" si="61"/>
        <v>0</v>
      </c>
      <c r="P73" s="59">
        <f t="shared" si="96"/>
        <v>0</v>
      </c>
      <c r="Q73" s="59"/>
      <c r="R73" s="59">
        <f t="shared" si="4"/>
        <v>0</v>
      </c>
      <c r="S73" s="59">
        <f t="shared" si="97"/>
        <v>0</v>
      </c>
      <c r="T73" s="59"/>
      <c r="U73" s="59">
        <f t="shared" si="98"/>
        <v>0</v>
      </c>
      <c r="V73" s="59">
        <f t="shared" si="40"/>
        <v>0</v>
      </c>
      <c r="W73" s="59"/>
      <c r="X73" s="59">
        <f t="shared" si="99"/>
        <v>0</v>
      </c>
      <c r="Y73" s="59">
        <f t="shared" si="41"/>
        <v>0</v>
      </c>
      <c r="Z73" s="59"/>
      <c r="AA73" s="59">
        <f t="shared" si="100"/>
        <v>0</v>
      </c>
      <c r="AB73" s="59">
        <f t="shared" si="42"/>
        <v>0</v>
      </c>
      <c r="AC73" s="59"/>
      <c r="AD73" s="59">
        <f t="shared" si="9"/>
        <v>0</v>
      </c>
      <c r="AE73" s="59">
        <f t="shared" si="101"/>
        <v>0</v>
      </c>
      <c r="AF73" s="59"/>
      <c r="AG73" s="59">
        <f t="shared" si="11"/>
        <v>0</v>
      </c>
      <c r="AH73" s="59">
        <f t="shared" si="102"/>
        <v>0</v>
      </c>
      <c r="AI73" s="59"/>
      <c r="AJ73" s="59">
        <f t="shared" si="13"/>
        <v>0</v>
      </c>
      <c r="AK73" s="59">
        <f t="shared" si="103"/>
        <v>0</v>
      </c>
      <c r="AL73" s="59"/>
      <c r="AM73" s="59">
        <f t="shared" si="104"/>
        <v>0</v>
      </c>
      <c r="AN73" s="59">
        <f t="shared" si="43"/>
        <v>0</v>
      </c>
      <c r="AO73" s="59"/>
      <c r="AP73" s="59">
        <f t="shared" si="105"/>
        <v>0</v>
      </c>
      <c r="AQ73" s="59">
        <f t="shared" si="44"/>
        <v>0</v>
      </c>
      <c r="AR73" s="59"/>
      <c r="AS73" s="59">
        <f t="shared" si="17"/>
        <v>0</v>
      </c>
      <c r="AT73" s="59">
        <f t="shared" si="106"/>
        <v>0</v>
      </c>
      <c r="AU73" s="59"/>
      <c r="AV73" s="59">
        <f t="shared" si="107"/>
        <v>0</v>
      </c>
      <c r="AW73" s="59">
        <f t="shared" si="45"/>
        <v>0</v>
      </c>
      <c r="AX73" s="59"/>
      <c r="AY73" s="59">
        <f t="shared" si="108"/>
        <v>0</v>
      </c>
      <c r="AZ73" s="59">
        <f t="shared" si="46"/>
        <v>0</v>
      </c>
      <c r="BA73" s="61">
        <v>124521.24444444446</v>
      </c>
      <c r="BB73" s="59">
        <f t="shared" si="47"/>
        <v>151915.91822222224</v>
      </c>
      <c r="BC73" s="59">
        <f t="shared" si="48"/>
        <v>104821.98357333335</v>
      </c>
      <c r="BD73" s="59"/>
      <c r="BE73" s="59">
        <f t="shared" si="109"/>
        <v>0</v>
      </c>
      <c r="BF73" s="59">
        <f t="shared" si="49"/>
        <v>0</v>
      </c>
      <c r="BG73" s="59"/>
      <c r="BH73" s="59">
        <f t="shared" si="110"/>
        <v>0</v>
      </c>
      <c r="BI73" s="59">
        <f t="shared" si="50"/>
        <v>0</v>
      </c>
      <c r="BJ73" s="59"/>
      <c r="BK73" s="59">
        <f t="shared" si="111"/>
        <v>0</v>
      </c>
      <c r="BL73" s="59">
        <f t="shared" si="51"/>
        <v>0</v>
      </c>
      <c r="BM73" s="59"/>
      <c r="BN73" s="59">
        <f t="shared" si="62"/>
        <v>0</v>
      </c>
      <c r="BO73" s="59">
        <f t="shared" si="112"/>
        <v>0</v>
      </c>
      <c r="BP73" s="59"/>
      <c r="BQ73" s="59">
        <f t="shared" si="59"/>
        <v>0</v>
      </c>
      <c r="BR73" s="59">
        <f t="shared" si="113"/>
        <v>0</v>
      </c>
      <c r="BS73" s="59"/>
      <c r="BT73" s="59">
        <f t="shared" si="25"/>
        <v>0</v>
      </c>
      <c r="BU73" s="59">
        <f t="shared" si="114"/>
        <v>0</v>
      </c>
      <c r="BV73" s="61">
        <v>123548.42222222225</v>
      </c>
      <c r="BW73" s="59">
        <f t="shared" si="53"/>
        <v>150729.07511111113</v>
      </c>
      <c r="BX73" s="59">
        <f t="shared" si="54"/>
        <v>104003.06182666667</v>
      </c>
      <c r="BY73" s="20">
        <f t="shared" si="55"/>
        <v>123548.42222222225</v>
      </c>
      <c r="BZ73" s="20">
        <f t="shared" si="56"/>
        <v>150729.07511111113</v>
      </c>
      <c r="CA73" s="21">
        <f t="shared" si="57"/>
        <v>85248.411333333337</v>
      </c>
      <c r="CB73" s="21">
        <f t="shared" si="58"/>
        <v>104003.06182666667</v>
      </c>
      <c r="CC73" s="20">
        <f t="shared" si="86"/>
        <v>7412.9053333333341</v>
      </c>
      <c r="CD73" s="20">
        <f t="shared" si="87"/>
        <v>9043.7445066666678</v>
      </c>
      <c r="CE73" s="20">
        <f t="shared" si="88"/>
        <v>77835.506000000008</v>
      </c>
      <c r="CF73" s="20">
        <f t="shared" si="89"/>
        <v>94959.317320000016</v>
      </c>
      <c r="CG73" s="20">
        <f t="shared" si="115"/>
        <v>104003.06182666669</v>
      </c>
      <c r="CH73" s="4">
        <f t="shared" si="90"/>
        <v>9</v>
      </c>
      <c r="CI73" s="4">
        <f t="shared" si="33"/>
        <v>3</v>
      </c>
      <c r="CN73" s="35" t="e">
        <f>MIN((H73,K73,N73,Q73,T73,W73,Z73,AC73,AF73,AI73,AL73,AO73,AR73,AU73,AX73,BA73,BD73,BG73,BJ73,BM73,BP73,BS73,BV73,#REF!,#REF!))</f>
        <v>#REF!</v>
      </c>
      <c r="CO73" s="35" t="e">
        <f>MAX((H73,K73,N73,Q73,T73,W73,Z73,AC73,AF73,AI73,AL73,AO73,AR73,AU73,AX73,BA73,BD73,BG73,BJ73,BM73,BP73,BS73,BV73,#REF!,#REF!))</f>
        <v>#REF!</v>
      </c>
      <c r="CP73" s="47" t="e">
        <f t="shared" si="34"/>
        <v>#REF!</v>
      </c>
      <c r="CQ73" s="40"/>
      <c r="CS73" s="4">
        <v>12</v>
      </c>
      <c r="CT73" s="4" t="b">
        <f t="shared" si="91"/>
        <v>0</v>
      </c>
      <c r="CU73" s="4">
        <v>2</v>
      </c>
      <c r="CV73" s="4" t="b">
        <f t="shared" si="116"/>
        <v>1</v>
      </c>
      <c r="CW73" s="19">
        <v>14</v>
      </c>
      <c r="CZ73" s="4" t="s">
        <v>148</v>
      </c>
    </row>
    <row r="74" spans="1:104" s="4" customFormat="1" ht="41.25" thickBot="1" x14ac:dyDescent="0.3">
      <c r="A74" s="18">
        <v>58</v>
      </c>
      <c r="B74" s="62" t="s">
        <v>108</v>
      </c>
      <c r="C74" s="48" t="s">
        <v>14</v>
      </c>
      <c r="D74" s="107">
        <f t="shared" si="37"/>
        <v>0.64500000000000002</v>
      </c>
      <c r="E74" s="107">
        <v>4.4999999999999998E-2</v>
      </c>
      <c r="F74" s="107">
        <v>0.6</v>
      </c>
      <c r="G74" s="60" t="s">
        <v>142</v>
      </c>
      <c r="H74" s="61">
        <v>122091.23686666666</v>
      </c>
      <c r="I74" s="59">
        <f t="shared" si="38"/>
        <v>148951.30897733333</v>
      </c>
      <c r="J74" s="59">
        <f t="shared" si="39"/>
        <v>96073.594290380002</v>
      </c>
      <c r="K74" s="59"/>
      <c r="L74" s="59">
        <f t="shared" si="60"/>
        <v>0</v>
      </c>
      <c r="M74" s="59">
        <f t="shared" si="95"/>
        <v>0</v>
      </c>
      <c r="N74" s="59"/>
      <c r="O74" s="59">
        <f t="shared" si="61"/>
        <v>0</v>
      </c>
      <c r="P74" s="59">
        <f t="shared" si="96"/>
        <v>0</v>
      </c>
      <c r="Q74" s="59"/>
      <c r="R74" s="59">
        <f t="shared" si="4"/>
        <v>0</v>
      </c>
      <c r="S74" s="59">
        <f t="shared" si="97"/>
        <v>0</v>
      </c>
      <c r="T74" s="59"/>
      <c r="U74" s="59">
        <f t="shared" si="98"/>
        <v>0</v>
      </c>
      <c r="V74" s="59">
        <f t="shared" si="40"/>
        <v>0</v>
      </c>
      <c r="W74" s="59"/>
      <c r="X74" s="59">
        <f t="shared" si="99"/>
        <v>0</v>
      </c>
      <c r="Y74" s="59">
        <f t="shared" si="41"/>
        <v>0</v>
      </c>
      <c r="Z74" s="59"/>
      <c r="AA74" s="59">
        <f t="shared" si="100"/>
        <v>0</v>
      </c>
      <c r="AB74" s="59">
        <f t="shared" si="42"/>
        <v>0</v>
      </c>
      <c r="AC74" s="59"/>
      <c r="AD74" s="59">
        <f t="shared" si="9"/>
        <v>0</v>
      </c>
      <c r="AE74" s="59">
        <f t="shared" si="101"/>
        <v>0</v>
      </c>
      <c r="AF74" s="59"/>
      <c r="AG74" s="59">
        <f t="shared" si="11"/>
        <v>0</v>
      </c>
      <c r="AH74" s="59">
        <f t="shared" si="102"/>
        <v>0</v>
      </c>
      <c r="AI74" s="59"/>
      <c r="AJ74" s="59">
        <f t="shared" si="13"/>
        <v>0</v>
      </c>
      <c r="AK74" s="59">
        <f t="shared" si="103"/>
        <v>0</v>
      </c>
      <c r="AL74" s="59"/>
      <c r="AM74" s="59">
        <f t="shared" si="104"/>
        <v>0</v>
      </c>
      <c r="AN74" s="59">
        <f t="shared" si="43"/>
        <v>0</v>
      </c>
      <c r="AO74" s="59"/>
      <c r="AP74" s="59">
        <f t="shared" si="105"/>
        <v>0</v>
      </c>
      <c r="AQ74" s="59">
        <f t="shared" si="44"/>
        <v>0</v>
      </c>
      <c r="AR74" s="59"/>
      <c r="AS74" s="59">
        <f t="shared" si="17"/>
        <v>0</v>
      </c>
      <c r="AT74" s="59">
        <f t="shared" si="106"/>
        <v>0</v>
      </c>
      <c r="AU74" s="59"/>
      <c r="AV74" s="59">
        <f t="shared" si="107"/>
        <v>0</v>
      </c>
      <c r="AW74" s="59">
        <f t="shared" si="45"/>
        <v>0</v>
      </c>
      <c r="AX74" s="59"/>
      <c r="AY74" s="59">
        <f t="shared" si="108"/>
        <v>0</v>
      </c>
      <c r="AZ74" s="59">
        <f t="shared" si="46"/>
        <v>0</v>
      </c>
      <c r="BA74" s="61">
        <v>118446.72233333332</v>
      </c>
      <c r="BB74" s="59">
        <f t="shared" si="47"/>
        <v>144505.00124666665</v>
      </c>
      <c r="BC74" s="59">
        <f t="shared" si="48"/>
        <v>93205.725804099988</v>
      </c>
      <c r="BD74" s="59"/>
      <c r="BE74" s="59">
        <f t="shared" si="109"/>
        <v>0</v>
      </c>
      <c r="BF74" s="59">
        <f t="shared" si="49"/>
        <v>0</v>
      </c>
      <c r="BG74" s="59"/>
      <c r="BH74" s="59">
        <f t="shared" si="110"/>
        <v>0</v>
      </c>
      <c r="BI74" s="59">
        <f t="shared" si="50"/>
        <v>0</v>
      </c>
      <c r="BJ74" s="59"/>
      <c r="BK74" s="59">
        <f t="shared" si="111"/>
        <v>0</v>
      </c>
      <c r="BL74" s="59">
        <f t="shared" si="51"/>
        <v>0</v>
      </c>
      <c r="BM74" s="59"/>
      <c r="BN74" s="59">
        <f t="shared" si="62"/>
        <v>0</v>
      </c>
      <c r="BO74" s="59">
        <f t="shared" si="112"/>
        <v>0</v>
      </c>
      <c r="BP74" s="59"/>
      <c r="BQ74" s="59">
        <f t="shared" si="59"/>
        <v>0</v>
      </c>
      <c r="BR74" s="59">
        <f t="shared" si="113"/>
        <v>0</v>
      </c>
      <c r="BS74" s="59"/>
      <c r="BT74" s="59">
        <f t="shared" si="25"/>
        <v>0</v>
      </c>
      <c r="BU74" s="59">
        <f t="shared" si="114"/>
        <v>0</v>
      </c>
      <c r="BV74" s="61">
        <v>120268.97959999999</v>
      </c>
      <c r="BW74" s="59">
        <f t="shared" si="53"/>
        <v>146728.15511199998</v>
      </c>
      <c r="BX74" s="59">
        <f t="shared" si="54"/>
        <v>94639.660047239988</v>
      </c>
      <c r="BY74" s="20">
        <f t="shared" si="55"/>
        <v>120268.97960000001</v>
      </c>
      <c r="BZ74" s="20">
        <f t="shared" si="56"/>
        <v>146728.15511200001</v>
      </c>
      <c r="CA74" s="21">
        <f t="shared" si="57"/>
        <v>77573.491842000003</v>
      </c>
      <c r="CB74" s="21">
        <f t="shared" si="58"/>
        <v>94639.660047240002</v>
      </c>
      <c r="CC74" s="20">
        <f t="shared" si="86"/>
        <v>5412.1040819999998</v>
      </c>
      <c r="CD74" s="20">
        <f t="shared" si="87"/>
        <v>6602.7669800399999</v>
      </c>
      <c r="CE74" s="20">
        <f t="shared" si="88"/>
        <v>72161.387759999998</v>
      </c>
      <c r="CF74" s="20">
        <f t="shared" si="89"/>
        <v>88036.893067199999</v>
      </c>
      <c r="CG74" s="20">
        <f t="shared" si="115"/>
        <v>94639.660047240002</v>
      </c>
      <c r="CH74" s="4">
        <f t="shared" si="90"/>
        <v>9</v>
      </c>
      <c r="CI74" s="4">
        <f t="shared" si="33"/>
        <v>3</v>
      </c>
      <c r="CN74" s="35" t="e">
        <f>MIN((H74,K74,N74,Q74,T74,W74,Z74,AC74,AF74,AI74,AL74,AO74,AR74,AU74,AX74,BA74,BD74,BG74,BJ74,BM74,BP74,BS74,BV74,#REF!,#REF!))</f>
        <v>#REF!</v>
      </c>
      <c r="CO74" s="35" t="e">
        <f>MAX((H74,K74,N74,Q74,T74,W74,Z74,AC74,AF74,AI74,AL74,AO74,AR74,AU74,AX74,BA74,BD74,BG74,BJ74,BM74,BP74,BS74,BV74,#REF!,#REF!))</f>
        <v>#REF!</v>
      </c>
      <c r="CP74" s="47" t="e">
        <f t="shared" si="34"/>
        <v>#REF!</v>
      </c>
      <c r="CQ74" s="40"/>
      <c r="CS74" s="4">
        <v>0.15000000000000002</v>
      </c>
      <c r="CT74" s="4" t="b">
        <f t="shared" si="91"/>
        <v>0</v>
      </c>
      <c r="CU74" s="4">
        <v>0</v>
      </c>
      <c r="CV74" s="4" t="b">
        <f t="shared" si="116"/>
        <v>1</v>
      </c>
      <c r="CW74" s="19">
        <v>0.15000000000000002</v>
      </c>
      <c r="CZ74" s="4" t="s">
        <v>148</v>
      </c>
    </row>
    <row r="75" spans="1:104" s="4" customFormat="1" ht="21" thickBot="1" x14ac:dyDescent="0.3">
      <c r="A75" s="18">
        <v>59</v>
      </c>
      <c r="B75" s="62" t="s">
        <v>109</v>
      </c>
      <c r="C75" s="48" t="s">
        <v>14</v>
      </c>
      <c r="D75" s="107">
        <f t="shared" si="37"/>
        <v>1.1000000000000001</v>
      </c>
      <c r="E75" s="107">
        <v>0.18</v>
      </c>
      <c r="F75" s="107">
        <v>0.92</v>
      </c>
      <c r="G75" s="60" t="s">
        <v>142</v>
      </c>
      <c r="H75" s="61">
        <v>97739.1577777778</v>
      </c>
      <c r="I75" s="59">
        <f t="shared" si="38"/>
        <v>119241.77248888892</v>
      </c>
      <c r="J75" s="59">
        <f t="shared" si="39"/>
        <v>131165.94973777782</v>
      </c>
      <c r="K75" s="59"/>
      <c r="L75" s="59">
        <f t="shared" si="60"/>
        <v>0</v>
      </c>
      <c r="M75" s="59">
        <f t="shared" si="95"/>
        <v>0</v>
      </c>
      <c r="N75" s="59"/>
      <c r="O75" s="59">
        <f t="shared" si="61"/>
        <v>0</v>
      </c>
      <c r="P75" s="59">
        <f t="shared" si="96"/>
        <v>0</v>
      </c>
      <c r="Q75" s="59"/>
      <c r="R75" s="59">
        <f t="shared" si="4"/>
        <v>0</v>
      </c>
      <c r="S75" s="59">
        <f t="shared" si="97"/>
        <v>0</v>
      </c>
      <c r="T75" s="59"/>
      <c r="U75" s="59">
        <f t="shared" si="98"/>
        <v>0</v>
      </c>
      <c r="V75" s="59">
        <f t="shared" si="40"/>
        <v>0</v>
      </c>
      <c r="W75" s="59"/>
      <c r="X75" s="59">
        <f t="shared" si="99"/>
        <v>0</v>
      </c>
      <c r="Y75" s="59">
        <f t="shared" si="41"/>
        <v>0</v>
      </c>
      <c r="Z75" s="59"/>
      <c r="AA75" s="59">
        <f t="shared" si="100"/>
        <v>0</v>
      </c>
      <c r="AB75" s="59">
        <f t="shared" si="42"/>
        <v>0</v>
      </c>
      <c r="AC75" s="59"/>
      <c r="AD75" s="59">
        <f t="shared" si="9"/>
        <v>0</v>
      </c>
      <c r="AE75" s="59">
        <f t="shared" si="101"/>
        <v>0</v>
      </c>
      <c r="AF75" s="59"/>
      <c r="AG75" s="59">
        <f t="shared" si="11"/>
        <v>0</v>
      </c>
      <c r="AH75" s="59">
        <f t="shared" si="102"/>
        <v>0</v>
      </c>
      <c r="AI75" s="59"/>
      <c r="AJ75" s="59">
        <f t="shared" si="13"/>
        <v>0</v>
      </c>
      <c r="AK75" s="59">
        <f t="shared" si="103"/>
        <v>0</v>
      </c>
      <c r="AL75" s="59"/>
      <c r="AM75" s="59">
        <f t="shared" si="104"/>
        <v>0</v>
      </c>
      <c r="AN75" s="59">
        <f t="shared" si="43"/>
        <v>0</v>
      </c>
      <c r="AO75" s="59"/>
      <c r="AP75" s="59">
        <f t="shared" si="105"/>
        <v>0</v>
      </c>
      <c r="AQ75" s="59">
        <f t="shared" si="44"/>
        <v>0</v>
      </c>
      <c r="AR75" s="59"/>
      <c r="AS75" s="59">
        <f t="shared" si="17"/>
        <v>0</v>
      </c>
      <c r="AT75" s="59">
        <f t="shared" si="106"/>
        <v>0</v>
      </c>
      <c r="AU75" s="59"/>
      <c r="AV75" s="59">
        <f t="shared" si="107"/>
        <v>0</v>
      </c>
      <c r="AW75" s="59">
        <f t="shared" si="45"/>
        <v>0</v>
      </c>
      <c r="AX75" s="59"/>
      <c r="AY75" s="59">
        <f t="shared" si="108"/>
        <v>0</v>
      </c>
      <c r="AZ75" s="59">
        <f t="shared" si="46"/>
        <v>0</v>
      </c>
      <c r="BA75" s="61">
        <v>88396.444166666683</v>
      </c>
      <c r="BB75" s="59">
        <f t="shared" si="47"/>
        <v>107843.66188333335</v>
      </c>
      <c r="BC75" s="59">
        <f t="shared" si="48"/>
        <v>118628.02807166669</v>
      </c>
      <c r="BD75" s="59"/>
      <c r="BE75" s="59">
        <f t="shared" si="109"/>
        <v>0</v>
      </c>
      <c r="BF75" s="59">
        <f t="shared" si="49"/>
        <v>0</v>
      </c>
      <c r="BG75" s="59"/>
      <c r="BH75" s="59">
        <f t="shared" si="110"/>
        <v>0</v>
      </c>
      <c r="BI75" s="59">
        <f t="shared" si="50"/>
        <v>0</v>
      </c>
      <c r="BJ75" s="59"/>
      <c r="BK75" s="59">
        <f t="shared" si="111"/>
        <v>0</v>
      </c>
      <c r="BL75" s="59">
        <f t="shared" si="51"/>
        <v>0</v>
      </c>
      <c r="BM75" s="59"/>
      <c r="BN75" s="59">
        <f t="shared" si="62"/>
        <v>0</v>
      </c>
      <c r="BO75" s="59">
        <f t="shared" si="112"/>
        <v>0</v>
      </c>
      <c r="BP75" s="59"/>
      <c r="BQ75" s="59">
        <f t="shared" si="59"/>
        <v>0</v>
      </c>
      <c r="BR75" s="59">
        <f t="shared" si="113"/>
        <v>0</v>
      </c>
      <c r="BS75" s="59"/>
      <c r="BT75" s="59">
        <f t="shared" si="25"/>
        <v>0</v>
      </c>
      <c r="BU75" s="59">
        <f t="shared" si="114"/>
        <v>0</v>
      </c>
      <c r="BV75" s="61">
        <v>97739.1577777778</v>
      </c>
      <c r="BW75" s="59">
        <f t="shared" si="53"/>
        <v>119241.77248888892</v>
      </c>
      <c r="BX75" s="59">
        <f t="shared" si="54"/>
        <v>131165.94973777782</v>
      </c>
      <c r="BY75" s="20">
        <f t="shared" si="55"/>
        <v>94624.919907407428</v>
      </c>
      <c r="BZ75" s="20">
        <f t="shared" si="56"/>
        <v>115442.40228703705</v>
      </c>
      <c r="CA75" s="21">
        <f t="shared" si="57"/>
        <v>104087.41189814817</v>
      </c>
      <c r="CB75" s="21">
        <f t="shared" si="58"/>
        <v>126986.64251574076</v>
      </c>
      <c r="CC75" s="20">
        <f t="shared" si="86"/>
        <v>17032.485583333335</v>
      </c>
      <c r="CD75" s="20">
        <f t="shared" si="87"/>
        <v>20779.632411666669</v>
      </c>
      <c r="CE75" s="20">
        <f t="shared" si="88"/>
        <v>87054.926314814831</v>
      </c>
      <c r="CF75" s="20">
        <f t="shared" si="89"/>
        <v>106207.0101040741</v>
      </c>
      <c r="CG75" s="20">
        <f t="shared" si="115"/>
        <v>126986.64251574076</v>
      </c>
      <c r="CH75" s="4">
        <f t="shared" si="90"/>
        <v>9</v>
      </c>
      <c r="CI75" s="4">
        <f t="shared" si="33"/>
        <v>3</v>
      </c>
      <c r="CN75" s="35" t="e">
        <f>MIN((H75,K75,N75,Q75,T75,W75,Z75,AC75,AF75,AI75,AL75,AO75,AR75,AU75,AX75,BA75,BD75,BG75,BJ75,BM75,BP75,BS75,BV75,#REF!,#REF!))</f>
        <v>#REF!</v>
      </c>
      <c r="CO75" s="35" t="e">
        <f>MAX((H75,K75,N75,Q75,T75,W75,Z75,AC75,AF75,AI75,AL75,AO75,AR75,AU75,AX75,BA75,BD75,BG75,BJ75,BM75,BP75,BS75,BV75,#REF!,#REF!))</f>
        <v>#REF!</v>
      </c>
      <c r="CP75" s="47" t="e">
        <f t="shared" si="34"/>
        <v>#REF!</v>
      </c>
      <c r="CQ75" s="40"/>
      <c r="CS75" s="4">
        <v>2.5000000000000001E-2</v>
      </c>
      <c r="CT75" s="4" t="b">
        <f t="shared" si="91"/>
        <v>0</v>
      </c>
      <c r="CU75" s="4">
        <v>0</v>
      </c>
      <c r="CV75" s="4" t="b">
        <f t="shared" si="116"/>
        <v>1</v>
      </c>
      <c r="CW75" s="19">
        <v>2.5000000000000001E-2</v>
      </c>
      <c r="CZ75" s="4" t="s">
        <v>148</v>
      </c>
    </row>
    <row r="76" spans="1:104" s="4" customFormat="1" ht="41.25" thickBot="1" x14ac:dyDescent="0.3">
      <c r="A76" s="18">
        <v>60</v>
      </c>
      <c r="B76" s="62" t="s">
        <v>110</v>
      </c>
      <c r="C76" s="48" t="s">
        <v>14</v>
      </c>
      <c r="D76" s="107">
        <f t="shared" si="37"/>
        <v>0.5</v>
      </c>
      <c r="E76" s="107">
        <v>0.09</v>
      </c>
      <c r="F76" s="107">
        <v>0.41</v>
      </c>
      <c r="G76" s="60" t="s">
        <v>142</v>
      </c>
      <c r="H76" s="61">
        <v>114855.2334</v>
      </c>
      <c r="I76" s="59">
        <f t="shared" si="38"/>
        <v>140123.38474799998</v>
      </c>
      <c r="J76" s="59">
        <f t="shared" si="39"/>
        <v>70061.692373999991</v>
      </c>
      <c r="K76" s="59"/>
      <c r="L76" s="59">
        <f t="shared" si="60"/>
        <v>0</v>
      </c>
      <c r="M76" s="59">
        <f t="shared" si="95"/>
        <v>0</v>
      </c>
      <c r="N76" s="59"/>
      <c r="O76" s="59">
        <f t="shared" si="61"/>
        <v>0</v>
      </c>
      <c r="P76" s="59">
        <f t="shared" si="96"/>
        <v>0</v>
      </c>
      <c r="Q76" s="59"/>
      <c r="R76" s="59">
        <f t="shared" si="4"/>
        <v>0</v>
      </c>
      <c r="S76" s="59">
        <f t="shared" si="97"/>
        <v>0</v>
      </c>
      <c r="T76" s="59"/>
      <c r="U76" s="59">
        <f t="shared" si="98"/>
        <v>0</v>
      </c>
      <c r="V76" s="59">
        <f t="shared" si="40"/>
        <v>0</v>
      </c>
      <c r="W76" s="59"/>
      <c r="X76" s="59">
        <f t="shared" si="99"/>
        <v>0</v>
      </c>
      <c r="Y76" s="59">
        <f t="shared" si="41"/>
        <v>0</v>
      </c>
      <c r="Z76" s="59"/>
      <c r="AA76" s="59">
        <f t="shared" si="100"/>
        <v>0</v>
      </c>
      <c r="AB76" s="59">
        <f t="shared" si="42"/>
        <v>0</v>
      </c>
      <c r="AC76" s="59"/>
      <c r="AD76" s="59">
        <f t="shared" si="9"/>
        <v>0</v>
      </c>
      <c r="AE76" s="59">
        <f t="shared" si="101"/>
        <v>0</v>
      </c>
      <c r="AF76" s="59"/>
      <c r="AG76" s="59">
        <f t="shared" si="11"/>
        <v>0</v>
      </c>
      <c r="AH76" s="59">
        <f t="shared" si="102"/>
        <v>0</v>
      </c>
      <c r="AI76" s="59"/>
      <c r="AJ76" s="59">
        <f t="shared" si="13"/>
        <v>0</v>
      </c>
      <c r="AK76" s="59">
        <f t="shared" si="103"/>
        <v>0</v>
      </c>
      <c r="AL76" s="59"/>
      <c r="AM76" s="59">
        <f t="shared" si="104"/>
        <v>0</v>
      </c>
      <c r="AN76" s="59">
        <f t="shared" si="43"/>
        <v>0</v>
      </c>
      <c r="AO76" s="59"/>
      <c r="AP76" s="59">
        <f t="shared" si="105"/>
        <v>0</v>
      </c>
      <c r="AQ76" s="59">
        <f t="shared" si="44"/>
        <v>0</v>
      </c>
      <c r="AR76" s="59"/>
      <c r="AS76" s="59">
        <f t="shared" si="17"/>
        <v>0</v>
      </c>
      <c r="AT76" s="59">
        <f t="shared" si="106"/>
        <v>0</v>
      </c>
      <c r="AU76" s="59"/>
      <c r="AV76" s="59">
        <f t="shared" si="107"/>
        <v>0</v>
      </c>
      <c r="AW76" s="59">
        <f t="shared" si="45"/>
        <v>0</v>
      </c>
      <c r="AX76" s="59"/>
      <c r="AY76" s="59">
        <f t="shared" si="108"/>
        <v>0</v>
      </c>
      <c r="AZ76" s="59">
        <f t="shared" si="46"/>
        <v>0</v>
      </c>
      <c r="BA76" s="61">
        <v>106532.39040000002</v>
      </c>
      <c r="BB76" s="59">
        <f t="shared" si="47"/>
        <v>129969.51628800001</v>
      </c>
      <c r="BC76" s="59">
        <f t="shared" si="48"/>
        <v>64984.758144000007</v>
      </c>
      <c r="BD76" s="59"/>
      <c r="BE76" s="59">
        <f t="shared" si="109"/>
        <v>0</v>
      </c>
      <c r="BF76" s="59">
        <f t="shared" si="49"/>
        <v>0</v>
      </c>
      <c r="BG76" s="59"/>
      <c r="BH76" s="59">
        <f t="shared" si="110"/>
        <v>0</v>
      </c>
      <c r="BI76" s="59">
        <f t="shared" si="50"/>
        <v>0</v>
      </c>
      <c r="BJ76" s="59"/>
      <c r="BK76" s="59">
        <f t="shared" si="111"/>
        <v>0</v>
      </c>
      <c r="BL76" s="59">
        <f t="shared" si="51"/>
        <v>0</v>
      </c>
      <c r="BM76" s="59"/>
      <c r="BN76" s="59">
        <f t="shared" si="62"/>
        <v>0</v>
      </c>
      <c r="BO76" s="59">
        <f t="shared" si="112"/>
        <v>0</v>
      </c>
      <c r="BP76" s="59"/>
      <c r="BQ76" s="59">
        <f t="shared" si="59"/>
        <v>0</v>
      </c>
      <c r="BR76" s="59">
        <f t="shared" si="113"/>
        <v>0</v>
      </c>
      <c r="BS76" s="59"/>
      <c r="BT76" s="59">
        <f t="shared" si="25"/>
        <v>0</v>
      </c>
      <c r="BU76" s="59">
        <f t="shared" si="114"/>
        <v>0</v>
      </c>
      <c r="BV76" s="61">
        <v>110693.81190000002</v>
      </c>
      <c r="BW76" s="59">
        <f t="shared" si="53"/>
        <v>135046.45051800003</v>
      </c>
      <c r="BX76" s="59">
        <f t="shared" si="54"/>
        <v>67523.225259000013</v>
      </c>
      <c r="BY76" s="20">
        <f t="shared" si="55"/>
        <v>110693.81190000002</v>
      </c>
      <c r="BZ76" s="20">
        <f t="shared" si="56"/>
        <v>135046.45051800003</v>
      </c>
      <c r="CA76" s="21">
        <f t="shared" si="57"/>
        <v>55346.905950000008</v>
      </c>
      <c r="CB76" s="21">
        <f t="shared" si="58"/>
        <v>67523.225259000013</v>
      </c>
      <c r="CC76" s="20">
        <f t="shared" si="86"/>
        <v>9962.4430710000015</v>
      </c>
      <c r="CD76" s="20">
        <f t="shared" si="87"/>
        <v>12154.180546620002</v>
      </c>
      <c r="CE76" s="20">
        <f t="shared" si="88"/>
        <v>45384.462879000006</v>
      </c>
      <c r="CF76" s="20">
        <f t="shared" si="89"/>
        <v>55369.044712380011</v>
      </c>
      <c r="CG76" s="20">
        <f t="shared" si="115"/>
        <v>67523.225259000013</v>
      </c>
      <c r="CH76" s="4">
        <f t="shared" si="90"/>
        <v>9</v>
      </c>
      <c r="CI76" s="4">
        <f t="shared" si="33"/>
        <v>3</v>
      </c>
      <c r="CN76" s="35" t="e">
        <f>MIN((H76,K76,N76,Q76,T76,W76,Z76,AC76,AF76,AI76,AL76,AO76,AR76,AU76,AX76,BA76,BD76,BG76,BJ76,BM76,BP76,BS76,BV76,#REF!,#REF!))</f>
        <v>#REF!</v>
      </c>
      <c r="CO76" s="35" t="e">
        <f>MAX((H76,K76,N76,Q76,T76,W76,Z76,AC76,AF76,AI76,AL76,AO76,AR76,AU76,AX76,BA76,BD76,BG76,BJ76,BM76,BP76,BS76,BV76,#REF!,#REF!))</f>
        <v>#REF!</v>
      </c>
      <c r="CP76" s="47" t="e">
        <f t="shared" si="34"/>
        <v>#REF!</v>
      </c>
      <c r="CQ76" s="40"/>
      <c r="CS76" s="4">
        <v>0.97</v>
      </c>
      <c r="CT76" s="4" t="b">
        <f t="shared" si="91"/>
        <v>0</v>
      </c>
      <c r="CU76" s="4">
        <v>0.97</v>
      </c>
      <c r="CV76" s="4" t="b">
        <f t="shared" si="116"/>
        <v>1</v>
      </c>
      <c r="CW76" s="19">
        <v>1.94</v>
      </c>
      <c r="CZ76" s="4" t="s">
        <v>148</v>
      </c>
    </row>
    <row r="77" spans="1:104" s="4" customFormat="1" ht="41.25" thickBot="1" x14ac:dyDescent="0.3">
      <c r="A77" s="18">
        <v>61</v>
      </c>
      <c r="B77" s="63" t="s">
        <v>111</v>
      </c>
      <c r="C77" s="48" t="s">
        <v>14</v>
      </c>
      <c r="D77" s="107">
        <f t="shared" si="37"/>
        <v>1.2</v>
      </c>
      <c r="E77" s="107">
        <v>0.21</v>
      </c>
      <c r="F77" s="107">
        <v>0.99</v>
      </c>
      <c r="G77" s="19" t="s">
        <v>142</v>
      </c>
      <c r="H77" s="61">
        <v>111150.26284444447</v>
      </c>
      <c r="I77" s="59">
        <f t="shared" si="38"/>
        <v>135603.32067022225</v>
      </c>
      <c r="J77" s="59">
        <f t="shared" si="39"/>
        <v>162723.98480426669</v>
      </c>
      <c r="K77" s="59"/>
      <c r="L77" s="59">
        <f t="shared" si="60"/>
        <v>0</v>
      </c>
      <c r="M77" s="59">
        <f t="shared" si="95"/>
        <v>0</v>
      </c>
      <c r="N77" s="59"/>
      <c r="O77" s="59">
        <f t="shared" si="61"/>
        <v>0</v>
      </c>
      <c r="P77" s="59">
        <f t="shared" si="96"/>
        <v>0</v>
      </c>
      <c r="Q77" s="59"/>
      <c r="R77" s="59">
        <f t="shared" si="4"/>
        <v>0</v>
      </c>
      <c r="S77" s="59">
        <f t="shared" si="97"/>
        <v>0</v>
      </c>
      <c r="T77" s="59"/>
      <c r="U77" s="59">
        <f t="shared" si="98"/>
        <v>0</v>
      </c>
      <c r="V77" s="59">
        <f t="shared" si="40"/>
        <v>0</v>
      </c>
      <c r="W77" s="59"/>
      <c r="X77" s="59">
        <f t="shared" si="99"/>
        <v>0</v>
      </c>
      <c r="Y77" s="59">
        <f t="shared" si="41"/>
        <v>0</v>
      </c>
      <c r="Z77" s="59"/>
      <c r="AA77" s="59">
        <f t="shared" si="100"/>
        <v>0</v>
      </c>
      <c r="AB77" s="59">
        <f t="shared" si="42"/>
        <v>0</v>
      </c>
      <c r="AC77" s="59"/>
      <c r="AD77" s="59">
        <f t="shared" si="9"/>
        <v>0</v>
      </c>
      <c r="AE77" s="59">
        <f t="shared" si="101"/>
        <v>0</v>
      </c>
      <c r="AF77" s="59"/>
      <c r="AG77" s="59">
        <f t="shared" si="11"/>
        <v>0</v>
      </c>
      <c r="AH77" s="59">
        <f t="shared" si="102"/>
        <v>0</v>
      </c>
      <c r="AI77" s="59"/>
      <c r="AJ77" s="59">
        <f t="shared" si="13"/>
        <v>0</v>
      </c>
      <c r="AK77" s="59">
        <f t="shared" si="103"/>
        <v>0</v>
      </c>
      <c r="AL77" s="59"/>
      <c r="AM77" s="59">
        <f t="shared" si="104"/>
        <v>0</v>
      </c>
      <c r="AN77" s="59">
        <f t="shared" si="43"/>
        <v>0</v>
      </c>
      <c r="AO77" s="59"/>
      <c r="AP77" s="59">
        <f t="shared" si="105"/>
        <v>0</v>
      </c>
      <c r="AQ77" s="59">
        <f t="shared" si="44"/>
        <v>0</v>
      </c>
      <c r="AR77" s="59"/>
      <c r="AS77" s="59">
        <f t="shared" si="17"/>
        <v>0</v>
      </c>
      <c r="AT77" s="59">
        <f t="shared" si="106"/>
        <v>0</v>
      </c>
      <c r="AU77" s="59"/>
      <c r="AV77" s="59">
        <f t="shared" si="107"/>
        <v>0</v>
      </c>
      <c r="AW77" s="59">
        <f t="shared" si="45"/>
        <v>0</v>
      </c>
      <c r="AX77" s="59"/>
      <c r="AY77" s="59">
        <f t="shared" si="108"/>
        <v>0</v>
      </c>
      <c r="AZ77" s="59">
        <f t="shared" si="46"/>
        <v>0</v>
      </c>
      <c r="BA77" s="61">
        <v>105210.93582222224</v>
      </c>
      <c r="BB77" s="59">
        <f t="shared" si="47"/>
        <v>128357.34170311113</v>
      </c>
      <c r="BC77" s="59">
        <f t="shared" si="48"/>
        <v>154028.81004373336</v>
      </c>
      <c r="BD77" s="59"/>
      <c r="BE77" s="59">
        <f t="shared" si="109"/>
        <v>0</v>
      </c>
      <c r="BF77" s="59">
        <f t="shared" si="49"/>
        <v>0</v>
      </c>
      <c r="BG77" s="59"/>
      <c r="BH77" s="59">
        <f t="shared" si="110"/>
        <v>0</v>
      </c>
      <c r="BI77" s="59">
        <f t="shared" si="50"/>
        <v>0</v>
      </c>
      <c r="BJ77" s="59"/>
      <c r="BK77" s="59">
        <f t="shared" si="111"/>
        <v>0</v>
      </c>
      <c r="BL77" s="59">
        <f t="shared" si="51"/>
        <v>0</v>
      </c>
      <c r="BM77" s="59"/>
      <c r="BN77" s="59">
        <f t="shared" si="62"/>
        <v>0</v>
      </c>
      <c r="BO77" s="59">
        <f t="shared" si="112"/>
        <v>0</v>
      </c>
      <c r="BP77" s="59"/>
      <c r="BQ77" s="59">
        <f t="shared" si="59"/>
        <v>0</v>
      </c>
      <c r="BR77" s="59">
        <f t="shared" si="113"/>
        <v>0</v>
      </c>
      <c r="BS77" s="59"/>
      <c r="BT77" s="59">
        <f t="shared" si="25"/>
        <v>0</v>
      </c>
      <c r="BU77" s="59">
        <f t="shared" si="114"/>
        <v>0</v>
      </c>
      <c r="BV77" s="61">
        <v>117089.58986666668</v>
      </c>
      <c r="BW77" s="59">
        <f t="shared" si="53"/>
        <v>142849.29963733334</v>
      </c>
      <c r="BX77" s="59">
        <f t="shared" si="54"/>
        <v>171419.15956480001</v>
      </c>
      <c r="BY77" s="20">
        <f t="shared" si="55"/>
        <v>111150.26284444444</v>
      </c>
      <c r="BZ77" s="20">
        <f t="shared" si="56"/>
        <v>135603.32067022222</v>
      </c>
      <c r="CA77" s="21">
        <f t="shared" si="57"/>
        <v>133380.31541333333</v>
      </c>
      <c r="CB77" s="21">
        <f t="shared" si="58"/>
        <v>162723.98480426666</v>
      </c>
      <c r="CC77" s="20">
        <f t="shared" si="86"/>
        <v>23341.555197333331</v>
      </c>
      <c r="CD77" s="20">
        <f t="shared" si="87"/>
        <v>28476.697340746665</v>
      </c>
      <c r="CE77" s="20">
        <f t="shared" si="88"/>
        <v>110038.760216</v>
      </c>
      <c r="CF77" s="20">
        <f t="shared" si="89"/>
        <v>134247.28746352001</v>
      </c>
      <c r="CG77" s="20">
        <f t="shared" si="115"/>
        <v>162723.98480426669</v>
      </c>
      <c r="CH77" s="4">
        <f t="shared" si="90"/>
        <v>9</v>
      </c>
      <c r="CI77" s="4">
        <f t="shared" si="33"/>
        <v>3</v>
      </c>
      <c r="CN77" s="35" t="e">
        <f>MIN((H77,K77,N77,Q77,T77,W77,Z77,AC77,AF77,AI77,AL77,AO77,AR77,AU77,AX77,BA77,BD77,BG77,BJ77,BM77,BP77,BS77,BV77,#REF!,#REF!))</f>
        <v>#REF!</v>
      </c>
      <c r="CO77" s="35" t="e">
        <f>MAX((H77,K77,N77,Q77,T77,W77,Z77,AC77,AF77,AI77,AL77,AO77,AR77,AU77,AX77,BA77,BD77,BG77,BJ77,BM77,BP77,BS77,BV77,#REF!,#REF!))</f>
        <v>#REF!</v>
      </c>
      <c r="CP77" s="47" t="e">
        <f t="shared" si="34"/>
        <v>#REF!</v>
      </c>
      <c r="CQ77" s="40" t="e">
        <f>CN77*1.3</f>
        <v>#REF!</v>
      </c>
      <c r="CS77" s="4">
        <v>10</v>
      </c>
      <c r="CT77" s="4" t="b">
        <f t="shared" si="91"/>
        <v>0</v>
      </c>
      <c r="CU77" s="4">
        <v>0</v>
      </c>
      <c r="CV77" s="4" t="b">
        <f t="shared" si="116"/>
        <v>1</v>
      </c>
      <c r="CW77" s="19">
        <v>10</v>
      </c>
      <c r="CZ77" s="4" t="s">
        <v>148</v>
      </c>
    </row>
    <row r="78" spans="1:104" s="4" customFormat="1" ht="41.25" thickBot="1" x14ac:dyDescent="0.3">
      <c r="A78" s="18">
        <v>62</v>
      </c>
      <c r="B78" s="62" t="s">
        <v>112</v>
      </c>
      <c r="C78" s="48" t="s">
        <v>14</v>
      </c>
      <c r="D78" s="107">
        <f t="shared" si="37"/>
        <v>0.8</v>
      </c>
      <c r="E78" s="107">
        <v>0.15</v>
      </c>
      <c r="F78" s="107">
        <v>0.65</v>
      </c>
      <c r="G78" s="60" t="s">
        <v>142</v>
      </c>
      <c r="H78" s="61">
        <v>120198.00000000001</v>
      </c>
      <c r="I78" s="59">
        <f t="shared" si="38"/>
        <v>146641.56000000003</v>
      </c>
      <c r="J78" s="59">
        <f t="shared" si="39"/>
        <v>117313.24800000002</v>
      </c>
      <c r="K78" s="59"/>
      <c r="L78" s="59">
        <f t="shared" si="60"/>
        <v>0</v>
      </c>
      <c r="M78" s="59">
        <f t="shared" si="95"/>
        <v>0</v>
      </c>
      <c r="N78" s="59"/>
      <c r="O78" s="59">
        <f t="shared" si="61"/>
        <v>0</v>
      </c>
      <c r="P78" s="59">
        <f t="shared" si="96"/>
        <v>0</v>
      </c>
      <c r="Q78" s="59"/>
      <c r="R78" s="59">
        <f t="shared" si="4"/>
        <v>0</v>
      </c>
      <c r="S78" s="59">
        <f t="shared" si="97"/>
        <v>0</v>
      </c>
      <c r="T78" s="59"/>
      <c r="U78" s="59">
        <f t="shared" si="98"/>
        <v>0</v>
      </c>
      <c r="V78" s="59">
        <f t="shared" si="40"/>
        <v>0</v>
      </c>
      <c r="W78" s="59"/>
      <c r="X78" s="59">
        <f t="shared" si="99"/>
        <v>0</v>
      </c>
      <c r="Y78" s="59">
        <f t="shared" si="41"/>
        <v>0</v>
      </c>
      <c r="Z78" s="59"/>
      <c r="AA78" s="59">
        <f t="shared" si="100"/>
        <v>0</v>
      </c>
      <c r="AB78" s="59">
        <f t="shared" si="42"/>
        <v>0</v>
      </c>
      <c r="AC78" s="59"/>
      <c r="AD78" s="59">
        <f t="shared" si="9"/>
        <v>0</v>
      </c>
      <c r="AE78" s="59">
        <f t="shared" si="101"/>
        <v>0</v>
      </c>
      <c r="AF78" s="59"/>
      <c r="AG78" s="59">
        <f t="shared" si="11"/>
        <v>0</v>
      </c>
      <c r="AH78" s="59">
        <f t="shared" si="102"/>
        <v>0</v>
      </c>
      <c r="AI78" s="59"/>
      <c r="AJ78" s="59">
        <f t="shared" si="13"/>
        <v>0</v>
      </c>
      <c r="AK78" s="59">
        <f t="shared" si="103"/>
        <v>0</v>
      </c>
      <c r="AL78" s="59"/>
      <c r="AM78" s="59">
        <f t="shared" si="104"/>
        <v>0</v>
      </c>
      <c r="AN78" s="59">
        <f t="shared" si="43"/>
        <v>0</v>
      </c>
      <c r="AO78" s="59"/>
      <c r="AP78" s="59">
        <f t="shared" si="105"/>
        <v>0</v>
      </c>
      <c r="AQ78" s="59">
        <f t="shared" si="44"/>
        <v>0</v>
      </c>
      <c r="AR78" s="59"/>
      <c r="AS78" s="59">
        <f t="shared" si="17"/>
        <v>0</v>
      </c>
      <c r="AT78" s="59">
        <f t="shared" si="106"/>
        <v>0</v>
      </c>
      <c r="AU78" s="59"/>
      <c r="AV78" s="59">
        <f t="shared" si="107"/>
        <v>0</v>
      </c>
      <c r="AW78" s="59">
        <f t="shared" si="45"/>
        <v>0</v>
      </c>
      <c r="AX78" s="59"/>
      <c r="AY78" s="59">
        <f t="shared" si="108"/>
        <v>0</v>
      </c>
      <c r="AZ78" s="59">
        <f t="shared" si="46"/>
        <v>0</v>
      </c>
      <c r="BA78" s="61">
        <v>110617.00000000001</v>
      </c>
      <c r="BB78" s="59">
        <f t="shared" si="47"/>
        <v>134952.74000000002</v>
      </c>
      <c r="BC78" s="59">
        <f t="shared" si="48"/>
        <v>107962.19200000002</v>
      </c>
      <c r="BD78" s="59"/>
      <c r="BE78" s="59">
        <f t="shared" si="109"/>
        <v>0</v>
      </c>
      <c r="BF78" s="59">
        <f t="shared" si="49"/>
        <v>0</v>
      </c>
      <c r="BG78" s="59"/>
      <c r="BH78" s="59">
        <f t="shared" si="110"/>
        <v>0</v>
      </c>
      <c r="BI78" s="59">
        <f t="shared" si="50"/>
        <v>0</v>
      </c>
      <c r="BJ78" s="59"/>
      <c r="BK78" s="59">
        <f t="shared" si="111"/>
        <v>0</v>
      </c>
      <c r="BL78" s="59">
        <f t="shared" si="51"/>
        <v>0</v>
      </c>
      <c r="BM78" s="59"/>
      <c r="BN78" s="59">
        <f t="shared" si="62"/>
        <v>0</v>
      </c>
      <c r="BO78" s="59">
        <f t="shared" si="112"/>
        <v>0</v>
      </c>
      <c r="BP78" s="59"/>
      <c r="BQ78" s="59">
        <f t="shared" si="59"/>
        <v>0</v>
      </c>
      <c r="BR78" s="59">
        <f t="shared" si="113"/>
        <v>0</v>
      </c>
      <c r="BS78" s="59"/>
      <c r="BT78" s="59">
        <f t="shared" si="25"/>
        <v>0</v>
      </c>
      <c r="BU78" s="59">
        <f t="shared" si="114"/>
        <v>0</v>
      </c>
      <c r="BV78" s="61">
        <v>115843.00000000003</v>
      </c>
      <c r="BW78" s="59">
        <f t="shared" si="53"/>
        <v>141328.46000000002</v>
      </c>
      <c r="BX78" s="59">
        <f t="shared" si="54"/>
        <v>113062.76800000003</v>
      </c>
      <c r="BY78" s="20">
        <f t="shared" si="55"/>
        <v>115552.66666666669</v>
      </c>
      <c r="BZ78" s="20">
        <f t="shared" si="56"/>
        <v>140974.25333333336</v>
      </c>
      <c r="CA78" s="21">
        <f t="shared" si="57"/>
        <v>92442.13333333336</v>
      </c>
      <c r="CB78" s="21">
        <f t="shared" si="58"/>
        <v>112779.40266666669</v>
      </c>
      <c r="CC78" s="20">
        <f t="shared" si="86"/>
        <v>17332.900000000001</v>
      </c>
      <c r="CD78" s="20">
        <f t="shared" si="87"/>
        <v>21146.138000000003</v>
      </c>
      <c r="CE78" s="20">
        <f t="shared" si="88"/>
        <v>75109.233333333352</v>
      </c>
      <c r="CF78" s="20">
        <f t="shared" si="89"/>
        <v>91633.264666666684</v>
      </c>
      <c r="CG78" s="20">
        <f t="shared" si="115"/>
        <v>112779.40266666669</v>
      </c>
      <c r="CH78" s="4">
        <f t="shared" si="90"/>
        <v>9</v>
      </c>
      <c r="CI78" s="4">
        <f t="shared" si="33"/>
        <v>3</v>
      </c>
      <c r="CN78" s="35" t="e">
        <f>MIN((H78,K78,N78,Q78,T78,W78,Z78,AC78,AF78,AI78,AL78,AO78,AR78,AU78,AX78,BA78,BD78,BG78,BJ78,BM78,BP78,BS78,BV78,#REF!,#REF!))</f>
        <v>#REF!</v>
      </c>
      <c r="CO78" s="35" t="e">
        <f>MAX((H78,K78,N78,Q78,T78,W78,Z78,AC78,AF78,AI78,AL78,AO78,AR78,AU78,AX78,BA78,BD78,BG78,BJ78,BM78,BP78,BS78,BV78,#REF!,#REF!))</f>
        <v>#REF!</v>
      </c>
      <c r="CP78" s="47" t="e">
        <f t="shared" si="34"/>
        <v>#REF!</v>
      </c>
      <c r="CQ78" s="40"/>
      <c r="CS78" s="4">
        <v>2.5000000000000001E-2</v>
      </c>
      <c r="CT78" s="4" t="b">
        <f t="shared" si="91"/>
        <v>0</v>
      </c>
      <c r="CU78" s="4">
        <v>0</v>
      </c>
      <c r="CV78" s="4" t="b">
        <f t="shared" si="116"/>
        <v>1</v>
      </c>
      <c r="CW78" s="19">
        <v>2.5000000000000001E-2</v>
      </c>
      <c r="CZ78" s="4" t="s">
        <v>148</v>
      </c>
    </row>
    <row r="79" spans="1:104" s="4" customFormat="1" ht="61.5" thickBot="1" x14ac:dyDescent="0.3">
      <c r="A79" s="18">
        <v>63</v>
      </c>
      <c r="B79" s="62" t="s">
        <v>113</v>
      </c>
      <c r="C79" s="48" t="s">
        <v>14</v>
      </c>
      <c r="D79" s="107">
        <f t="shared" si="37"/>
        <v>0.8</v>
      </c>
      <c r="E79" s="107">
        <v>0.15</v>
      </c>
      <c r="F79" s="107">
        <v>0.65</v>
      </c>
      <c r="G79" s="60" t="s">
        <v>142</v>
      </c>
      <c r="H79" s="61">
        <v>108802.57875000002</v>
      </c>
      <c r="I79" s="59">
        <f t="shared" si="38"/>
        <v>132739.14607500003</v>
      </c>
      <c r="J79" s="59">
        <f t="shared" si="39"/>
        <v>106191.31686000002</v>
      </c>
      <c r="K79" s="59"/>
      <c r="L79" s="59">
        <f t="shared" si="60"/>
        <v>0</v>
      </c>
      <c r="M79" s="59">
        <f t="shared" si="95"/>
        <v>0</v>
      </c>
      <c r="N79" s="59"/>
      <c r="O79" s="59">
        <f t="shared" si="61"/>
        <v>0</v>
      </c>
      <c r="P79" s="59">
        <f t="shared" si="96"/>
        <v>0</v>
      </c>
      <c r="Q79" s="59"/>
      <c r="R79" s="59">
        <f t="shared" si="4"/>
        <v>0</v>
      </c>
      <c r="S79" s="59">
        <f t="shared" si="97"/>
        <v>0</v>
      </c>
      <c r="T79" s="59"/>
      <c r="U79" s="59">
        <f t="shared" si="98"/>
        <v>0</v>
      </c>
      <c r="V79" s="59">
        <f t="shared" si="40"/>
        <v>0</v>
      </c>
      <c r="W79" s="59"/>
      <c r="X79" s="59">
        <f t="shared" si="99"/>
        <v>0</v>
      </c>
      <c r="Y79" s="59">
        <f t="shared" si="41"/>
        <v>0</v>
      </c>
      <c r="Z79" s="59"/>
      <c r="AA79" s="59">
        <f t="shared" si="100"/>
        <v>0</v>
      </c>
      <c r="AB79" s="59">
        <f t="shared" si="42"/>
        <v>0</v>
      </c>
      <c r="AC79" s="59"/>
      <c r="AD79" s="59">
        <f t="shared" si="9"/>
        <v>0</v>
      </c>
      <c r="AE79" s="59">
        <f t="shared" si="101"/>
        <v>0</v>
      </c>
      <c r="AF79" s="59"/>
      <c r="AG79" s="59">
        <f t="shared" si="11"/>
        <v>0</v>
      </c>
      <c r="AH79" s="59">
        <f t="shared" si="102"/>
        <v>0</v>
      </c>
      <c r="AI79" s="59"/>
      <c r="AJ79" s="59">
        <f t="shared" si="13"/>
        <v>0</v>
      </c>
      <c r="AK79" s="59">
        <f t="shared" si="103"/>
        <v>0</v>
      </c>
      <c r="AL79" s="59"/>
      <c r="AM79" s="59">
        <f t="shared" si="104"/>
        <v>0</v>
      </c>
      <c r="AN79" s="59">
        <f t="shared" si="43"/>
        <v>0</v>
      </c>
      <c r="AO79" s="59"/>
      <c r="AP79" s="59">
        <f t="shared" si="105"/>
        <v>0</v>
      </c>
      <c r="AQ79" s="59">
        <f t="shared" si="44"/>
        <v>0</v>
      </c>
      <c r="AR79" s="59"/>
      <c r="AS79" s="59">
        <f t="shared" si="17"/>
        <v>0</v>
      </c>
      <c r="AT79" s="59">
        <f t="shared" si="106"/>
        <v>0</v>
      </c>
      <c r="AU79" s="59"/>
      <c r="AV79" s="59">
        <f t="shared" si="107"/>
        <v>0</v>
      </c>
      <c r="AW79" s="59">
        <f t="shared" si="45"/>
        <v>0</v>
      </c>
      <c r="AX79" s="59"/>
      <c r="AY79" s="59">
        <f t="shared" si="108"/>
        <v>0</v>
      </c>
      <c r="AZ79" s="59">
        <f t="shared" si="46"/>
        <v>0</v>
      </c>
      <c r="BA79" s="61">
        <v>110414.46880555557</v>
      </c>
      <c r="BB79" s="59">
        <f t="shared" si="47"/>
        <v>134705.6519427778</v>
      </c>
      <c r="BC79" s="59">
        <f t="shared" si="48"/>
        <v>107764.52155422224</v>
      </c>
      <c r="BD79" s="59"/>
      <c r="BE79" s="59">
        <f t="shared" si="109"/>
        <v>0</v>
      </c>
      <c r="BF79" s="59">
        <f t="shared" si="49"/>
        <v>0</v>
      </c>
      <c r="BG79" s="59"/>
      <c r="BH79" s="59">
        <f t="shared" si="110"/>
        <v>0</v>
      </c>
      <c r="BI79" s="59">
        <f t="shared" si="50"/>
        <v>0</v>
      </c>
      <c r="BJ79" s="59"/>
      <c r="BK79" s="59">
        <f t="shared" si="111"/>
        <v>0</v>
      </c>
      <c r="BL79" s="59">
        <f t="shared" si="51"/>
        <v>0</v>
      </c>
      <c r="BM79" s="59"/>
      <c r="BN79" s="59">
        <f t="shared" si="62"/>
        <v>0</v>
      </c>
      <c r="BO79" s="59">
        <f t="shared" si="112"/>
        <v>0</v>
      </c>
      <c r="BP79" s="59"/>
      <c r="BQ79" s="59">
        <f t="shared" si="59"/>
        <v>0</v>
      </c>
      <c r="BR79" s="59">
        <f t="shared" si="113"/>
        <v>0</v>
      </c>
      <c r="BS79" s="59"/>
      <c r="BT79" s="59">
        <f t="shared" si="25"/>
        <v>0</v>
      </c>
      <c r="BU79" s="59">
        <f t="shared" si="114"/>
        <v>0</v>
      </c>
      <c r="BV79" s="61">
        <v>104772.85361111113</v>
      </c>
      <c r="BW79" s="59">
        <f t="shared" si="53"/>
        <v>127822.88140555558</v>
      </c>
      <c r="BX79" s="59">
        <f t="shared" si="54"/>
        <v>102258.30512444448</v>
      </c>
      <c r="BY79" s="20">
        <f t="shared" si="55"/>
        <v>107996.63372222224</v>
      </c>
      <c r="BZ79" s="20">
        <f t="shared" si="56"/>
        <v>131755.89314111113</v>
      </c>
      <c r="CA79" s="21">
        <f t="shared" si="57"/>
        <v>86397.3069777778</v>
      </c>
      <c r="CB79" s="21">
        <f t="shared" si="58"/>
        <v>105404.71451288891</v>
      </c>
      <c r="CC79" s="20">
        <f t="shared" si="86"/>
        <v>16199.495058333334</v>
      </c>
      <c r="CD79" s="20">
        <f t="shared" si="87"/>
        <v>19763.38397116667</v>
      </c>
      <c r="CE79" s="20">
        <f t="shared" si="88"/>
        <v>70197.811919444459</v>
      </c>
      <c r="CF79" s="20">
        <f t="shared" si="89"/>
        <v>85641.330541722229</v>
      </c>
      <c r="CG79" s="20">
        <f t="shared" si="115"/>
        <v>105404.7145128889</v>
      </c>
      <c r="CH79" s="4">
        <f t="shared" si="90"/>
        <v>9</v>
      </c>
      <c r="CI79" s="4">
        <f t="shared" si="33"/>
        <v>3</v>
      </c>
      <c r="CN79" s="35" t="e">
        <f>MIN((H79,K79,N79,Q79,T79,W79,Z79,AC79,AF79,AI79,AL79,AO79,AR79,AU79,AX79,BA79,BD79,BG79,BJ79,BM79,BP79,BS79,BV79,#REF!,#REF!))</f>
        <v>#REF!</v>
      </c>
      <c r="CO79" s="35" t="e">
        <f>MAX((H79,K79,N79,Q79,T79,W79,Z79,AC79,AF79,AI79,AL79,AO79,AR79,AU79,AX79,BA79,BD79,BG79,BJ79,BM79,BP79,BS79,BV79,#REF!,#REF!))</f>
        <v>#REF!</v>
      </c>
      <c r="CP79" s="47" t="e">
        <f t="shared" si="34"/>
        <v>#REF!</v>
      </c>
      <c r="CQ79" s="40"/>
      <c r="CS79" s="4">
        <v>0.17499999999999999</v>
      </c>
      <c r="CT79" s="4" t="b">
        <f t="shared" si="91"/>
        <v>0</v>
      </c>
      <c r="CU79" s="4">
        <v>2.5000000000000001E-2</v>
      </c>
      <c r="CV79" s="4" t="b">
        <f t="shared" si="116"/>
        <v>1</v>
      </c>
      <c r="CW79" s="19">
        <v>0.2</v>
      </c>
      <c r="CZ79" s="4" t="s">
        <v>148</v>
      </c>
    </row>
    <row r="80" spans="1:104" s="4" customFormat="1" ht="41.25" thickBot="1" x14ac:dyDescent="0.3">
      <c r="A80" s="18">
        <v>64</v>
      </c>
      <c r="B80" s="62" t="s">
        <v>114</v>
      </c>
      <c r="C80" s="48" t="s">
        <v>14</v>
      </c>
      <c r="D80" s="107">
        <f t="shared" si="37"/>
        <v>0.08</v>
      </c>
      <c r="E80" s="107">
        <v>1.4999999999999999E-2</v>
      </c>
      <c r="F80" s="107">
        <v>6.5000000000000002E-2</v>
      </c>
      <c r="G80" s="60" t="s">
        <v>142</v>
      </c>
      <c r="H80" s="61">
        <v>156881.23500000002</v>
      </c>
      <c r="I80" s="59">
        <f t="shared" si="38"/>
        <v>191395.1067</v>
      </c>
      <c r="J80" s="59">
        <f t="shared" si="39"/>
        <v>15311.608536</v>
      </c>
      <c r="K80" s="59"/>
      <c r="L80" s="59">
        <f t="shared" ref="L80:L108" si="117">ROUND(K80*1.2,2)</f>
        <v>0</v>
      </c>
      <c r="M80" s="59">
        <f t="shared" ref="M80:M108" si="118">L80*E80</f>
        <v>0</v>
      </c>
      <c r="N80" s="59"/>
      <c r="O80" s="59">
        <f t="shared" si="61"/>
        <v>0</v>
      </c>
      <c r="P80" s="59">
        <f t="shared" ref="P80:P108" si="119">O80*E80</f>
        <v>0</v>
      </c>
      <c r="Q80" s="59"/>
      <c r="R80" s="59">
        <f t="shared" ref="R80:R108" si="120">ROUND(Q80*1.2,2)</f>
        <v>0</v>
      </c>
      <c r="S80" s="59">
        <f t="shared" ref="S80:S108" si="121">R80*E80</f>
        <v>0</v>
      </c>
      <c r="T80" s="59"/>
      <c r="U80" s="59">
        <f t="shared" ref="U80:U108" si="122">T80*1.2</f>
        <v>0</v>
      </c>
      <c r="V80" s="59">
        <f t="shared" si="40"/>
        <v>0</v>
      </c>
      <c r="W80" s="59"/>
      <c r="X80" s="59">
        <f t="shared" ref="X80:X108" si="123">W80*1.2</f>
        <v>0</v>
      </c>
      <c r="Y80" s="59">
        <f t="shared" si="41"/>
        <v>0</v>
      </c>
      <c r="Z80" s="59"/>
      <c r="AA80" s="59">
        <f t="shared" ref="AA80:AA108" si="124">Z80*1.2</f>
        <v>0</v>
      </c>
      <c r="AB80" s="59">
        <f t="shared" si="42"/>
        <v>0</v>
      </c>
      <c r="AC80" s="59"/>
      <c r="AD80" s="59">
        <f t="shared" ref="AD80:AD108" si="125">ROUND(AC80*1.2,2)</f>
        <v>0</v>
      </c>
      <c r="AE80" s="59">
        <f t="shared" ref="AE80:AE108" si="126">AD80*E80</f>
        <v>0</v>
      </c>
      <c r="AF80" s="59"/>
      <c r="AG80" s="59">
        <f t="shared" ref="AG80:AG108" si="127">ROUND(AF80*1.2,2)</f>
        <v>0</v>
      </c>
      <c r="AH80" s="59">
        <f t="shared" ref="AH80:AH108" si="128">AG80*E80</f>
        <v>0</v>
      </c>
      <c r="AI80" s="59"/>
      <c r="AJ80" s="59">
        <f t="shared" ref="AJ80:AJ108" si="129">ROUND(AI80*1.2,2)</f>
        <v>0</v>
      </c>
      <c r="AK80" s="59">
        <f t="shared" ref="AK80:AK108" si="130">AJ80*E80</f>
        <v>0</v>
      </c>
      <c r="AL80" s="59"/>
      <c r="AM80" s="59">
        <f t="shared" ref="AM80:AM108" si="131">AL80*1.2</f>
        <v>0</v>
      </c>
      <c r="AN80" s="59">
        <f t="shared" si="43"/>
        <v>0</v>
      </c>
      <c r="AO80" s="59"/>
      <c r="AP80" s="59">
        <f t="shared" ref="AP80:AP108" si="132">AO80*1.2</f>
        <v>0</v>
      </c>
      <c r="AQ80" s="59">
        <f t="shared" si="44"/>
        <v>0</v>
      </c>
      <c r="AR80" s="59"/>
      <c r="AS80" s="59">
        <f t="shared" ref="AS80:AS108" si="133">ROUND(AR80*1.2,2)</f>
        <v>0</v>
      </c>
      <c r="AT80" s="59">
        <f t="shared" ref="AT80:AT108" si="134">AS80*E80</f>
        <v>0</v>
      </c>
      <c r="AU80" s="59"/>
      <c r="AV80" s="59">
        <f t="shared" ref="AV80:AV108" si="135">AU80*1.2</f>
        <v>0</v>
      </c>
      <c r="AW80" s="59">
        <f t="shared" si="45"/>
        <v>0</v>
      </c>
      <c r="AX80" s="59"/>
      <c r="AY80" s="59">
        <f t="shared" ref="AY80:AY108" si="136">AX80*1.2</f>
        <v>0</v>
      </c>
      <c r="AZ80" s="59">
        <f t="shared" si="46"/>
        <v>0</v>
      </c>
      <c r="BA80" s="61">
        <v>171822.30499999999</v>
      </c>
      <c r="BB80" s="59">
        <f t="shared" si="47"/>
        <v>209623.21209999998</v>
      </c>
      <c r="BC80" s="59">
        <f t="shared" si="48"/>
        <v>16769.856968</v>
      </c>
      <c r="BD80" s="59"/>
      <c r="BE80" s="59">
        <f t="shared" ref="BE80:BE108" si="137">BD80*1.2</f>
        <v>0</v>
      </c>
      <c r="BF80" s="59">
        <f t="shared" si="49"/>
        <v>0</v>
      </c>
      <c r="BG80" s="59"/>
      <c r="BH80" s="59">
        <f t="shared" ref="BH80:BH108" si="138">BG80*1.2</f>
        <v>0</v>
      </c>
      <c r="BI80" s="59">
        <f t="shared" si="50"/>
        <v>0</v>
      </c>
      <c r="BJ80" s="59"/>
      <c r="BK80" s="59">
        <f t="shared" ref="BK80:BK108" si="139">BJ80*1.2</f>
        <v>0</v>
      </c>
      <c r="BL80" s="59">
        <f t="shared" si="51"/>
        <v>0</v>
      </c>
      <c r="BM80" s="59"/>
      <c r="BN80" s="59">
        <f t="shared" ref="BN80:BN106" si="140">ROUND(BM80*1.2,2)</f>
        <v>0</v>
      </c>
      <c r="BO80" s="59">
        <f t="shared" ref="BO80:BO108" si="141">BN80*E80</f>
        <v>0</v>
      </c>
      <c r="BP80" s="59"/>
      <c r="BQ80" s="59">
        <f t="shared" ref="BQ80:BQ108" si="142">ROUND(BP80*1.2,2)</f>
        <v>0</v>
      </c>
      <c r="BR80" s="59">
        <f t="shared" ref="BR80:BR108" si="143">BQ80*E80</f>
        <v>0</v>
      </c>
      <c r="BS80" s="59"/>
      <c r="BT80" s="59">
        <f t="shared" ref="BT80:BT108" si="144">ROUND(BS80*1.2,2)</f>
        <v>0</v>
      </c>
      <c r="BU80" s="59">
        <f t="shared" ref="BU80:BU108" si="145">BT80*E80</f>
        <v>0</v>
      </c>
      <c r="BV80" s="61">
        <v>170577.21583333335</v>
      </c>
      <c r="BW80" s="59">
        <f t="shared" si="53"/>
        <v>208104.20331666668</v>
      </c>
      <c r="BX80" s="59">
        <f t="shared" si="54"/>
        <v>16648.336265333335</v>
      </c>
      <c r="BY80" s="20">
        <f t="shared" si="55"/>
        <v>166426.91861111112</v>
      </c>
      <c r="BZ80" s="20">
        <f t="shared" si="56"/>
        <v>203040.84070555557</v>
      </c>
      <c r="CA80" s="21">
        <f t="shared" si="57"/>
        <v>13314.153488888889</v>
      </c>
      <c r="CB80" s="21">
        <f t="shared" si="58"/>
        <v>16243.267256444444</v>
      </c>
      <c r="CC80" s="20">
        <f t="shared" si="86"/>
        <v>2496.4037791666665</v>
      </c>
      <c r="CD80" s="20">
        <f t="shared" si="87"/>
        <v>3045.6126105833337</v>
      </c>
      <c r="CE80" s="20">
        <f t="shared" si="88"/>
        <v>10817.749709722224</v>
      </c>
      <c r="CF80" s="20">
        <f t="shared" si="89"/>
        <v>13197.654645861112</v>
      </c>
      <c r="CG80" s="20">
        <f t="shared" ref="CG80:CG108" si="146">CD80+CF80</f>
        <v>16243.267256444446</v>
      </c>
      <c r="CH80" s="4">
        <f t="shared" si="90"/>
        <v>9</v>
      </c>
      <c r="CI80" s="4">
        <f t="shared" ref="CI80:CI108" si="147">CH80/3</f>
        <v>3</v>
      </c>
      <c r="CN80" s="35" t="e">
        <f>MIN((H80,K80,N80,Q80,T80,W80,Z80,AC80,AF80,AI80,AL80,AO80,AR80,AU80,AX80,BA80,BD80,BG80,BJ80,BM80,BP80,BS80,BV80,#REF!,#REF!))</f>
        <v>#REF!</v>
      </c>
      <c r="CO80" s="35" t="e">
        <f>MAX((H80,K80,N80,Q80,T80,W80,Z80,AC80,AF80,AI80,AL80,AO80,AR80,AU80,AX80,BA80,BD80,BG80,BJ80,BM80,BP80,BS80,BV80,#REF!,#REF!))</f>
        <v>#REF!</v>
      </c>
      <c r="CP80" s="47" t="e">
        <f t="shared" si="34"/>
        <v>#REF!</v>
      </c>
      <c r="CQ80" s="40"/>
      <c r="CS80" s="4">
        <v>1.2</v>
      </c>
      <c r="CT80" s="4" t="b">
        <f t="shared" si="91"/>
        <v>0</v>
      </c>
      <c r="CU80" s="4">
        <v>1</v>
      </c>
      <c r="CV80" s="4" t="b">
        <f t="shared" ref="CV80:CV108" si="148">(CS80+CU80)=CW80</f>
        <v>1</v>
      </c>
      <c r="CW80" s="19">
        <v>2.2000000000000002</v>
      </c>
      <c r="CZ80" s="4" t="s">
        <v>148</v>
      </c>
    </row>
    <row r="81" spans="1:104" s="4" customFormat="1" ht="41.25" thickBot="1" x14ac:dyDescent="0.3">
      <c r="A81" s="18">
        <v>65</v>
      </c>
      <c r="B81" s="62" t="s">
        <v>115</v>
      </c>
      <c r="C81" s="48" t="s">
        <v>14</v>
      </c>
      <c r="D81" s="107">
        <f t="shared" si="37"/>
        <v>0.1</v>
      </c>
      <c r="E81" s="107">
        <v>1.4999999999999999E-2</v>
      </c>
      <c r="F81" s="107">
        <v>8.5000000000000006E-2</v>
      </c>
      <c r="G81" s="60" t="s">
        <v>142</v>
      </c>
      <c r="H81" s="61">
        <v>108136.00000000001</v>
      </c>
      <c r="I81" s="59">
        <f t="shared" si="38"/>
        <v>131925.92000000001</v>
      </c>
      <c r="J81" s="59">
        <f t="shared" si="39"/>
        <v>13192.592000000002</v>
      </c>
      <c r="K81" s="59"/>
      <c r="L81" s="59">
        <f t="shared" si="117"/>
        <v>0</v>
      </c>
      <c r="M81" s="59">
        <f t="shared" si="118"/>
        <v>0</v>
      </c>
      <c r="N81" s="59"/>
      <c r="O81" s="59">
        <f t="shared" si="61"/>
        <v>0</v>
      </c>
      <c r="P81" s="59">
        <f t="shared" si="119"/>
        <v>0</v>
      </c>
      <c r="Q81" s="59"/>
      <c r="R81" s="59">
        <f t="shared" si="120"/>
        <v>0</v>
      </c>
      <c r="S81" s="59">
        <f t="shared" si="121"/>
        <v>0</v>
      </c>
      <c r="T81" s="59"/>
      <c r="U81" s="59">
        <f t="shared" si="122"/>
        <v>0</v>
      </c>
      <c r="V81" s="59">
        <f t="shared" si="40"/>
        <v>0</v>
      </c>
      <c r="W81" s="59"/>
      <c r="X81" s="59">
        <f t="shared" si="123"/>
        <v>0</v>
      </c>
      <c r="Y81" s="59">
        <f t="shared" si="41"/>
        <v>0</v>
      </c>
      <c r="Z81" s="59"/>
      <c r="AA81" s="59">
        <f t="shared" si="124"/>
        <v>0</v>
      </c>
      <c r="AB81" s="59">
        <f t="shared" si="42"/>
        <v>0</v>
      </c>
      <c r="AC81" s="59"/>
      <c r="AD81" s="59">
        <f t="shared" si="125"/>
        <v>0</v>
      </c>
      <c r="AE81" s="59">
        <f t="shared" si="126"/>
        <v>0</v>
      </c>
      <c r="AF81" s="59"/>
      <c r="AG81" s="59">
        <f t="shared" si="127"/>
        <v>0</v>
      </c>
      <c r="AH81" s="59">
        <f t="shared" si="128"/>
        <v>0</v>
      </c>
      <c r="AI81" s="59"/>
      <c r="AJ81" s="59">
        <f t="shared" si="129"/>
        <v>0</v>
      </c>
      <c r="AK81" s="59">
        <f t="shared" si="130"/>
        <v>0</v>
      </c>
      <c r="AL81" s="59"/>
      <c r="AM81" s="59">
        <f t="shared" si="131"/>
        <v>0</v>
      </c>
      <c r="AN81" s="59">
        <f t="shared" si="43"/>
        <v>0</v>
      </c>
      <c r="AO81" s="59"/>
      <c r="AP81" s="59">
        <f t="shared" si="132"/>
        <v>0</v>
      </c>
      <c r="AQ81" s="59">
        <f t="shared" si="44"/>
        <v>0</v>
      </c>
      <c r="AR81" s="59"/>
      <c r="AS81" s="59">
        <f t="shared" si="133"/>
        <v>0</v>
      </c>
      <c r="AT81" s="59">
        <f t="shared" si="134"/>
        <v>0</v>
      </c>
      <c r="AU81" s="59"/>
      <c r="AV81" s="59">
        <f t="shared" si="135"/>
        <v>0</v>
      </c>
      <c r="AW81" s="59">
        <f t="shared" si="45"/>
        <v>0</v>
      </c>
      <c r="AX81" s="59"/>
      <c r="AY81" s="59">
        <f t="shared" si="136"/>
        <v>0</v>
      </c>
      <c r="AZ81" s="59">
        <f t="shared" si="46"/>
        <v>0</v>
      </c>
      <c r="BA81" s="61">
        <v>114143.55555555558</v>
      </c>
      <c r="BB81" s="59">
        <f t="shared" si="47"/>
        <v>139255.1377777778</v>
      </c>
      <c r="BC81" s="59">
        <f t="shared" si="48"/>
        <v>13925.51377777778</v>
      </c>
      <c r="BD81" s="59"/>
      <c r="BE81" s="59">
        <f t="shared" si="137"/>
        <v>0</v>
      </c>
      <c r="BF81" s="59">
        <f t="shared" si="49"/>
        <v>0</v>
      </c>
      <c r="BG81" s="59"/>
      <c r="BH81" s="59">
        <f t="shared" si="138"/>
        <v>0</v>
      </c>
      <c r="BI81" s="59">
        <f t="shared" si="50"/>
        <v>0</v>
      </c>
      <c r="BJ81" s="59"/>
      <c r="BK81" s="59">
        <f t="shared" si="139"/>
        <v>0</v>
      </c>
      <c r="BL81" s="59">
        <f t="shared" si="51"/>
        <v>0</v>
      </c>
      <c r="BM81" s="59"/>
      <c r="BN81" s="59">
        <f t="shared" si="140"/>
        <v>0</v>
      </c>
      <c r="BO81" s="59">
        <f t="shared" si="141"/>
        <v>0</v>
      </c>
      <c r="BP81" s="59"/>
      <c r="BQ81" s="59">
        <f t="shared" si="142"/>
        <v>0</v>
      </c>
      <c r="BR81" s="59">
        <f t="shared" si="143"/>
        <v>0</v>
      </c>
      <c r="BS81" s="59"/>
      <c r="BT81" s="59">
        <f t="shared" si="144"/>
        <v>0</v>
      </c>
      <c r="BU81" s="59">
        <f t="shared" si="145"/>
        <v>0</v>
      </c>
      <c r="BV81" s="61">
        <v>106419.55555555556</v>
      </c>
      <c r="BW81" s="59">
        <f t="shared" si="53"/>
        <v>129831.85777777778</v>
      </c>
      <c r="BX81" s="59">
        <f t="shared" si="54"/>
        <v>12983.185777777779</v>
      </c>
      <c r="BY81" s="20">
        <f t="shared" si="55"/>
        <v>109566.37037037038</v>
      </c>
      <c r="BZ81" s="20">
        <f t="shared" si="56"/>
        <v>133670.97185185185</v>
      </c>
      <c r="CA81" s="21">
        <f t="shared" si="57"/>
        <v>10956.637037037039</v>
      </c>
      <c r="CB81" s="21">
        <f t="shared" si="58"/>
        <v>13367.097185185186</v>
      </c>
      <c r="CC81" s="20">
        <f t="shared" ref="CC81:CC111" si="149">$E81*$BY81</f>
        <v>1643.4955555555557</v>
      </c>
      <c r="CD81" s="20">
        <f t="shared" ref="CD81:CD111" si="150">$E81*$BZ81</f>
        <v>2005.0645777777777</v>
      </c>
      <c r="CE81" s="20">
        <f t="shared" ref="CE81:CE111" si="151">$F81*$BY81</f>
        <v>9313.1414814814834</v>
      </c>
      <c r="CF81" s="20">
        <f t="shared" ref="CF81:CF111" si="152">$F81*$BZ81</f>
        <v>11362.032607407407</v>
      </c>
      <c r="CG81" s="20">
        <f t="shared" si="146"/>
        <v>13367.097185185185</v>
      </c>
      <c r="CH81" s="4">
        <f t="shared" ref="CH81:CH111" si="153">COUNTIF(H81:BX81,"&gt;0")</f>
        <v>9</v>
      </c>
      <c r="CI81" s="3">
        <f t="shared" si="147"/>
        <v>3</v>
      </c>
      <c r="CN81" s="35" t="e">
        <f>MIN((H81,K81,N81,Q81,T81,W81,Z81,AC81,AF81,AI81,AL81,AO81,AR81,AU81,AX81,BA81,BD81,BG81,BJ81,BM81,BP81,BS81,BV81,#REF!,#REF!))</f>
        <v>#REF!</v>
      </c>
      <c r="CO81" s="35" t="e">
        <f>MAX((H81,K81,N81,Q81,T81,W81,Z81,AC81,AF81,AI81,AL81,AO81,AR81,AU81,AX81,BA81,BD81,BG81,BJ81,BM81,BP81,BS81,BV81,#REF!,#REF!))</f>
        <v>#REF!</v>
      </c>
      <c r="CP81" s="47" t="e">
        <f t="shared" ref="CP81:CP111" si="154">(CO81*100/CN81)-100</f>
        <v>#REF!</v>
      </c>
      <c r="CQ81" s="41" t="e">
        <f t="shared" ref="CQ81:CQ88" si="155">CN81*1.3</f>
        <v>#REF!</v>
      </c>
      <c r="CS81" s="4">
        <v>1</v>
      </c>
      <c r="CT81" s="4" t="b">
        <f t="shared" ref="CT81:CT111" si="156">CS81=E81</f>
        <v>0</v>
      </c>
      <c r="CU81" s="4">
        <v>1</v>
      </c>
      <c r="CV81" s="4" t="b">
        <f t="shared" si="148"/>
        <v>1</v>
      </c>
      <c r="CW81" s="19">
        <v>2</v>
      </c>
      <c r="CZ81" s="4" t="s">
        <v>148</v>
      </c>
    </row>
    <row r="82" spans="1:104" s="4" customFormat="1" ht="41.25" thickBot="1" x14ac:dyDescent="0.3">
      <c r="A82" s="18">
        <v>66</v>
      </c>
      <c r="B82" s="63" t="s">
        <v>116</v>
      </c>
      <c r="C82" s="48" t="s">
        <v>14</v>
      </c>
      <c r="D82" s="107">
        <f t="shared" ref="D82:D111" si="157">E82+F82</f>
        <v>1</v>
      </c>
      <c r="E82" s="107">
        <v>0.15</v>
      </c>
      <c r="F82" s="107">
        <v>0.85</v>
      </c>
      <c r="G82" s="19" t="s">
        <v>142</v>
      </c>
      <c r="H82" s="61">
        <v>106207.3383</v>
      </c>
      <c r="I82" s="59">
        <f t="shared" ref="I82:I111" si="158">H82*1.22</f>
        <v>129572.952726</v>
      </c>
      <c r="J82" s="59">
        <f t="shared" ref="J82:J111" si="159">($E82+$F82)*I82</f>
        <v>129572.952726</v>
      </c>
      <c r="K82" s="59"/>
      <c r="L82" s="59">
        <f t="shared" si="117"/>
        <v>0</v>
      </c>
      <c r="M82" s="59">
        <f t="shared" si="118"/>
        <v>0</v>
      </c>
      <c r="N82" s="59"/>
      <c r="O82" s="59">
        <f t="shared" ref="O82:O108" si="160">ROUND(N82*1.2,2)</f>
        <v>0</v>
      </c>
      <c r="P82" s="59">
        <f t="shared" si="119"/>
        <v>0</v>
      </c>
      <c r="Q82" s="59"/>
      <c r="R82" s="59">
        <f t="shared" si="120"/>
        <v>0</v>
      </c>
      <c r="S82" s="59">
        <f t="shared" si="121"/>
        <v>0</v>
      </c>
      <c r="T82" s="59"/>
      <c r="U82" s="59">
        <f t="shared" si="122"/>
        <v>0</v>
      </c>
      <c r="V82" s="59">
        <f t="shared" ref="V82:V111" si="161">($E82+$F82)*U82</f>
        <v>0</v>
      </c>
      <c r="W82" s="59"/>
      <c r="X82" s="59">
        <f t="shared" si="123"/>
        <v>0</v>
      </c>
      <c r="Y82" s="59">
        <f t="shared" ref="Y82:Y111" si="162">($E82+$F82)*X82</f>
        <v>0</v>
      </c>
      <c r="Z82" s="59"/>
      <c r="AA82" s="59">
        <f t="shared" si="124"/>
        <v>0</v>
      </c>
      <c r="AB82" s="59">
        <f t="shared" ref="AB82:AB111" si="163">($E82+$F82)*AA82</f>
        <v>0</v>
      </c>
      <c r="AC82" s="59"/>
      <c r="AD82" s="59">
        <f t="shared" si="125"/>
        <v>0</v>
      </c>
      <c r="AE82" s="59">
        <f t="shared" si="126"/>
        <v>0</v>
      </c>
      <c r="AF82" s="59"/>
      <c r="AG82" s="59">
        <f t="shared" si="127"/>
        <v>0</v>
      </c>
      <c r="AH82" s="59">
        <f t="shared" si="128"/>
        <v>0</v>
      </c>
      <c r="AI82" s="59"/>
      <c r="AJ82" s="59">
        <f t="shared" si="129"/>
        <v>0</v>
      </c>
      <c r="AK82" s="59">
        <f t="shared" si="130"/>
        <v>0</v>
      </c>
      <c r="AL82" s="59"/>
      <c r="AM82" s="59">
        <f t="shared" si="131"/>
        <v>0</v>
      </c>
      <c r="AN82" s="59">
        <f t="shared" ref="AN82:AN111" si="164">($E82+$F82)*AM82</f>
        <v>0</v>
      </c>
      <c r="AO82" s="59"/>
      <c r="AP82" s="59">
        <f t="shared" si="132"/>
        <v>0</v>
      </c>
      <c r="AQ82" s="59">
        <f t="shared" ref="AQ82:AQ111" si="165">($E82+$F82)*AP82</f>
        <v>0</v>
      </c>
      <c r="AR82" s="59"/>
      <c r="AS82" s="59">
        <f t="shared" si="133"/>
        <v>0</v>
      </c>
      <c r="AT82" s="59">
        <f t="shared" si="134"/>
        <v>0</v>
      </c>
      <c r="AU82" s="59"/>
      <c r="AV82" s="59">
        <f t="shared" si="135"/>
        <v>0</v>
      </c>
      <c r="AW82" s="59">
        <f t="shared" ref="AW82:AW111" si="166">($E82+$F82)*AV82</f>
        <v>0</v>
      </c>
      <c r="AX82" s="59"/>
      <c r="AY82" s="59">
        <f t="shared" si="136"/>
        <v>0</v>
      </c>
      <c r="AZ82" s="59">
        <f t="shared" ref="AZ82:AZ111" si="167">($E82+$F82)*AY82</f>
        <v>0</v>
      </c>
      <c r="BA82" s="61">
        <v>108677.27640000002</v>
      </c>
      <c r="BB82" s="59">
        <f t="shared" ref="BB82:BB111" si="168">BA82*1.22</f>
        <v>132586.27720800001</v>
      </c>
      <c r="BC82" s="59">
        <f t="shared" ref="BC82:BC111" si="169">($E82+$F82)*BB82</f>
        <v>132586.27720800001</v>
      </c>
      <c r="BD82" s="59"/>
      <c r="BE82" s="59">
        <f t="shared" si="137"/>
        <v>0</v>
      </c>
      <c r="BF82" s="59">
        <f t="shared" ref="BF82:BF111" si="170">($E82+$F82)*BE82</f>
        <v>0</v>
      </c>
      <c r="BG82" s="59"/>
      <c r="BH82" s="59">
        <f t="shared" si="138"/>
        <v>0</v>
      </c>
      <c r="BI82" s="59">
        <f t="shared" ref="BI82:BI111" si="171">($E82+$F82)*BH82</f>
        <v>0</v>
      </c>
      <c r="BJ82" s="59"/>
      <c r="BK82" s="59">
        <f t="shared" si="139"/>
        <v>0</v>
      </c>
      <c r="BL82" s="59">
        <f t="shared" ref="BL82:BL111" si="172">($E82+$F82)*BK82</f>
        <v>0</v>
      </c>
      <c r="BM82" s="59"/>
      <c r="BN82" s="59">
        <f t="shared" si="140"/>
        <v>0</v>
      </c>
      <c r="BO82" s="59">
        <f t="shared" si="141"/>
        <v>0</v>
      </c>
      <c r="BP82" s="59"/>
      <c r="BQ82" s="59">
        <f t="shared" si="142"/>
        <v>0</v>
      </c>
      <c r="BR82" s="59">
        <f t="shared" si="143"/>
        <v>0</v>
      </c>
      <c r="BS82" s="59"/>
      <c r="BT82" s="59">
        <f t="shared" si="144"/>
        <v>0</v>
      </c>
      <c r="BU82" s="59">
        <f t="shared" si="145"/>
        <v>0</v>
      </c>
      <c r="BV82" s="61">
        <v>107853.96370000001</v>
      </c>
      <c r="BW82" s="59">
        <f t="shared" ref="BW82:BW111" si="173">BV82*1.22</f>
        <v>131581.83571400002</v>
      </c>
      <c r="BX82" s="59">
        <f t="shared" ref="BX82:BX111" si="174">($E82+$F82)*BW82</f>
        <v>131581.83571400002</v>
      </c>
      <c r="BY82" s="20">
        <f t="shared" ref="BY82:BY111" si="175">(H82+BA82+BV82)/3</f>
        <v>107579.52613333335</v>
      </c>
      <c r="BZ82" s="20">
        <f t="shared" ref="BZ82:BZ111" si="176">BY82*1.22</f>
        <v>131247.02188266668</v>
      </c>
      <c r="CA82" s="21">
        <f t="shared" ref="CA82:CA111" si="177">($E82+$F82)*BY82</f>
        <v>107579.52613333335</v>
      </c>
      <c r="CB82" s="21">
        <f t="shared" ref="CB82:CB111" si="178">CA82*1.22</f>
        <v>131247.02188266668</v>
      </c>
      <c r="CC82" s="20">
        <f t="shared" si="149"/>
        <v>16136.928920000002</v>
      </c>
      <c r="CD82" s="20">
        <f t="shared" si="150"/>
        <v>19687.0532824</v>
      </c>
      <c r="CE82" s="20">
        <f t="shared" si="151"/>
        <v>91442.597213333342</v>
      </c>
      <c r="CF82" s="20">
        <f t="shared" si="152"/>
        <v>111559.96860026667</v>
      </c>
      <c r="CG82" s="20">
        <f t="shared" si="146"/>
        <v>131247.02188266668</v>
      </c>
      <c r="CH82" s="4">
        <f t="shared" si="153"/>
        <v>9</v>
      </c>
      <c r="CI82" s="3">
        <f t="shared" si="147"/>
        <v>3</v>
      </c>
      <c r="CN82" s="35" t="e">
        <f>MIN((H82,K82,N82,Q82,T82,W82,Z82,AC82,AF82,AI82,AL82,AO82,AR82,AU82,AX82,BA82,BD82,BG82,BJ82,BM82,BP82,BS82,BV82,#REF!,#REF!))</f>
        <v>#REF!</v>
      </c>
      <c r="CO82" s="35" t="e">
        <f>MAX((H82,K82,N82,Q82,T82,W82,Z82,AC82,AF82,AI82,AL82,AO82,AR82,AU82,AX82,BA82,BD82,BG82,BJ82,BM82,BP82,BS82,BV82,#REF!,#REF!))</f>
        <v>#REF!</v>
      </c>
      <c r="CP82" s="47" t="e">
        <f t="shared" si="154"/>
        <v>#REF!</v>
      </c>
      <c r="CQ82" s="41" t="e">
        <f t="shared" si="155"/>
        <v>#REF!</v>
      </c>
      <c r="CS82" s="4">
        <v>2</v>
      </c>
      <c r="CT82" s="4" t="b">
        <f t="shared" si="156"/>
        <v>0</v>
      </c>
      <c r="CU82" s="4">
        <v>6</v>
      </c>
      <c r="CV82" s="4" t="b">
        <f t="shared" si="148"/>
        <v>1</v>
      </c>
      <c r="CW82" s="19">
        <v>8</v>
      </c>
      <c r="CZ82" s="4" t="s">
        <v>148</v>
      </c>
    </row>
    <row r="83" spans="1:104" s="4" customFormat="1" ht="61.5" thickBot="1" x14ac:dyDescent="0.3">
      <c r="A83" s="18">
        <v>67</v>
      </c>
      <c r="B83" s="62" t="s">
        <v>117</v>
      </c>
      <c r="C83" s="48" t="s">
        <v>14</v>
      </c>
      <c r="D83" s="107">
        <f t="shared" si="157"/>
        <v>1</v>
      </c>
      <c r="E83" s="107">
        <v>0.15</v>
      </c>
      <c r="F83" s="107">
        <v>0.85</v>
      </c>
      <c r="G83" s="19" t="s">
        <v>142</v>
      </c>
      <c r="H83" s="61">
        <v>100268.7225</v>
      </c>
      <c r="I83" s="59">
        <f t="shared" si="158"/>
        <v>122327.84145000001</v>
      </c>
      <c r="J83" s="59">
        <f t="shared" si="159"/>
        <v>122327.84145000001</v>
      </c>
      <c r="K83" s="59"/>
      <c r="L83" s="59">
        <f t="shared" si="117"/>
        <v>0</v>
      </c>
      <c r="M83" s="59">
        <f t="shared" si="118"/>
        <v>0</v>
      </c>
      <c r="N83" s="59"/>
      <c r="O83" s="59">
        <f t="shared" si="160"/>
        <v>0</v>
      </c>
      <c r="P83" s="59">
        <f t="shared" si="119"/>
        <v>0</v>
      </c>
      <c r="Q83" s="59"/>
      <c r="R83" s="59">
        <f t="shared" si="120"/>
        <v>0</v>
      </c>
      <c r="S83" s="59">
        <f t="shared" si="121"/>
        <v>0</v>
      </c>
      <c r="T83" s="59"/>
      <c r="U83" s="59">
        <f t="shared" si="122"/>
        <v>0</v>
      </c>
      <c r="V83" s="59">
        <f t="shared" si="161"/>
        <v>0</v>
      </c>
      <c r="W83" s="59"/>
      <c r="X83" s="59">
        <f t="shared" si="123"/>
        <v>0</v>
      </c>
      <c r="Y83" s="59">
        <f t="shared" si="162"/>
        <v>0</v>
      </c>
      <c r="Z83" s="59"/>
      <c r="AA83" s="59">
        <f t="shared" si="124"/>
        <v>0</v>
      </c>
      <c r="AB83" s="59">
        <f t="shared" si="163"/>
        <v>0</v>
      </c>
      <c r="AC83" s="59"/>
      <c r="AD83" s="59">
        <f t="shared" si="125"/>
        <v>0</v>
      </c>
      <c r="AE83" s="59">
        <f t="shared" si="126"/>
        <v>0</v>
      </c>
      <c r="AF83" s="59"/>
      <c r="AG83" s="59">
        <f t="shared" si="127"/>
        <v>0</v>
      </c>
      <c r="AH83" s="59">
        <f t="shared" si="128"/>
        <v>0</v>
      </c>
      <c r="AI83" s="59"/>
      <c r="AJ83" s="59">
        <f t="shared" si="129"/>
        <v>0</v>
      </c>
      <c r="AK83" s="59">
        <f t="shared" si="130"/>
        <v>0</v>
      </c>
      <c r="AL83" s="59"/>
      <c r="AM83" s="59">
        <f t="shared" si="131"/>
        <v>0</v>
      </c>
      <c r="AN83" s="59">
        <f t="shared" si="164"/>
        <v>0</v>
      </c>
      <c r="AO83" s="59"/>
      <c r="AP83" s="59">
        <f t="shared" si="132"/>
        <v>0</v>
      </c>
      <c r="AQ83" s="59">
        <f t="shared" si="165"/>
        <v>0</v>
      </c>
      <c r="AR83" s="59"/>
      <c r="AS83" s="59">
        <f t="shared" si="133"/>
        <v>0</v>
      </c>
      <c r="AT83" s="59">
        <f t="shared" si="134"/>
        <v>0</v>
      </c>
      <c r="AU83" s="59"/>
      <c r="AV83" s="59">
        <f t="shared" si="135"/>
        <v>0</v>
      </c>
      <c r="AW83" s="59">
        <f t="shared" si="166"/>
        <v>0</v>
      </c>
      <c r="AX83" s="59"/>
      <c r="AY83" s="59">
        <f t="shared" si="136"/>
        <v>0</v>
      </c>
      <c r="AZ83" s="59">
        <f t="shared" si="167"/>
        <v>0</v>
      </c>
      <c r="BA83" s="61">
        <v>107374.37999999999</v>
      </c>
      <c r="BB83" s="59">
        <f t="shared" si="168"/>
        <v>130996.74359999999</v>
      </c>
      <c r="BC83" s="59">
        <f t="shared" si="169"/>
        <v>130996.74359999999</v>
      </c>
      <c r="BD83" s="59"/>
      <c r="BE83" s="59">
        <f t="shared" si="137"/>
        <v>0</v>
      </c>
      <c r="BF83" s="59">
        <f t="shared" si="170"/>
        <v>0</v>
      </c>
      <c r="BG83" s="59"/>
      <c r="BH83" s="59">
        <f t="shared" si="138"/>
        <v>0</v>
      </c>
      <c r="BI83" s="59">
        <f t="shared" si="171"/>
        <v>0</v>
      </c>
      <c r="BJ83" s="59"/>
      <c r="BK83" s="59">
        <f t="shared" si="139"/>
        <v>0</v>
      </c>
      <c r="BL83" s="59">
        <f t="shared" si="172"/>
        <v>0</v>
      </c>
      <c r="BM83" s="59"/>
      <c r="BN83" s="59">
        <f t="shared" si="140"/>
        <v>0</v>
      </c>
      <c r="BO83" s="59">
        <f t="shared" si="141"/>
        <v>0</v>
      </c>
      <c r="BP83" s="59"/>
      <c r="BQ83" s="59">
        <f t="shared" si="142"/>
        <v>0</v>
      </c>
      <c r="BR83" s="59">
        <f t="shared" si="143"/>
        <v>0</v>
      </c>
      <c r="BS83" s="59"/>
      <c r="BT83" s="59">
        <f t="shared" si="144"/>
        <v>0</v>
      </c>
      <c r="BU83" s="59">
        <f t="shared" si="145"/>
        <v>0</v>
      </c>
      <c r="BV83" s="61">
        <v>97110.652499999997</v>
      </c>
      <c r="BW83" s="59">
        <f t="shared" si="173"/>
        <v>118474.99604999999</v>
      </c>
      <c r="BX83" s="59">
        <f t="shared" si="174"/>
        <v>118474.99604999999</v>
      </c>
      <c r="BY83" s="20">
        <f t="shared" si="175"/>
        <v>101584.58500000001</v>
      </c>
      <c r="BZ83" s="20">
        <f t="shared" si="176"/>
        <v>123933.1937</v>
      </c>
      <c r="CA83" s="21">
        <f t="shared" si="177"/>
        <v>101584.58500000001</v>
      </c>
      <c r="CB83" s="21">
        <f t="shared" si="178"/>
        <v>123933.1937</v>
      </c>
      <c r="CC83" s="20">
        <f t="shared" si="149"/>
        <v>15237.687750000001</v>
      </c>
      <c r="CD83" s="20">
        <f t="shared" si="150"/>
        <v>18589.979055</v>
      </c>
      <c r="CE83" s="20">
        <f t="shared" si="151"/>
        <v>86346.897250000009</v>
      </c>
      <c r="CF83" s="20">
        <f t="shared" si="152"/>
        <v>105343.214645</v>
      </c>
      <c r="CG83" s="20">
        <f t="shared" si="146"/>
        <v>123933.1937</v>
      </c>
      <c r="CH83" s="4">
        <f t="shared" si="153"/>
        <v>9</v>
      </c>
      <c r="CI83" s="3">
        <f t="shared" si="147"/>
        <v>3</v>
      </c>
      <c r="CN83" s="35" t="e">
        <f>MIN((H83,K83,N83,Q83,T83,W83,Z83,AC83,AF83,AI83,AL83,AO83,AR83,AU83,AX83,BA83,BD83,BG83,BJ83,BM83,BP83,BS83,BV83,#REF!,#REF!))</f>
        <v>#REF!</v>
      </c>
      <c r="CO83" s="35" t="e">
        <f>MAX((H83,K83,N83,Q83,T83,W83,Z83,AC83,AF83,AI83,AL83,AO83,AR83,AU83,AX83,BA83,BD83,BG83,BJ83,BM83,BP83,BS83,BV83,#REF!,#REF!))</f>
        <v>#REF!</v>
      </c>
      <c r="CP83" s="47" t="e">
        <f t="shared" si="154"/>
        <v>#REF!</v>
      </c>
      <c r="CQ83" s="41" t="e">
        <f t="shared" si="155"/>
        <v>#REF!</v>
      </c>
      <c r="CS83" s="4">
        <v>2</v>
      </c>
      <c r="CT83" s="4" t="b">
        <f t="shared" si="156"/>
        <v>0</v>
      </c>
      <c r="CU83" s="4">
        <v>9</v>
      </c>
      <c r="CV83" s="4" t="b">
        <f t="shared" si="148"/>
        <v>1</v>
      </c>
      <c r="CW83" s="19">
        <v>11</v>
      </c>
      <c r="CZ83" s="4" t="s">
        <v>148</v>
      </c>
    </row>
    <row r="84" spans="1:104" s="4" customFormat="1" ht="61.5" thickBot="1" x14ac:dyDescent="0.3">
      <c r="A84" s="18">
        <v>68</v>
      </c>
      <c r="B84" s="64" t="s">
        <v>118</v>
      </c>
      <c r="C84" s="48" t="s">
        <v>14</v>
      </c>
      <c r="D84" s="107">
        <f t="shared" si="157"/>
        <v>808</v>
      </c>
      <c r="E84" s="107">
        <v>60</v>
      </c>
      <c r="F84" s="107">
        <v>748</v>
      </c>
      <c r="G84" s="60" t="s">
        <v>17</v>
      </c>
      <c r="H84" s="61">
        <v>100.83333333333336</v>
      </c>
      <c r="I84" s="59">
        <f t="shared" si="158"/>
        <v>123.01666666666669</v>
      </c>
      <c r="J84" s="59">
        <f t="shared" si="159"/>
        <v>99397.466666666689</v>
      </c>
      <c r="K84" s="59"/>
      <c r="L84" s="59">
        <f t="shared" si="117"/>
        <v>0</v>
      </c>
      <c r="M84" s="59">
        <f t="shared" si="118"/>
        <v>0</v>
      </c>
      <c r="N84" s="59"/>
      <c r="O84" s="59">
        <f t="shared" si="160"/>
        <v>0</v>
      </c>
      <c r="P84" s="59">
        <f t="shared" si="119"/>
        <v>0</v>
      </c>
      <c r="Q84" s="59"/>
      <c r="R84" s="59">
        <f t="shared" si="120"/>
        <v>0</v>
      </c>
      <c r="S84" s="59">
        <f t="shared" si="121"/>
        <v>0</v>
      </c>
      <c r="T84" s="59"/>
      <c r="U84" s="59">
        <f t="shared" si="122"/>
        <v>0</v>
      </c>
      <c r="V84" s="59">
        <f t="shared" si="161"/>
        <v>0</v>
      </c>
      <c r="W84" s="59"/>
      <c r="X84" s="59">
        <f t="shared" si="123"/>
        <v>0</v>
      </c>
      <c r="Y84" s="59">
        <f t="shared" si="162"/>
        <v>0</v>
      </c>
      <c r="Z84" s="59"/>
      <c r="AA84" s="59">
        <f t="shared" si="124"/>
        <v>0</v>
      </c>
      <c r="AB84" s="59">
        <f t="shared" si="163"/>
        <v>0</v>
      </c>
      <c r="AC84" s="59"/>
      <c r="AD84" s="59">
        <f t="shared" si="125"/>
        <v>0</v>
      </c>
      <c r="AE84" s="59">
        <f t="shared" si="126"/>
        <v>0</v>
      </c>
      <c r="AF84" s="59"/>
      <c r="AG84" s="59">
        <f t="shared" si="127"/>
        <v>0</v>
      </c>
      <c r="AH84" s="59">
        <f t="shared" si="128"/>
        <v>0</v>
      </c>
      <c r="AI84" s="59"/>
      <c r="AJ84" s="59">
        <f t="shared" si="129"/>
        <v>0</v>
      </c>
      <c r="AK84" s="59">
        <f t="shared" si="130"/>
        <v>0</v>
      </c>
      <c r="AL84" s="59"/>
      <c r="AM84" s="59">
        <f t="shared" si="131"/>
        <v>0</v>
      </c>
      <c r="AN84" s="59">
        <f t="shared" si="164"/>
        <v>0</v>
      </c>
      <c r="AO84" s="59"/>
      <c r="AP84" s="59">
        <f t="shared" si="132"/>
        <v>0</v>
      </c>
      <c r="AQ84" s="59">
        <f t="shared" si="165"/>
        <v>0</v>
      </c>
      <c r="AR84" s="59"/>
      <c r="AS84" s="59">
        <f t="shared" si="133"/>
        <v>0</v>
      </c>
      <c r="AT84" s="59">
        <f t="shared" si="134"/>
        <v>0</v>
      </c>
      <c r="AU84" s="59"/>
      <c r="AV84" s="59">
        <f t="shared" si="135"/>
        <v>0</v>
      </c>
      <c r="AW84" s="59">
        <f t="shared" si="166"/>
        <v>0</v>
      </c>
      <c r="AX84" s="59"/>
      <c r="AY84" s="59">
        <f t="shared" si="136"/>
        <v>0</v>
      </c>
      <c r="AZ84" s="59">
        <f t="shared" si="167"/>
        <v>0</v>
      </c>
      <c r="BA84" s="61">
        <v>98.541666666666686</v>
      </c>
      <c r="BB84" s="59">
        <f t="shared" si="168"/>
        <v>120.22083333333336</v>
      </c>
      <c r="BC84" s="59">
        <f t="shared" si="169"/>
        <v>97138.433333333349</v>
      </c>
      <c r="BD84" s="59"/>
      <c r="BE84" s="59">
        <f t="shared" si="137"/>
        <v>0</v>
      </c>
      <c r="BF84" s="59">
        <f t="shared" si="170"/>
        <v>0</v>
      </c>
      <c r="BG84" s="59"/>
      <c r="BH84" s="59">
        <f t="shared" si="138"/>
        <v>0</v>
      </c>
      <c r="BI84" s="59">
        <f t="shared" si="171"/>
        <v>0</v>
      </c>
      <c r="BJ84" s="59"/>
      <c r="BK84" s="59">
        <f t="shared" si="139"/>
        <v>0</v>
      </c>
      <c r="BL84" s="59">
        <f t="shared" si="172"/>
        <v>0</v>
      </c>
      <c r="BM84" s="59"/>
      <c r="BN84" s="59">
        <f t="shared" si="140"/>
        <v>0</v>
      </c>
      <c r="BO84" s="59">
        <f t="shared" si="141"/>
        <v>0</v>
      </c>
      <c r="BP84" s="59"/>
      <c r="BQ84" s="59">
        <f t="shared" si="142"/>
        <v>0</v>
      </c>
      <c r="BR84" s="59">
        <f t="shared" si="143"/>
        <v>0</v>
      </c>
      <c r="BS84" s="59"/>
      <c r="BT84" s="59">
        <f t="shared" si="144"/>
        <v>0</v>
      </c>
      <c r="BU84" s="59">
        <f t="shared" si="145"/>
        <v>0</v>
      </c>
      <c r="BV84" s="61">
        <v>100.83333333333336</v>
      </c>
      <c r="BW84" s="59">
        <f t="shared" si="173"/>
        <v>123.01666666666669</v>
      </c>
      <c r="BX84" s="59">
        <f t="shared" si="174"/>
        <v>99397.466666666689</v>
      </c>
      <c r="BY84" s="20">
        <f t="shared" si="175"/>
        <v>100.06944444444447</v>
      </c>
      <c r="BZ84" s="20">
        <f t="shared" si="176"/>
        <v>122.08472222222225</v>
      </c>
      <c r="CA84" s="21">
        <f t="shared" si="177"/>
        <v>80856.111111111139</v>
      </c>
      <c r="CB84" s="21">
        <f t="shared" si="178"/>
        <v>98644.455555555585</v>
      </c>
      <c r="CC84" s="20">
        <f t="shared" si="149"/>
        <v>6004.1666666666679</v>
      </c>
      <c r="CD84" s="20">
        <f t="shared" si="150"/>
        <v>7325.0833333333348</v>
      </c>
      <c r="CE84" s="20">
        <f t="shared" si="151"/>
        <v>74851.944444444467</v>
      </c>
      <c r="CF84" s="20">
        <f t="shared" si="152"/>
        <v>91319.372222222242</v>
      </c>
      <c r="CG84" s="20">
        <f t="shared" si="146"/>
        <v>98644.455555555571</v>
      </c>
      <c r="CH84" s="4">
        <f t="shared" si="153"/>
        <v>9</v>
      </c>
      <c r="CI84" s="3">
        <f t="shared" si="147"/>
        <v>3</v>
      </c>
      <c r="CN84" s="35" t="e">
        <f>MIN((H84,K84,N84,Q84,T84,W84,Z84,AC84,AF84,AI84,AL84,AO84,AR84,AU84,AX84,BA84,BD84,BG84,BJ84,BM84,BP84,BS84,BV84,#REF!,#REF!))</f>
        <v>#REF!</v>
      </c>
      <c r="CO84" s="35" t="e">
        <f>MAX((H84,K84,N84,Q84,T84,W84,Z84,AC84,AF84,AI84,AL84,AO84,AR84,AU84,AX84,BA84,BD84,BG84,BJ84,BM84,BP84,BS84,BV84,#REF!,#REF!))</f>
        <v>#REF!</v>
      </c>
      <c r="CP84" s="47" t="e">
        <f t="shared" si="154"/>
        <v>#REF!</v>
      </c>
      <c r="CQ84" s="41" t="e">
        <f t="shared" si="155"/>
        <v>#REF!</v>
      </c>
      <c r="CS84" s="4">
        <v>3</v>
      </c>
      <c r="CT84" s="4" t="b">
        <f t="shared" si="156"/>
        <v>0</v>
      </c>
      <c r="CU84" s="4">
        <v>4</v>
      </c>
      <c r="CV84" s="4" t="b">
        <f t="shared" si="148"/>
        <v>1</v>
      </c>
      <c r="CW84" s="19">
        <v>7</v>
      </c>
      <c r="CZ84" s="4" t="s">
        <v>148</v>
      </c>
    </row>
    <row r="85" spans="1:104" s="4" customFormat="1" ht="61.5" thickBot="1" x14ac:dyDescent="0.3">
      <c r="A85" s="18">
        <v>69</v>
      </c>
      <c r="B85" s="64" t="s">
        <v>119</v>
      </c>
      <c r="C85" s="48" t="s">
        <v>14</v>
      </c>
      <c r="D85" s="107">
        <f t="shared" si="157"/>
        <v>26</v>
      </c>
      <c r="E85" s="107">
        <v>3</v>
      </c>
      <c r="F85" s="107">
        <v>23</v>
      </c>
      <c r="G85" s="60" t="s">
        <v>143</v>
      </c>
      <c r="H85" s="61">
        <v>344.58274999999998</v>
      </c>
      <c r="I85" s="59">
        <f t="shared" si="158"/>
        <v>420.39095499999996</v>
      </c>
      <c r="J85" s="59">
        <f t="shared" si="159"/>
        <v>10930.16483</v>
      </c>
      <c r="K85" s="59"/>
      <c r="L85" s="59">
        <f t="shared" si="117"/>
        <v>0</v>
      </c>
      <c r="M85" s="59">
        <f t="shared" si="118"/>
        <v>0</v>
      </c>
      <c r="N85" s="59"/>
      <c r="O85" s="59">
        <f t="shared" si="160"/>
        <v>0</v>
      </c>
      <c r="P85" s="59">
        <f t="shared" si="119"/>
        <v>0</v>
      </c>
      <c r="Q85" s="59"/>
      <c r="R85" s="59">
        <f t="shared" si="120"/>
        <v>0</v>
      </c>
      <c r="S85" s="59">
        <f t="shared" si="121"/>
        <v>0</v>
      </c>
      <c r="T85" s="59"/>
      <c r="U85" s="59">
        <f t="shared" si="122"/>
        <v>0</v>
      </c>
      <c r="V85" s="59">
        <f t="shared" si="161"/>
        <v>0</v>
      </c>
      <c r="W85" s="59"/>
      <c r="X85" s="59">
        <f t="shared" si="123"/>
        <v>0</v>
      </c>
      <c r="Y85" s="59">
        <f t="shared" si="162"/>
        <v>0</v>
      </c>
      <c r="Z85" s="59"/>
      <c r="AA85" s="59">
        <f t="shared" si="124"/>
        <v>0</v>
      </c>
      <c r="AB85" s="59">
        <f t="shared" si="163"/>
        <v>0</v>
      </c>
      <c r="AC85" s="59"/>
      <c r="AD85" s="59">
        <f t="shared" si="125"/>
        <v>0</v>
      </c>
      <c r="AE85" s="59">
        <f t="shared" si="126"/>
        <v>0</v>
      </c>
      <c r="AF85" s="59"/>
      <c r="AG85" s="59">
        <f t="shared" si="127"/>
        <v>0</v>
      </c>
      <c r="AH85" s="59">
        <f t="shared" si="128"/>
        <v>0</v>
      </c>
      <c r="AI85" s="59"/>
      <c r="AJ85" s="59">
        <f t="shared" si="129"/>
        <v>0</v>
      </c>
      <c r="AK85" s="59">
        <f t="shared" si="130"/>
        <v>0</v>
      </c>
      <c r="AL85" s="59"/>
      <c r="AM85" s="59">
        <f t="shared" si="131"/>
        <v>0</v>
      </c>
      <c r="AN85" s="59">
        <f t="shared" si="164"/>
        <v>0</v>
      </c>
      <c r="AO85" s="59"/>
      <c r="AP85" s="59">
        <f t="shared" si="132"/>
        <v>0</v>
      </c>
      <c r="AQ85" s="59">
        <f t="shared" si="165"/>
        <v>0</v>
      </c>
      <c r="AR85" s="59"/>
      <c r="AS85" s="59">
        <f t="shared" si="133"/>
        <v>0</v>
      </c>
      <c r="AT85" s="59">
        <f t="shared" si="134"/>
        <v>0</v>
      </c>
      <c r="AU85" s="59"/>
      <c r="AV85" s="59">
        <f t="shared" si="135"/>
        <v>0</v>
      </c>
      <c r="AW85" s="59">
        <f t="shared" si="166"/>
        <v>0</v>
      </c>
      <c r="AX85" s="59"/>
      <c r="AY85" s="59">
        <f t="shared" si="136"/>
        <v>0</v>
      </c>
      <c r="AZ85" s="59">
        <f t="shared" si="167"/>
        <v>0</v>
      </c>
      <c r="BA85" s="61">
        <v>358.149</v>
      </c>
      <c r="BB85" s="59">
        <f t="shared" si="168"/>
        <v>436.94177999999999</v>
      </c>
      <c r="BC85" s="59">
        <f t="shared" si="169"/>
        <v>11360.486279999999</v>
      </c>
      <c r="BD85" s="59"/>
      <c r="BE85" s="59">
        <f t="shared" si="137"/>
        <v>0</v>
      </c>
      <c r="BF85" s="59">
        <f t="shared" si="170"/>
        <v>0</v>
      </c>
      <c r="BG85" s="59"/>
      <c r="BH85" s="59">
        <f t="shared" si="138"/>
        <v>0</v>
      </c>
      <c r="BI85" s="59">
        <f t="shared" si="171"/>
        <v>0</v>
      </c>
      <c r="BJ85" s="59"/>
      <c r="BK85" s="59">
        <f t="shared" si="139"/>
        <v>0</v>
      </c>
      <c r="BL85" s="59">
        <f t="shared" si="172"/>
        <v>0</v>
      </c>
      <c r="BM85" s="59"/>
      <c r="BN85" s="59">
        <f t="shared" si="140"/>
        <v>0</v>
      </c>
      <c r="BO85" s="59">
        <f t="shared" si="141"/>
        <v>0</v>
      </c>
      <c r="BP85" s="59"/>
      <c r="BQ85" s="59">
        <f t="shared" si="142"/>
        <v>0</v>
      </c>
      <c r="BR85" s="59">
        <f t="shared" si="143"/>
        <v>0</v>
      </c>
      <c r="BS85" s="59"/>
      <c r="BT85" s="59">
        <f t="shared" si="144"/>
        <v>0</v>
      </c>
      <c r="BU85" s="59">
        <f t="shared" si="145"/>
        <v>0</v>
      </c>
      <c r="BV85" s="61">
        <v>341.86950000000002</v>
      </c>
      <c r="BW85" s="59">
        <f t="shared" si="173"/>
        <v>417.08079000000004</v>
      </c>
      <c r="BX85" s="59">
        <f t="shared" si="174"/>
        <v>10844.100540000001</v>
      </c>
      <c r="BY85" s="20">
        <f t="shared" si="175"/>
        <v>348.20041666666663</v>
      </c>
      <c r="BZ85" s="20">
        <f t="shared" si="176"/>
        <v>424.80450833333327</v>
      </c>
      <c r="CA85" s="21">
        <f t="shared" si="177"/>
        <v>9053.2108333333326</v>
      </c>
      <c r="CB85" s="21">
        <f t="shared" si="178"/>
        <v>11044.917216666665</v>
      </c>
      <c r="CC85" s="20">
        <f t="shared" si="149"/>
        <v>1044.6012499999999</v>
      </c>
      <c r="CD85" s="20">
        <f t="shared" si="150"/>
        <v>1274.4135249999999</v>
      </c>
      <c r="CE85" s="20">
        <f t="shared" si="151"/>
        <v>8008.609583333332</v>
      </c>
      <c r="CF85" s="20">
        <f t="shared" si="152"/>
        <v>9770.503691666665</v>
      </c>
      <c r="CG85" s="20">
        <f t="shared" si="146"/>
        <v>11044.917216666665</v>
      </c>
      <c r="CH85" s="4">
        <f t="shared" si="153"/>
        <v>9</v>
      </c>
      <c r="CI85" s="3">
        <f t="shared" si="147"/>
        <v>3</v>
      </c>
      <c r="CN85" s="35" t="e">
        <f>MIN((H85,K85,N85,Q85,T85,W85,Z85,AC85,AF85,AI85,AL85,AO85,AR85,AU85,AX85,BA85,BD85,BG85,BJ85,BM85,BP85,BS85,BV85,#REF!,#REF!))</f>
        <v>#REF!</v>
      </c>
      <c r="CO85" s="35" t="e">
        <f>MAX((H85,K85,N85,Q85,T85,W85,Z85,AC85,AF85,AI85,AL85,AO85,AR85,AU85,AX85,BA85,BD85,BG85,BJ85,BM85,BP85,BS85,BV85,#REF!,#REF!))</f>
        <v>#REF!</v>
      </c>
      <c r="CP85" s="47" t="e">
        <f t="shared" si="154"/>
        <v>#REF!</v>
      </c>
      <c r="CQ85" s="41" t="e">
        <f t="shared" si="155"/>
        <v>#REF!</v>
      </c>
      <c r="CS85" s="4">
        <v>2</v>
      </c>
      <c r="CT85" s="4" t="b">
        <f t="shared" si="156"/>
        <v>0</v>
      </c>
      <c r="CU85" s="4">
        <v>2</v>
      </c>
      <c r="CV85" s="4" t="b">
        <f t="shared" si="148"/>
        <v>1</v>
      </c>
      <c r="CW85" s="19">
        <v>4</v>
      </c>
      <c r="CZ85" s="4" t="s">
        <v>148</v>
      </c>
    </row>
    <row r="86" spans="1:104" s="4" customFormat="1" ht="61.5" thickBot="1" x14ac:dyDescent="0.3">
      <c r="A86" s="18">
        <v>70</v>
      </c>
      <c r="B86" s="64" t="s">
        <v>120</v>
      </c>
      <c r="C86" s="48" t="s">
        <v>14</v>
      </c>
      <c r="D86" s="107">
        <f t="shared" si="157"/>
        <v>15</v>
      </c>
      <c r="E86" s="107">
        <v>1.5</v>
      </c>
      <c r="F86" s="107">
        <v>13.5</v>
      </c>
      <c r="G86" s="60" t="s">
        <v>143</v>
      </c>
      <c r="H86" s="61">
        <v>242.39733333333334</v>
      </c>
      <c r="I86" s="59">
        <f t="shared" si="158"/>
        <v>295.72474666666665</v>
      </c>
      <c r="J86" s="59">
        <f t="shared" si="159"/>
        <v>4435.8711999999996</v>
      </c>
      <c r="K86" s="59"/>
      <c r="L86" s="59">
        <f t="shared" si="117"/>
        <v>0</v>
      </c>
      <c r="M86" s="59">
        <f t="shared" si="118"/>
        <v>0</v>
      </c>
      <c r="N86" s="59"/>
      <c r="O86" s="59">
        <f t="shared" si="160"/>
        <v>0</v>
      </c>
      <c r="P86" s="59">
        <f t="shared" si="119"/>
        <v>0</v>
      </c>
      <c r="Q86" s="59"/>
      <c r="R86" s="59">
        <f t="shared" si="120"/>
        <v>0</v>
      </c>
      <c r="S86" s="59">
        <f t="shared" si="121"/>
        <v>0</v>
      </c>
      <c r="T86" s="59"/>
      <c r="U86" s="59">
        <f t="shared" si="122"/>
        <v>0</v>
      </c>
      <c r="V86" s="59">
        <f t="shared" si="161"/>
        <v>0</v>
      </c>
      <c r="W86" s="59"/>
      <c r="X86" s="59">
        <f t="shared" si="123"/>
        <v>0</v>
      </c>
      <c r="Y86" s="59">
        <f t="shared" si="162"/>
        <v>0</v>
      </c>
      <c r="Z86" s="59"/>
      <c r="AA86" s="59">
        <f t="shared" si="124"/>
        <v>0</v>
      </c>
      <c r="AB86" s="59">
        <f t="shared" si="163"/>
        <v>0</v>
      </c>
      <c r="AC86" s="59"/>
      <c r="AD86" s="59">
        <f t="shared" si="125"/>
        <v>0</v>
      </c>
      <c r="AE86" s="59">
        <f t="shared" si="126"/>
        <v>0</v>
      </c>
      <c r="AF86" s="59"/>
      <c r="AG86" s="59">
        <f t="shared" si="127"/>
        <v>0</v>
      </c>
      <c r="AH86" s="59">
        <f t="shared" si="128"/>
        <v>0</v>
      </c>
      <c r="AI86" s="59"/>
      <c r="AJ86" s="59">
        <f t="shared" si="129"/>
        <v>0</v>
      </c>
      <c r="AK86" s="59">
        <f t="shared" si="130"/>
        <v>0</v>
      </c>
      <c r="AL86" s="59"/>
      <c r="AM86" s="59">
        <f t="shared" si="131"/>
        <v>0</v>
      </c>
      <c r="AN86" s="59">
        <f t="shared" si="164"/>
        <v>0</v>
      </c>
      <c r="AO86" s="59"/>
      <c r="AP86" s="59">
        <f t="shared" si="132"/>
        <v>0</v>
      </c>
      <c r="AQ86" s="59">
        <f t="shared" si="165"/>
        <v>0</v>
      </c>
      <c r="AR86" s="59"/>
      <c r="AS86" s="59">
        <f t="shared" si="133"/>
        <v>0</v>
      </c>
      <c r="AT86" s="59">
        <f t="shared" si="134"/>
        <v>0</v>
      </c>
      <c r="AU86" s="59"/>
      <c r="AV86" s="59">
        <f t="shared" si="135"/>
        <v>0</v>
      </c>
      <c r="AW86" s="59">
        <f t="shared" si="166"/>
        <v>0</v>
      </c>
      <c r="AX86" s="59"/>
      <c r="AY86" s="59">
        <f t="shared" si="136"/>
        <v>0</v>
      </c>
      <c r="AZ86" s="59">
        <f t="shared" si="167"/>
        <v>0</v>
      </c>
      <c r="BA86" s="61">
        <v>231.70333333333335</v>
      </c>
      <c r="BB86" s="59">
        <f t="shared" si="168"/>
        <v>282.67806666666667</v>
      </c>
      <c r="BC86" s="59">
        <f t="shared" si="169"/>
        <v>4240.1710000000003</v>
      </c>
      <c r="BD86" s="59"/>
      <c r="BE86" s="59">
        <f t="shared" si="137"/>
        <v>0</v>
      </c>
      <c r="BF86" s="59">
        <f t="shared" si="170"/>
        <v>0</v>
      </c>
      <c r="BG86" s="59"/>
      <c r="BH86" s="59">
        <f t="shared" si="138"/>
        <v>0</v>
      </c>
      <c r="BI86" s="59">
        <f t="shared" si="171"/>
        <v>0</v>
      </c>
      <c r="BJ86" s="59"/>
      <c r="BK86" s="59">
        <f t="shared" si="139"/>
        <v>0</v>
      </c>
      <c r="BL86" s="59">
        <f t="shared" si="172"/>
        <v>0</v>
      </c>
      <c r="BM86" s="59"/>
      <c r="BN86" s="59">
        <f t="shared" si="140"/>
        <v>0</v>
      </c>
      <c r="BO86" s="59">
        <f t="shared" si="141"/>
        <v>0</v>
      </c>
      <c r="BP86" s="59"/>
      <c r="BQ86" s="59">
        <f t="shared" si="142"/>
        <v>0</v>
      </c>
      <c r="BR86" s="59">
        <f t="shared" si="143"/>
        <v>0</v>
      </c>
      <c r="BS86" s="59"/>
      <c r="BT86" s="59">
        <f t="shared" si="144"/>
        <v>0</v>
      </c>
      <c r="BU86" s="59">
        <f t="shared" si="145"/>
        <v>0</v>
      </c>
      <c r="BV86" s="61">
        <v>245.96199999999999</v>
      </c>
      <c r="BW86" s="59">
        <f t="shared" si="173"/>
        <v>300.07363999999995</v>
      </c>
      <c r="BX86" s="59">
        <f t="shared" si="174"/>
        <v>4501.1045999999997</v>
      </c>
      <c r="BY86" s="20">
        <f t="shared" si="175"/>
        <v>240.02088888888889</v>
      </c>
      <c r="BZ86" s="20">
        <f t="shared" si="176"/>
        <v>292.82548444444444</v>
      </c>
      <c r="CA86" s="21">
        <f t="shared" si="177"/>
        <v>3600.3133333333335</v>
      </c>
      <c r="CB86" s="21">
        <f t="shared" si="178"/>
        <v>4392.3822666666665</v>
      </c>
      <c r="CC86" s="20">
        <f t="shared" si="149"/>
        <v>360.03133333333335</v>
      </c>
      <c r="CD86" s="20">
        <f t="shared" si="150"/>
        <v>439.23822666666666</v>
      </c>
      <c r="CE86" s="20">
        <f t="shared" si="151"/>
        <v>3240.2820000000002</v>
      </c>
      <c r="CF86" s="20">
        <f t="shared" si="152"/>
        <v>3953.1440400000001</v>
      </c>
      <c r="CG86" s="20">
        <f t="shared" si="146"/>
        <v>4392.3822666666665</v>
      </c>
      <c r="CH86" s="4">
        <f t="shared" si="153"/>
        <v>9</v>
      </c>
      <c r="CI86" s="3">
        <f t="shared" si="147"/>
        <v>3</v>
      </c>
      <c r="CN86" s="35" t="e">
        <f>MIN((H86,K86,N86,Q86,T86,W86,Z86,AC86,AF86,AI86,AL86,AO86,AR86,AU86,AX86,BA86,BD86,BG86,BJ86,BM86,BP86,BS86,BV86,#REF!,#REF!))</f>
        <v>#REF!</v>
      </c>
      <c r="CO86" s="35" t="e">
        <f>MAX((H86,K86,N86,Q86,T86,W86,Z86,AC86,AF86,AI86,AL86,AO86,AR86,AU86,AX86,BA86,BD86,BG86,BJ86,BM86,BP86,BS86,BV86,#REF!,#REF!))</f>
        <v>#REF!</v>
      </c>
      <c r="CP86" s="47" t="e">
        <f t="shared" si="154"/>
        <v>#REF!</v>
      </c>
      <c r="CQ86" s="41" t="e">
        <f t="shared" si="155"/>
        <v>#REF!</v>
      </c>
      <c r="CS86" s="4">
        <v>1</v>
      </c>
      <c r="CT86" s="4" t="b">
        <f t="shared" si="156"/>
        <v>0</v>
      </c>
      <c r="CU86" s="4">
        <v>5</v>
      </c>
      <c r="CV86" s="4" t="b">
        <f t="shared" si="148"/>
        <v>1</v>
      </c>
      <c r="CW86" s="19">
        <v>6</v>
      </c>
      <c r="CZ86" s="4" t="s">
        <v>148</v>
      </c>
    </row>
    <row r="87" spans="1:104" s="4" customFormat="1" ht="61.5" thickBot="1" x14ac:dyDescent="0.3">
      <c r="A87" s="18">
        <v>71</v>
      </c>
      <c r="B87" s="64" t="s">
        <v>86</v>
      </c>
      <c r="C87" s="48" t="s">
        <v>14</v>
      </c>
      <c r="D87" s="107">
        <f t="shared" si="157"/>
        <v>25</v>
      </c>
      <c r="E87" s="107">
        <v>3</v>
      </c>
      <c r="F87" s="107">
        <v>22</v>
      </c>
      <c r="G87" s="60" t="s">
        <v>143</v>
      </c>
      <c r="H87" s="61">
        <v>289.56074358974348</v>
      </c>
      <c r="I87" s="59">
        <f t="shared" si="158"/>
        <v>353.26410717948704</v>
      </c>
      <c r="J87" s="59">
        <f t="shared" si="159"/>
        <v>8831.6026794871759</v>
      </c>
      <c r="K87" s="59"/>
      <c r="L87" s="59">
        <f t="shared" si="117"/>
        <v>0</v>
      </c>
      <c r="M87" s="59">
        <f t="shared" si="118"/>
        <v>0</v>
      </c>
      <c r="N87" s="59"/>
      <c r="O87" s="59">
        <f t="shared" si="160"/>
        <v>0</v>
      </c>
      <c r="P87" s="59">
        <f t="shared" si="119"/>
        <v>0</v>
      </c>
      <c r="Q87" s="59"/>
      <c r="R87" s="59">
        <f t="shared" si="120"/>
        <v>0</v>
      </c>
      <c r="S87" s="59">
        <f t="shared" si="121"/>
        <v>0</v>
      </c>
      <c r="T87" s="59"/>
      <c r="U87" s="59">
        <f t="shared" si="122"/>
        <v>0</v>
      </c>
      <c r="V87" s="59">
        <f t="shared" si="161"/>
        <v>0</v>
      </c>
      <c r="W87" s="59"/>
      <c r="X87" s="59">
        <f t="shared" si="123"/>
        <v>0</v>
      </c>
      <c r="Y87" s="59">
        <f t="shared" si="162"/>
        <v>0</v>
      </c>
      <c r="Z87" s="59"/>
      <c r="AA87" s="59">
        <f t="shared" si="124"/>
        <v>0</v>
      </c>
      <c r="AB87" s="59">
        <f t="shared" si="163"/>
        <v>0</v>
      </c>
      <c r="AC87" s="59"/>
      <c r="AD87" s="59">
        <f t="shared" si="125"/>
        <v>0</v>
      </c>
      <c r="AE87" s="59">
        <f t="shared" si="126"/>
        <v>0</v>
      </c>
      <c r="AF87" s="59"/>
      <c r="AG87" s="59">
        <f t="shared" si="127"/>
        <v>0</v>
      </c>
      <c r="AH87" s="59">
        <f t="shared" si="128"/>
        <v>0</v>
      </c>
      <c r="AI87" s="59"/>
      <c r="AJ87" s="59">
        <f t="shared" si="129"/>
        <v>0</v>
      </c>
      <c r="AK87" s="59">
        <f t="shared" si="130"/>
        <v>0</v>
      </c>
      <c r="AL87" s="59"/>
      <c r="AM87" s="59">
        <f t="shared" si="131"/>
        <v>0</v>
      </c>
      <c r="AN87" s="59">
        <f t="shared" si="164"/>
        <v>0</v>
      </c>
      <c r="AO87" s="59"/>
      <c r="AP87" s="59">
        <f t="shared" si="132"/>
        <v>0</v>
      </c>
      <c r="AQ87" s="59">
        <f t="shared" si="165"/>
        <v>0</v>
      </c>
      <c r="AR87" s="59"/>
      <c r="AS87" s="59">
        <f t="shared" si="133"/>
        <v>0</v>
      </c>
      <c r="AT87" s="59">
        <f t="shared" si="134"/>
        <v>0</v>
      </c>
      <c r="AU87" s="59"/>
      <c r="AV87" s="59">
        <f t="shared" si="135"/>
        <v>0</v>
      </c>
      <c r="AW87" s="59">
        <f t="shared" si="166"/>
        <v>0</v>
      </c>
      <c r="AX87" s="59"/>
      <c r="AY87" s="59">
        <f t="shared" si="136"/>
        <v>0</v>
      </c>
      <c r="AZ87" s="59">
        <f t="shared" si="167"/>
        <v>0</v>
      </c>
      <c r="BA87" s="61">
        <v>306.17488461538449</v>
      </c>
      <c r="BB87" s="59">
        <f t="shared" si="168"/>
        <v>373.53335923076907</v>
      </c>
      <c r="BC87" s="59">
        <f t="shared" si="169"/>
        <v>9338.3339807692264</v>
      </c>
      <c r="BD87" s="59"/>
      <c r="BE87" s="59">
        <f t="shared" si="137"/>
        <v>0</v>
      </c>
      <c r="BF87" s="59">
        <f t="shared" si="170"/>
        <v>0</v>
      </c>
      <c r="BG87" s="59"/>
      <c r="BH87" s="59">
        <f t="shared" si="138"/>
        <v>0</v>
      </c>
      <c r="BI87" s="59">
        <f t="shared" si="171"/>
        <v>0</v>
      </c>
      <c r="BJ87" s="59"/>
      <c r="BK87" s="59">
        <f t="shared" si="139"/>
        <v>0</v>
      </c>
      <c r="BL87" s="59">
        <f t="shared" si="172"/>
        <v>0</v>
      </c>
      <c r="BM87" s="59"/>
      <c r="BN87" s="59">
        <f t="shared" si="140"/>
        <v>0</v>
      </c>
      <c r="BO87" s="59">
        <f t="shared" si="141"/>
        <v>0</v>
      </c>
      <c r="BP87" s="59"/>
      <c r="BQ87" s="59">
        <f t="shared" si="142"/>
        <v>0</v>
      </c>
      <c r="BR87" s="59">
        <f t="shared" si="143"/>
        <v>0</v>
      </c>
      <c r="BS87" s="59"/>
      <c r="BT87" s="59">
        <f t="shared" si="144"/>
        <v>0</v>
      </c>
      <c r="BU87" s="59">
        <f t="shared" si="145"/>
        <v>0</v>
      </c>
      <c r="BV87" s="61">
        <v>291.93419230769217</v>
      </c>
      <c r="BW87" s="59">
        <f t="shared" si="173"/>
        <v>356.15971461538442</v>
      </c>
      <c r="BX87" s="59">
        <f t="shared" si="174"/>
        <v>8903.9928653846109</v>
      </c>
      <c r="BY87" s="20">
        <f t="shared" si="175"/>
        <v>295.88994017094006</v>
      </c>
      <c r="BZ87" s="20">
        <f t="shared" si="176"/>
        <v>360.98572700854686</v>
      </c>
      <c r="CA87" s="21">
        <f t="shared" si="177"/>
        <v>7397.2485042735016</v>
      </c>
      <c r="CB87" s="21">
        <f t="shared" si="178"/>
        <v>9024.6431752136723</v>
      </c>
      <c r="CC87" s="20">
        <f t="shared" si="149"/>
        <v>887.66982051282025</v>
      </c>
      <c r="CD87" s="20">
        <f t="shared" si="150"/>
        <v>1082.9571810256407</v>
      </c>
      <c r="CE87" s="20">
        <f t="shared" si="151"/>
        <v>6509.5786837606811</v>
      </c>
      <c r="CF87" s="20">
        <f t="shared" si="152"/>
        <v>7941.6859941880311</v>
      </c>
      <c r="CG87" s="20">
        <f t="shared" si="146"/>
        <v>9024.6431752136723</v>
      </c>
      <c r="CH87" s="4">
        <f t="shared" si="153"/>
        <v>9</v>
      </c>
      <c r="CI87" s="3">
        <f t="shared" si="147"/>
        <v>3</v>
      </c>
      <c r="CN87" s="35" t="e">
        <f>MIN((H87,K87,N87,Q87,T87,W87,Z87,AC87,AF87,AI87,AL87,AO87,AR87,AU87,AX87,BA87,BD87,BG87,BJ87,BM87,BP87,BS87,BV87,#REF!,#REF!))</f>
        <v>#REF!</v>
      </c>
      <c r="CO87" s="35" t="e">
        <f>MAX((H87,K87,N87,Q87,T87,W87,Z87,AC87,AF87,AI87,AL87,AO87,AR87,AU87,AX87,BA87,BD87,BG87,BJ87,BM87,BP87,BS87,BV87,#REF!,#REF!))</f>
        <v>#REF!</v>
      </c>
      <c r="CP87" s="47" t="e">
        <f t="shared" si="154"/>
        <v>#REF!</v>
      </c>
      <c r="CQ87" s="41" t="e">
        <f t="shared" si="155"/>
        <v>#REF!</v>
      </c>
      <c r="CS87" s="4">
        <v>1</v>
      </c>
      <c r="CT87" s="4" t="b">
        <f t="shared" si="156"/>
        <v>0</v>
      </c>
      <c r="CU87" s="4">
        <v>1</v>
      </c>
      <c r="CV87" s="4" t="b">
        <f t="shared" si="148"/>
        <v>1</v>
      </c>
      <c r="CW87" s="19">
        <v>2</v>
      </c>
      <c r="CZ87" s="4" t="s">
        <v>148</v>
      </c>
    </row>
    <row r="88" spans="1:104" s="4" customFormat="1" ht="81.75" thickBot="1" x14ac:dyDescent="0.3">
      <c r="A88" s="18">
        <v>72</v>
      </c>
      <c r="B88" s="63" t="s">
        <v>121</v>
      </c>
      <c r="C88" s="48" t="s">
        <v>14</v>
      </c>
      <c r="D88" s="107">
        <f t="shared" si="157"/>
        <v>50</v>
      </c>
      <c r="E88" s="107">
        <v>6</v>
      </c>
      <c r="F88" s="107">
        <v>44</v>
      </c>
      <c r="G88" s="60" t="s">
        <v>143</v>
      </c>
      <c r="H88" s="61">
        <v>344.05833333333334</v>
      </c>
      <c r="I88" s="59">
        <f t="shared" si="158"/>
        <v>419.75116666666668</v>
      </c>
      <c r="J88" s="59">
        <f t="shared" si="159"/>
        <v>20987.558333333334</v>
      </c>
      <c r="K88" s="59"/>
      <c r="L88" s="59">
        <f t="shared" si="117"/>
        <v>0</v>
      </c>
      <c r="M88" s="59">
        <f t="shared" si="118"/>
        <v>0</v>
      </c>
      <c r="N88" s="59"/>
      <c r="O88" s="59">
        <f t="shared" si="160"/>
        <v>0</v>
      </c>
      <c r="P88" s="59">
        <f t="shared" si="119"/>
        <v>0</v>
      </c>
      <c r="Q88" s="59"/>
      <c r="R88" s="59">
        <f t="shared" si="120"/>
        <v>0</v>
      </c>
      <c r="S88" s="59">
        <f t="shared" si="121"/>
        <v>0</v>
      </c>
      <c r="T88" s="59"/>
      <c r="U88" s="59">
        <f t="shared" si="122"/>
        <v>0</v>
      </c>
      <c r="V88" s="59">
        <f t="shared" si="161"/>
        <v>0</v>
      </c>
      <c r="W88" s="59"/>
      <c r="X88" s="59">
        <f t="shared" si="123"/>
        <v>0</v>
      </c>
      <c r="Y88" s="59">
        <f t="shared" si="162"/>
        <v>0</v>
      </c>
      <c r="Z88" s="59"/>
      <c r="AA88" s="59">
        <f t="shared" si="124"/>
        <v>0</v>
      </c>
      <c r="AB88" s="59">
        <f t="shared" si="163"/>
        <v>0</v>
      </c>
      <c r="AC88" s="59"/>
      <c r="AD88" s="59">
        <f t="shared" si="125"/>
        <v>0</v>
      </c>
      <c r="AE88" s="59">
        <f t="shared" si="126"/>
        <v>0</v>
      </c>
      <c r="AF88" s="59"/>
      <c r="AG88" s="59">
        <f t="shared" si="127"/>
        <v>0</v>
      </c>
      <c r="AH88" s="59">
        <f t="shared" si="128"/>
        <v>0</v>
      </c>
      <c r="AI88" s="59"/>
      <c r="AJ88" s="59">
        <f t="shared" si="129"/>
        <v>0</v>
      </c>
      <c r="AK88" s="59">
        <f t="shared" si="130"/>
        <v>0</v>
      </c>
      <c r="AL88" s="59"/>
      <c r="AM88" s="59">
        <f t="shared" si="131"/>
        <v>0</v>
      </c>
      <c r="AN88" s="59">
        <f t="shared" si="164"/>
        <v>0</v>
      </c>
      <c r="AO88" s="59"/>
      <c r="AP88" s="59">
        <f t="shared" si="132"/>
        <v>0</v>
      </c>
      <c r="AQ88" s="59">
        <f t="shared" si="165"/>
        <v>0</v>
      </c>
      <c r="AR88" s="59"/>
      <c r="AS88" s="59">
        <f t="shared" si="133"/>
        <v>0</v>
      </c>
      <c r="AT88" s="59">
        <f t="shared" si="134"/>
        <v>0</v>
      </c>
      <c r="AU88" s="59"/>
      <c r="AV88" s="59">
        <f t="shared" si="135"/>
        <v>0</v>
      </c>
      <c r="AW88" s="59">
        <f t="shared" si="166"/>
        <v>0</v>
      </c>
      <c r="AX88" s="59"/>
      <c r="AY88" s="59">
        <f t="shared" si="136"/>
        <v>0</v>
      </c>
      <c r="AZ88" s="59">
        <f t="shared" si="167"/>
        <v>0</v>
      </c>
      <c r="BA88" s="61">
        <v>355.24722222222226</v>
      </c>
      <c r="BB88" s="59">
        <f t="shared" si="168"/>
        <v>433.40161111111115</v>
      </c>
      <c r="BC88" s="59">
        <f t="shared" si="169"/>
        <v>21670.080555555556</v>
      </c>
      <c r="BD88" s="59"/>
      <c r="BE88" s="59">
        <f t="shared" si="137"/>
        <v>0</v>
      </c>
      <c r="BF88" s="59">
        <f t="shared" si="170"/>
        <v>0</v>
      </c>
      <c r="BG88" s="59"/>
      <c r="BH88" s="59">
        <f t="shared" si="138"/>
        <v>0</v>
      </c>
      <c r="BI88" s="59">
        <f t="shared" si="171"/>
        <v>0</v>
      </c>
      <c r="BJ88" s="59"/>
      <c r="BK88" s="59">
        <f t="shared" si="139"/>
        <v>0</v>
      </c>
      <c r="BL88" s="59">
        <f t="shared" si="172"/>
        <v>0</v>
      </c>
      <c r="BM88" s="59"/>
      <c r="BN88" s="59">
        <f t="shared" si="140"/>
        <v>0</v>
      </c>
      <c r="BO88" s="59">
        <f t="shared" si="141"/>
        <v>0</v>
      </c>
      <c r="BP88" s="59"/>
      <c r="BQ88" s="59">
        <f t="shared" si="142"/>
        <v>0</v>
      </c>
      <c r="BR88" s="59">
        <f t="shared" si="143"/>
        <v>0</v>
      </c>
      <c r="BS88" s="59"/>
      <c r="BT88" s="59">
        <f t="shared" si="144"/>
        <v>0</v>
      </c>
      <c r="BU88" s="59">
        <f t="shared" si="145"/>
        <v>0</v>
      </c>
      <c r="BV88" s="61">
        <v>358.04444444444448</v>
      </c>
      <c r="BW88" s="59">
        <f t="shared" si="173"/>
        <v>436.81422222222227</v>
      </c>
      <c r="BX88" s="59">
        <f t="shared" si="174"/>
        <v>21840.711111111115</v>
      </c>
      <c r="BY88" s="20">
        <f t="shared" si="175"/>
        <v>352.45000000000005</v>
      </c>
      <c r="BZ88" s="20">
        <f t="shared" si="176"/>
        <v>429.98900000000003</v>
      </c>
      <c r="CA88" s="21">
        <f t="shared" si="177"/>
        <v>17622.500000000004</v>
      </c>
      <c r="CB88" s="21">
        <f t="shared" si="178"/>
        <v>21499.450000000004</v>
      </c>
      <c r="CC88" s="20">
        <f t="shared" si="149"/>
        <v>2114.7000000000003</v>
      </c>
      <c r="CD88" s="20">
        <f t="shared" si="150"/>
        <v>2579.9340000000002</v>
      </c>
      <c r="CE88" s="20">
        <f t="shared" si="151"/>
        <v>15507.800000000003</v>
      </c>
      <c r="CF88" s="20">
        <f t="shared" si="152"/>
        <v>18919.516000000003</v>
      </c>
      <c r="CG88" s="20">
        <f t="shared" si="146"/>
        <v>21499.450000000004</v>
      </c>
      <c r="CH88" s="4">
        <f t="shared" si="153"/>
        <v>9</v>
      </c>
      <c r="CI88" s="3">
        <f t="shared" si="147"/>
        <v>3</v>
      </c>
      <c r="CN88" s="35" t="e">
        <f>MIN((H88,K88,N88,Q88,T88,W88,Z88,AC88,AF88,AI88,AL88,AO88,AR88,AU88,AX88,BA88,BD88,BG88,BJ88,BM88,BP88,BS88,BV88,#REF!,#REF!))</f>
        <v>#REF!</v>
      </c>
      <c r="CO88" s="35" t="e">
        <f>MAX((H88,K88,N88,Q88,T88,W88,Z88,AC88,AF88,AI88,AL88,AO88,AR88,AU88,AX88,BA88,BD88,BG88,BJ88,BM88,BP88,BS88,BV88,#REF!,#REF!))</f>
        <v>#REF!</v>
      </c>
      <c r="CP88" s="47" t="e">
        <f t="shared" si="154"/>
        <v>#REF!</v>
      </c>
      <c r="CQ88" s="41" t="e">
        <f t="shared" si="155"/>
        <v>#REF!</v>
      </c>
      <c r="CS88" s="4">
        <v>1</v>
      </c>
      <c r="CT88" s="4" t="b">
        <f t="shared" si="156"/>
        <v>0</v>
      </c>
      <c r="CU88" s="4">
        <v>0</v>
      </c>
      <c r="CV88" s="4" t="b">
        <f t="shared" si="148"/>
        <v>1</v>
      </c>
      <c r="CW88" s="19">
        <v>1</v>
      </c>
      <c r="CZ88" s="4" t="s">
        <v>148</v>
      </c>
    </row>
    <row r="89" spans="1:104" s="4" customFormat="1" ht="61.5" thickBot="1" x14ac:dyDescent="0.3">
      <c r="A89" s="18">
        <v>73</v>
      </c>
      <c r="B89" s="62" t="s">
        <v>122</v>
      </c>
      <c r="C89" s="48" t="s">
        <v>14</v>
      </c>
      <c r="D89" s="107">
        <f t="shared" si="157"/>
        <v>24.5</v>
      </c>
      <c r="E89" s="107">
        <v>3</v>
      </c>
      <c r="F89" s="107">
        <v>21.5</v>
      </c>
      <c r="G89" s="60" t="s">
        <v>143</v>
      </c>
      <c r="H89" s="61">
        <v>282.28783333333337</v>
      </c>
      <c r="I89" s="59">
        <f t="shared" si="158"/>
        <v>344.39115666666669</v>
      </c>
      <c r="J89" s="59">
        <f t="shared" si="159"/>
        <v>8437.5833383333338</v>
      </c>
      <c r="K89" s="59"/>
      <c r="L89" s="59">
        <f t="shared" si="117"/>
        <v>0</v>
      </c>
      <c r="M89" s="59">
        <f t="shared" si="118"/>
        <v>0</v>
      </c>
      <c r="N89" s="59"/>
      <c r="O89" s="59">
        <f t="shared" si="160"/>
        <v>0</v>
      </c>
      <c r="P89" s="59">
        <f t="shared" si="119"/>
        <v>0</v>
      </c>
      <c r="Q89" s="59"/>
      <c r="R89" s="59">
        <f t="shared" si="120"/>
        <v>0</v>
      </c>
      <c r="S89" s="59">
        <f t="shared" si="121"/>
        <v>0</v>
      </c>
      <c r="T89" s="59"/>
      <c r="U89" s="59">
        <f t="shared" si="122"/>
        <v>0</v>
      </c>
      <c r="V89" s="59">
        <f t="shared" si="161"/>
        <v>0</v>
      </c>
      <c r="W89" s="59"/>
      <c r="X89" s="59">
        <f t="shared" si="123"/>
        <v>0</v>
      </c>
      <c r="Y89" s="59">
        <f t="shared" si="162"/>
        <v>0</v>
      </c>
      <c r="Z89" s="59"/>
      <c r="AA89" s="59">
        <f t="shared" si="124"/>
        <v>0</v>
      </c>
      <c r="AB89" s="59">
        <f t="shared" si="163"/>
        <v>0</v>
      </c>
      <c r="AC89" s="59"/>
      <c r="AD89" s="59">
        <f t="shared" si="125"/>
        <v>0</v>
      </c>
      <c r="AE89" s="59">
        <f t="shared" si="126"/>
        <v>0</v>
      </c>
      <c r="AF89" s="59"/>
      <c r="AG89" s="59">
        <f t="shared" si="127"/>
        <v>0</v>
      </c>
      <c r="AH89" s="59">
        <f t="shared" si="128"/>
        <v>0</v>
      </c>
      <c r="AI89" s="59"/>
      <c r="AJ89" s="59">
        <f t="shared" si="129"/>
        <v>0</v>
      </c>
      <c r="AK89" s="59">
        <f t="shared" si="130"/>
        <v>0</v>
      </c>
      <c r="AL89" s="59"/>
      <c r="AM89" s="59">
        <f t="shared" si="131"/>
        <v>0</v>
      </c>
      <c r="AN89" s="59">
        <f t="shared" si="164"/>
        <v>0</v>
      </c>
      <c r="AO89" s="59"/>
      <c r="AP89" s="59">
        <f t="shared" si="132"/>
        <v>0</v>
      </c>
      <c r="AQ89" s="59">
        <f t="shared" si="165"/>
        <v>0</v>
      </c>
      <c r="AR89" s="59"/>
      <c r="AS89" s="59">
        <f t="shared" si="133"/>
        <v>0</v>
      </c>
      <c r="AT89" s="59">
        <f t="shared" si="134"/>
        <v>0</v>
      </c>
      <c r="AU89" s="59"/>
      <c r="AV89" s="59">
        <f t="shared" si="135"/>
        <v>0</v>
      </c>
      <c r="AW89" s="59">
        <f t="shared" si="166"/>
        <v>0</v>
      </c>
      <c r="AX89" s="59"/>
      <c r="AY89" s="59">
        <f t="shared" si="136"/>
        <v>0</v>
      </c>
      <c r="AZ89" s="59">
        <f t="shared" si="167"/>
        <v>0</v>
      </c>
      <c r="BA89" s="61">
        <v>273.53472222222223</v>
      </c>
      <c r="BB89" s="59">
        <f t="shared" si="168"/>
        <v>333.71236111111114</v>
      </c>
      <c r="BC89" s="59">
        <f t="shared" si="169"/>
        <v>8175.9528472222228</v>
      </c>
      <c r="BD89" s="59"/>
      <c r="BE89" s="59">
        <f t="shared" si="137"/>
        <v>0</v>
      </c>
      <c r="BF89" s="59">
        <f t="shared" si="170"/>
        <v>0</v>
      </c>
      <c r="BG89" s="59"/>
      <c r="BH89" s="59">
        <f t="shared" si="138"/>
        <v>0</v>
      </c>
      <c r="BI89" s="59">
        <f t="shared" si="171"/>
        <v>0</v>
      </c>
      <c r="BJ89" s="59"/>
      <c r="BK89" s="59">
        <f t="shared" si="139"/>
        <v>0</v>
      </c>
      <c r="BL89" s="59">
        <f t="shared" si="172"/>
        <v>0</v>
      </c>
      <c r="BM89" s="59"/>
      <c r="BN89" s="59">
        <f t="shared" si="140"/>
        <v>0</v>
      </c>
      <c r="BO89" s="59">
        <f t="shared" si="141"/>
        <v>0</v>
      </c>
      <c r="BP89" s="59"/>
      <c r="BQ89" s="59">
        <f t="shared" si="142"/>
        <v>0</v>
      </c>
      <c r="BR89" s="59">
        <f t="shared" si="143"/>
        <v>0</v>
      </c>
      <c r="BS89" s="59"/>
      <c r="BT89" s="59">
        <f t="shared" si="144"/>
        <v>0</v>
      </c>
      <c r="BU89" s="59">
        <f t="shared" si="145"/>
        <v>0</v>
      </c>
      <c r="BV89" s="61">
        <v>269.15816666666666</v>
      </c>
      <c r="BW89" s="59">
        <f t="shared" si="173"/>
        <v>328.3729633333333</v>
      </c>
      <c r="BX89" s="59">
        <f t="shared" si="174"/>
        <v>8045.1376016666663</v>
      </c>
      <c r="BY89" s="20">
        <f t="shared" si="175"/>
        <v>274.9935740740741</v>
      </c>
      <c r="BZ89" s="20">
        <f t="shared" si="176"/>
        <v>335.49216037037041</v>
      </c>
      <c r="CA89" s="21">
        <f t="shared" si="177"/>
        <v>6737.3425648148159</v>
      </c>
      <c r="CB89" s="21">
        <f t="shared" si="178"/>
        <v>8219.5579290740752</v>
      </c>
      <c r="CC89" s="20">
        <f t="shared" si="149"/>
        <v>824.98072222222231</v>
      </c>
      <c r="CD89" s="20">
        <f t="shared" si="150"/>
        <v>1006.4764811111113</v>
      </c>
      <c r="CE89" s="20">
        <f t="shared" si="151"/>
        <v>5912.3618425925933</v>
      </c>
      <c r="CF89" s="20">
        <f t="shared" si="152"/>
        <v>7213.0814479629635</v>
      </c>
      <c r="CG89" s="20">
        <f t="shared" si="146"/>
        <v>8219.5579290740752</v>
      </c>
      <c r="CH89" s="4">
        <f t="shared" si="153"/>
        <v>9</v>
      </c>
      <c r="CI89" s="4">
        <f t="shared" si="147"/>
        <v>3</v>
      </c>
      <c r="CN89" s="35" t="e">
        <f>MIN((H89,K89,N89,Q89,T89,W89,Z89,AC89,AF89,AI89,AL89,AO89,AR89,AU89,AX89,BA89,BD89,BG89,BJ89,BM89,BP89,BS89,BV89,#REF!,#REF!))</f>
        <v>#REF!</v>
      </c>
      <c r="CO89" s="35" t="e">
        <f>MAX((H89,K89,N89,Q89,T89,W89,Z89,AC89,AF89,AI89,AL89,AO89,AR89,AU89,AX89,BA89,BD89,BG89,BJ89,BM89,BP89,BS89,BV89,#REF!,#REF!))</f>
        <v>#REF!</v>
      </c>
      <c r="CP89" s="47" t="e">
        <f t="shared" si="154"/>
        <v>#REF!</v>
      </c>
      <c r="CQ89" s="40"/>
      <c r="CS89" s="4">
        <v>0.2</v>
      </c>
      <c r="CT89" s="4" t="b">
        <f t="shared" si="156"/>
        <v>0</v>
      </c>
      <c r="CU89" s="4">
        <v>0</v>
      </c>
      <c r="CV89" s="4" t="b">
        <f t="shared" si="148"/>
        <v>1</v>
      </c>
      <c r="CW89" s="19">
        <v>0.2</v>
      </c>
      <c r="CZ89" s="4" t="s">
        <v>148</v>
      </c>
    </row>
    <row r="90" spans="1:104" s="4" customFormat="1" ht="21" thickBot="1" x14ac:dyDescent="0.3">
      <c r="A90" s="18">
        <v>74</v>
      </c>
      <c r="B90" s="63" t="s">
        <v>123</v>
      </c>
      <c r="C90" s="48" t="s">
        <v>14</v>
      </c>
      <c r="D90" s="107">
        <f t="shared" si="157"/>
        <v>250</v>
      </c>
      <c r="E90" s="107">
        <v>60</v>
      </c>
      <c r="F90" s="107">
        <v>190</v>
      </c>
      <c r="G90" s="19" t="s">
        <v>17</v>
      </c>
      <c r="H90" s="61">
        <v>318.26666666666671</v>
      </c>
      <c r="I90" s="59">
        <f t="shared" si="158"/>
        <v>388.28533333333337</v>
      </c>
      <c r="J90" s="59">
        <f t="shared" si="159"/>
        <v>97071.333333333343</v>
      </c>
      <c r="K90" s="59"/>
      <c r="L90" s="59">
        <f t="shared" si="117"/>
        <v>0</v>
      </c>
      <c r="M90" s="59">
        <f t="shared" si="118"/>
        <v>0</v>
      </c>
      <c r="N90" s="59"/>
      <c r="O90" s="59">
        <f t="shared" si="160"/>
        <v>0</v>
      </c>
      <c r="P90" s="59">
        <f t="shared" si="119"/>
        <v>0</v>
      </c>
      <c r="Q90" s="59"/>
      <c r="R90" s="59">
        <f t="shared" si="120"/>
        <v>0</v>
      </c>
      <c r="S90" s="59">
        <f t="shared" si="121"/>
        <v>0</v>
      </c>
      <c r="T90" s="59"/>
      <c r="U90" s="59">
        <f t="shared" si="122"/>
        <v>0</v>
      </c>
      <c r="V90" s="59">
        <f t="shared" si="161"/>
        <v>0</v>
      </c>
      <c r="W90" s="59"/>
      <c r="X90" s="59">
        <f t="shared" si="123"/>
        <v>0</v>
      </c>
      <c r="Y90" s="59">
        <f t="shared" si="162"/>
        <v>0</v>
      </c>
      <c r="Z90" s="59"/>
      <c r="AA90" s="59">
        <f t="shared" si="124"/>
        <v>0</v>
      </c>
      <c r="AB90" s="59">
        <f t="shared" si="163"/>
        <v>0</v>
      </c>
      <c r="AC90" s="59"/>
      <c r="AD90" s="59">
        <f t="shared" si="125"/>
        <v>0</v>
      </c>
      <c r="AE90" s="59">
        <f t="shared" si="126"/>
        <v>0</v>
      </c>
      <c r="AF90" s="59"/>
      <c r="AG90" s="59">
        <f t="shared" si="127"/>
        <v>0</v>
      </c>
      <c r="AH90" s="59">
        <f t="shared" si="128"/>
        <v>0</v>
      </c>
      <c r="AI90" s="59"/>
      <c r="AJ90" s="59">
        <f t="shared" si="129"/>
        <v>0</v>
      </c>
      <c r="AK90" s="59">
        <f t="shared" si="130"/>
        <v>0</v>
      </c>
      <c r="AL90" s="59"/>
      <c r="AM90" s="59">
        <f t="shared" si="131"/>
        <v>0</v>
      </c>
      <c r="AN90" s="59">
        <f t="shared" si="164"/>
        <v>0</v>
      </c>
      <c r="AO90" s="59"/>
      <c r="AP90" s="59">
        <f t="shared" si="132"/>
        <v>0</v>
      </c>
      <c r="AQ90" s="59">
        <f t="shared" si="165"/>
        <v>0</v>
      </c>
      <c r="AR90" s="59"/>
      <c r="AS90" s="59">
        <f t="shared" si="133"/>
        <v>0</v>
      </c>
      <c r="AT90" s="59">
        <f t="shared" si="134"/>
        <v>0</v>
      </c>
      <c r="AU90" s="59"/>
      <c r="AV90" s="59">
        <f t="shared" si="135"/>
        <v>0</v>
      </c>
      <c r="AW90" s="59">
        <f t="shared" si="166"/>
        <v>0</v>
      </c>
      <c r="AX90" s="59"/>
      <c r="AY90" s="59">
        <f t="shared" si="136"/>
        <v>0</v>
      </c>
      <c r="AZ90" s="59">
        <f t="shared" si="167"/>
        <v>0</v>
      </c>
      <c r="BA90" s="61">
        <v>341.36666666666673</v>
      </c>
      <c r="BB90" s="59">
        <f t="shared" si="168"/>
        <v>416.46733333333339</v>
      </c>
      <c r="BC90" s="59">
        <f t="shared" si="169"/>
        <v>104116.83333333334</v>
      </c>
      <c r="BD90" s="59"/>
      <c r="BE90" s="59">
        <f t="shared" si="137"/>
        <v>0</v>
      </c>
      <c r="BF90" s="59">
        <f t="shared" si="170"/>
        <v>0</v>
      </c>
      <c r="BG90" s="59"/>
      <c r="BH90" s="59">
        <f t="shared" si="138"/>
        <v>0</v>
      </c>
      <c r="BI90" s="59">
        <f t="shared" si="171"/>
        <v>0</v>
      </c>
      <c r="BJ90" s="59"/>
      <c r="BK90" s="59">
        <f t="shared" si="139"/>
        <v>0</v>
      </c>
      <c r="BL90" s="59">
        <f t="shared" si="172"/>
        <v>0</v>
      </c>
      <c r="BM90" s="59"/>
      <c r="BN90" s="59">
        <f t="shared" si="140"/>
        <v>0</v>
      </c>
      <c r="BO90" s="59">
        <f t="shared" si="141"/>
        <v>0</v>
      </c>
      <c r="BP90" s="59"/>
      <c r="BQ90" s="59">
        <f t="shared" si="142"/>
        <v>0</v>
      </c>
      <c r="BR90" s="59">
        <f t="shared" si="143"/>
        <v>0</v>
      </c>
      <c r="BS90" s="59"/>
      <c r="BT90" s="59">
        <f t="shared" si="144"/>
        <v>0</v>
      </c>
      <c r="BU90" s="59">
        <f t="shared" si="145"/>
        <v>0</v>
      </c>
      <c r="BV90" s="61">
        <v>343.93333333333339</v>
      </c>
      <c r="BW90" s="59">
        <f t="shared" si="173"/>
        <v>419.59866666666676</v>
      </c>
      <c r="BX90" s="59">
        <f t="shared" si="174"/>
        <v>104899.66666666669</v>
      </c>
      <c r="BY90" s="20">
        <f t="shared" si="175"/>
        <v>334.5222222222223</v>
      </c>
      <c r="BZ90" s="20">
        <f t="shared" si="176"/>
        <v>408.11711111111117</v>
      </c>
      <c r="CA90" s="21">
        <f t="shared" si="177"/>
        <v>83630.555555555577</v>
      </c>
      <c r="CB90" s="21">
        <f t="shared" si="178"/>
        <v>102029.2777777778</v>
      </c>
      <c r="CC90" s="20">
        <f t="shared" si="149"/>
        <v>20071.333333333339</v>
      </c>
      <c r="CD90" s="20">
        <f t="shared" si="150"/>
        <v>24487.026666666672</v>
      </c>
      <c r="CE90" s="20">
        <f t="shared" si="151"/>
        <v>63559.222222222234</v>
      </c>
      <c r="CF90" s="20">
        <f t="shared" si="152"/>
        <v>77542.251111111123</v>
      </c>
      <c r="CG90" s="20">
        <f t="shared" si="146"/>
        <v>102029.2777777778</v>
      </c>
      <c r="CH90" s="4">
        <f t="shared" si="153"/>
        <v>9</v>
      </c>
      <c r="CI90" s="4">
        <f t="shared" si="147"/>
        <v>3</v>
      </c>
      <c r="CN90" s="35" t="e">
        <f>MIN((H90,K90,N90,Q90,T90,W90,Z90,AC90,AF90,AI90,AL90,AO90,AR90,AU90,AX90,BA90,BD90,BG90,BJ90,BM90,BP90,BS90,BV90,#REF!,#REF!))</f>
        <v>#REF!</v>
      </c>
      <c r="CO90" s="35" t="e">
        <f>MAX((H90,K90,N90,Q90,T90,W90,Z90,AC90,AF90,AI90,AL90,AO90,AR90,AU90,AX90,BA90,BD90,BG90,BJ90,BM90,BP90,BS90,BV90,#REF!,#REF!))</f>
        <v>#REF!</v>
      </c>
      <c r="CP90" s="47" t="e">
        <f t="shared" si="154"/>
        <v>#REF!</v>
      </c>
      <c r="CQ90" s="40"/>
      <c r="CS90" s="4">
        <v>110</v>
      </c>
      <c r="CT90" s="4" t="b">
        <f t="shared" si="156"/>
        <v>0</v>
      </c>
      <c r="CU90" s="4">
        <v>0</v>
      </c>
      <c r="CV90" s="4" t="b">
        <f t="shared" si="148"/>
        <v>1</v>
      </c>
      <c r="CW90" s="19">
        <v>110</v>
      </c>
      <c r="CZ90" s="4" t="s">
        <v>148</v>
      </c>
    </row>
    <row r="91" spans="1:104" s="4" customFormat="1" ht="81.75" thickBot="1" x14ac:dyDescent="0.3">
      <c r="A91" s="18">
        <v>75</v>
      </c>
      <c r="B91" s="62" t="s">
        <v>124</v>
      </c>
      <c r="C91" s="48" t="s">
        <v>14</v>
      </c>
      <c r="D91" s="107">
        <f t="shared" si="157"/>
        <v>25</v>
      </c>
      <c r="E91" s="107">
        <v>4.5</v>
      </c>
      <c r="F91" s="107">
        <v>20.5</v>
      </c>
      <c r="G91" s="60" t="s">
        <v>143</v>
      </c>
      <c r="H91" s="61">
        <v>202.02383333333336</v>
      </c>
      <c r="I91" s="59">
        <f t="shared" si="158"/>
        <v>246.46907666666669</v>
      </c>
      <c r="J91" s="59">
        <f t="shared" si="159"/>
        <v>6161.7269166666674</v>
      </c>
      <c r="K91" s="59"/>
      <c r="L91" s="59">
        <f t="shared" si="117"/>
        <v>0</v>
      </c>
      <c r="M91" s="59">
        <f t="shared" si="118"/>
        <v>0</v>
      </c>
      <c r="N91" s="59"/>
      <c r="O91" s="59">
        <f t="shared" si="160"/>
        <v>0</v>
      </c>
      <c r="P91" s="59">
        <f t="shared" si="119"/>
        <v>0</v>
      </c>
      <c r="Q91" s="59"/>
      <c r="R91" s="59">
        <f t="shared" si="120"/>
        <v>0</v>
      </c>
      <c r="S91" s="59">
        <f t="shared" si="121"/>
        <v>0</v>
      </c>
      <c r="T91" s="59"/>
      <c r="U91" s="59">
        <f t="shared" si="122"/>
        <v>0</v>
      </c>
      <c r="V91" s="59">
        <f t="shared" si="161"/>
        <v>0</v>
      </c>
      <c r="W91" s="59"/>
      <c r="X91" s="59">
        <f t="shared" si="123"/>
        <v>0</v>
      </c>
      <c r="Y91" s="59">
        <f t="shared" si="162"/>
        <v>0</v>
      </c>
      <c r="Z91" s="59"/>
      <c r="AA91" s="59">
        <f t="shared" si="124"/>
        <v>0</v>
      </c>
      <c r="AB91" s="59">
        <f t="shared" si="163"/>
        <v>0</v>
      </c>
      <c r="AC91" s="59"/>
      <c r="AD91" s="59">
        <f t="shared" si="125"/>
        <v>0</v>
      </c>
      <c r="AE91" s="59">
        <f t="shared" si="126"/>
        <v>0</v>
      </c>
      <c r="AF91" s="59"/>
      <c r="AG91" s="59">
        <f t="shared" si="127"/>
        <v>0</v>
      </c>
      <c r="AH91" s="59">
        <f t="shared" si="128"/>
        <v>0</v>
      </c>
      <c r="AI91" s="59"/>
      <c r="AJ91" s="59">
        <f t="shared" si="129"/>
        <v>0</v>
      </c>
      <c r="AK91" s="59">
        <f t="shared" si="130"/>
        <v>0</v>
      </c>
      <c r="AL91" s="59"/>
      <c r="AM91" s="59">
        <f t="shared" si="131"/>
        <v>0</v>
      </c>
      <c r="AN91" s="59">
        <f t="shared" si="164"/>
        <v>0</v>
      </c>
      <c r="AO91" s="59"/>
      <c r="AP91" s="59">
        <f t="shared" si="132"/>
        <v>0</v>
      </c>
      <c r="AQ91" s="59">
        <f t="shared" si="165"/>
        <v>0</v>
      </c>
      <c r="AR91" s="59"/>
      <c r="AS91" s="59">
        <f t="shared" si="133"/>
        <v>0</v>
      </c>
      <c r="AT91" s="59">
        <f t="shared" si="134"/>
        <v>0</v>
      </c>
      <c r="AU91" s="59"/>
      <c r="AV91" s="59">
        <f t="shared" si="135"/>
        <v>0</v>
      </c>
      <c r="AW91" s="59">
        <f t="shared" si="166"/>
        <v>0</v>
      </c>
      <c r="AX91" s="59"/>
      <c r="AY91" s="59">
        <f t="shared" si="136"/>
        <v>0</v>
      </c>
      <c r="AZ91" s="59">
        <f t="shared" si="167"/>
        <v>0</v>
      </c>
      <c r="BA91" s="61">
        <v>188.14433333333332</v>
      </c>
      <c r="BB91" s="59">
        <f t="shared" si="168"/>
        <v>229.53608666666665</v>
      </c>
      <c r="BC91" s="59">
        <f t="shared" si="169"/>
        <v>5738.4021666666658</v>
      </c>
      <c r="BD91" s="59"/>
      <c r="BE91" s="59">
        <f t="shared" si="137"/>
        <v>0</v>
      </c>
      <c r="BF91" s="59">
        <f t="shared" si="170"/>
        <v>0</v>
      </c>
      <c r="BG91" s="59"/>
      <c r="BH91" s="59">
        <f t="shared" si="138"/>
        <v>0</v>
      </c>
      <c r="BI91" s="59">
        <f t="shared" si="171"/>
        <v>0</v>
      </c>
      <c r="BJ91" s="59"/>
      <c r="BK91" s="59">
        <f t="shared" si="139"/>
        <v>0</v>
      </c>
      <c r="BL91" s="59">
        <f t="shared" si="172"/>
        <v>0</v>
      </c>
      <c r="BM91" s="59"/>
      <c r="BN91" s="59">
        <f t="shared" si="140"/>
        <v>0</v>
      </c>
      <c r="BO91" s="59">
        <f t="shared" si="141"/>
        <v>0</v>
      </c>
      <c r="BP91" s="59"/>
      <c r="BQ91" s="59">
        <f t="shared" si="142"/>
        <v>0</v>
      </c>
      <c r="BR91" s="59">
        <f t="shared" si="143"/>
        <v>0</v>
      </c>
      <c r="BS91" s="59"/>
      <c r="BT91" s="59">
        <f t="shared" si="144"/>
        <v>0</v>
      </c>
      <c r="BU91" s="59">
        <f t="shared" si="145"/>
        <v>0</v>
      </c>
      <c r="BV91" s="61">
        <v>188.14433333333332</v>
      </c>
      <c r="BW91" s="59">
        <f t="shared" si="173"/>
        <v>229.53608666666665</v>
      </c>
      <c r="BX91" s="59">
        <f t="shared" si="174"/>
        <v>5738.4021666666658</v>
      </c>
      <c r="BY91" s="20">
        <f t="shared" si="175"/>
        <v>192.77083333333334</v>
      </c>
      <c r="BZ91" s="20">
        <f t="shared" si="176"/>
        <v>235.18041666666667</v>
      </c>
      <c r="CA91" s="21">
        <f t="shared" si="177"/>
        <v>4819.2708333333339</v>
      </c>
      <c r="CB91" s="21">
        <f t="shared" si="178"/>
        <v>5879.510416666667</v>
      </c>
      <c r="CC91" s="20">
        <f t="shared" si="149"/>
        <v>867.46875</v>
      </c>
      <c r="CD91" s="20">
        <f t="shared" si="150"/>
        <v>1058.3118750000001</v>
      </c>
      <c r="CE91" s="20">
        <f t="shared" si="151"/>
        <v>3951.8020833333335</v>
      </c>
      <c r="CF91" s="20">
        <f t="shared" si="152"/>
        <v>4821.1985416666666</v>
      </c>
      <c r="CG91" s="20">
        <f t="shared" si="146"/>
        <v>5879.510416666667</v>
      </c>
      <c r="CH91" s="4">
        <f t="shared" si="153"/>
        <v>9</v>
      </c>
      <c r="CI91" s="4">
        <f t="shared" si="147"/>
        <v>3</v>
      </c>
      <c r="CN91" s="35" t="e">
        <f>MIN((H91,K91,N91,Q91,T91,W91,Z91,AC91,AF91,AI91,AL91,AO91,AR91,AU91,AX91,BA91,BD91,BG91,BJ91,BM91,BP91,BS91,BV91,#REF!,#REF!))</f>
        <v>#REF!</v>
      </c>
      <c r="CO91" s="35" t="e">
        <f>MAX((H91,K91,N91,Q91,T91,W91,Z91,AC91,AF91,AI91,AL91,AO91,AR91,AU91,AX91,BA91,BD91,BG91,BJ91,BM91,BP91,BS91,BV91,#REF!,#REF!))</f>
        <v>#REF!</v>
      </c>
      <c r="CP91" s="47" t="e">
        <f t="shared" si="154"/>
        <v>#REF!</v>
      </c>
      <c r="CQ91" s="40"/>
      <c r="CS91" s="4">
        <v>9</v>
      </c>
      <c r="CT91" s="4" t="b">
        <f t="shared" si="156"/>
        <v>0</v>
      </c>
      <c r="CU91" s="4">
        <v>1</v>
      </c>
      <c r="CV91" s="4" t="b">
        <f t="shared" si="148"/>
        <v>1</v>
      </c>
      <c r="CW91" s="19">
        <v>10</v>
      </c>
      <c r="CZ91" s="4" t="s">
        <v>148</v>
      </c>
    </row>
    <row r="92" spans="1:104" s="4" customFormat="1" ht="102" thickBot="1" x14ac:dyDescent="0.3">
      <c r="A92" s="18">
        <v>76</v>
      </c>
      <c r="B92" s="62" t="s">
        <v>125</v>
      </c>
      <c r="C92" s="48" t="s">
        <v>14</v>
      </c>
      <c r="D92" s="107">
        <f t="shared" si="157"/>
        <v>30</v>
      </c>
      <c r="E92" s="107">
        <v>6</v>
      </c>
      <c r="F92" s="107">
        <v>24</v>
      </c>
      <c r="G92" s="60" t="s">
        <v>143</v>
      </c>
      <c r="H92" s="61">
        <v>339.15000000000003</v>
      </c>
      <c r="I92" s="59">
        <f t="shared" si="158"/>
        <v>413.76300000000003</v>
      </c>
      <c r="J92" s="59">
        <f t="shared" si="159"/>
        <v>12412.890000000001</v>
      </c>
      <c r="K92" s="59"/>
      <c r="L92" s="59">
        <f t="shared" si="117"/>
        <v>0</v>
      </c>
      <c r="M92" s="59">
        <f t="shared" si="118"/>
        <v>0</v>
      </c>
      <c r="N92" s="59"/>
      <c r="O92" s="59">
        <f t="shared" si="160"/>
        <v>0</v>
      </c>
      <c r="P92" s="59">
        <f t="shared" si="119"/>
        <v>0</v>
      </c>
      <c r="Q92" s="59"/>
      <c r="R92" s="59">
        <f t="shared" si="120"/>
        <v>0</v>
      </c>
      <c r="S92" s="59">
        <f t="shared" si="121"/>
        <v>0</v>
      </c>
      <c r="T92" s="59"/>
      <c r="U92" s="59">
        <f t="shared" si="122"/>
        <v>0</v>
      </c>
      <c r="V92" s="59">
        <f t="shared" si="161"/>
        <v>0</v>
      </c>
      <c r="W92" s="59"/>
      <c r="X92" s="59">
        <f t="shared" si="123"/>
        <v>0</v>
      </c>
      <c r="Y92" s="59">
        <f t="shared" si="162"/>
        <v>0</v>
      </c>
      <c r="Z92" s="59"/>
      <c r="AA92" s="59">
        <f t="shared" si="124"/>
        <v>0</v>
      </c>
      <c r="AB92" s="59">
        <f t="shared" si="163"/>
        <v>0</v>
      </c>
      <c r="AC92" s="59"/>
      <c r="AD92" s="59">
        <f t="shared" si="125"/>
        <v>0</v>
      </c>
      <c r="AE92" s="59">
        <f t="shared" si="126"/>
        <v>0</v>
      </c>
      <c r="AF92" s="59"/>
      <c r="AG92" s="59">
        <f t="shared" si="127"/>
        <v>0</v>
      </c>
      <c r="AH92" s="59">
        <f t="shared" si="128"/>
        <v>0</v>
      </c>
      <c r="AI92" s="59"/>
      <c r="AJ92" s="59">
        <f t="shared" si="129"/>
        <v>0</v>
      </c>
      <c r="AK92" s="59">
        <f t="shared" si="130"/>
        <v>0</v>
      </c>
      <c r="AL92" s="59"/>
      <c r="AM92" s="59">
        <f t="shared" si="131"/>
        <v>0</v>
      </c>
      <c r="AN92" s="59">
        <f t="shared" si="164"/>
        <v>0</v>
      </c>
      <c r="AO92" s="59"/>
      <c r="AP92" s="59">
        <f t="shared" si="132"/>
        <v>0</v>
      </c>
      <c r="AQ92" s="59">
        <f t="shared" si="165"/>
        <v>0</v>
      </c>
      <c r="AR92" s="59"/>
      <c r="AS92" s="59">
        <f t="shared" si="133"/>
        <v>0</v>
      </c>
      <c r="AT92" s="59">
        <f t="shared" si="134"/>
        <v>0</v>
      </c>
      <c r="AU92" s="59"/>
      <c r="AV92" s="59">
        <f t="shared" si="135"/>
        <v>0</v>
      </c>
      <c r="AW92" s="59">
        <f t="shared" si="166"/>
        <v>0</v>
      </c>
      <c r="AX92" s="59"/>
      <c r="AY92" s="59">
        <f t="shared" si="136"/>
        <v>0</v>
      </c>
      <c r="AZ92" s="59">
        <f t="shared" si="167"/>
        <v>0</v>
      </c>
      <c r="BA92" s="61">
        <v>344.25</v>
      </c>
      <c r="BB92" s="59">
        <f t="shared" si="168"/>
        <v>419.98500000000001</v>
      </c>
      <c r="BC92" s="59">
        <f t="shared" si="169"/>
        <v>12599.550000000001</v>
      </c>
      <c r="BD92" s="59"/>
      <c r="BE92" s="59">
        <f t="shared" si="137"/>
        <v>0</v>
      </c>
      <c r="BF92" s="59">
        <f t="shared" si="170"/>
        <v>0</v>
      </c>
      <c r="BG92" s="59"/>
      <c r="BH92" s="59">
        <f t="shared" si="138"/>
        <v>0</v>
      </c>
      <c r="BI92" s="59">
        <f t="shared" si="171"/>
        <v>0</v>
      </c>
      <c r="BJ92" s="59"/>
      <c r="BK92" s="59">
        <f t="shared" si="139"/>
        <v>0</v>
      </c>
      <c r="BL92" s="59">
        <f t="shared" si="172"/>
        <v>0</v>
      </c>
      <c r="BM92" s="59"/>
      <c r="BN92" s="59">
        <f t="shared" si="140"/>
        <v>0</v>
      </c>
      <c r="BO92" s="59">
        <f t="shared" si="141"/>
        <v>0</v>
      </c>
      <c r="BP92" s="59"/>
      <c r="BQ92" s="59">
        <f t="shared" si="142"/>
        <v>0</v>
      </c>
      <c r="BR92" s="59">
        <f t="shared" si="143"/>
        <v>0</v>
      </c>
      <c r="BS92" s="59"/>
      <c r="BT92" s="59">
        <f t="shared" si="144"/>
        <v>0</v>
      </c>
      <c r="BU92" s="59">
        <f t="shared" si="145"/>
        <v>0</v>
      </c>
      <c r="BV92" s="61">
        <v>341.70000000000005</v>
      </c>
      <c r="BW92" s="59">
        <f t="shared" si="173"/>
        <v>416.87400000000002</v>
      </c>
      <c r="BX92" s="59">
        <f t="shared" si="174"/>
        <v>12506.220000000001</v>
      </c>
      <c r="BY92" s="20">
        <f t="shared" si="175"/>
        <v>341.70000000000005</v>
      </c>
      <c r="BZ92" s="20">
        <f t="shared" si="176"/>
        <v>416.87400000000002</v>
      </c>
      <c r="CA92" s="21">
        <f t="shared" si="177"/>
        <v>10251.000000000002</v>
      </c>
      <c r="CB92" s="21">
        <f t="shared" si="178"/>
        <v>12506.220000000001</v>
      </c>
      <c r="CC92" s="20">
        <f t="shared" si="149"/>
        <v>2050.2000000000003</v>
      </c>
      <c r="CD92" s="20">
        <f t="shared" si="150"/>
        <v>2501.2440000000001</v>
      </c>
      <c r="CE92" s="20">
        <f t="shared" si="151"/>
        <v>8200.8000000000011</v>
      </c>
      <c r="CF92" s="20">
        <f t="shared" si="152"/>
        <v>10004.976000000001</v>
      </c>
      <c r="CG92" s="20">
        <f t="shared" si="146"/>
        <v>12506.220000000001</v>
      </c>
      <c r="CH92" s="4">
        <f t="shared" si="153"/>
        <v>9</v>
      </c>
      <c r="CI92" s="4">
        <f t="shared" si="147"/>
        <v>3</v>
      </c>
      <c r="CN92" s="35" t="e">
        <f>MIN((H92,K92,N92,Q92,T92,W92,Z92,AC92,AF92,AI92,AL92,AO92,AR92,AU92,AX92,BA92,BD92,BG92,BJ92,BM92,BP92,BS92,BV92,#REF!,#REF!))</f>
        <v>#REF!</v>
      </c>
      <c r="CO92" s="35" t="e">
        <f>MAX((H92,K92,N92,Q92,T92,W92,Z92,AC92,AF92,AI92,AL92,AO92,AR92,AU92,AX92,BA92,BD92,BG92,BJ92,BM92,BP92,BS92,BV92,#REF!,#REF!))</f>
        <v>#REF!</v>
      </c>
      <c r="CP92" s="47" t="e">
        <f t="shared" si="154"/>
        <v>#REF!</v>
      </c>
      <c r="CQ92" s="40"/>
      <c r="CS92" s="4">
        <v>0.05</v>
      </c>
      <c r="CT92" s="4" t="b">
        <f t="shared" si="156"/>
        <v>0</v>
      </c>
      <c r="CU92" s="4">
        <v>0</v>
      </c>
      <c r="CV92" s="4" t="b">
        <f t="shared" si="148"/>
        <v>1</v>
      </c>
      <c r="CW92" s="19">
        <v>0.05</v>
      </c>
      <c r="CZ92" s="4" t="s">
        <v>148</v>
      </c>
    </row>
    <row r="93" spans="1:104" s="4" customFormat="1" ht="81.75" thickBot="1" x14ac:dyDescent="0.3">
      <c r="A93" s="18">
        <v>77</v>
      </c>
      <c r="B93" s="62" t="s">
        <v>126</v>
      </c>
      <c r="C93" s="48" t="s">
        <v>14</v>
      </c>
      <c r="D93" s="107">
        <f t="shared" si="157"/>
        <v>45</v>
      </c>
      <c r="E93" s="107">
        <v>9</v>
      </c>
      <c r="F93" s="107">
        <v>36</v>
      </c>
      <c r="G93" s="60" t="s">
        <v>143</v>
      </c>
      <c r="H93" s="61">
        <v>236.67966666666669</v>
      </c>
      <c r="I93" s="59">
        <f t="shared" si="158"/>
        <v>288.74919333333338</v>
      </c>
      <c r="J93" s="59">
        <f t="shared" si="159"/>
        <v>12993.713700000002</v>
      </c>
      <c r="K93" s="59"/>
      <c r="L93" s="59">
        <f t="shared" si="117"/>
        <v>0</v>
      </c>
      <c r="M93" s="59">
        <f t="shared" si="118"/>
        <v>0</v>
      </c>
      <c r="N93" s="59"/>
      <c r="O93" s="59">
        <f t="shared" si="160"/>
        <v>0</v>
      </c>
      <c r="P93" s="59">
        <f t="shared" si="119"/>
        <v>0</v>
      </c>
      <c r="Q93" s="59"/>
      <c r="R93" s="59">
        <f t="shared" si="120"/>
        <v>0</v>
      </c>
      <c r="S93" s="59">
        <f t="shared" si="121"/>
        <v>0</v>
      </c>
      <c r="T93" s="59"/>
      <c r="U93" s="59">
        <f t="shared" si="122"/>
        <v>0</v>
      </c>
      <c r="V93" s="59">
        <f t="shared" si="161"/>
        <v>0</v>
      </c>
      <c r="W93" s="59"/>
      <c r="X93" s="59">
        <f t="shared" si="123"/>
        <v>0</v>
      </c>
      <c r="Y93" s="59">
        <f t="shared" si="162"/>
        <v>0</v>
      </c>
      <c r="Z93" s="59"/>
      <c r="AA93" s="59">
        <f t="shared" si="124"/>
        <v>0</v>
      </c>
      <c r="AB93" s="59">
        <f t="shared" si="163"/>
        <v>0</v>
      </c>
      <c r="AC93" s="59"/>
      <c r="AD93" s="59">
        <f t="shared" si="125"/>
        <v>0</v>
      </c>
      <c r="AE93" s="59">
        <f t="shared" si="126"/>
        <v>0</v>
      </c>
      <c r="AF93" s="59"/>
      <c r="AG93" s="59">
        <f t="shared" si="127"/>
        <v>0</v>
      </c>
      <c r="AH93" s="59">
        <f t="shared" si="128"/>
        <v>0</v>
      </c>
      <c r="AI93" s="59"/>
      <c r="AJ93" s="59">
        <f t="shared" si="129"/>
        <v>0</v>
      </c>
      <c r="AK93" s="59">
        <f t="shared" si="130"/>
        <v>0</v>
      </c>
      <c r="AL93" s="59"/>
      <c r="AM93" s="59">
        <f t="shared" si="131"/>
        <v>0</v>
      </c>
      <c r="AN93" s="59">
        <f t="shared" si="164"/>
        <v>0</v>
      </c>
      <c r="AO93" s="59"/>
      <c r="AP93" s="59">
        <f t="shared" si="132"/>
        <v>0</v>
      </c>
      <c r="AQ93" s="59">
        <f t="shared" si="165"/>
        <v>0</v>
      </c>
      <c r="AR93" s="59"/>
      <c r="AS93" s="59">
        <f t="shared" si="133"/>
        <v>0</v>
      </c>
      <c r="AT93" s="59">
        <f t="shared" si="134"/>
        <v>0</v>
      </c>
      <c r="AU93" s="59"/>
      <c r="AV93" s="59">
        <f t="shared" si="135"/>
        <v>0</v>
      </c>
      <c r="AW93" s="59">
        <f t="shared" si="166"/>
        <v>0</v>
      </c>
      <c r="AX93" s="59"/>
      <c r="AY93" s="59">
        <f t="shared" si="136"/>
        <v>0</v>
      </c>
      <c r="AZ93" s="59">
        <f t="shared" si="167"/>
        <v>0</v>
      </c>
      <c r="BA93" s="61">
        <v>238.47269444444444</v>
      </c>
      <c r="BB93" s="59">
        <f t="shared" si="168"/>
        <v>290.93668722222219</v>
      </c>
      <c r="BC93" s="59">
        <f t="shared" si="169"/>
        <v>13092.150924999998</v>
      </c>
      <c r="BD93" s="59"/>
      <c r="BE93" s="59">
        <f t="shared" si="137"/>
        <v>0</v>
      </c>
      <c r="BF93" s="59">
        <f t="shared" si="170"/>
        <v>0</v>
      </c>
      <c r="BG93" s="59"/>
      <c r="BH93" s="59">
        <f t="shared" si="138"/>
        <v>0</v>
      </c>
      <c r="BI93" s="59">
        <f t="shared" si="171"/>
        <v>0</v>
      </c>
      <c r="BJ93" s="59"/>
      <c r="BK93" s="59">
        <f t="shared" si="139"/>
        <v>0</v>
      </c>
      <c r="BL93" s="59">
        <f t="shared" si="172"/>
        <v>0</v>
      </c>
      <c r="BM93" s="59"/>
      <c r="BN93" s="59">
        <f t="shared" si="140"/>
        <v>0</v>
      </c>
      <c r="BO93" s="59">
        <f t="shared" si="141"/>
        <v>0</v>
      </c>
      <c r="BP93" s="59"/>
      <c r="BQ93" s="59">
        <f t="shared" si="142"/>
        <v>0</v>
      </c>
      <c r="BR93" s="59">
        <f t="shared" si="143"/>
        <v>0</v>
      </c>
      <c r="BS93" s="59"/>
      <c r="BT93" s="59">
        <f t="shared" si="144"/>
        <v>0</v>
      </c>
      <c r="BU93" s="59">
        <f t="shared" si="145"/>
        <v>0</v>
      </c>
      <c r="BV93" s="61">
        <v>245.64480555555556</v>
      </c>
      <c r="BW93" s="59">
        <f t="shared" si="173"/>
        <v>299.68666277777777</v>
      </c>
      <c r="BX93" s="59">
        <f t="shared" si="174"/>
        <v>13485.899825</v>
      </c>
      <c r="BY93" s="20">
        <f t="shared" si="175"/>
        <v>240.26572222222225</v>
      </c>
      <c r="BZ93" s="20">
        <f t="shared" si="176"/>
        <v>293.12418111111111</v>
      </c>
      <c r="CA93" s="21">
        <f t="shared" si="177"/>
        <v>10811.9575</v>
      </c>
      <c r="CB93" s="21">
        <f t="shared" si="178"/>
        <v>13190.58815</v>
      </c>
      <c r="CC93" s="20">
        <f t="shared" si="149"/>
        <v>2162.3915000000002</v>
      </c>
      <c r="CD93" s="20">
        <f t="shared" si="150"/>
        <v>2638.1176300000002</v>
      </c>
      <c r="CE93" s="20">
        <f t="shared" si="151"/>
        <v>8649.5660000000007</v>
      </c>
      <c r="CF93" s="20">
        <f t="shared" si="152"/>
        <v>10552.470520000001</v>
      </c>
      <c r="CG93" s="20">
        <f t="shared" si="146"/>
        <v>13190.588150000001</v>
      </c>
      <c r="CH93" s="4">
        <f t="shared" si="153"/>
        <v>9</v>
      </c>
      <c r="CI93" s="4">
        <f t="shared" si="147"/>
        <v>3</v>
      </c>
      <c r="CN93" s="35" t="e">
        <f>MIN((H93,K93,N93,Q93,T93,W93,Z93,AC93,AF93,AI93,AL93,AO93,AR93,AU93,AX93,BA93,BD93,BG93,BJ93,BM93,BP93,BS93,BV93,#REF!,#REF!))</f>
        <v>#REF!</v>
      </c>
      <c r="CO93" s="35" t="e">
        <f>MAX((H93,K93,N93,Q93,T93,W93,Z93,AC93,AF93,AI93,AL93,AO93,AR93,AU93,AX93,BA93,BD93,BG93,BJ93,BM93,BP93,BS93,BV93,#REF!,#REF!))</f>
        <v>#REF!</v>
      </c>
      <c r="CP93" s="47" t="e">
        <f t="shared" si="154"/>
        <v>#REF!</v>
      </c>
      <c r="CQ93" s="40"/>
      <c r="CS93" s="4">
        <v>12</v>
      </c>
      <c r="CT93" s="4" t="b">
        <f t="shared" si="156"/>
        <v>0</v>
      </c>
      <c r="CU93" s="4">
        <v>2</v>
      </c>
      <c r="CV93" s="4" t="b">
        <f t="shared" si="148"/>
        <v>1</v>
      </c>
      <c r="CW93" s="19">
        <v>14</v>
      </c>
      <c r="CZ93" s="4" t="s">
        <v>148</v>
      </c>
    </row>
    <row r="94" spans="1:104" s="4" customFormat="1" ht="41.25" thickBot="1" x14ac:dyDescent="0.3">
      <c r="A94" s="18">
        <v>78</v>
      </c>
      <c r="B94" s="62" t="s">
        <v>127</v>
      </c>
      <c r="C94" s="48" t="s">
        <v>14</v>
      </c>
      <c r="D94" s="107">
        <f t="shared" si="157"/>
        <v>6.6</v>
      </c>
      <c r="E94" s="107">
        <v>1.08</v>
      </c>
      <c r="F94" s="107">
        <v>5.52</v>
      </c>
      <c r="G94" s="60" t="s">
        <v>143</v>
      </c>
      <c r="H94" s="61">
        <v>307.08333333333331</v>
      </c>
      <c r="I94" s="59">
        <f t="shared" si="158"/>
        <v>374.64166666666665</v>
      </c>
      <c r="J94" s="59">
        <f t="shared" si="159"/>
        <v>2472.6349999999998</v>
      </c>
      <c r="K94" s="59"/>
      <c r="L94" s="59">
        <f t="shared" si="117"/>
        <v>0</v>
      </c>
      <c r="M94" s="59">
        <f t="shared" si="118"/>
        <v>0</v>
      </c>
      <c r="N94" s="59"/>
      <c r="O94" s="59">
        <f t="shared" si="160"/>
        <v>0</v>
      </c>
      <c r="P94" s="59">
        <f t="shared" si="119"/>
        <v>0</v>
      </c>
      <c r="Q94" s="59"/>
      <c r="R94" s="59">
        <f t="shared" si="120"/>
        <v>0</v>
      </c>
      <c r="S94" s="59">
        <f t="shared" si="121"/>
        <v>0</v>
      </c>
      <c r="T94" s="59"/>
      <c r="U94" s="59">
        <f t="shared" si="122"/>
        <v>0</v>
      </c>
      <c r="V94" s="59">
        <f t="shared" si="161"/>
        <v>0</v>
      </c>
      <c r="W94" s="59"/>
      <c r="X94" s="59">
        <f t="shared" si="123"/>
        <v>0</v>
      </c>
      <c r="Y94" s="59">
        <f t="shared" si="162"/>
        <v>0</v>
      </c>
      <c r="Z94" s="59"/>
      <c r="AA94" s="59">
        <f t="shared" si="124"/>
        <v>0</v>
      </c>
      <c r="AB94" s="59">
        <f t="shared" si="163"/>
        <v>0</v>
      </c>
      <c r="AC94" s="59"/>
      <c r="AD94" s="59">
        <f t="shared" si="125"/>
        <v>0</v>
      </c>
      <c r="AE94" s="59">
        <f t="shared" si="126"/>
        <v>0</v>
      </c>
      <c r="AF94" s="59"/>
      <c r="AG94" s="59">
        <f t="shared" si="127"/>
        <v>0</v>
      </c>
      <c r="AH94" s="59">
        <f t="shared" si="128"/>
        <v>0</v>
      </c>
      <c r="AI94" s="59"/>
      <c r="AJ94" s="59">
        <f t="shared" si="129"/>
        <v>0</v>
      </c>
      <c r="AK94" s="59">
        <f t="shared" si="130"/>
        <v>0</v>
      </c>
      <c r="AL94" s="59"/>
      <c r="AM94" s="59">
        <f t="shared" si="131"/>
        <v>0</v>
      </c>
      <c r="AN94" s="59">
        <f t="shared" si="164"/>
        <v>0</v>
      </c>
      <c r="AO94" s="59"/>
      <c r="AP94" s="59">
        <f t="shared" si="132"/>
        <v>0</v>
      </c>
      <c r="AQ94" s="59">
        <f t="shared" si="165"/>
        <v>0</v>
      </c>
      <c r="AR94" s="59"/>
      <c r="AS94" s="59">
        <f t="shared" si="133"/>
        <v>0</v>
      </c>
      <c r="AT94" s="59">
        <f t="shared" si="134"/>
        <v>0</v>
      </c>
      <c r="AU94" s="59"/>
      <c r="AV94" s="59">
        <f t="shared" si="135"/>
        <v>0</v>
      </c>
      <c r="AW94" s="59">
        <f t="shared" si="166"/>
        <v>0</v>
      </c>
      <c r="AX94" s="59"/>
      <c r="AY94" s="59">
        <f t="shared" si="136"/>
        <v>0</v>
      </c>
      <c r="AZ94" s="59">
        <f t="shared" si="167"/>
        <v>0</v>
      </c>
      <c r="BA94" s="61">
        <v>286.45833333333331</v>
      </c>
      <c r="BB94" s="59">
        <f t="shared" si="168"/>
        <v>349.47916666666663</v>
      </c>
      <c r="BC94" s="59">
        <f t="shared" si="169"/>
        <v>2306.5624999999995</v>
      </c>
      <c r="BD94" s="59"/>
      <c r="BE94" s="59">
        <f t="shared" si="137"/>
        <v>0</v>
      </c>
      <c r="BF94" s="59">
        <f t="shared" si="170"/>
        <v>0</v>
      </c>
      <c r="BG94" s="59"/>
      <c r="BH94" s="59">
        <f t="shared" si="138"/>
        <v>0</v>
      </c>
      <c r="BI94" s="59">
        <f t="shared" si="171"/>
        <v>0</v>
      </c>
      <c r="BJ94" s="59"/>
      <c r="BK94" s="59">
        <f t="shared" si="139"/>
        <v>0</v>
      </c>
      <c r="BL94" s="59">
        <f t="shared" si="172"/>
        <v>0</v>
      </c>
      <c r="BM94" s="59"/>
      <c r="BN94" s="59">
        <f t="shared" si="140"/>
        <v>0</v>
      </c>
      <c r="BO94" s="59">
        <f t="shared" si="141"/>
        <v>0</v>
      </c>
      <c r="BP94" s="59"/>
      <c r="BQ94" s="59">
        <f t="shared" si="142"/>
        <v>0</v>
      </c>
      <c r="BR94" s="59">
        <f t="shared" si="143"/>
        <v>0</v>
      </c>
      <c r="BS94" s="59"/>
      <c r="BT94" s="59">
        <f t="shared" si="144"/>
        <v>0</v>
      </c>
      <c r="BU94" s="59">
        <f t="shared" si="145"/>
        <v>0</v>
      </c>
      <c r="BV94" s="61">
        <v>293.33333333333331</v>
      </c>
      <c r="BW94" s="59">
        <f t="shared" si="173"/>
        <v>357.86666666666662</v>
      </c>
      <c r="BX94" s="59">
        <f t="shared" si="174"/>
        <v>2361.9199999999996</v>
      </c>
      <c r="BY94" s="20">
        <f t="shared" si="175"/>
        <v>295.625</v>
      </c>
      <c r="BZ94" s="20">
        <f t="shared" si="176"/>
        <v>360.66249999999997</v>
      </c>
      <c r="CA94" s="21">
        <f t="shared" si="177"/>
        <v>1951.125</v>
      </c>
      <c r="CB94" s="21">
        <f t="shared" si="178"/>
        <v>2380.3724999999999</v>
      </c>
      <c r="CC94" s="20">
        <f t="shared" si="149"/>
        <v>319.27500000000003</v>
      </c>
      <c r="CD94" s="20">
        <f t="shared" si="150"/>
        <v>389.51549999999997</v>
      </c>
      <c r="CE94" s="20">
        <f t="shared" si="151"/>
        <v>1631.85</v>
      </c>
      <c r="CF94" s="20">
        <f t="shared" si="152"/>
        <v>1990.8569999999997</v>
      </c>
      <c r="CG94" s="20">
        <f t="shared" si="146"/>
        <v>2380.3724999999995</v>
      </c>
      <c r="CH94" s="4">
        <f t="shared" si="153"/>
        <v>9</v>
      </c>
      <c r="CI94" s="4">
        <f t="shared" si="147"/>
        <v>3</v>
      </c>
      <c r="CN94" s="35" t="e">
        <f>MIN((H94,K94,N94,Q94,T94,W94,Z94,AC94,AF94,AI94,AL94,AO94,AR94,AU94,AX94,BA94,BD94,BG94,BJ94,BM94,BP94,BS94,BV94,#REF!,#REF!))</f>
        <v>#REF!</v>
      </c>
      <c r="CO94" s="35" t="e">
        <f>MAX((H94,K94,N94,Q94,T94,W94,Z94,AC94,AF94,AI94,AL94,AO94,AR94,AU94,AX94,BA94,BD94,BG94,BJ94,BM94,BP94,BS94,BV94,#REF!,#REF!))</f>
        <v>#REF!</v>
      </c>
      <c r="CP94" s="47" t="e">
        <f t="shared" si="154"/>
        <v>#REF!</v>
      </c>
      <c r="CQ94" s="40"/>
      <c r="CS94" s="4">
        <v>0.15000000000000002</v>
      </c>
      <c r="CT94" s="4" t="b">
        <f t="shared" si="156"/>
        <v>0</v>
      </c>
      <c r="CU94" s="4">
        <v>0</v>
      </c>
      <c r="CV94" s="4" t="b">
        <f t="shared" si="148"/>
        <v>1</v>
      </c>
      <c r="CW94" s="19">
        <v>0.15000000000000002</v>
      </c>
      <c r="CZ94" s="4" t="s">
        <v>148</v>
      </c>
    </row>
    <row r="95" spans="1:104" s="4" customFormat="1" ht="41.25" thickBot="1" x14ac:dyDescent="0.3">
      <c r="A95" s="18">
        <v>79</v>
      </c>
      <c r="B95" s="62" t="s">
        <v>128</v>
      </c>
      <c r="C95" s="48" t="s">
        <v>14</v>
      </c>
      <c r="D95" s="107">
        <f t="shared" si="157"/>
        <v>25</v>
      </c>
      <c r="E95" s="107">
        <v>3</v>
      </c>
      <c r="F95" s="107">
        <v>22</v>
      </c>
      <c r="G95" s="60" t="s">
        <v>143</v>
      </c>
      <c r="H95" s="61">
        <v>597.95833333333337</v>
      </c>
      <c r="I95" s="59">
        <f t="shared" si="158"/>
        <v>729.50916666666672</v>
      </c>
      <c r="J95" s="59">
        <f t="shared" si="159"/>
        <v>18237.729166666668</v>
      </c>
      <c r="K95" s="59"/>
      <c r="L95" s="59">
        <f t="shared" si="117"/>
        <v>0</v>
      </c>
      <c r="M95" s="59">
        <f t="shared" si="118"/>
        <v>0</v>
      </c>
      <c r="N95" s="59"/>
      <c r="O95" s="59">
        <f t="shared" si="160"/>
        <v>0</v>
      </c>
      <c r="P95" s="59">
        <f t="shared" si="119"/>
        <v>0</v>
      </c>
      <c r="Q95" s="59"/>
      <c r="R95" s="59">
        <f t="shared" si="120"/>
        <v>0</v>
      </c>
      <c r="S95" s="59">
        <f t="shared" si="121"/>
        <v>0</v>
      </c>
      <c r="T95" s="59"/>
      <c r="U95" s="59">
        <f t="shared" si="122"/>
        <v>0</v>
      </c>
      <c r="V95" s="59">
        <f t="shared" si="161"/>
        <v>0</v>
      </c>
      <c r="W95" s="59"/>
      <c r="X95" s="59">
        <f t="shared" si="123"/>
        <v>0</v>
      </c>
      <c r="Y95" s="59">
        <f t="shared" si="162"/>
        <v>0</v>
      </c>
      <c r="Z95" s="59"/>
      <c r="AA95" s="59">
        <f t="shared" si="124"/>
        <v>0</v>
      </c>
      <c r="AB95" s="59">
        <f t="shared" si="163"/>
        <v>0</v>
      </c>
      <c r="AC95" s="59"/>
      <c r="AD95" s="59">
        <f t="shared" si="125"/>
        <v>0</v>
      </c>
      <c r="AE95" s="59">
        <f t="shared" si="126"/>
        <v>0</v>
      </c>
      <c r="AF95" s="59"/>
      <c r="AG95" s="59">
        <f t="shared" si="127"/>
        <v>0</v>
      </c>
      <c r="AH95" s="59">
        <f t="shared" si="128"/>
        <v>0</v>
      </c>
      <c r="AI95" s="59"/>
      <c r="AJ95" s="59">
        <f t="shared" si="129"/>
        <v>0</v>
      </c>
      <c r="AK95" s="59">
        <f t="shared" si="130"/>
        <v>0</v>
      </c>
      <c r="AL95" s="59"/>
      <c r="AM95" s="59">
        <f t="shared" si="131"/>
        <v>0</v>
      </c>
      <c r="AN95" s="59">
        <f t="shared" si="164"/>
        <v>0</v>
      </c>
      <c r="AO95" s="59"/>
      <c r="AP95" s="59">
        <f t="shared" si="132"/>
        <v>0</v>
      </c>
      <c r="AQ95" s="59">
        <f t="shared" si="165"/>
        <v>0</v>
      </c>
      <c r="AR95" s="59"/>
      <c r="AS95" s="59">
        <f t="shared" si="133"/>
        <v>0</v>
      </c>
      <c r="AT95" s="59">
        <f t="shared" si="134"/>
        <v>0</v>
      </c>
      <c r="AU95" s="59"/>
      <c r="AV95" s="59">
        <f t="shared" si="135"/>
        <v>0</v>
      </c>
      <c r="AW95" s="59">
        <f t="shared" si="166"/>
        <v>0</v>
      </c>
      <c r="AX95" s="59"/>
      <c r="AY95" s="59">
        <f t="shared" si="136"/>
        <v>0</v>
      </c>
      <c r="AZ95" s="59">
        <f t="shared" si="167"/>
        <v>0</v>
      </c>
      <c r="BA95" s="61">
        <v>602.66666666666663</v>
      </c>
      <c r="BB95" s="59">
        <f t="shared" si="168"/>
        <v>735.25333333333322</v>
      </c>
      <c r="BC95" s="59">
        <f t="shared" si="169"/>
        <v>18381.333333333332</v>
      </c>
      <c r="BD95" s="59"/>
      <c r="BE95" s="59">
        <f t="shared" si="137"/>
        <v>0</v>
      </c>
      <c r="BF95" s="59">
        <f t="shared" si="170"/>
        <v>0</v>
      </c>
      <c r="BG95" s="59"/>
      <c r="BH95" s="59">
        <f t="shared" si="138"/>
        <v>0</v>
      </c>
      <c r="BI95" s="59">
        <f t="shared" si="171"/>
        <v>0</v>
      </c>
      <c r="BJ95" s="59"/>
      <c r="BK95" s="59">
        <f t="shared" si="139"/>
        <v>0</v>
      </c>
      <c r="BL95" s="59">
        <f t="shared" si="172"/>
        <v>0</v>
      </c>
      <c r="BM95" s="59"/>
      <c r="BN95" s="59">
        <f t="shared" si="140"/>
        <v>0</v>
      </c>
      <c r="BO95" s="59">
        <f t="shared" si="141"/>
        <v>0</v>
      </c>
      <c r="BP95" s="59"/>
      <c r="BQ95" s="59">
        <f t="shared" si="142"/>
        <v>0</v>
      </c>
      <c r="BR95" s="59">
        <f t="shared" si="143"/>
        <v>0</v>
      </c>
      <c r="BS95" s="59"/>
      <c r="BT95" s="59">
        <f t="shared" si="144"/>
        <v>0</v>
      </c>
      <c r="BU95" s="59">
        <f t="shared" si="145"/>
        <v>0</v>
      </c>
      <c r="BV95" s="61">
        <v>630.91666666666663</v>
      </c>
      <c r="BW95" s="59">
        <f t="shared" si="173"/>
        <v>769.71833333333325</v>
      </c>
      <c r="BX95" s="59">
        <f t="shared" si="174"/>
        <v>19242.958333333332</v>
      </c>
      <c r="BY95" s="20">
        <f t="shared" si="175"/>
        <v>610.5138888888888</v>
      </c>
      <c r="BZ95" s="20">
        <f t="shared" si="176"/>
        <v>744.82694444444428</v>
      </c>
      <c r="CA95" s="21">
        <f t="shared" si="177"/>
        <v>15262.847222222221</v>
      </c>
      <c r="CB95" s="21">
        <f t="shared" si="178"/>
        <v>18620.673611111109</v>
      </c>
      <c r="CC95" s="20">
        <f t="shared" si="149"/>
        <v>1831.5416666666665</v>
      </c>
      <c r="CD95" s="20">
        <f t="shared" si="150"/>
        <v>2234.4808333333331</v>
      </c>
      <c r="CE95" s="20">
        <f t="shared" si="151"/>
        <v>13431.305555555553</v>
      </c>
      <c r="CF95" s="20">
        <f t="shared" si="152"/>
        <v>16386.192777777775</v>
      </c>
      <c r="CG95" s="20">
        <f t="shared" si="146"/>
        <v>18620.673611111109</v>
      </c>
      <c r="CH95" s="4">
        <f t="shared" si="153"/>
        <v>9</v>
      </c>
      <c r="CI95" s="4">
        <f t="shared" si="147"/>
        <v>3</v>
      </c>
      <c r="CN95" s="35" t="e">
        <f>MIN((H95,K95,N95,Q95,T95,W95,Z95,AC95,AF95,AI95,AL95,AO95,AR95,AU95,AX95,BA95,BD95,BG95,BJ95,BM95,BP95,BS95,BV95,#REF!,#REF!))</f>
        <v>#REF!</v>
      </c>
      <c r="CO95" s="35" t="e">
        <f>MAX((H95,K95,N95,Q95,T95,W95,Z95,AC95,AF95,AI95,AL95,AO95,AR95,AU95,AX95,BA95,BD95,BG95,BJ95,BM95,BP95,BS95,BV95,#REF!,#REF!))</f>
        <v>#REF!</v>
      </c>
      <c r="CP95" s="47" t="e">
        <f t="shared" si="154"/>
        <v>#REF!</v>
      </c>
      <c r="CQ95" s="40"/>
      <c r="CS95" s="4">
        <v>2.5000000000000001E-2</v>
      </c>
      <c r="CT95" s="4" t="b">
        <f t="shared" si="156"/>
        <v>0</v>
      </c>
      <c r="CU95" s="4">
        <v>0</v>
      </c>
      <c r="CV95" s="4" t="b">
        <f t="shared" si="148"/>
        <v>1</v>
      </c>
      <c r="CW95" s="19">
        <v>2.5000000000000001E-2</v>
      </c>
      <c r="CZ95" s="4" t="s">
        <v>148</v>
      </c>
    </row>
    <row r="96" spans="1:104" s="4" customFormat="1" ht="41.25" thickBot="1" x14ac:dyDescent="0.3">
      <c r="A96" s="18">
        <v>80</v>
      </c>
      <c r="B96" s="62" t="s">
        <v>129</v>
      </c>
      <c r="C96" s="48" t="s">
        <v>14</v>
      </c>
      <c r="D96" s="107">
        <f t="shared" si="157"/>
        <v>30</v>
      </c>
      <c r="E96" s="107">
        <v>6</v>
      </c>
      <c r="F96" s="107">
        <v>24</v>
      </c>
      <c r="G96" s="60" t="s">
        <v>143</v>
      </c>
      <c r="H96" s="61">
        <v>242.54372222222221</v>
      </c>
      <c r="I96" s="59">
        <f t="shared" si="158"/>
        <v>295.9033411111111</v>
      </c>
      <c r="J96" s="59">
        <f t="shared" si="159"/>
        <v>8877.1002333333327</v>
      </c>
      <c r="K96" s="59"/>
      <c r="L96" s="59">
        <f t="shared" si="117"/>
        <v>0</v>
      </c>
      <c r="M96" s="59">
        <f t="shared" si="118"/>
        <v>0</v>
      </c>
      <c r="N96" s="59"/>
      <c r="O96" s="59">
        <f t="shared" si="160"/>
        <v>0</v>
      </c>
      <c r="P96" s="59">
        <f t="shared" si="119"/>
        <v>0</v>
      </c>
      <c r="Q96" s="59"/>
      <c r="R96" s="59">
        <f t="shared" si="120"/>
        <v>0</v>
      </c>
      <c r="S96" s="59">
        <f t="shared" si="121"/>
        <v>0</v>
      </c>
      <c r="T96" s="59"/>
      <c r="U96" s="59">
        <f t="shared" si="122"/>
        <v>0</v>
      </c>
      <c r="V96" s="59">
        <f t="shared" si="161"/>
        <v>0</v>
      </c>
      <c r="W96" s="59"/>
      <c r="X96" s="59">
        <f t="shared" si="123"/>
        <v>0</v>
      </c>
      <c r="Y96" s="59">
        <f t="shared" si="162"/>
        <v>0</v>
      </c>
      <c r="Z96" s="59"/>
      <c r="AA96" s="59">
        <f t="shared" si="124"/>
        <v>0</v>
      </c>
      <c r="AB96" s="59">
        <f t="shared" si="163"/>
        <v>0</v>
      </c>
      <c r="AC96" s="59"/>
      <c r="AD96" s="59">
        <f t="shared" si="125"/>
        <v>0</v>
      </c>
      <c r="AE96" s="59">
        <f t="shared" si="126"/>
        <v>0</v>
      </c>
      <c r="AF96" s="59"/>
      <c r="AG96" s="59">
        <f t="shared" si="127"/>
        <v>0</v>
      </c>
      <c r="AH96" s="59">
        <f t="shared" si="128"/>
        <v>0</v>
      </c>
      <c r="AI96" s="59"/>
      <c r="AJ96" s="59">
        <f t="shared" si="129"/>
        <v>0</v>
      </c>
      <c r="AK96" s="59">
        <f t="shared" si="130"/>
        <v>0</v>
      </c>
      <c r="AL96" s="59"/>
      <c r="AM96" s="59">
        <f t="shared" si="131"/>
        <v>0</v>
      </c>
      <c r="AN96" s="59">
        <f t="shared" si="164"/>
        <v>0</v>
      </c>
      <c r="AO96" s="59"/>
      <c r="AP96" s="59">
        <f t="shared" si="132"/>
        <v>0</v>
      </c>
      <c r="AQ96" s="59">
        <f t="shared" si="165"/>
        <v>0</v>
      </c>
      <c r="AR96" s="59"/>
      <c r="AS96" s="59">
        <f t="shared" si="133"/>
        <v>0</v>
      </c>
      <c r="AT96" s="59">
        <f t="shared" si="134"/>
        <v>0</v>
      </c>
      <c r="AU96" s="59"/>
      <c r="AV96" s="59">
        <f t="shared" si="135"/>
        <v>0</v>
      </c>
      <c r="AW96" s="59">
        <f t="shared" si="166"/>
        <v>0</v>
      </c>
      <c r="AX96" s="59"/>
      <c r="AY96" s="59">
        <f t="shared" si="136"/>
        <v>0</v>
      </c>
      <c r="AZ96" s="59">
        <f t="shared" si="167"/>
        <v>0</v>
      </c>
      <c r="BA96" s="61">
        <v>226.2534722222222</v>
      </c>
      <c r="BB96" s="59">
        <f t="shared" si="168"/>
        <v>276.02923611111106</v>
      </c>
      <c r="BC96" s="59">
        <f t="shared" si="169"/>
        <v>8280.877083333331</v>
      </c>
      <c r="BD96" s="59"/>
      <c r="BE96" s="59">
        <f t="shared" si="137"/>
        <v>0</v>
      </c>
      <c r="BF96" s="59">
        <f t="shared" si="170"/>
        <v>0</v>
      </c>
      <c r="BG96" s="59"/>
      <c r="BH96" s="59">
        <f t="shared" si="138"/>
        <v>0</v>
      </c>
      <c r="BI96" s="59">
        <f t="shared" si="171"/>
        <v>0</v>
      </c>
      <c r="BJ96" s="59"/>
      <c r="BK96" s="59">
        <f t="shared" si="139"/>
        <v>0</v>
      </c>
      <c r="BL96" s="59">
        <f t="shared" si="172"/>
        <v>0</v>
      </c>
      <c r="BM96" s="59"/>
      <c r="BN96" s="59">
        <f t="shared" si="140"/>
        <v>0</v>
      </c>
      <c r="BO96" s="59">
        <f t="shared" si="141"/>
        <v>0</v>
      </c>
      <c r="BP96" s="59"/>
      <c r="BQ96" s="59">
        <f t="shared" si="142"/>
        <v>0</v>
      </c>
      <c r="BR96" s="59">
        <f t="shared" si="143"/>
        <v>0</v>
      </c>
      <c r="BS96" s="59"/>
      <c r="BT96" s="59">
        <f t="shared" si="144"/>
        <v>0</v>
      </c>
      <c r="BU96" s="59">
        <f t="shared" si="145"/>
        <v>0</v>
      </c>
      <c r="BV96" s="61">
        <v>231.68355555555556</v>
      </c>
      <c r="BW96" s="59">
        <f t="shared" si="173"/>
        <v>282.6539377777778</v>
      </c>
      <c r="BX96" s="59">
        <f t="shared" si="174"/>
        <v>8479.6181333333334</v>
      </c>
      <c r="BY96" s="20">
        <f t="shared" si="175"/>
        <v>233.49358333333331</v>
      </c>
      <c r="BZ96" s="20">
        <f t="shared" si="176"/>
        <v>284.86217166666665</v>
      </c>
      <c r="CA96" s="21">
        <f t="shared" si="177"/>
        <v>7004.807499999999</v>
      </c>
      <c r="CB96" s="21">
        <f t="shared" si="178"/>
        <v>8545.8651499999978</v>
      </c>
      <c r="CC96" s="20">
        <f t="shared" si="149"/>
        <v>1400.9614999999999</v>
      </c>
      <c r="CD96" s="20">
        <f t="shared" si="150"/>
        <v>1709.1730299999999</v>
      </c>
      <c r="CE96" s="20">
        <f t="shared" si="151"/>
        <v>5603.8459999999995</v>
      </c>
      <c r="CF96" s="20">
        <f t="shared" si="152"/>
        <v>6836.6921199999997</v>
      </c>
      <c r="CG96" s="20">
        <f t="shared" si="146"/>
        <v>8545.8651499999996</v>
      </c>
      <c r="CH96" s="4">
        <f t="shared" si="153"/>
        <v>9</v>
      </c>
      <c r="CI96" s="4">
        <f t="shared" si="147"/>
        <v>3</v>
      </c>
      <c r="CN96" s="35" t="e">
        <f>MIN((H96,K96,N96,Q96,T96,W96,Z96,AC96,AF96,AI96,AL96,AO96,AR96,AU96,AX96,BA96,BD96,BG96,BJ96,BM96,BP96,BS96,BV96,#REF!,#REF!))</f>
        <v>#REF!</v>
      </c>
      <c r="CO96" s="35" t="e">
        <f>MAX((H96,K96,N96,Q96,T96,W96,Z96,AC96,AF96,AI96,AL96,AO96,AR96,AU96,AX96,BA96,BD96,BG96,BJ96,BM96,BP96,BS96,BV96,#REF!,#REF!))</f>
        <v>#REF!</v>
      </c>
      <c r="CP96" s="47" t="e">
        <f t="shared" si="154"/>
        <v>#REF!</v>
      </c>
      <c r="CQ96" s="40"/>
      <c r="CS96" s="4">
        <v>0.97</v>
      </c>
      <c r="CT96" s="4" t="b">
        <f t="shared" si="156"/>
        <v>0</v>
      </c>
      <c r="CU96" s="4">
        <v>0.97</v>
      </c>
      <c r="CV96" s="4" t="b">
        <f t="shared" si="148"/>
        <v>1</v>
      </c>
      <c r="CW96" s="19">
        <v>1.94</v>
      </c>
      <c r="CZ96" s="4" t="s">
        <v>148</v>
      </c>
    </row>
    <row r="97" spans="1:104" s="4" customFormat="1" ht="41.25" thickBot="1" x14ac:dyDescent="0.3">
      <c r="A97" s="18">
        <v>81</v>
      </c>
      <c r="B97" s="63" t="s">
        <v>98</v>
      </c>
      <c r="C97" s="48" t="s">
        <v>14</v>
      </c>
      <c r="D97" s="107">
        <f t="shared" si="157"/>
        <v>7</v>
      </c>
      <c r="E97" s="107">
        <v>0.9</v>
      </c>
      <c r="F97" s="107">
        <v>6.1</v>
      </c>
      <c r="G97" s="19" t="s">
        <v>143</v>
      </c>
      <c r="H97" s="61">
        <v>638.40000000000009</v>
      </c>
      <c r="I97" s="59">
        <f t="shared" si="158"/>
        <v>778.84800000000007</v>
      </c>
      <c r="J97" s="59">
        <f t="shared" si="159"/>
        <v>5451.9360000000006</v>
      </c>
      <c r="K97" s="59"/>
      <c r="L97" s="59">
        <f t="shared" si="117"/>
        <v>0</v>
      </c>
      <c r="M97" s="59">
        <f t="shared" si="118"/>
        <v>0</v>
      </c>
      <c r="N97" s="59"/>
      <c r="O97" s="59">
        <f t="shared" si="160"/>
        <v>0</v>
      </c>
      <c r="P97" s="59">
        <f t="shared" si="119"/>
        <v>0</v>
      </c>
      <c r="Q97" s="59"/>
      <c r="R97" s="59">
        <f t="shared" si="120"/>
        <v>0</v>
      </c>
      <c r="S97" s="59">
        <f t="shared" si="121"/>
        <v>0</v>
      </c>
      <c r="T97" s="59"/>
      <c r="U97" s="59">
        <f t="shared" si="122"/>
        <v>0</v>
      </c>
      <c r="V97" s="59">
        <f t="shared" si="161"/>
        <v>0</v>
      </c>
      <c r="W97" s="59"/>
      <c r="X97" s="59">
        <f t="shared" si="123"/>
        <v>0</v>
      </c>
      <c r="Y97" s="59">
        <f t="shared" si="162"/>
        <v>0</v>
      </c>
      <c r="Z97" s="59"/>
      <c r="AA97" s="59">
        <f t="shared" si="124"/>
        <v>0</v>
      </c>
      <c r="AB97" s="59">
        <f t="shared" si="163"/>
        <v>0</v>
      </c>
      <c r="AC97" s="59"/>
      <c r="AD97" s="59">
        <f t="shared" si="125"/>
        <v>0</v>
      </c>
      <c r="AE97" s="59">
        <f t="shared" si="126"/>
        <v>0</v>
      </c>
      <c r="AF97" s="59"/>
      <c r="AG97" s="59">
        <f t="shared" si="127"/>
        <v>0</v>
      </c>
      <c r="AH97" s="59">
        <f t="shared" si="128"/>
        <v>0</v>
      </c>
      <c r="AI97" s="59"/>
      <c r="AJ97" s="59">
        <f t="shared" si="129"/>
        <v>0</v>
      </c>
      <c r="AK97" s="59">
        <f t="shared" si="130"/>
        <v>0</v>
      </c>
      <c r="AL97" s="59"/>
      <c r="AM97" s="59">
        <f t="shared" si="131"/>
        <v>0</v>
      </c>
      <c r="AN97" s="59">
        <f t="shared" si="164"/>
        <v>0</v>
      </c>
      <c r="AO97" s="59"/>
      <c r="AP97" s="59">
        <f t="shared" si="132"/>
        <v>0</v>
      </c>
      <c r="AQ97" s="59">
        <f t="shared" si="165"/>
        <v>0</v>
      </c>
      <c r="AR97" s="59"/>
      <c r="AS97" s="59">
        <f t="shared" si="133"/>
        <v>0</v>
      </c>
      <c r="AT97" s="59">
        <f t="shared" si="134"/>
        <v>0</v>
      </c>
      <c r="AU97" s="59"/>
      <c r="AV97" s="59">
        <f t="shared" si="135"/>
        <v>0</v>
      </c>
      <c r="AW97" s="59">
        <f t="shared" si="166"/>
        <v>0</v>
      </c>
      <c r="AX97" s="59"/>
      <c r="AY97" s="59">
        <f t="shared" si="136"/>
        <v>0</v>
      </c>
      <c r="AZ97" s="59">
        <f t="shared" si="167"/>
        <v>0</v>
      </c>
      <c r="BA97" s="61">
        <v>609.60000000000014</v>
      </c>
      <c r="BB97" s="59">
        <f t="shared" si="168"/>
        <v>743.7120000000001</v>
      </c>
      <c r="BC97" s="59">
        <f t="shared" si="169"/>
        <v>5205.9840000000004</v>
      </c>
      <c r="BD97" s="59"/>
      <c r="BE97" s="59">
        <f t="shared" si="137"/>
        <v>0</v>
      </c>
      <c r="BF97" s="59">
        <f t="shared" si="170"/>
        <v>0</v>
      </c>
      <c r="BG97" s="59"/>
      <c r="BH97" s="59">
        <f t="shared" si="138"/>
        <v>0</v>
      </c>
      <c r="BI97" s="59">
        <f t="shared" si="171"/>
        <v>0</v>
      </c>
      <c r="BJ97" s="59"/>
      <c r="BK97" s="59">
        <f t="shared" si="139"/>
        <v>0</v>
      </c>
      <c r="BL97" s="59">
        <f t="shared" si="172"/>
        <v>0</v>
      </c>
      <c r="BM97" s="59"/>
      <c r="BN97" s="59">
        <f t="shared" si="140"/>
        <v>0</v>
      </c>
      <c r="BO97" s="59">
        <f t="shared" si="141"/>
        <v>0</v>
      </c>
      <c r="BP97" s="59"/>
      <c r="BQ97" s="59">
        <f t="shared" si="142"/>
        <v>0</v>
      </c>
      <c r="BR97" s="59">
        <f t="shared" si="143"/>
        <v>0</v>
      </c>
      <c r="BS97" s="59"/>
      <c r="BT97" s="59">
        <f t="shared" si="144"/>
        <v>0</v>
      </c>
      <c r="BU97" s="59">
        <f t="shared" si="145"/>
        <v>0</v>
      </c>
      <c r="BV97" s="61">
        <v>624.00000000000011</v>
      </c>
      <c r="BW97" s="59">
        <f t="shared" si="173"/>
        <v>761.28000000000009</v>
      </c>
      <c r="BX97" s="59">
        <f t="shared" si="174"/>
        <v>5328.9600000000009</v>
      </c>
      <c r="BY97" s="20">
        <f t="shared" si="175"/>
        <v>624.00000000000011</v>
      </c>
      <c r="BZ97" s="20">
        <f t="shared" si="176"/>
        <v>761.28000000000009</v>
      </c>
      <c r="CA97" s="21">
        <f t="shared" si="177"/>
        <v>4368.0000000000009</v>
      </c>
      <c r="CB97" s="21">
        <f t="shared" si="178"/>
        <v>5328.9600000000009</v>
      </c>
      <c r="CC97" s="20">
        <f t="shared" si="149"/>
        <v>561.60000000000014</v>
      </c>
      <c r="CD97" s="20">
        <f t="shared" si="150"/>
        <v>685.15200000000004</v>
      </c>
      <c r="CE97" s="20">
        <f t="shared" si="151"/>
        <v>3806.4000000000005</v>
      </c>
      <c r="CF97" s="20">
        <f t="shared" si="152"/>
        <v>4643.808</v>
      </c>
      <c r="CG97" s="20">
        <f t="shared" si="146"/>
        <v>5328.96</v>
      </c>
      <c r="CH97" s="4">
        <f t="shared" si="153"/>
        <v>9</v>
      </c>
      <c r="CI97" s="4">
        <f t="shared" si="147"/>
        <v>3</v>
      </c>
      <c r="CN97" s="35" t="e">
        <f>MIN((H97,K97,N97,Q97,T97,W97,Z97,AC97,AF97,AI97,AL97,AO97,AR97,AU97,AX97,BA97,BD97,BG97,BJ97,BM97,BP97,BS97,BV97,#REF!,#REF!))</f>
        <v>#REF!</v>
      </c>
      <c r="CO97" s="35" t="e">
        <f>MAX((H97,K97,N97,Q97,T97,W97,Z97,AC97,AF97,AI97,AL97,AO97,AR97,AU97,AX97,BA97,BD97,BG97,BJ97,BM97,BP97,BS97,BV97,#REF!,#REF!))</f>
        <v>#REF!</v>
      </c>
      <c r="CP97" s="47" t="e">
        <f t="shared" si="154"/>
        <v>#REF!</v>
      </c>
      <c r="CQ97" s="40" t="e">
        <f>CN97*1.3</f>
        <v>#REF!</v>
      </c>
      <c r="CS97" s="4">
        <v>10</v>
      </c>
      <c r="CT97" s="4" t="b">
        <f t="shared" si="156"/>
        <v>0</v>
      </c>
      <c r="CU97" s="4">
        <v>0</v>
      </c>
      <c r="CV97" s="4" t="b">
        <f t="shared" si="148"/>
        <v>1</v>
      </c>
      <c r="CW97" s="19">
        <v>10</v>
      </c>
      <c r="CZ97" s="4" t="s">
        <v>148</v>
      </c>
    </row>
    <row r="98" spans="1:104" s="4" customFormat="1" ht="41.25" thickBot="1" x14ac:dyDescent="0.3">
      <c r="A98" s="18">
        <v>82</v>
      </c>
      <c r="B98" s="62" t="s">
        <v>130</v>
      </c>
      <c r="C98" s="48" t="s">
        <v>14</v>
      </c>
      <c r="D98" s="107">
        <f t="shared" si="157"/>
        <v>9</v>
      </c>
      <c r="E98" s="107">
        <v>1.5</v>
      </c>
      <c r="F98" s="107">
        <v>7.5</v>
      </c>
      <c r="G98" s="60" t="s">
        <v>143</v>
      </c>
      <c r="H98" s="61">
        <v>674.66666666666663</v>
      </c>
      <c r="I98" s="59">
        <f t="shared" si="158"/>
        <v>823.09333333333325</v>
      </c>
      <c r="J98" s="59">
        <f t="shared" si="159"/>
        <v>7407.8399999999992</v>
      </c>
      <c r="K98" s="59"/>
      <c r="L98" s="59">
        <f t="shared" si="117"/>
        <v>0</v>
      </c>
      <c r="M98" s="59">
        <f t="shared" si="118"/>
        <v>0</v>
      </c>
      <c r="N98" s="59"/>
      <c r="O98" s="59">
        <f t="shared" si="160"/>
        <v>0</v>
      </c>
      <c r="P98" s="59">
        <f t="shared" si="119"/>
        <v>0</v>
      </c>
      <c r="Q98" s="59"/>
      <c r="R98" s="59">
        <f t="shared" si="120"/>
        <v>0</v>
      </c>
      <c r="S98" s="59">
        <f t="shared" si="121"/>
        <v>0</v>
      </c>
      <c r="T98" s="59"/>
      <c r="U98" s="59">
        <f t="shared" si="122"/>
        <v>0</v>
      </c>
      <c r="V98" s="59">
        <f t="shared" si="161"/>
        <v>0</v>
      </c>
      <c r="W98" s="59"/>
      <c r="X98" s="59">
        <f t="shared" si="123"/>
        <v>0</v>
      </c>
      <c r="Y98" s="59">
        <f t="shared" si="162"/>
        <v>0</v>
      </c>
      <c r="Z98" s="59"/>
      <c r="AA98" s="59">
        <f t="shared" si="124"/>
        <v>0</v>
      </c>
      <c r="AB98" s="59">
        <f t="shared" si="163"/>
        <v>0</v>
      </c>
      <c r="AC98" s="59"/>
      <c r="AD98" s="59">
        <f t="shared" si="125"/>
        <v>0</v>
      </c>
      <c r="AE98" s="59">
        <f t="shared" si="126"/>
        <v>0</v>
      </c>
      <c r="AF98" s="59"/>
      <c r="AG98" s="59">
        <f t="shared" si="127"/>
        <v>0</v>
      </c>
      <c r="AH98" s="59">
        <f t="shared" si="128"/>
        <v>0</v>
      </c>
      <c r="AI98" s="59"/>
      <c r="AJ98" s="59">
        <f t="shared" si="129"/>
        <v>0</v>
      </c>
      <c r="AK98" s="59">
        <f t="shared" si="130"/>
        <v>0</v>
      </c>
      <c r="AL98" s="59"/>
      <c r="AM98" s="59">
        <f t="shared" si="131"/>
        <v>0</v>
      </c>
      <c r="AN98" s="59">
        <f t="shared" si="164"/>
        <v>0</v>
      </c>
      <c r="AO98" s="59"/>
      <c r="AP98" s="59">
        <f t="shared" si="132"/>
        <v>0</v>
      </c>
      <c r="AQ98" s="59">
        <f t="shared" si="165"/>
        <v>0</v>
      </c>
      <c r="AR98" s="59"/>
      <c r="AS98" s="59">
        <f t="shared" si="133"/>
        <v>0</v>
      </c>
      <c r="AT98" s="59">
        <f t="shared" si="134"/>
        <v>0</v>
      </c>
      <c r="AU98" s="59"/>
      <c r="AV98" s="59">
        <f t="shared" si="135"/>
        <v>0</v>
      </c>
      <c r="AW98" s="59">
        <f t="shared" si="166"/>
        <v>0</v>
      </c>
      <c r="AX98" s="59"/>
      <c r="AY98" s="59">
        <f t="shared" si="136"/>
        <v>0</v>
      </c>
      <c r="AZ98" s="59">
        <f t="shared" si="167"/>
        <v>0</v>
      </c>
      <c r="BA98" s="61">
        <v>601.33333333333337</v>
      </c>
      <c r="BB98" s="59">
        <f t="shared" si="168"/>
        <v>733.62666666666667</v>
      </c>
      <c r="BC98" s="59">
        <f t="shared" si="169"/>
        <v>6602.64</v>
      </c>
      <c r="BD98" s="59"/>
      <c r="BE98" s="59">
        <f t="shared" si="137"/>
        <v>0</v>
      </c>
      <c r="BF98" s="59">
        <f t="shared" si="170"/>
        <v>0</v>
      </c>
      <c r="BG98" s="59"/>
      <c r="BH98" s="59">
        <f t="shared" si="138"/>
        <v>0</v>
      </c>
      <c r="BI98" s="59">
        <f t="shared" si="171"/>
        <v>0</v>
      </c>
      <c r="BJ98" s="59"/>
      <c r="BK98" s="59">
        <f t="shared" si="139"/>
        <v>0</v>
      </c>
      <c r="BL98" s="59">
        <f t="shared" si="172"/>
        <v>0</v>
      </c>
      <c r="BM98" s="59"/>
      <c r="BN98" s="59">
        <f t="shared" si="140"/>
        <v>0</v>
      </c>
      <c r="BO98" s="59">
        <f t="shared" si="141"/>
        <v>0</v>
      </c>
      <c r="BP98" s="59"/>
      <c r="BQ98" s="59">
        <f t="shared" si="142"/>
        <v>0</v>
      </c>
      <c r="BR98" s="59">
        <f t="shared" si="143"/>
        <v>0</v>
      </c>
      <c r="BS98" s="59"/>
      <c r="BT98" s="59">
        <f t="shared" si="144"/>
        <v>0</v>
      </c>
      <c r="BU98" s="59">
        <f t="shared" si="145"/>
        <v>0</v>
      </c>
      <c r="BV98" s="61">
        <v>596.44444444444446</v>
      </c>
      <c r="BW98" s="59">
        <f t="shared" si="173"/>
        <v>727.66222222222223</v>
      </c>
      <c r="BX98" s="59">
        <f t="shared" si="174"/>
        <v>6548.96</v>
      </c>
      <c r="BY98" s="20">
        <f t="shared" si="175"/>
        <v>624.14814814814815</v>
      </c>
      <c r="BZ98" s="20">
        <f t="shared" si="176"/>
        <v>761.46074074074068</v>
      </c>
      <c r="CA98" s="21">
        <f t="shared" si="177"/>
        <v>5617.333333333333</v>
      </c>
      <c r="CB98" s="21">
        <f t="shared" si="178"/>
        <v>6853.1466666666665</v>
      </c>
      <c r="CC98" s="20">
        <f t="shared" si="149"/>
        <v>936.22222222222217</v>
      </c>
      <c r="CD98" s="20">
        <f t="shared" si="150"/>
        <v>1142.191111111111</v>
      </c>
      <c r="CE98" s="20">
        <f t="shared" si="151"/>
        <v>4681.1111111111113</v>
      </c>
      <c r="CF98" s="20">
        <f t="shared" si="152"/>
        <v>5710.9555555555553</v>
      </c>
      <c r="CG98" s="20">
        <f t="shared" si="146"/>
        <v>6853.1466666666665</v>
      </c>
      <c r="CH98" s="4">
        <f t="shared" si="153"/>
        <v>9</v>
      </c>
      <c r="CI98" s="4">
        <f t="shared" si="147"/>
        <v>3</v>
      </c>
      <c r="CN98" s="35" t="e">
        <f>MIN((H98,K98,N98,Q98,T98,W98,Z98,AC98,AF98,AI98,AL98,AO98,AR98,AU98,AX98,BA98,BD98,BG98,BJ98,BM98,BP98,BS98,BV98,#REF!,#REF!))</f>
        <v>#REF!</v>
      </c>
      <c r="CO98" s="35" t="e">
        <f>MAX((H98,K98,N98,Q98,T98,W98,Z98,AC98,AF98,AI98,AL98,AO98,AR98,AU98,AX98,BA98,BD98,BG98,BJ98,BM98,BP98,BS98,BV98,#REF!,#REF!))</f>
        <v>#REF!</v>
      </c>
      <c r="CP98" s="47" t="e">
        <f t="shared" si="154"/>
        <v>#REF!</v>
      </c>
      <c r="CQ98" s="40"/>
      <c r="CS98" s="4">
        <v>2.5000000000000001E-2</v>
      </c>
      <c r="CT98" s="4" t="b">
        <f t="shared" si="156"/>
        <v>0</v>
      </c>
      <c r="CU98" s="4">
        <v>0</v>
      </c>
      <c r="CV98" s="4" t="b">
        <f t="shared" si="148"/>
        <v>1</v>
      </c>
      <c r="CW98" s="19">
        <v>2.5000000000000001E-2</v>
      </c>
      <c r="CZ98" s="4" t="s">
        <v>148</v>
      </c>
    </row>
    <row r="99" spans="1:104" s="4" customFormat="1" ht="41.25" thickBot="1" x14ac:dyDescent="0.3">
      <c r="A99" s="18">
        <v>83</v>
      </c>
      <c r="B99" s="62" t="s">
        <v>131</v>
      </c>
      <c r="C99" s="48" t="s">
        <v>14</v>
      </c>
      <c r="D99" s="107">
        <f t="shared" si="157"/>
        <v>16</v>
      </c>
      <c r="E99" s="107">
        <v>3</v>
      </c>
      <c r="F99" s="107">
        <v>13</v>
      </c>
      <c r="G99" s="60" t="s">
        <v>143</v>
      </c>
      <c r="H99" s="61">
        <v>547.40000000000009</v>
      </c>
      <c r="I99" s="59">
        <f t="shared" si="158"/>
        <v>667.82800000000009</v>
      </c>
      <c r="J99" s="59">
        <f t="shared" si="159"/>
        <v>10685.248000000001</v>
      </c>
      <c r="K99" s="59"/>
      <c r="L99" s="59">
        <f t="shared" si="117"/>
        <v>0</v>
      </c>
      <c r="M99" s="59">
        <f t="shared" si="118"/>
        <v>0</v>
      </c>
      <c r="N99" s="59"/>
      <c r="O99" s="59">
        <f t="shared" si="160"/>
        <v>0</v>
      </c>
      <c r="P99" s="59">
        <f t="shared" si="119"/>
        <v>0</v>
      </c>
      <c r="Q99" s="59"/>
      <c r="R99" s="59">
        <f t="shared" si="120"/>
        <v>0</v>
      </c>
      <c r="S99" s="59">
        <f t="shared" si="121"/>
        <v>0</v>
      </c>
      <c r="T99" s="59"/>
      <c r="U99" s="59">
        <f t="shared" si="122"/>
        <v>0</v>
      </c>
      <c r="V99" s="59">
        <f t="shared" si="161"/>
        <v>0</v>
      </c>
      <c r="W99" s="59"/>
      <c r="X99" s="59">
        <f t="shared" si="123"/>
        <v>0</v>
      </c>
      <c r="Y99" s="59">
        <f t="shared" si="162"/>
        <v>0</v>
      </c>
      <c r="Z99" s="59"/>
      <c r="AA99" s="59">
        <f t="shared" si="124"/>
        <v>0</v>
      </c>
      <c r="AB99" s="59">
        <f t="shared" si="163"/>
        <v>0</v>
      </c>
      <c r="AC99" s="59"/>
      <c r="AD99" s="59">
        <f t="shared" si="125"/>
        <v>0</v>
      </c>
      <c r="AE99" s="59">
        <f t="shared" si="126"/>
        <v>0</v>
      </c>
      <c r="AF99" s="59"/>
      <c r="AG99" s="59">
        <f t="shared" si="127"/>
        <v>0</v>
      </c>
      <c r="AH99" s="59">
        <f t="shared" si="128"/>
        <v>0</v>
      </c>
      <c r="AI99" s="59"/>
      <c r="AJ99" s="59">
        <f t="shared" si="129"/>
        <v>0</v>
      </c>
      <c r="AK99" s="59">
        <f t="shared" si="130"/>
        <v>0</v>
      </c>
      <c r="AL99" s="59"/>
      <c r="AM99" s="59">
        <f t="shared" si="131"/>
        <v>0</v>
      </c>
      <c r="AN99" s="59">
        <f t="shared" si="164"/>
        <v>0</v>
      </c>
      <c r="AO99" s="59"/>
      <c r="AP99" s="59">
        <f t="shared" si="132"/>
        <v>0</v>
      </c>
      <c r="AQ99" s="59">
        <f t="shared" si="165"/>
        <v>0</v>
      </c>
      <c r="AR99" s="59"/>
      <c r="AS99" s="59">
        <f t="shared" si="133"/>
        <v>0</v>
      </c>
      <c r="AT99" s="59">
        <f t="shared" si="134"/>
        <v>0</v>
      </c>
      <c r="AU99" s="59"/>
      <c r="AV99" s="59">
        <f t="shared" si="135"/>
        <v>0</v>
      </c>
      <c r="AW99" s="59">
        <f t="shared" si="166"/>
        <v>0</v>
      </c>
      <c r="AX99" s="59"/>
      <c r="AY99" s="59">
        <f t="shared" si="136"/>
        <v>0</v>
      </c>
      <c r="AZ99" s="59">
        <f t="shared" si="167"/>
        <v>0</v>
      </c>
      <c r="BA99" s="61">
        <v>599.53333333333342</v>
      </c>
      <c r="BB99" s="59">
        <f t="shared" si="168"/>
        <v>731.43066666666675</v>
      </c>
      <c r="BC99" s="59">
        <f t="shared" si="169"/>
        <v>11702.890666666668</v>
      </c>
      <c r="BD99" s="59"/>
      <c r="BE99" s="59">
        <f t="shared" si="137"/>
        <v>0</v>
      </c>
      <c r="BF99" s="59">
        <f t="shared" si="170"/>
        <v>0</v>
      </c>
      <c r="BG99" s="59"/>
      <c r="BH99" s="59">
        <f t="shared" si="138"/>
        <v>0</v>
      </c>
      <c r="BI99" s="59">
        <f t="shared" si="171"/>
        <v>0</v>
      </c>
      <c r="BJ99" s="59"/>
      <c r="BK99" s="59">
        <f t="shared" si="139"/>
        <v>0</v>
      </c>
      <c r="BL99" s="59">
        <f t="shared" si="172"/>
        <v>0</v>
      </c>
      <c r="BM99" s="59"/>
      <c r="BN99" s="59">
        <f t="shared" si="140"/>
        <v>0</v>
      </c>
      <c r="BO99" s="59">
        <f t="shared" si="141"/>
        <v>0</v>
      </c>
      <c r="BP99" s="59"/>
      <c r="BQ99" s="59">
        <f t="shared" si="142"/>
        <v>0</v>
      </c>
      <c r="BR99" s="59">
        <f t="shared" si="143"/>
        <v>0</v>
      </c>
      <c r="BS99" s="59"/>
      <c r="BT99" s="59">
        <f t="shared" si="144"/>
        <v>0</v>
      </c>
      <c r="BU99" s="59">
        <f t="shared" si="145"/>
        <v>0</v>
      </c>
      <c r="BV99" s="61">
        <v>582.15555555555568</v>
      </c>
      <c r="BW99" s="59">
        <f t="shared" si="173"/>
        <v>710.22977777777794</v>
      </c>
      <c r="BX99" s="59">
        <f t="shared" si="174"/>
        <v>11363.676444444447</v>
      </c>
      <c r="BY99" s="20">
        <f t="shared" si="175"/>
        <v>576.36296296296302</v>
      </c>
      <c r="BZ99" s="20">
        <f t="shared" si="176"/>
        <v>703.16281481481485</v>
      </c>
      <c r="CA99" s="21">
        <f t="shared" si="177"/>
        <v>9221.8074074074084</v>
      </c>
      <c r="CB99" s="21">
        <f t="shared" si="178"/>
        <v>11250.605037037038</v>
      </c>
      <c r="CC99" s="20">
        <f t="shared" si="149"/>
        <v>1729.088888888889</v>
      </c>
      <c r="CD99" s="20">
        <f t="shared" si="150"/>
        <v>2109.4884444444447</v>
      </c>
      <c r="CE99" s="20">
        <f t="shared" si="151"/>
        <v>7492.718518518519</v>
      </c>
      <c r="CF99" s="20">
        <f t="shared" si="152"/>
        <v>9141.1165925925925</v>
      </c>
      <c r="CG99" s="20">
        <f t="shared" si="146"/>
        <v>11250.605037037038</v>
      </c>
      <c r="CH99" s="4">
        <f t="shared" si="153"/>
        <v>9</v>
      </c>
      <c r="CI99" s="4">
        <f t="shared" si="147"/>
        <v>3</v>
      </c>
      <c r="CN99" s="35" t="e">
        <f>MIN((H99,K99,N99,Q99,T99,W99,Z99,AC99,AF99,AI99,AL99,AO99,AR99,AU99,AX99,BA99,BD99,BG99,BJ99,BM99,BP99,BS99,BV99,#REF!,#REF!))</f>
        <v>#REF!</v>
      </c>
      <c r="CO99" s="35" t="e">
        <f>MAX((H99,K99,N99,Q99,T99,W99,Z99,AC99,AF99,AI99,AL99,AO99,AR99,AU99,AX99,BA99,BD99,BG99,BJ99,BM99,BP99,BS99,BV99,#REF!,#REF!))</f>
        <v>#REF!</v>
      </c>
      <c r="CP99" s="47" t="e">
        <f t="shared" si="154"/>
        <v>#REF!</v>
      </c>
      <c r="CQ99" s="40"/>
      <c r="CS99" s="4">
        <v>0.17499999999999999</v>
      </c>
      <c r="CT99" s="4" t="b">
        <f t="shared" si="156"/>
        <v>0</v>
      </c>
      <c r="CU99" s="4">
        <v>2.5000000000000001E-2</v>
      </c>
      <c r="CV99" s="4" t="b">
        <f t="shared" si="148"/>
        <v>1</v>
      </c>
      <c r="CW99" s="19">
        <v>0.2</v>
      </c>
      <c r="CZ99" s="4" t="s">
        <v>148</v>
      </c>
    </row>
    <row r="100" spans="1:104" s="4" customFormat="1" ht="102" thickBot="1" x14ac:dyDescent="0.3">
      <c r="A100" s="18">
        <v>84</v>
      </c>
      <c r="B100" s="62" t="s">
        <v>132</v>
      </c>
      <c r="C100" s="48" t="s">
        <v>14</v>
      </c>
      <c r="D100" s="107">
        <f t="shared" si="157"/>
        <v>9</v>
      </c>
      <c r="E100" s="107">
        <v>1.2</v>
      </c>
      <c r="F100" s="107">
        <v>7.8</v>
      </c>
      <c r="G100" s="60" t="s">
        <v>143</v>
      </c>
      <c r="H100" s="61">
        <v>349.18649999999997</v>
      </c>
      <c r="I100" s="59">
        <f t="shared" si="158"/>
        <v>426.00752999999997</v>
      </c>
      <c r="J100" s="59">
        <f t="shared" si="159"/>
        <v>3834.0677699999997</v>
      </c>
      <c r="K100" s="59"/>
      <c r="L100" s="59">
        <f t="shared" si="117"/>
        <v>0</v>
      </c>
      <c r="M100" s="59">
        <f t="shared" si="118"/>
        <v>0</v>
      </c>
      <c r="N100" s="59"/>
      <c r="O100" s="59">
        <f t="shared" si="160"/>
        <v>0</v>
      </c>
      <c r="P100" s="59">
        <f t="shared" si="119"/>
        <v>0</v>
      </c>
      <c r="Q100" s="59"/>
      <c r="R100" s="59">
        <f t="shared" si="120"/>
        <v>0</v>
      </c>
      <c r="S100" s="59">
        <f t="shared" si="121"/>
        <v>0</v>
      </c>
      <c r="T100" s="59"/>
      <c r="U100" s="59">
        <f t="shared" si="122"/>
        <v>0</v>
      </c>
      <c r="V100" s="59">
        <f t="shared" si="161"/>
        <v>0</v>
      </c>
      <c r="W100" s="59"/>
      <c r="X100" s="59">
        <f t="shared" si="123"/>
        <v>0</v>
      </c>
      <c r="Y100" s="59">
        <f t="shared" si="162"/>
        <v>0</v>
      </c>
      <c r="Z100" s="59"/>
      <c r="AA100" s="59">
        <f t="shared" si="124"/>
        <v>0</v>
      </c>
      <c r="AB100" s="59">
        <f t="shared" si="163"/>
        <v>0</v>
      </c>
      <c r="AC100" s="59"/>
      <c r="AD100" s="59">
        <f t="shared" si="125"/>
        <v>0</v>
      </c>
      <c r="AE100" s="59">
        <f t="shared" si="126"/>
        <v>0</v>
      </c>
      <c r="AF100" s="59"/>
      <c r="AG100" s="59">
        <f t="shared" si="127"/>
        <v>0</v>
      </c>
      <c r="AH100" s="59">
        <f t="shared" si="128"/>
        <v>0</v>
      </c>
      <c r="AI100" s="59"/>
      <c r="AJ100" s="59">
        <f t="shared" si="129"/>
        <v>0</v>
      </c>
      <c r="AK100" s="59">
        <f t="shared" si="130"/>
        <v>0</v>
      </c>
      <c r="AL100" s="59"/>
      <c r="AM100" s="59">
        <f t="shared" si="131"/>
        <v>0</v>
      </c>
      <c r="AN100" s="59">
        <f t="shared" si="164"/>
        <v>0</v>
      </c>
      <c r="AO100" s="59"/>
      <c r="AP100" s="59">
        <f t="shared" si="132"/>
        <v>0</v>
      </c>
      <c r="AQ100" s="59">
        <f t="shared" si="165"/>
        <v>0</v>
      </c>
      <c r="AR100" s="59"/>
      <c r="AS100" s="59">
        <f t="shared" si="133"/>
        <v>0</v>
      </c>
      <c r="AT100" s="59">
        <f t="shared" si="134"/>
        <v>0</v>
      </c>
      <c r="AU100" s="59"/>
      <c r="AV100" s="59">
        <f t="shared" si="135"/>
        <v>0</v>
      </c>
      <c r="AW100" s="59">
        <f t="shared" si="166"/>
        <v>0</v>
      </c>
      <c r="AX100" s="59"/>
      <c r="AY100" s="59">
        <f t="shared" si="136"/>
        <v>0</v>
      </c>
      <c r="AZ100" s="59">
        <f t="shared" si="167"/>
        <v>0</v>
      </c>
      <c r="BA100" s="61">
        <v>354.68549999999999</v>
      </c>
      <c r="BB100" s="59">
        <f t="shared" si="168"/>
        <v>432.71630999999996</v>
      </c>
      <c r="BC100" s="59">
        <f t="shared" si="169"/>
        <v>3894.4467899999995</v>
      </c>
      <c r="BD100" s="59"/>
      <c r="BE100" s="59">
        <f t="shared" si="137"/>
        <v>0</v>
      </c>
      <c r="BF100" s="59">
        <f t="shared" si="170"/>
        <v>0</v>
      </c>
      <c r="BG100" s="59"/>
      <c r="BH100" s="59">
        <f t="shared" si="138"/>
        <v>0</v>
      </c>
      <c r="BI100" s="59">
        <f t="shared" si="171"/>
        <v>0</v>
      </c>
      <c r="BJ100" s="59"/>
      <c r="BK100" s="59">
        <f t="shared" si="139"/>
        <v>0</v>
      </c>
      <c r="BL100" s="59">
        <f t="shared" si="172"/>
        <v>0</v>
      </c>
      <c r="BM100" s="59"/>
      <c r="BN100" s="59">
        <f t="shared" si="140"/>
        <v>0</v>
      </c>
      <c r="BO100" s="59">
        <f t="shared" si="141"/>
        <v>0</v>
      </c>
      <c r="BP100" s="59"/>
      <c r="BQ100" s="59">
        <f t="shared" si="142"/>
        <v>0</v>
      </c>
      <c r="BR100" s="59">
        <f t="shared" si="143"/>
        <v>0</v>
      </c>
      <c r="BS100" s="59"/>
      <c r="BT100" s="59">
        <f t="shared" si="144"/>
        <v>0</v>
      </c>
      <c r="BU100" s="59">
        <f t="shared" si="145"/>
        <v>0</v>
      </c>
      <c r="BV100" s="61">
        <v>379.43099999999998</v>
      </c>
      <c r="BW100" s="59">
        <f t="shared" si="173"/>
        <v>462.90581999999995</v>
      </c>
      <c r="BX100" s="59">
        <f t="shared" si="174"/>
        <v>4166.1523799999995</v>
      </c>
      <c r="BY100" s="20">
        <f t="shared" si="175"/>
        <v>361.10099999999994</v>
      </c>
      <c r="BZ100" s="20">
        <f t="shared" si="176"/>
        <v>440.54321999999991</v>
      </c>
      <c r="CA100" s="21">
        <f t="shared" si="177"/>
        <v>3249.9089999999997</v>
      </c>
      <c r="CB100" s="21">
        <f t="shared" si="178"/>
        <v>3964.8889799999993</v>
      </c>
      <c r="CC100" s="20">
        <f t="shared" si="149"/>
        <v>433.32119999999992</v>
      </c>
      <c r="CD100" s="20">
        <f t="shared" si="150"/>
        <v>528.65186399999982</v>
      </c>
      <c r="CE100" s="20">
        <f t="shared" si="151"/>
        <v>2816.5877999999993</v>
      </c>
      <c r="CF100" s="20">
        <f t="shared" si="152"/>
        <v>3436.2371159999993</v>
      </c>
      <c r="CG100" s="20">
        <f t="shared" si="146"/>
        <v>3964.8889799999993</v>
      </c>
      <c r="CH100" s="4">
        <f t="shared" si="153"/>
        <v>9</v>
      </c>
      <c r="CI100" s="4">
        <f t="shared" si="147"/>
        <v>3</v>
      </c>
      <c r="CN100" s="35" t="e">
        <f>MIN((H100,K100,N100,Q100,T100,W100,Z100,AC100,AF100,AI100,AL100,AO100,AR100,AU100,AX100,BA100,BD100,BG100,BJ100,BM100,BP100,BS100,BV100,#REF!,#REF!))</f>
        <v>#REF!</v>
      </c>
      <c r="CO100" s="35" t="e">
        <f>MAX((H100,K100,N100,Q100,T100,W100,Z100,AC100,AF100,AI100,AL100,AO100,AR100,AU100,AX100,BA100,BD100,BG100,BJ100,BM100,BP100,BS100,BV100,#REF!,#REF!))</f>
        <v>#REF!</v>
      </c>
      <c r="CP100" s="47" t="e">
        <f t="shared" si="154"/>
        <v>#REF!</v>
      </c>
      <c r="CQ100" s="40"/>
      <c r="CS100" s="4">
        <v>1.2</v>
      </c>
      <c r="CT100" s="4" t="b">
        <f t="shared" si="156"/>
        <v>1</v>
      </c>
      <c r="CU100" s="4">
        <v>1</v>
      </c>
      <c r="CV100" s="4" t="b">
        <f t="shared" si="148"/>
        <v>1</v>
      </c>
      <c r="CW100" s="19">
        <v>2.2000000000000002</v>
      </c>
      <c r="CZ100" s="4" t="s">
        <v>148</v>
      </c>
    </row>
    <row r="101" spans="1:104" s="4" customFormat="1" ht="102" thickBot="1" x14ac:dyDescent="0.3">
      <c r="A101" s="18">
        <v>85</v>
      </c>
      <c r="B101" s="62" t="s">
        <v>133</v>
      </c>
      <c r="C101" s="48" t="s">
        <v>14</v>
      </c>
      <c r="D101" s="107">
        <f t="shared" si="157"/>
        <v>30</v>
      </c>
      <c r="E101" s="107">
        <v>6</v>
      </c>
      <c r="F101" s="107">
        <v>24</v>
      </c>
      <c r="G101" s="60" t="s">
        <v>143</v>
      </c>
      <c r="H101" s="61">
        <v>391.82355555555552</v>
      </c>
      <c r="I101" s="59">
        <f t="shared" si="158"/>
        <v>478.02473777777772</v>
      </c>
      <c r="J101" s="59">
        <f t="shared" si="159"/>
        <v>14340.742133333331</v>
      </c>
      <c r="K101" s="59"/>
      <c r="L101" s="59">
        <f t="shared" si="117"/>
        <v>0</v>
      </c>
      <c r="M101" s="59">
        <f t="shared" si="118"/>
        <v>0</v>
      </c>
      <c r="N101" s="59"/>
      <c r="O101" s="59">
        <f t="shared" si="160"/>
        <v>0</v>
      </c>
      <c r="P101" s="59">
        <f t="shared" si="119"/>
        <v>0</v>
      </c>
      <c r="Q101" s="59"/>
      <c r="R101" s="59">
        <f t="shared" si="120"/>
        <v>0</v>
      </c>
      <c r="S101" s="59">
        <f t="shared" si="121"/>
        <v>0</v>
      </c>
      <c r="T101" s="59"/>
      <c r="U101" s="59">
        <f t="shared" si="122"/>
        <v>0</v>
      </c>
      <c r="V101" s="59">
        <f t="shared" si="161"/>
        <v>0</v>
      </c>
      <c r="W101" s="59"/>
      <c r="X101" s="59">
        <f t="shared" si="123"/>
        <v>0</v>
      </c>
      <c r="Y101" s="59">
        <f t="shared" si="162"/>
        <v>0</v>
      </c>
      <c r="Z101" s="59"/>
      <c r="AA101" s="59">
        <f t="shared" si="124"/>
        <v>0</v>
      </c>
      <c r="AB101" s="59">
        <f t="shared" si="163"/>
        <v>0</v>
      </c>
      <c r="AC101" s="59"/>
      <c r="AD101" s="59">
        <f t="shared" si="125"/>
        <v>0</v>
      </c>
      <c r="AE101" s="59">
        <f t="shared" si="126"/>
        <v>0</v>
      </c>
      <c r="AF101" s="59"/>
      <c r="AG101" s="59">
        <f t="shared" si="127"/>
        <v>0</v>
      </c>
      <c r="AH101" s="59">
        <f t="shared" si="128"/>
        <v>0</v>
      </c>
      <c r="AI101" s="59"/>
      <c r="AJ101" s="59">
        <f t="shared" si="129"/>
        <v>0</v>
      </c>
      <c r="AK101" s="59">
        <f t="shared" si="130"/>
        <v>0</v>
      </c>
      <c r="AL101" s="59"/>
      <c r="AM101" s="59">
        <f t="shared" si="131"/>
        <v>0</v>
      </c>
      <c r="AN101" s="59">
        <f t="shared" si="164"/>
        <v>0</v>
      </c>
      <c r="AO101" s="59"/>
      <c r="AP101" s="59">
        <f t="shared" si="132"/>
        <v>0</v>
      </c>
      <c r="AQ101" s="59">
        <f t="shared" si="165"/>
        <v>0</v>
      </c>
      <c r="AR101" s="59"/>
      <c r="AS101" s="59">
        <f t="shared" si="133"/>
        <v>0</v>
      </c>
      <c r="AT101" s="59">
        <f t="shared" si="134"/>
        <v>0</v>
      </c>
      <c r="AU101" s="59"/>
      <c r="AV101" s="59">
        <f t="shared" si="135"/>
        <v>0</v>
      </c>
      <c r="AW101" s="59">
        <f t="shared" si="166"/>
        <v>0</v>
      </c>
      <c r="AX101" s="59"/>
      <c r="AY101" s="59">
        <f t="shared" si="136"/>
        <v>0</v>
      </c>
      <c r="AZ101" s="59">
        <f t="shared" si="167"/>
        <v>0</v>
      </c>
      <c r="BA101" s="61">
        <v>360.13194444444446</v>
      </c>
      <c r="BB101" s="59">
        <f t="shared" si="168"/>
        <v>439.36097222222224</v>
      </c>
      <c r="BC101" s="59">
        <f t="shared" si="169"/>
        <v>13180.829166666666</v>
      </c>
      <c r="BD101" s="59"/>
      <c r="BE101" s="59">
        <f t="shared" si="137"/>
        <v>0</v>
      </c>
      <c r="BF101" s="59">
        <f t="shared" si="170"/>
        <v>0</v>
      </c>
      <c r="BG101" s="59"/>
      <c r="BH101" s="59">
        <f t="shared" si="138"/>
        <v>0</v>
      </c>
      <c r="BI101" s="59">
        <f t="shared" si="171"/>
        <v>0</v>
      </c>
      <c r="BJ101" s="59"/>
      <c r="BK101" s="59">
        <f t="shared" si="139"/>
        <v>0</v>
      </c>
      <c r="BL101" s="59">
        <f t="shared" si="172"/>
        <v>0</v>
      </c>
      <c r="BM101" s="59"/>
      <c r="BN101" s="59">
        <f t="shared" si="140"/>
        <v>0</v>
      </c>
      <c r="BO101" s="59">
        <f t="shared" si="141"/>
        <v>0</v>
      </c>
      <c r="BP101" s="59"/>
      <c r="BQ101" s="59">
        <f t="shared" si="142"/>
        <v>0</v>
      </c>
      <c r="BR101" s="59">
        <f t="shared" si="143"/>
        <v>0</v>
      </c>
      <c r="BS101" s="59"/>
      <c r="BT101" s="59">
        <f t="shared" si="144"/>
        <v>0</v>
      </c>
      <c r="BU101" s="59">
        <f t="shared" si="145"/>
        <v>0</v>
      </c>
      <c r="BV101" s="61">
        <v>397.58566666666661</v>
      </c>
      <c r="BW101" s="59">
        <f t="shared" si="173"/>
        <v>485.05451333333326</v>
      </c>
      <c r="BX101" s="59">
        <f t="shared" si="174"/>
        <v>14551.635399999997</v>
      </c>
      <c r="BY101" s="20">
        <f t="shared" si="175"/>
        <v>383.1803888888889</v>
      </c>
      <c r="BZ101" s="20">
        <f t="shared" si="176"/>
        <v>467.48007444444443</v>
      </c>
      <c r="CA101" s="21">
        <f t="shared" si="177"/>
        <v>11495.411666666667</v>
      </c>
      <c r="CB101" s="21">
        <f t="shared" si="178"/>
        <v>14024.402233333334</v>
      </c>
      <c r="CC101" s="20">
        <f t="shared" si="149"/>
        <v>2299.0823333333333</v>
      </c>
      <c r="CD101" s="20">
        <f t="shared" si="150"/>
        <v>2804.8804466666666</v>
      </c>
      <c r="CE101" s="20">
        <f t="shared" si="151"/>
        <v>9196.3293333333331</v>
      </c>
      <c r="CF101" s="20">
        <f t="shared" si="152"/>
        <v>11219.521786666666</v>
      </c>
      <c r="CG101" s="20">
        <f t="shared" si="146"/>
        <v>14024.402233333332</v>
      </c>
      <c r="CH101" s="4">
        <f t="shared" si="153"/>
        <v>9</v>
      </c>
      <c r="CI101" s="3">
        <f t="shared" si="147"/>
        <v>3</v>
      </c>
      <c r="CN101" s="35" t="e">
        <f>MIN((H101,K101,N101,Q101,T101,W101,Z101,AC101,AF101,AI101,AL101,AO101,AR101,AU101,AX101,BA101,BD101,BG101,BJ101,BM101,BP101,BS101,BV101,#REF!,#REF!))</f>
        <v>#REF!</v>
      </c>
      <c r="CO101" s="35" t="e">
        <f>MAX((H101,K101,N101,Q101,T101,W101,Z101,AC101,AF101,AI101,AL101,AO101,AR101,AU101,AX101,BA101,BD101,BG101,BJ101,BM101,BP101,BS101,BV101,#REF!,#REF!))</f>
        <v>#REF!</v>
      </c>
      <c r="CP101" s="47" t="e">
        <f t="shared" si="154"/>
        <v>#REF!</v>
      </c>
      <c r="CQ101" s="41" t="e">
        <f t="shared" ref="CQ101:CQ108" si="179">CN101*1.3</f>
        <v>#REF!</v>
      </c>
      <c r="CS101" s="4">
        <v>1</v>
      </c>
      <c r="CT101" s="4" t="b">
        <f t="shared" si="156"/>
        <v>0</v>
      </c>
      <c r="CU101" s="4">
        <v>1</v>
      </c>
      <c r="CV101" s="4" t="b">
        <f t="shared" si="148"/>
        <v>1</v>
      </c>
      <c r="CW101" s="19">
        <v>2</v>
      </c>
      <c r="CZ101" s="4" t="s">
        <v>148</v>
      </c>
    </row>
    <row r="102" spans="1:104" s="4" customFormat="1" ht="102" thickBot="1" x14ac:dyDescent="0.3">
      <c r="A102" s="18">
        <v>86</v>
      </c>
      <c r="B102" s="63" t="s">
        <v>134</v>
      </c>
      <c r="C102" s="48" t="s">
        <v>14</v>
      </c>
      <c r="D102" s="107">
        <f t="shared" si="157"/>
        <v>30</v>
      </c>
      <c r="E102" s="107">
        <v>6</v>
      </c>
      <c r="F102" s="107">
        <v>24</v>
      </c>
      <c r="G102" s="19" t="s">
        <v>143</v>
      </c>
      <c r="H102" s="61">
        <v>295.04444444444442</v>
      </c>
      <c r="I102" s="59">
        <f t="shared" si="158"/>
        <v>359.9542222222222</v>
      </c>
      <c r="J102" s="59">
        <f t="shared" si="159"/>
        <v>10798.626666666665</v>
      </c>
      <c r="K102" s="59"/>
      <c r="L102" s="59">
        <f t="shared" si="117"/>
        <v>0</v>
      </c>
      <c r="M102" s="59">
        <f t="shared" si="118"/>
        <v>0</v>
      </c>
      <c r="N102" s="59"/>
      <c r="O102" s="59">
        <f t="shared" si="160"/>
        <v>0</v>
      </c>
      <c r="P102" s="59">
        <f t="shared" si="119"/>
        <v>0</v>
      </c>
      <c r="Q102" s="59"/>
      <c r="R102" s="59">
        <f t="shared" si="120"/>
        <v>0</v>
      </c>
      <c r="S102" s="59">
        <f t="shared" si="121"/>
        <v>0</v>
      </c>
      <c r="T102" s="59"/>
      <c r="U102" s="59">
        <f t="shared" si="122"/>
        <v>0</v>
      </c>
      <c r="V102" s="59">
        <f t="shared" si="161"/>
        <v>0</v>
      </c>
      <c r="W102" s="59"/>
      <c r="X102" s="59">
        <f t="shared" si="123"/>
        <v>0</v>
      </c>
      <c r="Y102" s="59">
        <f t="shared" si="162"/>
        <v>0</v>
      </c>
      <c r="Z102" s="59"/>
      <c r="AA102" s="59">
        <f t="shared" si="124"/>
        <v>0</v>
      </c>
      <c r="AB102" s="59">
        <f t="shared" si="163"/>
        <v>0</v>
      </c>
      <c r="AC102" s="59"/>
      <c r="AD102" s="59">
        <f t="shared" si="125"/>
        <v>0</v>
      </c>
      <c r="AE102" s="59">
        <f t="shared" si="126"/>
        <v>0</v>
      </c>
      <c r="AF102" s="59"/>
      <c r="AG102" s="59">
        <f t="shared" si="127"/>
        <v>0</v>
      </c>
      <c r="AH102" s="59">
        <f t="shared" si="128"/>
        <v>0</v>
      </c>
      <c r="AI102" s="59"/>
      <c r="AJ102" s="59">
        <f t="shared" si="129"/>
        <v>0</v>
      </c>
      <c r="AK102" s="59">
        <f t="shared" si="130"/>
        <v>0</v>
      </c>
      <c r="AL102" s="59"/>
      <c r="AM102" s="59">
        <f t="shared" si="131"/>
        <v>0</v>
      </c>
      <c r="AN102" s="59">
        <f t="shared" si="164"/>
        <v>0</v>
      </c>
      <c r="AO102" s="59"/>
      <c r="AP102" s="59">
        <f t="shared" si="132"/>
        <v>0</v>
      </c>
      <c r="AQ102" s="59">
        <f t="shared" si="165"/>
        <v>0</v>
      </c>
      <c r="AR102" s="59"/>
      <c r="AS102" s="59">
        <f t="shared" si="133"/>
        <v>0</v>
      </c>
      <c r="AT102" s="59">
        <f t="shared" si="134"/>
        <v>0</v>
      </c>
      <c r="AU102" s="59"/>
      <c r="AV102" s="59">
        <f t="shared" si="135"/>
        <v>0</v>
      </c>
      <c r="AW102" s="59">
        <f t="shared" si="166"/>
        <v>0</v>
      </c>
      <c r="AX102" s="59"/>
      <c r="AY102" s="59">
        <f t="shared" si="136"/>
        <v>0</v>
      </c>
      <c r="AZ102" s="59">
        <f t="shared" si="167"/>
        <v>0</v>
      </c>
      <c r="BA102" s="61">
        <v>264.67222222222222</v>
      </c>
      <c r="BB102" s="59">
        <f t="shared" si="168"/>
        <v>322.90011111111107</v>
      </c>
      <c r="BC102" s="59">
        <f t="shared" si="169"/>
        <v>9687.0033333333322</v>
      </c>
      <c r="BD102" s="59"/>
      <c r="BE102" s="59">
        <f t="shared" si="137"/>
        <v>0</v>
      </c>
      <c r="BF102" s="59">
        <f t="shared" si="170"/>
        <v>0</v>
      </c>
      <c r="BG102" s="59"/>
      <c r="BH102" s="59">
        <f t="shared" si="138"/>
        <v>0</v>
      </c>
      <c r="BI102" s="59">
        <f t="shared" si="171"/>
        <v>0</v>
      </c>
      <c r="BJ102" s="59"/>
      <c r="BK102" s="59">
        <f t="shared" si="139"/>
        <v>0</v>
      </c>
      <c r="BL102" s="59">
        <f t="shared" si="172"/>
        <v>0</v>
      </c>
      <c r="BM102" s="59"/>
      <c r="BN102" s="59">
        <f t="shared" si="140"/>
        <v>0</v>
      </c>
      <c r="BO102" s="59">
        <f t="shared" si="141"/>
        <v>0</v>
      </c>
      <c r="BP102" s="59"/>
      <c r="BQ102" s="59">
        <f t="shared" si="142"/>
        <v>0</v>
      </c>
      <c r="BR102" s="59">
        <f t="shared" si="143"/>
        <v>0</v>
      </c>
      <c r="BS102" s="59"/>
      <c r="BT102" s="59">
        <f t="shared" si="144"/>
        <v>0</v>
      </c>
      <c r="BU102" s="59">
        <f t="shared" si="145"/>
        <v>0</v>
      </c>
      <c r="BV102" s="61">
        <v>292.87500000000006</v>
      </c>
      <c r="BW102" s="59">
        <f t="shared" si="173"/>
        <v>357.30750000000006</v>
      </c>
      <c r="BX102" s="59">
        <f t="shared" si="174"/>
        <v>10719.225000000002</v>
      </c>
      <c r="BY102" s="20">
        <f t="shared" si="175"/>
        <v>284.19722222222225</v>
      </c>
      <c r="BZ102" s="20">
        <f t="shared" si="176"/>
        <v>346.72061111111111</v>
      </c>
      <c r="CA102" s="21">
        <f t="shared" si="177"/>
        <v>8525.9166666666679</v>
      </c>
      <c r="CB102" s="21">
        <f t="shared" si="178"/>
        <v>10401.618333333334</v>
      </c>
      <c r="CC102" s="20">
        <f t="shared" si="149"/>
        <v>1705.1833333333334</v>
      </c>
      <c r="CD102" s="20">
        <f t="shared" si="150"/>
        <v>2080.3236666666667</v>
      </c>
      <c r="CE102" s="20">
        <f t="shared" si="151"/>
        <v>6820.7333333333336</v>
      </c>
      <c r="CF102" s="20">
        <f t="shared" si="152"/>
        <v>8321.2946666666667</v>
      </c>
      <c r="CG102" s="20">
        <f t="shared" si="146"/>
        <v>10401.618333333334</v>
      </c>
      <c r="CH102" s="4">
        <f t="shared" si="153"/>
        <v>9</v>
      </c>
      <c r="CI102" s="3">
        <f t="shared" si="147"/>
        <v>3</v>
      </c>
      <c r="CN102" s="35" t="e">
        <f>MIN((H102,K102,N102,Q102,T102,W102,Z102,AC102,AF102,AI102,AL102,AO102,AR102,AU102,AX102,BA102,BD102,BG102,BJ102,BM102,BP102,BS102,BV102,#REF!,#REF!))</f>
        <v>#REF!</v>
      </c>
      <c r="CO102" s="35" t="e">
        <f>MAX((H102,K102,N102,Q102,T102,W102,Z102,AC102,AF102,AI102,AL102,AO102,AR102,AU102,AX102,BA102,BD102,BG102,BJ102,BM102,BP102,BS102,BV102,#REF!,#REF!))</f>
        <v>#REF!</v>
      </c>
      <c r="CP102" s="47" t="e">
        <f t="shared" si="154"/>
        <v>#REF!</v>
      </c>
      <c r="CQ102" s="41" t="e">
        <f t="shared" si="179"/>
        <v>#REF!</v>
      </c>
      <c r="CS102" s="4">
        <v>2</v>
      </c>
      <c r="CT102" s="4" t="b">
        <f t="shared" si="156"/>
        <v>0</v>
      </c>
      <c r="CU102" s="4">
        <v>6</v>
      </c>
      <c r="CV102" s="4" t="b">
        <f t="shared" si="148"/>
        <v>1</v>
      </c>
      <c r="CW102" s="19">
        <v>8</v>
      </c>
      <c r="CZ102" s="4" t="s">
        <v>148</v>
      </c>
    </row>
    <row r="103" spans="1:104" s="4" customFormat="1" ht="122.25" thickBot="1" x14ac:dyDescent="0.3">
      <c r="A103" s="18">
        <v>87</v>
      </c>
      <c r="B103" s="62" t="s">
        <v>135</v>
      </c>
      <c r="C103" s="48" t="s">
        <v>14</v>
      </c>
      <c r="D103" s="107">
        <f t="shared" si="157"/>
        <v>140</v>
      </c>
      <c r="E103" s="107">
        <v>21</v>
      </c>
      <c r="F103" s="107">
        <v>119</v>
      </c>
      <c r="G103" s="19" t="s">
        <v>143</v>
      </c>
      <c r="H103" s="61">
        <v>800.1</v>
      </c>
      <c r="I103" s="59">
        <f t="shared" si="158"/>
        <v>976.12199999999996</v>
      </c>
      <c r="J103" s="59">
        <f t="shared" si="159"/>
        <v>136657.07999999999</v>
      </c>
      <c r="K103" s="59"/>
      <c r="L103" s="59">
        <f t="shared" si="117"/>
        <v>0</v>
      </c>
      <c r="M103" s="59">
        <f t="shared" si="118"/>
        <v>0</v>
      </c>
      <c r="N103" s="59"/>
      <c r="O103" s="59">
        <f t="shared" si="160"/>
        <v>0</v>
      </c>
      <c r="P103" s="59">
        <f t="shared" si="119"/>
        <v>0</v>
      </c>
      <c r="Q103" s="59"/>
      <c r="R103" s="59">
        <f t="shared" si="120"/>
        <v>0</v>
      </c>
      <c r="S103" s="59">
        <f t="shared" si="121"/>
        <v>0</v>
      </c>
      <c r="T103" s="59"/>
      <c r="U103" s="59">
        <f t="shared" si="122"/>
        <v>0</v>
      </c>
      <c r="V103" s="59">
        <f t="shared" si="161"/>
        <v>0</v>
      </c>
      <c r="W103" s="59"/>
      <c r="X103" s="59">
        <f t="shared" si="123"/>
        <v>0</v>
      </c>
      <c r="Y103" s="59">
        <f t="shared" si="162"/>
        <v>0</v>
      </c>
      <c r="Z103" s="59"/>
      <c r="AA103" s="59">
        <f t="shared" si="124"/>
        <v>0</v>
      </c>
      <c r="AB103" s="59">
        <f t="shared" si="163"/>
        <v>0</v>
      </c>
      <c r="AC103" s="59"/>
      <c r="AD103" s="59">
        <f t="shared" si="125"/>
        <v>0</v>
      </c>
      <c r="AE103" s="59">
        <f t="shared" si="126"/>
        <v>0</v>
      </c>
      <c r="AF103" s="59"/>
      <c r="AG103" s="59">
        <f t="shared" si="127"/>
        <v>0</v>
      </c>
      <c r="AH103" s="59">
        <f t="shared" si="128"/>
        <v>0</v>
      </c>
      <c r="AI103" s="59"/>
      <c r="AJ103" s="59">
        <f t="shared" si="129"/>
        <v>0</v>
      </c>
      <c r="AK103" s="59">
        <f t="shared" si="130"/>
        <v>0</v>
      </c>
      <c r="AL103" s="59"/>
      <c r="AM103" s="59">
        <f t="shared" si="131"/>
        <v>0</v>
      </c>
      <c r="AN103" s="59">
        <f t="shared" si="164"/>
        <v>0</v>
      </c>
      <c r="AO103" s="59"/>
      <c r="AP103" s="59">
        <f t="shared" si="132"/>
        <v>0</v>
      </c>
      <c r="AQ103" s="59">
        <f t="shared" si="165"/>
        <v>0</v>
      </c>
      <c r="AR103" s="59"/>
      <c r="AS103" s="59">
        <f t="shared" si="133"/>
        <v>0</v>
      </c>
      <c r="AT103" s="59">
        <f t="shared" si="134"/>
        <v>0</v>
      </c>
      <c r="AU103" s="59"/>
      <c r="AV103" s="59">
        <f t="shared" si="135"/>
        <v>0</v>
      </c>
      <c r="AW103" s="59">
        <f t="shared" si="166"/>
        <v>0</v>
      </c>
      <c r="AX103" s="59"/>
      <c r="AY103" s="59">
        <f t="shared" si="136"/>
        <v>0</v>
      </c>
      <c r="AZ103" s="59">
        <f t="shared" si="167"/>
        <v>0</v>
      </c>
      <c r="BA103" s="61">
        <v>819.15</v>
      </c>
      <c r="BB103" s="59">
        <f t="shared" si="168"/>
        <v>999.36299999999994</v>
      </c>
      <c r="BC103" s="59">
        <f t="shared" si="169"/>
        <v>139910.81999999998</v>
      </c>
      <c r="BD103" s="59"/>
      <c r="BE103" s="59">
        <f t="shared" si="137"/>
        <v>0</v>
      </c>
      <c r="BF103" s="59">
        <f t="shared" si="170"/>
        <v>0</v>
      </c>
      <c r="BG103" s="59"/>
      <c r="BH103" s="59">
        <f t="shared" si="138"/>
        <v>0</v>
      </c>
      <c r="BI103" s="59">
        <f t="shared" si="171"/>
        <v>0</v>
      </c>
      <c r="BJ103" s="59"/>
      <c r="BK103" s="59">
        <f t="shared" si="139"/>
        <v>0</v>
      </c>
      <c r="BL103" s="59">
        <f t="shared" si="172"/>
        <v>0</v>
      </c>
      <c r="BM103" s="59"/>
      <c r="BN103" s="59">
        <f t="shared" si="140"/>
        <v>0</v>
      </c>
      <c r="BO103" s="59">
        <f t="shared" si="141"/>
        <v>0</v>
      </c>
      <c r="BP103" s="59"/>
      <c r="BQ103" s="59">
        <f t="shared" si="142"/>
        <v>0</v>
      </c>
      <c r="BR103" s="59">
        <f t="shared" si="143"/>
        <v>0</v>
      </c>
      <c r="BS103" s="59"/>
      <c r="BT103" s="59">
        <f t="shared" si="144"/>
        <v>0</v>
      </c>
      <c r="BU103" s="59">
        <f t="shared" si="145"/>
        <v>0</v>
      </c>
      <c r="BV103" s="61">
        <v>812.80000000000007</v>
      </c>
      <c r="BW103" s="59">
        <f t="shared" si="173"/>
        <v>991.6160000000001</v>
      </c>
      <c r="BX103" s="59">
        <f t="shared" si="174"/>
        <v>138826.24000000002</v>
      </c>
      <c r="BY103" s="20">
        <f t="shared" si="175"/>
        <v>810.68333333333339</v>
      </c>
      <c r="BZ103" s="20">
        <f t="shared" si="176"/>
        <v>989.0336666666667</v>
      </c>
      <c r="CA103" s="21">
        <f t="shared" si="177"/>
        <v>113495.66666666667</v>
      </c>
      <c r="CB103" s="21">
        <f t="shared" si="178"/>
        <v>138464.71333333335</v>
      </c>
      <c r="CC103" s="20">
        <f t="shared" si="149"/>
        <v>17024.350000000002</v>
      </c>
      <c r="CD103" s="20">
        <f t="shared" si="150"/>
        <v>20769.707000000002</v>
      </c>
      <c r="CE103" s="20">
        <f t="shared" si="151"/>
        <v>96471.31666666668</v>
      </c>
      <c r="CF103" s="20">
        <f t="shared" si="152"/>
        <v>117695.00633333334</v>
      </c>
      <c r="CG103" s="20">
        <f t="shared" si="146"/>
        <v>138464.71333333335</v>
      </c>
      <c r="CH103" s="4">
        <f t="shared" si="153"/>
        <v>9</v>
      </c>
      <c r="CI103" s="3">
        <f t="shared" si="147"/>
        <v>3</v>
      </c>
      <c r="CN103" s="35" t="e">
        <f>MIN((H103,K103,N103,Q103,T103,W103,Z103,AC103,AF103,AI103,AL103,AO103,AR103,AU103,AX103,BA103,BD103,BG103,BJ103,BM103,BP103,BS103,BV103,#REF!,#REF!))</f>
        <v>#REF!</v>
      </c>
      <c r="CO103" s="35" t="e">
        <f>MAX((H103,K103,N103,Q103,T103,W103,Z103,AC103,AF103,AI103,AL103,AO103,AR103,AU103,AX103,BA103,BD103,BG103,BJ103,BM103,BP103,BS103,BV103,#REF!,#REF!))</f>
        <v>#REF!</v>
      </c>
      <c r="CP103" s="47" t="e">
        <f t="shared" si="154"/>
        <v>#REF!</v>
      </c>
      <c r="CQ103" s="41" t="e">
        <f t="shared" si="179"/>
        <v>#REF!</v>
      </c>
      <c r="CS103" s="4">
        <v>2</v>
      </c>
      <c r="CT103" s="4" t="b">
        <f t="shared" si="156"/>
        <v>0</v>
      </c>
      <c r="CU103" s="4">
        <v>9</v>
      </c>
      <c r="CV103" s="4" t="b">
        <f t="shared" si="148"/>
        <v>1</v>
      </c>
      <c r="CW103" s="19">
        <v>11</v>
      </c>
      <c r="CZ103" s="4" t="s">
        <v>148</v>
      </c>
    </row>
    <row r="104" spans="1:104" s="4" customFormat="1" ht="61.5" thickBot="1" x14ac:dyDescent="0.3">
      <c r="A104" s="18">
        <v>88</v>
      </c>
      <c r="B104" s="64" t="s">
        <v>136</v>
      </c>
      <c r="C104" s="48" t="s">
        <v>14</v>
      </c>
      <c r="D104" s="107">
        <f t="shared" si="157"/>
        <v>9</v>
      </c>
      <c r="E104" s="107">
        <v>0.9</v>
      </c>
      <c r="F104" s="107">
        <v>8.1</v>
      </c>
      <c r="G104" s="60" t="s">
        <v>143</v>
      </c>
      <c r="H104" s="61">
        <v>320.25</v>
      </c>
      <c r="I104" s="59">
        <f t="shared" si="158"/>
        <v>390.70499999999998</v>
      </c>
      <c r="J104" s="59">
        <f t="shared" si="159"/>
        <v>3516.3449999999998</v>
      </c>
      <c r="K104" s="59"/>
      <c r="L104" s="59">
        <f t="shared" si="117"/>
        <v>0</v>
      </c>
      <c r="M104" s="59">
        <f t="shared" si="118"/>
        <v>0</v>
      </c>
      <c r="N104" s="59"/>
      <c r="O104" s="59">
        <f t="shared" si="160"/>
        <v>0</v>
      </c>
      <c r="P104" s="59">
        <f t="shared" si="119"/>
        <v>0</v>
      </c>
      <c r="Q104" s="59"/>
      <c r="R104" s="59">
        <f t="shared" si="120"/>
        <v>0</v>
      </c>
      <c r="S104" s="59">
        <f t="shared" si="121"/>
        <v>0</v>
      </c>
      <c r="T104" s="59"/>
      <c r="U104" s="59">
        <f t="shared" si="122"/>
        <v>0</v>
      </c>
      <c r="V104" s="59">
        <f t="shared" si="161"/>
        <v>0</v>
      </c>
      <c r="W104" s="59"/>
      <c r="X104" s="59">
        <f t="shared" si="123"/>
        <v>0</v>
      </c>
      <c r="Y104" s="59">
        <f t="shared" si="162"/>
        <v>0</v>
      </c>
      <c r="Z104" s="59"/>
      <c r="AA104" s="59">
        <f t="shared" si="124"/>
        <v>0</v>
      </c>
      <c r="AB104" s="59">
        <f t="shared" si="163"/>
        <v>0</v>
      </c>
      <c r="AC104" s="59"/>
      <c r="AD104" s="59">
        <f t="shared" si="125"/>
        <v>0</v>
      </c>
      <c r="AE104" s="59">
        <f t="shared" si="126"/>
        <v>0</v>
      </c>
      <c r="AF104" s="59"/>
      <c r="AG104" s="59">
        <f t="shared" si="127"/>
        <v>0</v>
      </c>
      <c r="AH104" s="59">
        <f t="shared" si="128"/>
        <v>0</v>
      </c>
      <c r="AI104" s="59"/>
      <c r="AJ104" s="59">
        <f t="shared" si="129"/>
        <v>0</v>
      </c>
      <c r="AK104" s="59">
        <f t="shared" si="130"/>
        <v>0</v>
      </c>
      <c r="AL104" s="59"/>
      <c r="AM104" s="59">
        <f t="shared" si="131"/>
        <v>0</v>
      </c>
      <c r="AN104" s="59">
        <f t="shared" si="164"/>
        <v>0</v>
      </c>
      <c r="AO104" s="59"/>
      <c r="AP104" s="59">
        <f t="shared" si="132"/>
        <v>0</v>
      </c>
      <c r="AQ104" s="59">
        <f t="shared" si="165"/>
        <v>0</v>
      </c>
      <c r="AR104" s="59"/>
      <c r="AS104" s="59">
        <f t="shared" si="133"/>
        <v>0</v>
      </c>
      <c r="AT104" s="59">
        <f t="shared" si="134"/>
        <v>0</v>
      </c>
      <c r="AU104" s="59"/>
      <c r="AV104" s="59">
        <f t="shared" si="135"/>
        <v>0</v>
      </c>
      <c r="AW104" s="59">
        <f t="shared" si="166"/>
        <v>0</v>
      </c>
      <c r="AX104" s="59"/>
      <c r="AY104" s="59">
        <f t="shared" si="136"/>
        <v>0</v>
      </c>
      <c r="AZ104" s="59">
        <f t="shared" si="167"/>
        <v>0</v>
      </c>
      <c r="BA104" s="61">
        <v>351.75</v>
      </c>
      <c r="BB104" s="59">
        <f t="shared" si="168"/>
        <v>429.13499999999999</v>
      </c>
      <c r="BC104" s="59">
        <f t="shared" si="169"/>
        <v>3862.2150000000001</v>
      </c>
      <c r="BD104" s="59"/>
      <c r="BE104" s="59">
        <f t="shared" si="137"/>
        <v>0</v>
      </c>
      <c r="BF104" s="59">
        <f t="shared" si="170"/>
        <v>0</v>
      </c>
      <c r="BG104" s="59"/>
      <c r="BH104" s="59">
        <f t="shared" si="138"/>
        <v>0</v>
      </c>
      <c r="BI104" s="59">
        <f t="shared" si="171"/>
        <v>0</v>
      </c>
      <c r="BJ104" s="59"/>
      <c r="BK104" s="59">
        <f t="shared" si="139"/>
        <v>0</v>
      </c>
      <c r="BL104" s="59">
        <f t="shared" si="172"/>
        <v>0</v>
      </c>
      <c r="BM104" s="59"/>
      <c r="BN104" s="59">
        <f t="shared" si="140"/>
        <v>0</v>
      </c>
      <c r="BO104" s="59">
        <f t="shared" si="141"/>
        <v>0</v>
      </c>
      <c r="BP104" s="59"/>
      <c r="BQ104" s="59">
        <f t="shared" si="142"/>
        <v>0</v>
      </c>
      <c r="BR104" s="59">
        <f t="shared" si="143"/>
        <v>0</v>
      </c>
      <c r="BS104" s="59"/>
      <c r="BT104" s="59">
        <f t="shared" si="144"/>
        <v>0</v>
      </c>
      <c r="BU104" s="59">
        <f t="shared" si="145"/>
        <v>0</v>
      </c>
      <c r="BV104" s="61">
        <v>341.25</v>
      </c>
      <c r="BW104" s="59">
        <f t="shared" si="173"/>
        <v>416.32499999999999</v>
      </c>
      <c r="BX104" s="59">
        <f t="shared" si="174"/>
        <v>3746.9249999999997</v>
      </c>
      <c r="BY104" s="20">
        <f t="shared" si="175"/>
        <v>337.75</v>
      </c>
      <c r="BZ104" s="20">
        <f t="shared" si="176"/>
        <v>412.05500000000001</v>
      </c>
      <c r="CA104" s="21">
        <f t="shared" si="177"/>
        <v>3039.75</v>
      </c>
      <c r="CB104" s="21">
        <f t="shared" si="178"/>
        <v>3708.4949999999999</v>
      </c>
      <c r="CC104" s="20">
        <f t="shared" si="149"/>
        <v>303.97500000000002</v>
      </c>
      <c r="CD104" s="20">
        <f t="shared" si="150"/>
        <v>370.84950000000003</v>
      </c>
      <c r="CE104" s="20">
        <f t="shared" si="151"/>
        <v>2735.7750000000001</v>
      </c>
      <c r="CF104" s="20">
        <f t="shared" si="152"/>
        <v>3337.6455000000001</v>
      </c>
      <c r="CG104" s="20">
        <f t="shared" si="146"/>
        <v>3708.4949999999999</v>
      </c>
      <c r="CH104" s="4">
        <f t="shared" si="153"/>
        <v>9</v>
      </c>
      <c r="CI104" s="3">
        <f t="shared" si="147"/>
        <v>3</v>
      </c>
      <c r="CN104" s="35" t="e">
        <f>MIN((H104,K104,N104,Q104,T104,W104,Z104,AC104,AF104,AI104,AL104,AO104,AR104,AU104,AX104,BA104,BD104,BG104,BJ104,BM104,BP104,BS104,BV104,#REF!,#REF!))</f>
        <v>#REF!</v>
      </c>
      <c r="CO104" s="35" t="e">
        <f>MAX((H104,K104,N104,Q104,T104,W104,Z104,AC104,AF104,AI104,AL104,AO104,AR104,AU104,AX104,BA104,BD104,BG104,BJ104,BM104,BP104,BS104,BV104,#REF!,#REF!))</f>
        <v>#REF!</v>
      </c>
      <c r="CP104" s="47" t="e">
        <f t="shared" si="154"/>
        <v>#REF!</v>
      </c>
      <c r="CQ104" s="41" t="e">
        <f t="shared" si="179"/>
        <v>#REF!</v>
      </c>
      <c r="CS104" s="4">
        <v>3</v>
      </c>
      <c r="CT104" s="4" t="b">
        <f t="shared" si="156"/>
        <v>0</v>
      </c>
      <c r="CU104" s="4">
        <v>4</v>
      </c>
      <c r="CV104" s="4" t="b">
        <f t="shared" si="148"/>
        <v>1</v>
      </c>
      <c r="CW104" s="19">
        <v>7</v>
      </c>
      <c r="CZ104" s="4" t="s">
        <v>148</v>
      </c>
    </row>
    <row r="105" spans="1:104" s="4" customFormat="1" ht="61.5" thickBot="1" x14ac:dyDescent="0.3">
      <c r="A105" s="18">
        <v>89</v>
      </c>
      <c r="B105" s="64" t="s">
        <v>137</v>
      </c>
      <c r="C105" s="48" t="s">
        <v>14</v>
      </c>
      <c r="D105" s="107">
        <f t="shared" si="157"/>
        <v>21.6</v>
      </c>
      <c r="E105" s="107">
        <v>2.46</v>
      </c>
      <c r="F105" s="107">
        <v>19.14</v>
      </c>
      <c r="G105" s="60" t="s">
        <v>143</v>
      </c>
      <c r="H105" s="61">
        <v>324.83555555555557</v>
      </c>
      <c r="I105" s="59">
        <f t="shared" si="158"/>
        <v>396.29937777777781</v>
      </c>
      <c r="J105" s="59">
        <f t="shared" si="159"/>
        <v>8560.0665600000011</v>
      </c>
      <c r="K105" s="59"/>
      <c r="L105" s="59">
        <f t="shared" si="117"/>
        <v>0</v>
      </c>
      <c r="M105" s="59">
        <f t="shared" si="118"/>
        <v>0</v>
      </c>
      <c r="N105" s="59"/>
      <c r="O105" s="59">
        <f t="shared" si="160"/>
        <v>0</v>
      </c>
      <c r="P105" s="59">
        <f t="shared" si="119"/>
        <v>0</v>
      </c>
      <c r="Q105" s="59"/>
      <c r="R105" s="59">
        <f t="shared" si="120"/>
        <v>0</v>
      </c>
      <c r="S105" s="59">
        <f t="shared" si="121"/>
        <v>0</v>
      </c>
      <c r="T105" s="59"/>
      <c r="U105" s="59">
        <f t="shared" si="122"/>
        <v>0</v>
      </c>
      <c r="V105" s="59">
        <f t="shared" si="161"/>
        <v>0</v>
      </c>
      <c r="W105" s="59"/>
      <c r="X105" s="59">
        <f t="shared" si="123"/>
        <v>0</v>
      </c>
      <c r="Y105" s="59">
        <f t="shared" si="162"/>
        <v>0</v>
      </c>
      <c r="Z105" s="59"/>
      <c r="AA105" s="59">
        <f t="shared" si="124"/>
        <v>0</v>
      </c>
      <c r="AB105" s="59">
        <f t="shared" si="163"/>
        <v>0</v>
      </c>
      <c r="AC105" s="59"/>
      <c r="AD105" s="59">
        <f t="shared" si="125"/>
        <v>0</v>
      </c>
      <c r="AE105" s="59">
        <f t="shared" si="126"/>
        <v>0</v>
      </c>
      <c r="AF105" s="59"/>
      <c r="AG105" s="59">
        <f t="shared" si="127"/>
        <v>0</v>
      </c>
      <c r="AH105" s="59">
        <f t="shared" si="128"/>
        <v>0</v>
      </c>
      <c r="AI105" s="59"/>
      <c r="AJ105" s="59">
        <f t="shared" si="129"/>
        <v>0</v>
      </c>
      <c r="AK105" s="59">
        <f t="shared" si="130"/>
        <v>0</v>
      </c>
      <c r="AL105" s="59"/>
      <c r="AM105" s="59">
        <f t="shared" si="131"/>
        <v>0</v>
      </c>
      <c r="AN105" s="59">
        <f t="shared" si="164"/>
        <v>0</v>
      </c>
      <c r="AO105" s="59"/>
      <c r="AP105" s="59">
        <f t="shared" si="132"/>
        <v>0</v>
      </c>
      <c r="AQ105" s="59">
        <f t="shared" si="165"/>
        <v>0</v>
      </c>
      <c r="AR105" s="59"/>
      <c r="AS105" s="59">
        <f t="shared" si="133"/>
        <v>0</v>
      </c>
      <c r="AT105" s="59">
        <f t="shared" si="134"/>
        <v>0</v>
      </c>
      <c r="AU105" s="59"/>
      <c r="AV105" s="59">
        <f t="shared" si="135"/>
        <v>0</v>
      </c>
      <c r="AW105" s="59">
        <f t="shared" si="166"/>
        <v>0</v>
      </c>
      <c r="AX105" s="59"/>
      <c r="AY105" s="59">
        <f t="shared" si="136"/>
        <v>0</v>
      </c>
      <c r="AZ105" s="59">
        <f t="shared" si="167"/>
        <v>0</v>
      </c>
      <c r="BA105" s="61">
        <v>327.37333333333339</v>
      </c>
      <c r="BB105" s="59">
        <f t="shared" si="168"/>
        <v>399.39546666666672</v>
      </c>
      <c r="BC105" s="59">
        <f t="shared" si="169"/>
        <v>8626.9420800000025</v>
      </c>
      <c r="BD105" s="59"/>
      <c r="BE105" s="59">
        <f t="shared" si="137"/>
        <v>0</v>
      </c>
      <c r="BF105" s="59">
        <f t="shared" si="170"/>
        <v>0</v>
      </c>
      <c r="BG105" s="59"/>
      <c r="BH105" s="59">
        <f t="shared" si="138"/>
        <v>0</v>
      </c>
      <c r="BI105" s="59">
        <f t="shared" si="171"/>
        <v>0</v>
      </c>
      <c r="BJ105" s="59"/>
      <c r="BK105" s="59">
        <f t="shared" si="139"/>
        <v>0</v>
      </c>
      <c r="BL105" s="59">
        <f t="shared" si="172"/>
        <v>0</v>
      </c>
      <c r="BM105" s="59"/>
      <c r="BN105" s="59">
        <f t="shared" si="140"/>
        <v>0</v>
      </c>
      <c r="BO105" s="59">
        <f t="shared" si="141"/>
        <v>0</v>
      </c>
      <c r="BP105" s="59"/>
      <c r="BQ105" s="59">
        <f t="shared" si="142"/>
        <v>0</v>
      </c>
      <c r="BR105" s="59">
        <f t="shared" si="143"/>
        <v>0</v>
      </c>
      <c r="BS105" s="59"/>
      <c r="BT105" s="59">
        <f t="shared" si="144"/>
        <v>0</v>
      </c>
      <c r="BU105" s="59">
        <f t="shared" si="145"/>
        <v>0</v>
      </c>
      <c r="BV105" s="61">
        <v>350.21333333333331</v>
      </c>
      <c r="BW105" s="59">
        <f t="shared" si="173"/>
        <v>427.26026666666661</v>
      </c>
      <c r="BX105" s="59">
        <f t="shared" si="174"/>
        <v>9228.8217599999989</v>
      </c>
      <c r="BY105" s="20">
        <f t="shared" si="175"/>
        <v>334.14074074074074</v>
      </c>
      <c r="BZ105" s="20">
        <f t="shared" si="176"/>
        <v>407.65170370370367</v>
      </c>
      <c r="CA105" s="21">
        <f t="shared" si="177"/>
        <v>7217.4400000000005</v>
      </c>
      <c r="CB105" s="21">
        <f t="shared" si="178"/>
        <v>8805.2767999999996</v>
      </c>
      <c r="CC105" s="20">
        <f t="shared" si="149"/>
        <v>821.98622222222218</v>
      </c>
      <c r="CD105" s="20">
        <f t="shared" si="150"/>
        <v>1002.823191111111</v>
      </c>
      <c r="CE105" s="20">
        <f t="shared" si="151"/>
        <v>6395.4537777777778</v>
      </c>
      <c r="CF105" s="20">
        <f t="shared" si="152"/>
        <v>7802.453608888889</v>
      </c>
      <c r="CG105" s="20">
        <f t="shared" si="146"/>
        <v>8805.2767999999996</v>
      </c>
      <c r="CH105" s="4">
        <f t="shared" si="153"/>
        <v>9</v>
      </c>
      <c r="CI105" s="3">
        <f t="shared" si="147"/>
        <v>3</v>
      </c>
      <c r="CN105" s="35" t="e">
        <f>MIN((H105,K105,N105,Q105,T105,W105,Z105,AC105,AF105,AI105,AL105,AO105,AR105,AU105,AX105,BA105,BD105,BG105,BJ105,BM105,BP105,BS105,BV105,#REF!,#REF!))</f>
        <v>#REF!</v>
      </c>
      <c r="CO105" s="35" t="e">
        <f>MAX((H105,K105,N105,Q105,T105,W105,Z105,AC105,AF105,AI105,AL105,AO105,AR105,AU105,AX105,BA105,BD105,BG105,BJ105,BM105,BP105,BS105,BV105,#REF!,#REF!))</f>
        <v>#REF!</v>
      </c>
      <c r="CP105" s="47" t="e">
        <f t="shared" si="154"/>
        <v>#REF!</v>
      </c>
      <c r="CQ105" s="41" t="e">
        <f t="shared" si="179"/>
        <v>#REF!</v>
      </c>
      <c r="CS105" s="4">
        <v>2</v>
      </c>
      <c r="CT105" s="4" t="b">
        <f t="shared" si="156"/>
        <v>0</v>
      </c>
      <c r="CU105" s="4">
        <v>2</v>
      </c>
      <c r="CV105" s="4" t="b">
        <f t="shared" si="148"/>
        <v>1</v>
      </c>
      <c r="CW105" s="19">
        <v>4</v>
      </c>
      <c r="CZ105" s="4" t="s">
        <v>148</v>
      </c>
    </row>
    <row r="106" spans="1:104" s="4" customFormat="1" ht="61.5" thickBot="1" x14ac:dyDescent="0.3">
      <c r="A106" s="18">
        <v>90</v>
      </c>
      <c r="B106" s="64" t="s">
        <v>138</v>
      </c>
      <c r="C106" s="48" t="s">
        <v>14</v>
      </c>
      <c r="D106" s="107">
        <f t="shared" si="157"/>
        <v>5.04</v>
      </c>
      <c r="E106" s="107">
        <v>1.68</v>
      </c>
      <c r="F106" s="107">
        <v>3.36</v>
      </c>
      <c r="G106" s="60" t="s">
        <v>143</v>
      </c>
      <c r="H106" s="61">
        <v>228.97350000000003</v>
      </c>
      <c r="I106" s="59">
        <f t="shared" si="158"/>
        <v>279.34767000000005</v>
      </c>
      <c r="J106" s="59">
        <f t="shared" si="159"/>
        <v>1407.9122568000003</v>
      </c>
      <c r="K106" s="59"/>
      <c r="L106" s="59">
        <f t="shared" si="117"/>
        <v>0</v>
      </c>
      <c r="M106" s="59">
        <f t="shared" si="118"/>
        <v>0</v>
      </c>
      <c r="N106" s="59"/>
      <c r="O106" s="59">
        <f t="shared" si="160"/>
        <v>0</v>
      </c>
      <c r="P106" s="59">
        <f t="shared" si="119"/>
        <v>0</v>
      </c>
      <c r="Q106" s="59"/>
      <c r="R106" s="59">
        <f t="shared" si="120"/>
        <v>0</v>
      </c>
      <c r="S106" s="59">
        <f t="shared" si="121"/>
        <v>0</v>
      </c>
      <c r="T106" s="59"/>
      <c r="U106" s="59">
        <f t="shared" si="122"/>
        <v>0</v>
      </c>
      <c r="V106" s="59">
        <f t="shared" si="161"/>
        <v>0</v>
      </c>
      <c r="W106" s="59"/>
      <c r="X106" s="59">
        <f t="shared" si="123"/>
        <v>0</v>
      </c>
      <c r="Y106" s="59">
        <f t="shared" si="162"/>
        <v>0</v>
      </c>
      <c r="Z106" s="59"/>
      <c r="AA106" s="59">
        <f t="shared" si="124"/>
        <v>0</v>
      </c>
      <c r="AB106" s="59">
        <f t="shared" si="163"/>
        <v>0</v>
      </c>
      <c r="AC106" s="59"/>
      <c r="AD106" s="59">
        <f t="shared" si="125"/>
        <v>0</v>
      </c>
      <c r="AE106" s="59">
        <f t="shared" si="126"/>
        <v>0</v>
      </c>
      <c r="AF106" s="59"/>
      <c r="AG106" s="59">
        <f t="shared" si="127"/>
        <v>0</v>
      </c>
      <c r="AH106" s="59">
        <f t="shared" si="128"/>
        <v>0</v>
      </c>
      <c r="AI106" s="59"/>
      <c r="AJ106" s="59">
        <f t="shared" si="129"/>
        <v>0</v>
      </c>
      <c r="AK106" s="59">
        <f t="shared" si="130"/>
        <v>0</v>
      </c>
      <c r="AL106" s="59"/>
      <c r="AM106" s="59">
        <f t="shared" si="131"/>
        <v>0</v>
      </c>
      <c r="AN106" s="59">
        <f t="shared" si="164"/>
        <v>0</v>
      </c>
      <c r="AO106" s="59"/>
      <c r="AP106" s="59">
        <f t="shared" si="132"/>
        <v>0</v>
      </c>
      <c r="AQ106" s="59">
        <f t="shared" si="165"/>
        <v>0</v>
      </c>
      <c r="AR106" s="59"/>
      <c r="AS106" s="59">
        <f t="shared" si="133"/>
        <v>0</v>
      </c>
      <c r="AT106" s="59">
        <f t="shared" si="134"/>
        <v>0</v>
      </c>
      <c r="AU106" s="59"/>
      <c r="AV106" s="59">
        <f t="shared" si="135"/>
        <v>0</v>
      </c>
      <c r="AW106" s="59">
        <f t="shared" si="166"/>
        <v>0</v>
      </c>
      <c r="AX106" s="59"/>
      <c r="AY106" s="59">
        <f t="shared" si="136"/>
        <v>0</v>
      </c>
      <c r="AZ106" s="59">
        <f t="shared" si="167"/>
        <v>0</v>
      </c>
      <c r="BA106" s="61">
        <v>225.33900000000003</v>
      </c>
      <c r="BB106" s="59">
        <f t="shared" si="168"/>
        <v>274.91358000000002</v>
      </c>
      <c r="BC106" s="59">
        <f t="shared" si="169"/>
        <v>1385.5644432000001</v>
      </c>
      <c r="BD106" s="59"/>
      <c r="BE106" s="59">
        <f t="shared" si="137"/>
        <v>0</v>
      </c>
      <c r="BF106" s="59">
        <f t="shared" si="170"/>
        <v>0</v>
      </c>
      <c r="BG106" s="59"/>
      <c r="BH106" s="59">
        <f t="shared" si="138"/>
        <v>0</v>
      </c>
      <c r="BI106" s="59">
        <f t="shared" si="171"/>
        <v>0</v>
      </c>
      <c r="BJ106" s="59"/>
      <c r="BK106" s="59">
        <f t="shared" si="139"/>
        <v>0</v>
      </c>
      <c r="BL106" s="59">
        <f t="shared" si="172"/>
        <v>0</v>
      </c>
      <c r="BM106" s="59"/>
      <c r="BN106" s="59">
        <f t="shared" si="140"/>
        <v>0</v>
      </c>
      <c r="BO106" s="59">
        <f t="shared" si="141"/>
        <v>0</v>
      </c>
      <c r="BP106" s="59"/>
      <c r="BQ106" s="59">
        <f t="shared" si="142"/>
        <v>0</v>
      </c>
      <c r="BR106" s="59">
        <f t="shared" si="143"/>
        <v>0</v>
      </c>
      <c r="BS106" s="59"/>
      <c r="BT106" s="59">
        <f t="shared" si="144"/>
        <v>0</v>
      </c>
      <c r="BU106" s="59">
        <f t="shared" si="145"/>
        <v>0</v>
      </c>
      <c r="BV106" s="61">
        <v>248.96325000000004</v>
      </c>
      <c r="BW106" s="59">
        <f t="shared" si="173"/>
        <v>303.73516500000005</v>
      </c>
      <c r="BX106" s="59">
        <f t="shared" si="174"/>
        <v>1530.8252316000003</v>
      </c>
      <c r="BY106" s="20">
        <f t="shared" si="175"/>
        <v>234.42525000000003</v>
      </c>
      <c r="BZ106" s="20">
        <f t="shared" si="176"/>
        <v>285.99880500000006</v>
      </c>
      <c r="CA106" s="21">
        <f t="shared" si="177"/>
        <v>1181.5032600000002</v>
      </c>
      <c r="CB106" s="21">
        <f t="shared" si="178"/>
        <v>1441.4339772000003</v>
      </c>
      <c r="CC106" s="20">
        <f t="shared" si="149"/>
        <v>393.83442000000002</v>
      </c>
      <c r="CD106" s="20">
        <f t="shared" si="150"/>
        <v>480.47799240000006</v>
      </c>
      <c r="CE106" s="20">
        <f t="shared" si="151"/>
        <v>787.66884000000005</v>
      </c>
      <c r="CF106" s="20">
        <f t="shared" si="152"/>
        <v>960.95598480000012</v>
      </c>
      <c r="CG106" s="20">
        <f t="shared" si="146"/>
        <v>1441.4339772000003</v>
      </c>
      <c r="CH106" s="4">
        <f t="shared" si="153"/>
        <v>9</v>
      </c>
      <c r="CI106" s="3">
        <f t="shared" si="147"/>
        <v>3</v>
      </c>
      <c r="CN106" s="35" t="e">
        <f>MIN((H106,K106,N106,Q106,T106,W106,Z106,AC106,AF106,AI106,AL106,AO106,AR106,AU106,AX106,BA106,BD106,BG106,BJ106,BM106,BP106,BS106,BV106,#REF!,#REF!))</f>
        <v>#REF!</v>
      </c>
      <c r="CO106" s="35" t="e">
        <f>MAX((H106,K106,N106,Q106,T106,W106,Z106,AC106,AF106,AI106,AL106,AO106,AR106,AU106,AX106,BA106,BD106,BG106,BJ106,BM106,BP106,BS106,BV106,#REF!,#REF!))</f>
        <v>#REF!</v>
      </c>
      <c r="CP106" s="47" t="e">
        <f t="shared" si="154"/>
        <v>#REF!</v>
      </c>
      <c r="CQ106" s="41" t="e">
        <f t="shared" si="179"/>
        <v>#REF!</v>
      </c>
      <c r="CS106" s="4">
        <v>1</v>
      </c>
      <c r="CT106" s="4" t="b">
        <f t="shared" si="156"/>
        <v>0</v>
      </c>
      <c r="CU106" s="4">
        <v>5</v>
      </c>
      <c r="CV106" s="4" t="b">
        <f t="shared" si="148"/>
        <v>1</v>
      </c>
      <c r="CW106" s="19">
        <v>6</v>
      </c>
      <c r="CZ106" s="4" t="s">
        <v>148</v>
      </c>
    </row>
    <row r="107" spans="1:104" s="4" customFormat="1" ht="41.25" thickBot="1" x14ac:dyDescent="0.3">
      <c r="A107" s="18">
        <v>91</v>
      </c>
      <c r="B107" s="64" t="s">
        <v>103</v>
      </c>
      <c r="C107" s="48" t="s">
        <v>14</v>
      </c>
      <c r="D107" s="107">
        <f t="shared" si="157"/>
        <v>0.6</v>
      </c>
      <c r="E107" s="107">
        <v>0.09</v>
      </c>
      <c r="F107" s="107">
        <v>0.51</v>
      </c>
      <c r="G107" s="60" t="s">
        <v>143</v>
      </c>
      <c r="H107" s="61">
        <v>273.61444444444447</v>
      </c>
      <c r="I107" s="59">
        <f t="shared" si="158"/>
        <v>333.80962222222223</v>
      </c>
      <c r="J107" s="59">
        <f t="shared" si="159"/>
        <v>200.28577333333334</v>
      </c>
      <c r="K107" s="59"/>
      <c r="L107" s="59">
        <f t="shared" si="117"/>
        <v>0</v>
      </c>
      <c r="M107" s="59">
        <f t="shared" si="118"/>
        <v>0</v>
      </c>
      <c r="N107" s="59"/>
      <c r="O107" s="59">
        <f t="shared" si="160"/>
        <v>0</v>
      </c>
      <c r="P107" s="59">
        <f t="shared" si="119"/>
        <v>0</v>
      </c>
      <c r="Q107" s="59"/>
      <c r="R107" s="59">
        <f t="shared" si="120"/>
        <v>0</v>
      </c>
      <c r="S107" s="59">
        <f t="shared" si="121"/>
        <v>0</v>
      </c>
      <c r="T107" s="59"/>
      <c r="U107" s="59">
        <f t="shared" si="122"/>
        <v>0</v>
      </c>
      <c r="V107" s="59">
        <f t="shared" si="161"/>
        <v>0</v>
      </c>
      <c r="W107" s="59"/>
      <c r="X107" s="59">
        <f t="shared" si="123"/>
        <v>0</v>
      </c>
      <c r="Y107" s="59">
        <f t="shared" si="162"/>
        <v>0</v>
      </c>
      <c r="Z107" s="59"/>
      <c r="AA107" s="59">
        <f t="shared" si="124"/>
        <v>0</v>
      </c>
      <c r="AB107" s="59">
        <f t="shared" si="163"/>
        <v>0</v>
      </c>
      <c r="AC107" s="59"/>
      <c r="AD107" s="59">
        <f t="shared" si="125"/>
        <v>0</v>
      </c>
      <c r="AE107" s="59">
        <f t="shared" si="126"/>
        <v>0</v>
      </c>
      <c r="AF107" s="59"/>
      <c r="AG107" s="59">
        <f t="shared" si="127"/>
        <v>0</v>
      </c>
      <c r="AH107" s="59">
        <f t="shared" si="128"/>
        <v>0</v>
      </c>
      <c r="AI107" s="59"/>
      <c r="AJ107" s="59">
        <f t="shared" si="129"/>
        <v>0</v>
      </c>
      <c r="AK107" s="59">
        <f t="shared" si="130"/>
        <v>0</v>
      </c>
      <c r="AL107" s="59"/>
      <c r="AM107" s="59">
        <f t="shared" si="131"/>
        <v>0</v>
      </c>
      <c r="AN107" s="59">
        <f t="shared" si="164"/>
        <v>0</v>
      </c>
      <c r="AO107" s="59"/>
      <c r="AP107" s="59">
        <f t="shared" si="132"/>
        <v>0</v>
      </c>
      <c r="AQ107" s="59">
        <f t="shared" si="165"/>
        <v>0</v>
      </c>
      <c r="AR107" s="59"/>
      <c r="AS107" s="59">
        <f t="shared" si="133"/>
        <v>0</v>
      </c>
      <c r="AT107" s="59">
        <f t="shared" si="134"/>
        <v>0</v>
      </c>
      <c r="AU107" s="59"/>
      <c r="AV107" s="59">
        <f t="shared" si="135"/>
        <v>0</v>
      </c>
      <c r="AW107" s="59">
        <f t="shared" si="166"/>
        <v>0</v>
      </c>
      <c r="AX107" s="59"/>
      <c r="AY107" s="59">
        <f t="shared" si="136"/>
        <v>0</v>
      </c>
      <c r="AZ107" s="59">
        <f t="shared" si="167"/>
        <v>0</v>
      </c>
      <c r="BA107" s="61">
        <v>269.30555555555554</v>
      </c>
      <c r="BB107" s="59">
        <f t="shared" si="168"/>
        <v>328.55277777777775</v>
      </c>
      <c r="BC107" s="59">
        <f t="shared" si="169"/>
        <v>197.13166666666663</v>
      </c>
      <c r="BD107" s="59"/>
      <c r="BE107" s="59">
        <f t="shared" si="137"/>
        <v>0</v>
      </c>
      <c r="BF107" s="59">
        <f t="shared" si="170"/>
        <v>0</v>
      </c>
      <c r="BG107" s="59"/>
      <c r="BH107" s="59">
        <f t="shared" si="138"/>
        <v>0</v>
      </c>
      <c r="BI107" s="59">
        <f t="shared" si="171"/>
        <v>0</v>
      </c>
      <c r="BJ107" s="59"/>
      <c r="BK107" s="59">
        <f t="shared" si="139"/>
        <v>0</v>
      </c>
      <c r="BL107" s="59">
        <f t="shared" si="172"/>
        <v>0</v>
      </c>
      <c r="BM107" s="59"/>
      <c r="BN107" s="59">
        <f>ROUND(BM107*1.2,2)</f>
        <v>0</v>
      </c>
      <c r="BO107" s="59">
        <f t="shared" si="141"/>
        <v>0</v>
      </c>
      <c r="BP107" s="59"/>
      <c r="BQ107" s="59">
        <f t="shared" si="142"/>
        <v>0</v>
      </c>
      <c r="BR107" s="59">
        <f t="shared" si="143"/>
        <v>0</v>
      </c>
      <c r="BS107" s="59"/>
      <c r="BT107" s="59">
        <f t="shared" si="144"/>
        <v>0</v>
      </c>
      <c r="BU107" s="59">
        <f t="shared" si="145"/>
        <v>0</v>
      </c>
      <c r="BV107" s="61">
        <v>267.15111111111111</v>
      </c>
      <c r="BW107" s="59">
        <f t="shared" si="173"/>
        <v>325.92435555555556</v>
      </c>
      <c r="BX107" s="59">
        <f t="shared" si="174"/>
        <v>195.55461333333332</v>
      </c>
      <c r="BY107" s="20">
        <f t="shared" si="175"/>
        <v>270.02370370370369</v>
      </c>
      <c r="BZ107" s="20">
        <f t="shared" si="176"/>
        <v>329.42891851851851</v>
      </c>
      <c r="CA107" s="21">
        <f t="shared" si="177"/>
        <v>162.0142222222222</v>
      </c>
      <c r="CB107" s="21">
        <f t="shared" si="178"/>
        <v>197.65735111111107</v>
      </c>
      <c r="CC107" s="20">
        <f t="shared" si="149"/>
        <v>24.30213333333333</v>
      </c>
      <c r="CD107" s="20">
        <f t="shared" si="150"/>
        <v>29.648602666666665</v>
      </c>
      <c r="CE107" s="20">
        <f t="shared" si="151"/>
        <v>137.71208888888887</v>
      </c>
      <c r="CF107" s="20">
        <f t="shared" si="152"/>
        <v>168.00874844444445</v>
      </c>
      <c r="CG107" s="20">
        <f t="shared" si="146"/>
        <v>197.65735111111113</v>
      </c>
      <c r="CH107" s="4">
        <f t="shared" si="153"/>
        <v>9</v>
      </c>
      <c r="CI107" s="3">
        <f t="shared" si="147"/>
        <v>3</v>
      </c>
      <c r="CN107" s="35" t="e">
        <f>MIN((H107,K107,N107,Q107,T107,W107,Z107,AC107,AF107,AI107,AL107,AO107,AR107,AU107,AX107,BA107,BD107,BG107,BJ107,BM107,BP107,BS107,BV107,#REF!,#REF!))</f>
        <v>#REF!</v>
      </c>
      <c r="CO107" s="35" t="e">
        <f>MAX((H107,K107,N107,Q107,T107,W107,Z107,AC107,AF107,AI107,AL107,AO107,AR107,AU107,AX107,BA107,BD107,BG107,BJ107,BM107,BP107,BS107,BV107,#REF!,#REF!))</f>
        <v>#REF!</v>
      </c>
      <c r="CP107" s="47" t="e">
        <f t="shared" si="154"/>
        <v>#REF!</v>
      </c>
      <c r="CQ107" s="41" t="e">
        <f t="shared" si="179"/>
        <v>#REF!</v>
      </c>
      <c r="CS107" s="4">
        <v>1</v>
      </c>
      <c r="CT107" s="4" t="b">
        <f t="shared" si="156"/>
        <v>0</v>
      </c>
      <c r="CU107" s="4">
        <v>1</v>
      </c>
      <c r="CV107" s="4" t="b">
        <f t="shared" si="148"/>
        <v>1</v>
      </c>
      <c r="CW107" s="19">
        <v>2</v>
      </c>
      <c r="CZ107" s="4" t="s">
        <v>148</v>
      </c>
    </row>
    <row r="108" spans="1:104" s="4" customFormat="1" ht="41.25" thickBot="1" x14ac:dyDescent="0.3">
      <c r="A108" s="18">
        <v>92</v>
      </c>
      <c r="B108" s="63" t="s">
        <v>139</v>
      </c>
      <c r="C108" s="48" t="s">
        <v>14</v>
      </c>
      <c r="D108" s="107">
        <f t="shared" si="157"/>
        <v>1.8</v>
      </c>
      <c r="E108" s="107">
        <v>0.21</v>
      </c>
      <c r="F108" s="107">
        <v>1.59</v>
      </c>
      <c r="G108" s="60" t="s">
        <v>143</v>
      </c>
      <c r="H108" s="61">
        <v>308.01374999999996</v>
      </c>
      <c r="I108" s="59">
        <f t="shared" si="158"/>
        <v>375.77677499999993</v>
      </c>
      <c r="J108" s="59">
        <f t="shared" si="159"/>
        <v>676.39819499999987</v>
      </c>
      <c r="K108" s="59"/>
      <c r="L108" s="59">
        <f t="shared" si="117"/>
        <v>0</v>
      </c>
      <c r="M108" s="59">
        <f t="shared" si="118"/>
        <v>0</v>
      </c>
      <c r="N108" s="59"/>
      <c r="O108" s="59">
        <f t="shared" si="160"/>
        <v>0</v>
      </c>
      <c r="P108" s="59">
        <f t="shared" si="119"/>
        <v>0</v>
      </c>
      <c r="Q108" s="59"/>
      <c r="R108" s="59">
        <f t="shared" si="120"/>
        <v>0</v>
      </c>
      <c r="S108" s="59">
        <f t="shared" si="121"/>
        <v>0</v>
      </c>
      <c r="T108" s="59"/>
      <c r="U108" s="59">
        <f t="shared" si="122"/>
        <v>0</v>
      </c>
      <c r="V108" s="59">
        <f t="shared" si="161"/>
        <v>0</v>
      </c>
      <c r="W108" s="59"/>
      <c r="X108" s="59">
        <f t="shared" si="123"/>
        <v>0</v>
      </c>
      <c r="Y108" s="59">
        <f t="shared" si="162"/>
        <v>0</v>
      </c>
      <c r="Z108" s="59"/>
      <c r="AA108" s="59">
        <f t="shared" si="124"/>
        <v>0</v>
      </c>
      <c r="AB108" s="59">
        <f t="shared" si="163"/>
        <v>0</v>
      </c>
      <c r="AC108" s="59"/>
      <c r="AD108" s="59">
        <f t="shared" si="125"/>
        <v>0</v>
      </c>
      <c r="AE108" s="59">
        <f t="shared" si="126"/>
        <v>0</v>
      </c>
      <c r="AF108" s="59"/>
      <c r="AG108" s="59">
        <f t="shared" si="127"/>
        <v>0</v>
      </c>
      <c r="AH108" s="59">
        <f t="shared" si="128"/>
        <v>0</v>
      </c>
      <c r="AI108" s="59"/>
      <c r="AJ108" s="59">
        <f t="shared" si="129"/>
        <v>0</v>
      </c>
      <c r="AK108" s="59">
        <f t="shared" si="130"/>
        <v>0</v>
      </c>
      <c r="AL108" s="59"/>
      <c r="AM108" s="59">
        <f t="shared" si="131"/>
        <v>0</v>
      </c>
      <c r="AN108" s="59">
        <f t="shared" si="164"/>
        <v>0</v>
      </c>
      <c r="AO108" s="59"/>
      <c r="AP108" s="59">
        <f t="shared" si="132"/>
        <v>0</v>
      </c>
      <c r="AQ108" s="59">
        <f t="shared" si="165"/>
        <v>0</v>
      </c>
      <c r="AR108" s="59"/>
      <c r="AS108" s="59">
        <f t="shared" si="133"/>
        <v>0</v>
      </c>
      <c r="AT108" s="59">
        <f t="shared" si="134"/>
        <v>0</v>
      </c>
      <c r="AU108" s="59"/>
      <c r="AV108" s="59">
        <f t="shared" si="135"/>
        <v>0</v>
      </c>
      <c r="AW108" s="59">
        <f t="shared" si="166"/>
        <v>0</v>
      </c>
      <c r="AX108" s="59"/>
      <c r="AY108" s="59">
        <f t="shared" si="136"/>
        <v>0</v>
      </c>
      <c r="AZ108" s="59">
        <f t="shared" si="167"/>
        <v>0</v>
      </c>
      <c r="BA108" s="61">
        <v>310.29533333333325</v>
      </c>
      <c r="BB108" s="59">
        <f t="shared" si="168"/>
        <v>378.56030666666658</v>
      </c>
      <c r="BC108" s="59">
        <f t="shared" si="169"/>
        <v>681.40855199999987</v>
      </c>
      <c r="BD108" s="59"/>
      <c r="BE108" s="59">
        <f t="shared" si="137"/>
        <v>0</v>
      </c>
      <c r="BF108" s="59">
        <f t="shared" si="170"/>
        <v>0</v>
      </c>
      <c r="BG108" s="59"/>
      <c r="BH108" s="59">
        <f t="shared" si="138"/>
        <v>0</v>
      </c>
      <c r="BI108" s="59">
        <f t="shared" si="171"/>
        <v>0</v>
      </c>
      <c r="BJ108" s="59"/>
      <c r="BK108" s="59">
        <f t="shared" si="139"/>
        <v>0</v>
      </c>
      <c r="BL108" s="59">
        <f t="shared" si="172"/>
        <v>0</v>
      </c>
      <c r="BM108" s="59"/>
      <c r="BN108" s="59">
        <f>ROUND(BM108*1.2,2)</f>
        <v>0</v>
      </c>
      <c r="BO108" s="59">
        <f t="shared" si="141"/>
        <v>0</v>
      </c>
      <c r="BP108" s="59"/>
      <c r="BQ108" s="59">
        <f t="shared" si="142"/>
        <v>0</v>
      </c>
      <c r="BR108" s="59">
        <f t="shared" si="143"/>
        <v>0</v>
      </c>
      <c r="BS108" s="59"/>
      <c r="BT108" s="59">
        <f t="shared" si="144"/>
        <v>0</v>
      </c>
      <c r="BU108" s="59">
        <f t="shared" si="145"/>
        <v>0</v>
      </c>
      <c r="BV108" s="61">
        <v>296.60583333333329</v>
      </c>
      <c r="BW108" s="59">
        <f t="shared" si="173"/>
        <v>361.85911666666664</v>
      </c>
      <c r="BX108" s="59">
        <f t="shared" si="174"/>
        <v>651.34640999999999</v>
      </c>
      <c r="BY108" s="20">
        <f t="shared" si="175"/>
        <v>304.97163888888883</v>
      </c>
      <c r="BZ108" s="20">
        <f t="shared" si="176"/>
        <v>372.06539944444438</v>
      </c>
      <c r="CA108" s="21">
        <f t="shared" si="177"/>
        <v>548.94894999999997</v>
      </c>
      <c r="CB108" s="21">
        <f t="shared" si="178"/>
        <v>669.71771899999999</v>
      </c>
      <c r="CC108" s="20">
        <f t="shared" si="149"/>
        <v>64.044044166666652</v>
      </c>
      <c r="CD108" s="20">
        <f t="shared" si="150"/>
        <v>78.133733883333321</v>
      </c>
      <c r="CE108" s="20">
        <f t="shared" si="151"/>
        <v>484.90490583333326</v>
      </c>
      <c r="CF108" s="20">
        <f t="shared" si="152"/>
        <v>591.58398511666655</v>
      </c>
      <c r="CG108" s="20">
        <f t="shared" si="146"/>
        <v>669.71771899999987</v>
      </c>
      <c r="CH108" s="4">
        <f t="shared" si="153"/>
        <v>9</v>
      </c>
      <c r="CI108" s="3">
        <f t="shared" si="147"/>
        <v>3</v>
      </c>
      <c r="CN108" s="35" t="e">
        <f>MIN((H108,K108,N108,Q108,T108,W108,Z108,AC108,AF108,AI108,AL108,AO108,AR108,AU108,AX108,BA108,BD108,BG108,BJ108,BM108,BP108,BS108,BV108,#REF!,#REF!))</f>
        <v>#REF!</v>
      </c>
      <c r="CO108" s="35" t="e">
        <f>MAX((H108,K108,N108,Q108,T108,W108,Z108,AC108,AF108,AI108,AL108,AO108,AR108,AU108,AX108,BA108,BD108,BG108,BJ108,BM108,BP108,BS108,BV108,#REF!,#REF!))</f>
        <v>#REF!</v>
      </c>
      <c r="CP108" s="47" t="e">
        <f t="shared" si="154"/>
        <v>#REF!</v>
      </c>
      <c r="CQ108" s="41" t="e">
        <f t="shared" si="179"/>
        <v>#REF!</v>
      </c>
      <c r="CS108" s="4">
        <v>1</v>
      </c>
      <c r="CT108" s="4" t="b">
        <f t="shared" si="156"/>
        <v>0</v>
      </c>
      <c r="CU108" s="4">
        <v>0</v>
      </c>
      <c r="CV108" s="4" t="b">
        <f t="shared" si="148"/>
        <v>1</v>
      </c>
      <c r="CW108" s="19">
        <v>1</v>
      </c>
      <c r="CZ108" s="4" t="s">
        <v>148</v>
      </c>
    </row>
    <row r="109" spans="1:104" s="4" customFormat="1" ht="41.25" thickBot="1" x14ac:dyDescent="0.3">
      <c r="A109" s="18">
        <v>93</v>
      </c>
      <c r="B109" s="62" t="s">
        <v>140</v>
      </c>
      <c r="C109" s="48" t="s">
        <v>14</v>
      </c>
      <c r="D109" s="107">
        <f t="shared" si="157"/>
        <v>0.6</v>
      </c>
      <c r="E109" s="107">
        <v>0.12</v>
      </c>
      <c r="F109" s="107">
        <v>0.48</v>
      </c>
      <c r="G109" s="60" t="s">
        <v>143</v>
      </c>
      <c r="H109" s="61">
        <v>238.75347222222229</v>
      </c>
      <c r="I109" s="59">
        <f t="shared" si="158"/>
        <v>291.27923611111117</v>
      </c>
      <c r="J109" s="59">
        <f t="shared" si="159"/>
        <v>174.76754166666669</v>
      </c>
      <c r="K109" s="59"/>
      <c r="L109" s="59">
        <f>ROUND(K109*1.2,2)</f>
        <v>0</v>
      </c>
      <c r="M109" s="59">
        <f>L109*E109</f>
        <v>0</v>
      </c>
      <c r="N109" s="59"/>
      <c r="O109" s="59">
        <f>ROUND(N109*1.2,2)</f>
        <v>0</v>
      </c>
      <c r="P109" s="59">
        <f>O109*E109</f>
        <v>0</v>
      </c>
      <c r="Q109" s="59"/>
      <c r="R109" s="59">
        <f>ROUND(Q109*1.2,2)</f>
        <v>0</v>
      </c>
      <c r="S109" s="59">
        <f>R109*E109</f>
        <v>0</v>
      </c>
      <c r="T109" s="59"/>
      <c r="U109" s="59">
        <f>T109*1.2</f>
        <v>0</v>
      </c>
      <c r="V109" s="59">
        <f t="shared" si="161"/>
        <v>0</v>
      </c>
      <c r="W109" s="59"/>
      <c r="X109" s="59">
        <f>W109*1.2</f>
        <v>0</v>
      </c>
      <c r="Y109" s="59">
        <f t="shared" si="162"/>
        <v>0</v>
      </c>
      <c r="Z109" s="59"/>
      <c r="AA109" s="59">
        <f>Z109*1.2</f>
        <v>0</v>
      </c>
      <c r="AB109" s="59">
        <f t="shared" si="163"/>
        <v>0</v>
      </c>
      <c r="AC109" s="59"/>
      <c r="AD109" s="59">
        <f>ROUND(AC109*1.2,2)</f>
        <v>0</v>
      </c>
      <c r="AE109" s="59">
        <f>AD109*E109</f>
        <v>0</v>
      </c>
      <c r="AF109" s="59"/>
      <c r="AG109" s="59">
        <f>ROUND(AF109*1.2,2)</f>
        <v>0</v>
      </c>
      <c r="AH109" s="59">
        <f>AG109*E109</f>
        <v>0</v>
      </c>
      <c r="AI109" s="59"/>
      <c r="AJ109" s="59">
        <f>ROUND(AI109*1.2,2)</f>
        <v>0</v>
      </c>
      <c r="AK109" s="59">
        <f>AJ109*E109</f>
        <v>0</v>
      </c>
      <c r="AL109" s="59"/>
      <c r="AM109" s="59">
        <f>AL109*1.2</f>
        <v>0</v>
      </c>
      <c r="AN109" s="59">
        <f t="shared" si="164"/>
        <v>0</v>
      </c>
      <c r="AO109" s="59"/>
      <c r="AP109" s="59">
        <f>AO109*1.2</f>
        <v>0</v>
      </c>
      <c r="AQ109" s="59">
        <f t="shared" si="165"/>
        <v>0</v>
      </c>
      <c r="AR109" s="59"/>
      <c r="AS109" s="59">
        <f>ROUND(AR109*1.2,2)</f>
        <v>0</v>
      </c>
      <c r="AT109" s="59">
        <f>AS109*E109</f>
        <v>0</v>
      </c>
      <c r="AU109" s="59"/>
      <c r="AV109" s="59">
        <f>AU109*1.2</f>
        <v>0</v>
      </c>
      <c r="AW109" s="59">
        <f t="shared" si="166"/>
        <v>0</v>
      </c>
      <c r="AX109" s="59"/>
      <c r="AY109" s="59">
        <f>AX109*1.2</f>
        <v>0</v>
      </c>
      <c r="AZ109" s="59">
        <f t="shared" si="167"/>
        <v>0</v>
      </c>
      <c r="BA109" s="61">
        <v>254.03369444444451</v>
      </c>
      <c r="BB109" s="59">
        <f t="shared" si="168"/>
        <v>309.9211072222223</v>
      </c>
      <c r="BC109" s="59">
        <f t="shared" si="169"/>
        <v>185.95266433333339</v>
      </c>
      <c r="BD109" s="59"/>
      <c r="BE109" s="59">
        <f>BD109*1.2</f>
        <v>0</v>
      </c>
      <c r="BF109" s="59">
        <f t="shared" si="170"/>
        <v>0</v>
      </c>
      <c r="BG109" s="59"/>
      <c r="BH109" s="59">
        <f>BG109*1.2</f>
        <v>0</v>
      </c>
      <c r="BI109" s="59">
        <f t="shared" si="171"/>
        <v>0</v>
      </c>
      <c r="BJ109" s="59"/>
      <c r="BK109" s="59">
        <f>BJ109*1.2</f>
        <v>0</v>
      </c>
      <c r="BL109" s="59">
        <f t="shared" si="172"/>
        <v>0</v>
      </c>
      <c r="BM109" s="59"/>
      <c r="BN109" s="59">
        <f>ROUND(BM109*1.2,2)</f>
        <v>0</v>
      </c>
      <c r="BO109" s="59">
        <f>BN109*E109</f>
        <v>0</v>
      </c>
      <c r="BP109" s="59"/>
      <c r="BQ109" s="59">
        <f>ROUND(BP109*1.2,2)</f>
        <v>0</v>
      </c>
      <c r="BR109" s="59">
        <f>BQ109*E109</f>
        <v>0</v>
      </c>
      <c r="BS109" s="59"/>
      <c r="BT109" s="59">
        <f>ROUND(BS109*1.2,2)</f>
        <v>0</v>
      </c>
      <c r="BU109" s="59">
        <f>BT109*E109</f>
        <v>0</v>
      </c>
      <c r="BV109" s="61">
        <v>252.12366666666674</v>
      </c>
      <c r="BW109" s="59">
        <f t="shared" si="173"/>
        <v>307.59087333333343</v>
      </c>
      <c r="BX109" s="59">
        <f t="shared" si="174"/>
        <v>184.55452400000004</v>
      </c>
      <c r="BY109" s="20">
        <f t="shared" si="175"/>
        <v>248.30361111111119</v>
      </c>
      <c r="BZ109" s="20">
        <f t="shared" si="176"/>
        <v>302.93040555555564</v>
      </c>
      <c r="CA109" s="21">
        <f t="shared" si="177"/>
        <v>148.9821666666667</v>
      </c>
      <c r="CB109" s="21">
        <f t="shared" si="178"/>
        <v>181.75824333333338</v>
      </c>
      <c r="CC109" s="20">
        <f t="shared" si="149"/>
        <v>29.796433333333344</v>
      </c>
      <c r="CD109" s="20">
        <f t="shared" si="150"/>
        <v>36.351648666666676</v>
      </c>
      <c r="CE109" s="20">
        <f t="shared" si="151"/>
        <v>119.18573333333337</v>
      </c>
      <c r="CF109" s="20">
        <f t="shared" si="152"/>
        <v>145.40659466666671</v>
      </c>
      <c r="CG109" s="20">
        <f>CD109+CF109</f>
        <v>181.75824333333338</v>
      </c>
      <c r="CH109" s="4">
        <f t="shared" si="153"/>
        <v>9</v>
      </c>
      <c r="CI109" s="4">
        <f>CH109/3</f>
        <v>3</v>
      </c>
      <c r="CN109" s="35" t="e">
        <f>MIN((H109,K109,N109,Q109,T109,W109,Z109,AC109,AF109,AI109,AL109,AO109,AR109,AU109,AX109,BA109,BD109,BG109,BJ109,BM109,BP109,BS109,BV109,#REF!,#REF!))</f>
        <v>#REF!</v>
      </c>
      <c r="CO109" s="35" t="e">
        <f>MAX((H109,K109,N109,Q109,T109,W109,Z109,AC109,AF109,AI109,AL109,AO109,AR109,AU109,AX109,BA109,BD109,BG109,BJ109,BM109,BP109,BS109,BV109,#REF!,#REF!))</f>
        <v>#REF!</v>
      </c>
      <c r="CP109" s="47" t="e">
        <f t="shared" si="154"/>
        <v>#REF!</v>
      </c>
      <c r="CQ109" s="40"/>
      <c r="CS109" s="4">
        <v>1.2</v>
      </c>
      <c r="CT109" s="4" t="b">
        <f t="shared" si="156"/>
        <v>0</v>
      </c>
      <c r="CU109" s="4">
        <v>1</v>
      </c>
      <c r="CV109" s="4" t="b">
        <f>(CS109+CU109)=CW109</f>
        <v>1</v>
      </c>
      <c r="CW109" s="19">
        <v>2.2000000000000002</v>
      </c>
      <c r="CZ109" s="4" t="s">
        <v>148</v>
      </c>
    </row>
    <row r="110" spans="1:104" s="4" customFormat="1" ht="41.25" thickBot="1" x14ac:dyDescent="0.3">
      <c r="A110" s="18">
        <v>94</v>
      </c>
      <c r="B110" s="62" t="s">
        <v>106</v>
      </c>
      <c r="C110" s="48" t="s">
        <v>14</v>
      </c>
      <c r="D110" s="107">
        <f t="shared" si="157"/>
        <v>2.4</v>
      </c>
      <c r="E110" s="107">
        <v>0.42</v>
      </c>
      <c r="F110" s="107">
        <v>1.98</v>
      </c>
      <c r="G110" s="60" t="s">
        <v>143</v>
      </c>
      <c r="H110" s="61">
        <v>776.90277777777783</v>
      </c>
      <c r="I110" s="59">
        <f t="shared" si="158"/>
        <v>947.82138888888892</v>
      </c>
      <c r="J110" s="59">
        <f t="shared" si="159"/>
        <v>2274.7713333333331</v>
      </c>
      <c r="K110" s="59"/>
      <c r="L110" s="59">
        <f>ROUND(K110*1.2,2)</f>
        <v>0</v>
      </c>
      <c r="M110" s="59">
        <f>L110*E110</f>
        <v>0</v>
      </c>
      <c r="N110" s="59"/>
      <c r="O110" s="59">
        <f>ROUND(N110*1.2,2)</f>
        <v>0</v>
      </c>
      <c r="P110" s="59">
        <f>O110*E110</f>
        <v>0</v>
      </c>
      <c r="Q110" s="59"/>
      <c r="R110" s="59">
        <f>ROUND(Q110*1.2,2)</f>
        <v>0</v>
      </c>
      <c r="S110" s="59">
        <f>R110*E110</f>
        <v>0</v>
      </c>
      <c r="T110" s="59"/>
      <c r="U110" s="59">
        <f>T110*1.2</f>
        <v>0</v>
      </c>
      <c r="V110" s="59">
        <f t="shared" si="161"/>
        <v>0</v>
      </c>
      <c r="W110" s="59"/>
      <c r="X110" s="59">
        <f>W110*1.2</f>
        <v>0</v>
      </c>
      <c r="Y110" s="59">
        <f t="shared" si="162"/>
        <v>0</v>
      </c>
      <c r="Z110" s="59"/>
      <c r="AA110" s="59">
        <f>Z110*1.2</f>
        <v>0</v>
      </c>
      <c r="AB110" s="59">
        <f t="shared" si="163"/>
        <v>0</v>
      </c>
      <c r="AC110" s="59"/>
      <c r="AD110" s="59">
        <f>ROUND(AC110*1.2,2)</f>
        <v>0</v>
      </c>
      <c r="AE110" s="59">
        <f>AD110*E110</f>
        <v>0</v>
      </c>
      <c r="AF110" s="59"/>
      <c r="AG110" s="59">
        <f>ROUND(AF110*1.2,2)</f>
        <v>0</v>
      </c>
      <c r="AH110" s="59">
        <f>AG110*E110</f>
        <v>0</v>
      </c>
      <c r="AI110" s="59"/>
      <c r="AJ110" s="59">
        <f>ROUND(AI110*1.2,2)</f>
        <v>0</v>
      </c>
      <c r="AK110" s="59">
        <f>AJ110*E110</f>
        <v>0</v>
      </c>
      <c r="AL110" s="59"/>
      <c r="AM110" s="59">
        <f>AL110*1.2</f>
        <v>0</v>
      </c>
      <c r="AN110" s="59">
        <f t="shared" si="164"/>
        <v>0</v>
      </c>
      <c r="AO110" s="59"/>
      <c r="AP110" s="59">
        <f>AO110*1.2</f>
        <v>0</v>
      </c>
      <c r="AQ110" s="59">
        <f t="shared" si="165"/>
        <v>0</v>
      </c>
      <c r="AR110" s="59"/>
      <c r="AS110" s="59">
        <f>ROUND(AR110*1.2,2)</f>
        <v>0</v>
      </c>
      <c r="AT110" s="59">
        <f>AS110*E110</f>
        <v>0</v>
      </c>
      <c r="AU110" s="59"/>
      <c r="AV110" s="59">
        <f>AU110*1.2</f>
        <v>0</v>
      </c>
      <c r="AW110" s="59">
        <f t="shared" si="166"/>
        <v>0</v>
      </c>
      <c r="AX110" s="59"/>
      <c r="AY110" s="59">
        <f>AX110*1.2</f>
        <v>0</v>
      </c>
      <c r="AZ110" s="59">
        <f t="shared" si="167"/>
        <v>0</v>
      </c>
      <c r="BA110" s="61">
        <v>794.69444444444446</v>
      </c>
      <c r="BB110" s="59">
        <f t="shared" si="168"/>
        <v>969.52722222222224</v>
      </c>
      <c r="BC110" s="59">
        <f t="shared" si="169"/>
        <v>2326.8653333333332</v>
      </c>
      <c r="BD110" s="59"/>
      <c r="BE110" s="59">
        <f>BD110*1.2</f>
        <v>0</v>
      </c>
      <c r="BF110" s="59">
        <f t="shared" si="170"/>
        <v>0</v>
      </c>
      <c r="BG110" s="59"/>
      <c r="BH110" s="59">
        <f>BG110*1.2</f>
        <v>0</v>
      </c>
      <c r="BI110" s="59">
        <f t="shared" si="171"/>
        <v>0</v>
      </c>
      <c r="BJ110" s="59"/>
      <c r="BK110" s="59">
        <f>BJ110*1.2</f>
        <v>0</v>
      </c>
      <c r="BL110" s="59">
        <f t="shared" si="172"/>
        <v>0</v>
      </c>
      <c r="BM110" s="59"/>
      <c r="BN110" s="59">
        <f>ROUND(BM110*1.2,2)</f>
        <v>0</v>
      </c>
      <c r="BO110" s="59">
        <f>BN110*E110</f>
        <v>0</v>
      </c>
      <c r="BP110" s="59"/>
      <c r="BQ110" s="59">
        <f>ROUND(BP110*1.2,2)</f>
        <v>0</v>
      </c>
      <c r="BR110" s="59">
        <f>BQ110*E110</f>
        <v>0</v>
      </c>
      <c r="BS110" s="59"/>
      <c r="BT110" s="59">
        <f>ROUND(BS110*1.2,2)</f>
        <v>0</v>
      </c>
      <c r="BU110" s="59">
        <f>BT110*E110</f>
        <v>0</v>
      </c>
      <c r="BV110" s="61">
        <v>765.04166666666663</v>
      </c>
      <c r="BW110" s="59">
        <f t="shared" si="173"/>
        <v>933.3508333333333</v>
      </c>
      <c r="BX110" s="59">
        <f t="shared" si="174"/>
        <v>2240.0419999999999</v>
      </c>
      <c r="BY110" s="20">
        <f t="shared" si="175"/>
        <v>778.87962962962956</v>
      </c>
      <c r="BZ110" s="20">
        <f t="shared" si="176"/>
        <v>950.23314814814808</v>
      </c>
      <c r="CA110" s="21">
        <f t="shared" si="177"/>
        <v>1869.3111111111109</v>
      </c>
      <c r="CB110" s="21">
        <f t="shared" si="178"/>
        <v>2280.5595555555551</v>
      </c>
      <c r="CC110" s="20">
        <f t="shared" si="149"/>
        <v>327.1294444444444</v>
      </c>
      <c r="CD110" s="20">
        <f t="shared" si="150"/>
        <v>399.09792222222217</v>
      </c>
      <c r="CE110" s="20">
        <f t="shared" si="151"/>
        <v>1542.1816666666666</v>
      </c>
      <c r="CF110" s="20">
        <f t="shared" si="152"/>
        <v>1881.4616333333331</v>
      </c>
      <c r="CG110" s="20">
        <f>CD110+CF110</f>
        <v>2280.5595555555551</v>
      </c>
      <c r="CH110" s="4">
        <f t="shared" si="153"/>
        <v>9</v>
      </c>
      <c r="CI110" s="3">
        <f>CH110/3</f>
        <v>3</v>
      </c>
      <c r="CN110" s="35" t="e">
        <f>MIN((H110,K110,N110,Q110,T110,W110,Z110,AC110,AF110,AI110,AL110,AO110,AR110,AU110,AX110,BA110,BD110,BG110,BJ110,BM110,BP110,BS110,BV110,#REF!,#REF!))</f>
        <v>#REF!</v>
      </c>
      <c r="CO110" s="35" t="e">
        <f>MAX((H110,K110,N110,Q110,T110,W110,Z110,AC110,AF110,AI110,AL110,AO110,AR110,AU110,AX110,BA110,BD110,BG110,BJ110,BM110,BP110,BS110,BV110,#REF!,#REF!))</f>
        <v>#REF!</v>
      </c>
      <c r="CP110" s="47" t="e">
        <f t="shared" si="154"/>
        <v>#REF!</v>
      </c>
      <c r="CQ110" s="41" t="e">
        <f>CN110*1.3</f>
        <v>#REF!</v>
      </c>
      <c r="CS110" s="4">
        <v>1</v>
      </c>
      <c r="CT110" s="4" t="b">
        <f t="shared" si="156"/>
        <v>0</v>
      </c>
      <c r="CU110" s="4">
        <v>1</v>
      </c>
      <c r="CV110" s="4" t="b">
        <f>(CS110+CU110)=CW110</f>
        <v>1</v>
      </c>
      <c r="CW110" s="19">
        <v>2</v>
      </c>
      <c r="CZ110" s="4" t="s">
        <v>148</v>
      </c>
    </row>
    <row r="111" spans="1:104" s="4" customFormat="1" ht="61.5" thickBot="1" x14ac:dyDescent="0.3">
      <c r="A111" s="18">
        <v>95</v>
      </c>
      <c r="B111" s="63" t="s">
        <v>141</v>
      </c>
      <c r="C111" s="48" t="s">
        <v>14</v>
      </c>
      <c r="D111" s="107">
        <f t="shared" si="157"/>
        <v>50</v>
      </c>
      <c r="E111" s="107">
        <v>15</v>
      </c>
      <c r="F111" s="107">
        <v>35</v>
      </c>
      <c r="G111" s="19" t="s">
        <v>17</v>
      </c>
      <c r="H111" s="61">
        <v>1.0676944444444447</v>
      </c>
      <c r="I111" s="59">
        <f t="shared" si="158"/>
        <v>1.3025872222222226</v>
      </c>
      <c r="J111" s="59">
        <f t="shared" si="159"/>
        <v>65.129361111111123</v>
      </c>
      <c r="K111" s="59"/>
      <c r="L111" s="59">
        <f>ROUND(K111*1.2,2)</f>
        <v>0</v>
      </c>
      <c r="M111" s="59">
        <f>L111*E111</f>
        <v>0</v>
      </c>
      <c r="N111" s="59"/>
      <c r="O111" s="59">
        <f>ROUND(N111*1.2,2)</f>
        <v>0</v>
      </c>
      <c r="P111" s="59">
        <f>O111*E111</f>
        <v>0</v>
      </c>
      <c r="Q111" s="59"/>
      <c r="R111" s="59">
        <f>ROUND(Q111*1.2,2)</f>
        <v>0</v>
      </c>
      <c r="S111" s="59">
        <f>R111*E111</f>
        <v>0</v>
      </c>
      <c r="T111" s="59"/>
      <c r="U111" s="59">
        <f>T111*1.2</f>
        <v>0</v>
      </c>
      <c r="V111" s="59">
        <f t="shared" si="161"/>
        <v>0</v>
      </c>
      <c r="W111" s="59"/>
      <c r="X111" s="59">
        <f>W111*1.2</f>
        <v>0</v>
      </c>
      <c r="Y111" s="59">
        <f t="shared" si="162"/>
        <v>0</v>
      </c>
      <c r="Z111" s="59"/>
      <c r="AA111" s="59">
        <f>Z111*1.2</f>
        <v>0</v>
      </c>
      <c r="AB111" s="59">
        <f t="shared" si="163"/>
        <v>0</v>
      </c>
      <c r="AC111" s="59"/>
      <c r="AD111" s="59">
        <f>ROUND(AC111*1.2,2)</f>
        <v>0</v>
      </c>
      <c r="AE111" s="59">
        <f>AD111*E111</f>
        <v>0</v>
      </c>
      <c r="AF111" s="59"/>
      <c r="AG111" s="59">
        <f>ROUND(AF111*1.2,2)</f>
        <v>0</v>
      </c>
      <c r="AH111" s="59">
        <f>AG111*E111</f>
        <v>0</v>
      </c>
      <c r="AI111" s="59"/>
      <c r="AJ111" s="59">
        <f>ROUND(AI111*1.2,2)</f>
        <v>0</v>
      </c>
      <c r="AK111" s="59">
        <f>AJ111*E111</f>
        <v>0</v>
      </c>
      <c r="AL111" s="59"/>
      <c r="AM111" s="59">
        <f>AL111*1.2</f>
        <v>0</v>
      </c>
      <c r="AN111" s="59">
        <f t="shared" si="164"/>
        <v>0</v>
      </c>
      <c r="AO111" s="59"/>
      <c r="AP111" s="59">
        <f>AO111*1.2</f>
        <v>0</v>
      </c>
      <c r="AQ111" s="59">
        <f t="shared" si="165"/>
        <v>0</v>
      </c>
      <c r="AR111" s="59"/>
      <c r="AS111" s="59">
        <f>ROUND(AR111*1.2,2)</f>
        <v>0</v>
      </c>
      <c r="AT111" s="59">
        <f>AS111*E111</f>
        <v>0</v>
      </c>
      <c r="AU111" s="59"/>
      <c r="AV111" s="59">
        <f>AU111*1.2</f>
        <v>0</v>
      </c>
      <c r="AW111" s="59">
        <f t="shared" si="166"/>
        <v>0</v>
      </c>
      <c r="AX111" s="59"/>
      <c r="AY111" s="59">
        <f>AX111*1.2</f>
        <v>0</v>
      </c>
      <c r="AZ111" s="59">
        <f t="shared" si="167"/>
        <v>0</v>
      </c>
      <c r="BA111" s="61">
        <v>1.0757222222222225</v>
      </c>
      <c r="BB111" s="59">
        <f t="shared" si="168"/>
        <v>1.3123811111111114</v>
      </c>
      <c r="BC111" s="59">
        <f t="shared" si="169"/>
        <v>65.619055555555576</v>
      </c>
      <c r="BD111" s="59"/>
      <c r="BE111" s="59">
        <f>BD111*1.2</f>
        <v>0</v>
      </c>
      <c r="BF111" s="59">
        <f t="shared" si="170"/>
        <v>0</v>
      </c>
      <c r="BG111" s="59"/>
      <c r="BH111" s="59">
        <f>BG111*1.2</f>
        <v>0</v>
      </c>
      <c r="BI111" s="59">
        <f t="shared" si="171"/>
        <v>0</v>
      </c>
      <c r="BJ111" s="59"/>
      <c r="BK111" s="59">
        <f>BJ111*1.2</f>
        <v>0</v>
      </c>
      <c r="BL111" s="59">
        <f t="shared" si="172"/>
        <v>0</v>
      </c>
      <c r="BM111" s="59"/>
      <c r="BN111" s="59">
        <f>ROUND(BM111*1.2,2)</f>
        <v>0</v>
      </c>
      <c r="BO111" s="59">
        <f>BN111*E111</f>
        <v>0</v>
      </c>
      <c r="BP111" s="59"/>
      <c r="BQ111" s="59">
        <f>ROUND(BP111*1.2,2)</f>
        <v>0</v>
      </c>
      <c r="BR111" s="59">
        <f>BQ111*E111</f>
        <v>0</v>
      </c>
      <c r="BS111" s="59"/>
      <c r="BT111" s="59">
        <f>ROUND(BS111*1.2,2)</f>
        <v>0</v>
      </c>
      <c r="BU111" s="59">
        <f>BT111*E111</f>
        <v>0</v>
      </c>
      <c r="BV111" s="61">
        <v>1.051638888888889</v>
      </c>
      <c r="BW111" s="59">
        <f t="shared" si="173"/>
        <v>1.2829994444444446</v>
      </c>
      <c r="BX111" s="59">
        <f t="shared" si="174"/>
        <v>64.149972222222232</v>
      </c>
      <c r="BY111" s="20">
        <f t="shared" si="175"/>
        <v>1.0650185185185188</v>
      </c>
      <c r="BZ111" s="20">
        <f t="shared" si="176"/>
        <v>1.2993225925925929</v>
      </c>
      <c r="CA111" s="21">
        <f t="shared" si="177"/>
        <v>53.250925925925941</v>
      </c>
      <c r="CB111" s="21">
        <f t="shared" si="178"/>
        <v>64.966129629629648</v>
      </c>
      <c r="CC111" s="20">
        <f t="shared" si="149"/>
        <v>15.975277777777782</v>
      </c>
      <c r="CD111" s="20">
        <f t="shared" si="150"/>
        <v>19.489838888888894</v>
      </c>
      <c r="CE111" s="20">
        <f t="shared" si="151"/>
        <v>37.275648148148157</v>
      </c>
      <c r="CF111" s="20">
        <f t="shared" si="152"/>
        <v>45.476290740740751</v>
      </c>
      <c r="CG111" s="20">
        <f>CD111+CF111</f>
        <v>64.966129629629648</v>
      </c>
      <c r="CH111" s="4">
        <f t="shared" si="153"/>
        <v>9</v>
      </c>
      <c r="CI111" s="3">
        <f>CH111/3</f>
        <v>3</v>
      </c>
      <c r="CN111" s="35" t="e">
        <f>MIN((H111,K111,N111,Q111,T111,W111,Z111,AC111,AF111,AI111,AL111,AO111,AR111,AU111,AX111,BA111,BD111,BG111,BJ111,BM111,BP111,BS111,BV111,#REF!,#REF!))</f>
        <v>#REF!</v>
      </c>
      <c r="CO111" s="35" t="e">
        <f>MAX((H111,K111,N111,Q111,T111,W111,Z111,AC111,AF111,AI111,AL111,AO111,AR111,AU111,AX111,BA111,BD111,BG111,BJ111,BM111,BP111,BS111,BV111,#REF!,#REF!))</f>
        <v>#REF!</v>
      </c>
      <c r="CP111" s="47" t="e">
        <f t="shared" si="154"/>
        <v>#REF!</v>
      </c>
      <c r="CQ111" s="41" t="e">
        <f>CN111*1.3</f>
        <v>#REF!</v>
      </c>
      <c r="CS111" s="4">
        <v>2</v>
      </c>
      <c r="CT111" s="4" t="b">
        <f t="shared" si="156"/>
        <v>0</v>
      </c>
      <c r="CU111" s="4">
        <v>6</v>
      </c>
      <c r="CV111" s="4" t="b">
        <f>(CS111+CU111)=CW111</f>
        <v>1</v>
      </c>
      <c r="CW111" s="19">
        <v>8</v>
      </c>
      <c r="CZ111" s="4" t="s">
        <v>148</v>
      </c>
    </row>
    <row r="112" spans="1:104" s="23" customFormat="1" thickBot="1" x14ac:dyDescent="0.25">
      <c r="A112" s="81" t="s">
        <v>0</v>
      </c>
      <c r="B112" s="82"/>
      <c r="C112" s="83"/>
      <c r="D112" s="108">
        <f>SUM(D17:D111)</f>
        <v>21029.090999999993</v>
      </c>
      <c r="E112" s="108">
        <f>SUM(E17:E111)</f>
        <v>9893.292999999996</v>
      </c>
      <c r="F112" s="108">
        <f>SUM(F17:F111)</f>
        <v>11135.797999999999</v>
      </c>
      <c r="G112" s="57" t="s">
        <v>145</v>
      </c>
      <c r="H112" s="57" t="s">
        <v>14</v>
      </c>
      <c r="I112" s="57" t="s">
        <v>14</v>
      </c>
      <c r="J112" s="57">
        <f>SUM(J17:J111)</f>
        <v>2604823.5644845492</v>
      </c>
      <c r="K112" s="57" t="s">
        <v>14</v>
      </c>
      <c r="L112" s="57" t="s">
        <v>14</v>
      </c>
      <c r="M112" s="57" t="s">
        <v>14</v>
      </c>
      <c r="N112" s="57" t="s">
        <v>14</v>
      </c>
      <c r="O112" s="57" t="s">
        <v>14</v>
      </c>
      <c r="P112" s="57" t="s">
        <v>14</v>
      </c>
      <c r="Q112" s="57" t="s">
        <v>14</v>
      </c>
      <c r="R112" s="57" t="s">
        <v>14</v>
      </c>
      <c r="S112" s="57" t="s">
        <v>14</v>
      </c>
      <c r="T112" s="57" t="s">
        <v>14</v>
      </c>
      <c r="U112" s="57" t="s">
        <v>14</v>
      </c>
      <c r="V112" s="57" t="s">
        <v>14</v>
      </c>
      <c r="W112" s="57" t="s">
        <v>14</v>
      </c>
      <c r="X112" s="57" t="s">
        <v>14</v>
      </c>
      <c r="Y112" s="57" t="s">
        <v>14</v>
      </c>
      <c r="Z112" s="57" t="s">
        <v>14</v>
      </c>
      <c r="AA112" s="57" t="s">
        <v>14</v>
      </c>
      <c r="AB112" s="57" t="s">
        <v>14</v>
      </c>
      <c r="AC112" s="57" t="s">
        <v>14</v>
      </c>
      <c r="AD112" s="57" t="s">
        <v>14</v>
      </c>
      <c r="AE112" s="57" t="s">
        <v>14</v>
      </c>
      <c r="AF112" s="57" t="s">
        <v>14</v>
      </c>
      <c r="AG112" s="57" t="s">
        <v>14</v>
      </c>
      <c r="AH112" s="57" t="s">
        <v>14</v>
      </c>
      <c r="AI112" s="57" t="s">
        <v>14</v>
      </c>
      <c r="AJ112" s="57" t="s">
        <v>14</v>
      </c>
      <c r="AK112" s="57" t="s">
        <v>14</v>
      </c>
      <c r="AL112" s="57" t="s">
        <v>14</v>
      </c>
      <c r="AM112" s="57" t="s">
        <v>14</v>
      </c>
      <c r="AN112" s="57" t="s">
        <v>14</v>
      </c>
      <c r="AO112" s="57" t="s">
        <v>14</v>
      </c>
      <c r="AP112" s="57" t="s">
        <v>14</v>
      </c>
      <c r="AQ112" s="57" t="s">
        <v>14</v>
      </c>
      <c r="AR112" s="57" t="s">
        <v>14</v>
      </c>
      <c r="AS112" s="57" t="s">
        <v>14</v>
      </c>
      <c r="AT112" s="57" t="s">
        <v>14</v>
      </c>
      <c r="AU112" s="57" t="s">
        <v>14</v>
      </c>
      <c r="AV112" s="57" t="s">
        <v>14</v>
      </c>
      <c r="AW112" s="57" t="s">
        <v>14</v>
      </c>
      <c r="AX112" s="57" t="s">
        <v>14</v>
      </c>
      <c r="AY112" s="57" t="s">
        <v>14</v>
      </c>
      <c r="AZ112" s="57" t="s">
        <v>14</v>
      </c>
      <c r="BA112" s="57" t="s">
        <v>14</v>
      </c>
      <c r="BB112" s="57" t="s">
        <v>14</v>
      </c>
      <c r="BC112" s="57">
        <f>SUM(BC17:BC111)</f>
        <v>2588409.804868435</v>
      </c>
      <c r="BD112" s="57" t="s">
        <v>14</v>
      </c>
      <c r="BE112" s="57" t="s">
        <v>14</v>
      </c>
      <c r="BF112" s="57" t="s">
        <v>14</v>
      </c>
      <c r="BG112" s="57" t="s">
        <v>14</v>
      </c>
      <c r="BH112" s="57" t="s">
        <v>14</v>
      </c>
      <c r="BI112" s="57" t="s">
        <v>14</v>
      </c>
      <c r="BJ112" s="57" t="s">
        <v>14</v>
      </c>
      <c r="BK112" s="57" t="s">
        <v>14</v>
      </c>
      <c r="BL112" s="57" t="s">
        <v>14</v>
      </c>
      <c r="BM112" s="57" t="s">
        <v>14</v>
      </c>
      <c r="BN112" s="57" t="s">
        <v>14</v>
      </c>
      <c r="BO112" s="57" t="s">
        <v>14</v>
      </c>
      <c r="BP112" s="57" t="s">
        <v>14</v>
      </c>
      <c r="BQ112" s="57" t="s">
        <v>14</v>
      </c>
      <c r="BR112" s="57" t="s">
        <v>14</v>
      </c>
      <c r="BS112" s="57" t="s">
        <v>14</v>
      </c>
      <c r="BT112" s="57" t="s">
        <v>14</v>
      </c>
      <c r="BU112" s="57" t="s">
        <v>14</v>
      </c>
      <c r="BV112" s="57" t="s">
        <v>14</v>
      </c>
      <c r="BW112" s="57" t="s">
        <v>14</v>
      </c>
      <c r="BX112" s="57">
        <f>SUM(BX17:BX111)</f>
        <v>2612531.8651760253</v>
      </c>
      <c r="BY112" s="57" t="s">
        <v>14</v>
      </c>
      <c r="BZ112" s="57" t="s">
        <v>14</v>
      </c>
      <c r="CA112" s="57">
        <f>SUM(CA17:CA111)</f>
        <v>2132722.7416745927</v>
      </c>
      <c r="CB112" s="57">
        <f t="shared" ref="CB112:CF112" si="180">SUM(CB17:CB111)</f>
        <v>2601921.7448430029</v>
      </c>
      <c r="CC112" s="65">
        <f t="shared" si="180"/>
        <v>617749.54757000576</v>
      </c>
      <c r="CD112" s="65">
        <f t="shared" si="180"/>
        <v>753654.44803540688</v>
      </c>
      <c r="CE112" s="57">
        <f t="shared" si="180"/>
        <v>1514973.1941045865</v>
      </c>
      <c r="CF112" s="57">
        <f t="shared" si="180"/>
        <v>1848267.296807596</v>
      </c>
      <c r="CG112" s="57">
        <f>SUM(CG17:CG111)</f>
        <v>2601921.7448430029</v>
      </c>
      <c r="CH112" s="34"/>
      <c r="CQ112" s="42"/>
      <c r="CW112" s="22">
        <f>SUM(CW17:CW111)</f>
        <v>3129.3599999999997</v>
      </c>
    </row>
    <row r="113" spans="1:83" ht="15.75" customHeight="1" x14ac:dyDescent="0.25">
      <c r="B113" s="31"/>
      <c r="C113" s="31"/>
      <c r="D113" s="11"/>
      <c r="E113" s="11"/>
      <c r="F113" s="11"/>
      <c r="BV113" s="27"/>
      <c r="BW113" s="27"/>
      <c r="BX113" s="27"/>
    </row>
    <row r="114" spans="1:83" x14ac:dyDescent="0.25">
      <c r="A114" s="12"/>
      <c r="B114" s="14"/>
      <c r="C114" s="14"/>
      <c r="D114" s="13"/>
      <c r="E114" s="13"/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3"/>
      <c r="CA114" s="13"/>
      <c r="CB114" s="13"/>
      <c r="CC114" s="13"/>
      <c r="CD114" s="14"/>
      <c r="CE114" s="14"/>
    </row>
    <row r="115" spans="1:83" ht="28.5" customHeight="1" x14ac:dyDescent="0.25">
      <c r="A115" s="12"/>
      <c r="B115" s="14"/>
      <c r="C115" s="14"/>
      <c r="D115" s="13"/>
      <c r="E115" s="13"/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3"/>
      <c r="CA115" s="13"/>
      <c r="CB115" s="13"/>
      <c r="CC115" s="13"/>
      <c r="CD115" s="14"/>
      <c r="CE115" s="14"/>
    </row>
    <row r="116" spans="1:83" x14ac:dyDescent="0.25">
      <c r="A116" s="12"/>
    </row>
    <row r="117" spans="1:83" x14ac:dyDescent="0.25">
      <c r="A117" s="12"/>
    </row>
  </sheetData>
  <sheetProtection formatCells="0" formatColumns="0" formatRows="0" insertColumns="0" insertRows="0" insertHyperlinks="0" deleteColumns="0" deleteRows="0" sort="0" autoFilter="0" pivotTables="0"/>
  <autoFilter ref="A16:CX112"/>
  <customSheetViews>
    <customSheetView guid="{D2AE80FF-E06C-423D-8DF3-9B810DE0020E}" scale="70" showPageBreaks="1" fitToPage="1" printArea="1" filter="1" showAutoFilter="1" hiddenRows="1" topLeftCell="A12">
      <pane xSplit="4" ySplit="5" topLeftCell="BV989" activePane="bottomRight" state="frozen"/>
      <selection pane="bottomRight" activeCell="CD989" sqref="CD989"/>
      <pageMargins left="0.27" right="0.17" top="0.37" bottom="0.21" header="0.31496062992125984" footer="0.31496062992125984"/>
      <pageSetup paperSize="9" scale="10" orientation="landscape" horizontalDpi="4294967294" verticalDpi="4294967294" r:id="rId1"/>
      <autoFilter ref="B1:CR1">
        <filterColumn colId="3">
          <filters>
            <filter val="0,02"/>
            <filter val="0,03"/>
            <filter val="0,05"/>
            <filter val="0,07"/>
            <filter val="0,10"/>
            <filter val="0,13"/>
            <filter val="0,15"/>
            <filter val="0,20"/>
            <filter val="0,23"/>
            <filter val="0,25"/>
            <filter val="0,30"/>
            <filter val="0,40"/>
            <filter val="0,47"/>
            <filter val="0,50"/>
            <filter val="0,54"/>
            <filter val="0,73"/>
            <filter val="1,00"/>
            <filter val="1,10"/>
            <filter val="1,50"/>
            <filter val="1,55"/>
            <filter val="1,57"/>
            <filter val="1,94"/>
            <filter val="10,00"/>
            <filter val="100,00"/>
            <filter val="1000,00"/>
            <filter val="101,00"/>
            <filter val="102,00"/>
            <filter val="105,00"/>
            <filter val="1050,00"/>
            <filter val="106,00"/>
            <filter val="11,00"/>
            <filter val="110,00"/>
            <filter val="119,00"/>
            <filter val="12,00"/>
            <filter val="124,00"/>
            <filter val="130,00"/>
            <filter val="133,00"/>
            <filter val="14,00"/>
            <filter val="140,00"/>
            <filter val="15,00"/>
            <filter val="15,50"/>
            <filter val="150,00"/>
            <filter val="155,00"/>
            <filter val="16,00"/>
            <filter val="162,00"/>
            <filter val="17,00"/>
            <filter val="170,00"/>
            <filter val="171,00"/>
            <filter val="175,00"/>
            <filter val="176,20"/>
            <filter val="18,00"/>
            <filter val="19,00"/>
            <filter val="195,00"/>
            <filter val="2,00"/>
            <filter val="2,20"/>
            <filter val="2,50"/>
            <filter val="20,00"/>
            <filter val="200,00"/>
            <filter val="206,00"/>
            <filter val="21,00"/>
            <filter val="216,00"/>
            <filter val="219,50"/>
            <filter val="22 182,29"/>
            <filter val="22,00"/>
            <filter val="228,30"/>
            <filter val="23,00"/>
            <filter val="2330,00"/>
            <filter val="24,00"/>
            <filter val="245,00"/>
            <filter val="25,00"/>
            <filter val="26,00"/>
            <filter val="260,00"/>
            <filter val="265,00"/>
            <filter val="27,00"/>
            <filter val="270,00"/>
            <filter val="28,00"/>
            <filter val="29,00"/>
            <filter val="3,00"/>
            <filter val="3,50"/>
            <filter val="30,00"/>
            <filter val="300,00"/>
            <filter val="32,00"/>
            <filter val="33,00"/>
            <filter val="335,00"/>
            <filter val="34,00"/>
            <filter val="36,00"/>
            <filter val="38,00"/>
            <filter val="39,00"/>
            <filter val="390,00"/>
            <filter val="4,00"/>
            <filter val="40,00"/>
            <filter val="41,00"/>
            <filter val="42,00"/>
            <filter val="43,00"/>
            <filter val="440,00"/>
            <filter val="45,00"/>
            <filter val="48,00"/>
            <filter val="49,00"/>
            <filter val="5,00"/>
            <filter val="50,00"/>
            <filter val="500,00"/>
            <filter val="52,00"/>
            <filter val="520,00"/>
            <filter val="53,00"/>
            <filter val="55,00"/>
            <filter val="56,00"/>
            <filter val="576,10"/>
            <filter val="6,00"/>
            <filter val="60,00"/>
            <filter val="61,00"/>
            <filter val="62,00"/>
            <filter val="65,00"/>
            <filter val="7,00"/>
            <filter val="7,50"/>
            <filter val="70,00"/>
            <filter val="72,00"/>
            <filter val="75,00"/>
            <filter val="76,00"/>
            <filter val="8,00"/>
            <filter val="8,50"/>
            <filter val="80,00"/>
            <filter val="82,00"/>
            <filter val="85,00"/>
            <filter val="88,00"/>
            <filter val="9,00"/>
            <filter val="90,00"/>
            <filter val="91,00"/>
            <filter val="97,00"/>
          </filters>
        </filterColumn>
      </autoFilter>
    </customSheetView>
    <customSheetView guid="{73CE43B5-F4D4-4870-B21B-B8161E33319C}" scale="60" fitToPage="1" filter="1" showAutoFilter="1" hiddenRows="1" hiddenColumns="1" topLeftCell="A12">
      <pane xSplit="7" ySplit="5" topLeftCell="BU975" activePane="bottomRight" state="frozen"/>
      <selection pane="bottomRight" activeCell="BV979" sqref="BV979"/>
      <pageMargins left="0.27" right="0.17" top="0.37" bottom="0.21" header="0.31496062992125984" footer="0.31496062992125984"/>
      <pageSetup paperSize="9" scale="10" orientation="landscape" horizontalDpi="4294967294" verticalDpi="4294967294" r:id="rId2"/>
      <autoFilter ref="B1:CR1">
        <filterColumn colId="3">
          <filters>
            <filter val="0,02"/>
            <filter val="0,03"/>
            <filter val="0,05"/>
            <filter val="0,07"/>
            <filter val="0,10"/>
            <filter val="0,13"/>
            <filter val="0,15"/>
            <filter val="0,20"/>
            <filter val="0,23"/>
            <filter val="0,25"/>
            <filter val="0,30"/>
            <filter val="0,40"/>
            <filter val="0,47"/>
            <filter val="0,50"/>
            <filter val="0,54"/>
            <filter val="0,73"/>
            <filter val="1,00"/>
            <filter val="1,10"/>
            <filter val="1,50"/>
            <filter val="1,55"/>
            <filter val="1,57"/>
            <filter val="1,94"/>
            <filter val="10,00"/>
            <filter val="100,00"/>
            <filter val="1000,00"/>
            <filter val="101,00"/>
            <filter val="102,00"/>
            <filter val="105,00"/>
            <filter val="1050,00"/>
            <filter val="106,00"/>
            <filter val="11,00"/>
            <filter val="110,00"/>
            <filter val="119,00"/>
            <filter val="12,00"/>
            <filter val="124,00"/>
            <filter val="130,00"/>
            <filter val="133,00"/>
            <filter val="14,00"/>
            <filter val="140,00"/>
            <filter val="15,00"/>
            <filter val="15,50"/>
            <filter val="150,00"/>
            <filter val="155,00"/>
            <filter val="16,00"/>
            <filter val="162,00"/>
            <filter val="17,00"/>
            <filter val="170,00"/>
            <filter val="171,00"/>
            <filter val="175,00"/>
            <filter val="176,20"/>
            <filter val="18,00"/>
            <filter val="19,00"/>
            <filter val="195,00"/>
            <filter val="2,00"/>
            <filter val="2,20"/>
            <filter val="2,50"/>
            <filter val="20,00"/>
            <filter val="200,00"/>
            <filter val="206,00"/>
            <filter val="21,00"/>
            <filter val="216,00"/>
            <filter val="219,50"/>
            <filter val="22 182,29"/>
            <filter val="22,00"/>
            <filter val="228,30"/>
            <filter val="23,00"/>
            <filter val="2330,00"/>
            <filter val="24,00"/>
            <filter val="245,00"/>
            <filter val="25,00"/>
            <filter val="26,00"/>
            <filter val="260,00"/>
            <filter val="265,00"/>
            <filter val="27,00"/>
            <filter val="270,00"/>
            <filter val="28,00"/>
            <filter val="29,00"/>
            <filter val="3,00"/>
            <filter val="3,50"/>
            <filter val="30,00"/>
            <filter val="300,00"/>
            <filter val="32,00"/>
            <filter val="33,00"/>
            <filter val="335,00"/>
            <filter val="34,00"/>
            <filter val="36,00"/>
            <filter val="38,00"/>
            <filter val="39,00"/>
            <filter val="390,00"/>
            <filter val="4,00"/>
            <filter val="40,00"/>
            <filter val="41,00"/>
            <filter val="42,00"/>
            <filter val="43,00"/>
            <filter val="440,00"/>
            <filter val="45,00"/>
            <filter val="48,00"/>
            <filter val="49,00"/>
            <filter val="5,00"/>
            <filter val="50,00"/>
            <filter val="500,00"/>
            <filter val="52,00"/>
            <filter val="520,00"/>
            <filter val="53,00"/>
            <filter val="55,00"/>
            <filter val="56,00"/>
            <filter val="576,10"/>
            <filter val="6,00"/>
            <filter val="60,00"/>
            <filter val="61,00"/>
            <filter val="62,00"/>
            <filter val="65,00"/>
            <filter val="7,00"/>
            <filter val="7,50"/>
            <filter val="70,00"/>
            <filter val="72,00"/>
            <filter val="75,00"/>
            <filter val="76,00"/>
            <filter val="8,00"/>
            <filter val="8,50"/>
            <filter val="80,00"/>
            <filter val="82,00"/>
            <filter val="85,00"/>
            <filter val="88,00"/>
            <filter val="9,00"/>
            <filter val="90,00"/>
            <filter val="91,00"/>
            <filter val="97,00"/>
          </filters>
        </filterColumn>
      </autoFilter>
    </customSheetView>
    <customSheetView guid="{BF5BA27D-9148-43D7-A5D1-093F75AB773E}" showPageBreaks="1" fitToPage="1" filter="1" showAutoFilter="1" hiddenRows="1" hiddenColumns="1" topLeftCell="A12">
      <pane xSplit="7" ySplit="5" topLeftCell="CI17" activePane="bottomRight" state="frozen"/>
      <selection pane="bottomRight" activeCell="CT17" sqref="CT17"/>
      <pageMargins left="0.27" right="0.17" top="0.37" bottom="0.21" header="0.31496062992125984" footer="0.31496062992125984"/>
      <pageSetup paperSize="9" scale="10" orientation="landscape" horizontalDpi="4294967294" verticalDpi="4294967294" r:id="rId3"/>
      <autoFilter ref="B1:CU1">
        <filterColumn colId="4">
          <filters>
            <filter val="0,02"/>
            <filter val="0,03"/>
            <filter val="0,05"/>
            <filter val="0,07"/>
            <filter val="0,10"/>
            <filter val="0,13"/>
            <filter val="0,15"/>
            <filter val="0,20"/>
            <filter val="0,23"/>
            <filter val="0,25"/>
            <filter val="0,30"/>
            <filter val="0,40"/>
            <filter val="0,47"/>
            <filter val="0,50"/>
            <filter val="0,54"/>
            <filter val="0,73"/>
            <filter val="1,00"/>
            <filter val="1,10"/>
            <filter val="1,50"/>
            <filter val="1,55"/>
            <filter val="1,57"/>
            <filter val="1,94"/>
            <filter val="10,00"/>
            <filter val="100,00"/>
            <filter val="1000,00"/>
            <filter val="101,00"/>
            <filter val="102,00"/>
            <filter val="105,00"/>
            <filter val="1050,00"/>
            <filter val="106,00"/>
            <filter val="11,00"/>
            <filter val="110,00"/>
            <filter val="119,00"/>
            <filter val="12,00"/>
            <filter val="124,00"/>
            <filter val="130,00"/>
            <filter val="133,00"/>
            <filter val="14,00"/>
            <filter val="140,00"/>
            <filter val="15,00"/>
            <filter val="15,50"/>
            <filter val="150,00"/>
            <filter val="155,00"/>
            <filter val="16,00"/>
            <filter val="162,00"/>
            <filter val="17,00"/>
            <filter val="170,00"/>
            <filter val="171,00"/>
            <filter val="175,00"/>
            <filter val="176,20"/>
            <filter val="18,00"/>
            <filter val="19,00"/>
            <filter val="195,00"/>
            <filter val="2,00"/>
            <filter val="2,20"/>
            <filter val="2,50"/>
            <filter val="20,00"/>
            <filter val="200,00"/>
            <filter val="206,00"/>
            <filter val="21,00"/>
            <filter val="216,00"/>
            <filter val="219,50"/>
            <filter val="22 182,29"/>
            <filter val="22,00"/>
            <filter val="228,30"/>
            <filter val="23,00"/>
            <filter val="2330,00"/>
            <filter val="24,00"/>
            <filter val="245,00"/>
            <filter val="25,00"/>
            <filter val="26,00"/>
            <filter val="260,00"/>
            <filter val="265,00"/>
            <filter val="27,00"/>
            <filter val="270,00"/>
            <filter val="28,00"/>
            <filter val="29,00"/>
            <filter val="3,00"/>
            <filter val="3,50"/>
            <filter val="30,00"/>
            <filter val="300,00"/>
            <filter val="32,00"/>
            <filter val="33,00"/>
            <filter val="335,00"/>
            <filter val="34,00"/>
            <filter val="36,00"/>
            <filter val="38,00"/>
            <filter val="39,00"/>
            <filter val="390,00"/>
            <filter val="4,00"/>
            <filter val="40,00"/>
            <filter val="41,00"/>
            <filter val="42,00"/>
            <filter val="43,00"/>
            <filter val="440,00"/>
            <filter val="45,00"/>
            <filter val="48,00"/>
            <filter val="49,00"/>
            <filter val="5,00"/>
            <filter val="50,00"/>
            <filter val="500,00"/>
            <filter val="52,00"/>
            <filter val="520,00"/>
            <filter val="53,00"/>
            <filter val="55,00"/>
            <filter val="56,00"/>
            <filter val="576,10"/>
            <filter val="6,00"/>
            <filter val="60,00"/>
            <filter val="61,00"/>
            <filter val="62,00"/>
            <filter val="65,00"/>
            <filter val="7,00"/>
            <filter val="7,50"/>
            <filter val="70,00"/>
            <filter val="72,00"/>
            <filter val="75,00"/>
            <filter val="76,00"/>
            <filter val="8,00"/>
            <filter val="8,50"/>
            <filter val="80,00"/>
            <filter val="82,00"/>
            <filter val="85,00"/>
            <filter val="88,00"/>
            <filter val="9,00"/>
            <filter val="90,00"/>
            <filter val="91,00"/>
            <filter val="97,00"/>
          </filters>
        </filterColumn>
      </autoFilter>
    </customSheetView>
    <customSheetView guid="{FF2CAEFB-0E56-4211-9924-DC285052CF73}" scale="70" showPageBreaks="1" fitToPage="1" filter="1" showAutoFilter="1" hiddenRows="1" topLeftCell="A12">
      <pane xSplit="6" ySplit="5" topLeftCell="G987" activePane="bottomRight" state="frozen"/>
      <selection pane="bottomRight" activeCell="C991" sqref="C991"/>
      <pageMargins left="0.27" right="0.17" top="0.37" bottom="0.21" header="0.31496062992125984" footer="0.31496062992125984"/>
      <pageSetup paperSize="9" scale="10" orientation="landscape" horizontalDpi="4294967294" verticalDpi="4294967294" r:id="rId4"/>
      <autoFilter ref="B1:CR1">
        <filterColumn colId="3">
          <filters>
            <filter val="0,02"/>
            <filter val="0,03"/>
            <filter val="0,05"/>
            <filter val="0,07"/>
            <filter val="0,10"/>
            <filter val="0,13"/>
            <filter val="0,15"/>
            <filter val="0,20"/>
            <filter val="0,23"/>
            <filter val="0,25"/>
            <filter val="0,30"/>
            <filter val="0,40"/>
            <filter val="0,47"/>
            <filter val="0,50"/>
            <filter val="0,54"/>
            <filter val="0,73"/>
            <filter val="1,00"/>
            <filter val="1,10"/>
            <filter val="1,50"/>
            <filter val="1,55"/>
            <filter val="1,57"/>
            <filter val="1,94"/>
            <filter val="10,00"/>
            <filter val="100,00"/>
            <filter val="1000,00"/>
            <filter val="101,00"/>
            <filter val="102,00"/>
            <filter val="105,00"/>
            <filter val="1050,00"/>
            <filter val="106,00"/>
            <filter val="11,00"/>
            <filter val="110,00"/>
            <filter val="119,00"/>
            <filter val="12,00"/>
            <filter val="124,00"/>
            <filter val="130,00"/>
            <filter val="133,00"/>
            <filter val="14,00"/>
            <filter val="140,00"/>
            <filter val="15,00"/>
            <filter val="15,50"/>
            <filter val="150,00"/>
            <filter val="155,00"/>
            <filter val="16,00"/>
            <filter val="162,00"/>
            <filter val="17,00"/>
            <filter val="170,00"/>
            <filter val="171,00"/>
            <filter val="175,00"/>
            <filter val="176,20"/>
            <filter val="18,00"/>
            <filter val="19,00"/>
            <filter val="195,00"/>
            <filter val="2,00"/>
            <filter val="2,20"/>
            <filter val="2,50"/>
            <filter val="20,00"/>
            <filter val="200,00"/>
            <filter val="206,00"/>
            <filter val="21,00"/>
            <filter val="216,00"/>
            <filter val="219,50"/>
            <filter val="22 182,29"/>
            <filter val="22,00"/>
            <filter val="228,30"/>
            <filter val="23,00"/>
            <filter val="2330,00"/>
            <filter val="24,00"/>
            <filter val="245,00"/>
            <filter val="25,00"/>
            <filter val="26,00"/>
            <filter val="260,00"/>
            <filter val="265,00"/>
            <filter val="27,00"/>
            <filter val="270,00"/>
            <filter val="28,00"/>
            <filter val="29,00"/>
            <filter val="3,00"/>
            <filter val="3,50"/>
            <filter val="30,00"/>
            <filter val="300,00"/>
            <filter val="32,00"/>
            <filter val="33,00"/>
            <filter val="335,00"/>
            <filter val="34,00"/>
            <filter val="36,00"/>
            <filter val="38,00"/>
            <filter val="39,00"/>
            <filter val="390,00"/>
            <filter val="4,00"/>
            <filter val="40,00"/>
            <filter val="41,00"/>
            <filter val="42,00"/>
            <filter val="43,00"/>
            <filter val="440,00"/>
            <filter val="45,00"/>
            <filter val="48,00"/>
            <filter val="49,00"/>
            <filter val="5,00"/>
            <filter val="50,00"/>
            <filter val="500,00"/>
            <filter val="52,00"/>
            <filter val="520,00"/>
            <filter val="53,00"/>
            <filter val="55,00"/>
            <filter val="56,00"/>
            <filter val="576,10"/>
            <filter val="6,00"/>
            <filter val="60,00"/>
            <filter val="61,00"/>
            <filter val="62,00"/>
            <filter val="65,00"/>
            <filter val="7,00"/>
            <filter val="7,50"/>
            <filter val="70,00"/>
            <filter val="72,00"/>
            <filter val="75,00"/>
            <filter val="76,00"/>
            <filter val="8,00"/>
            <filter val="8,50"/>
            <filter val="80,00"/>
            <filter val="82,00"/>
            <filter val="85,00"/>
            <filter val="88,00"/>
            <filter val="9,00"/>
            <filter val="90,00"/>
            <filter val="91,00"/>
            <filter val="97,00"/>
          </filters>
        </filterColumn>
      </autoFilter>
    </customSheetView>
  </customSheetViews>
  <mergeCells count="82">
    <mergeCell ref="F12:F14"/>
    <mergeCell ref="BJ13:BL13"/>
    <mergeCell ref="BM13:BO13"/>
    <mergeCell ref="BS13:BU13"/>
    <mergeCell ref="BJ14:BL14"/>
    <mergeCell ref="AC15:AE15"/>
    <mergeCell ref="BD14:BF14"/>
    <mergeCell ref="BM14:BO14"/>
    <mergeCell ref="AU13:AW13"/>
    <mergeCell ref="AU14:AW14"/>
    <mergeCell ref="BD15:BF15"/>
    <mergeCell ref="AX14:AZ14"/>
    <mergeCell ref="BG13:BI13"/>
    <mergeCell ref="BG14:BI14"/>
    <mergeCell ref="BS14:BU14"/>
    <mergeCell ref="AX13:AZ13"/>
    <mergeCell ref="BA13:BC14"/>
    <mergeCell ref="BJ15:BL15"/>
    <mergeCell ref="BM15:BO15"/>
    <mergeCell ref="BG15:BI15"/>
    <mergeCell ref="A2:CD2"/>
    <mergeCell ref="A3:G3"/>
    <mergeCell ref="A4:BV4"/>
    <mergeCell ref="A5:G5"/>
    <mergeCell ref="A8:CD11"/>
    <mergeCell ref="C13:C14"/>
    <mergeCell ref="A12:C12"/>
    <mergeCell ref="BP13:BR13"/>
    <mergeCell ref="BP14:BR14"/>
    <mergeCell ref="BV13:BX14"/>
    <mergeCell ref="AL13:AN13"/>
    <mergeCell ref="AF13:AH13"/>
    <mergeCell ref="Z14:AB14"/>
    <mergeCell ref="AO14:AQ14"/>
    <mergeCell ref="N13:P13"/>
    <mergeCell ref="K14:M14"/>
    <mergeCell ref="AC14:AE14"/>
    <mergeCell ref="T14:V14"/>
    <mergeCell ref="W14:Y14"/>
    <mergeCell ref="T13:V13"/>
    <mergeCell ref="AC13:AE13"/>
    <mergeCell ref="B13:B14"/>
    <mergeCell ref="E12:E14"/>
    <mergeCell ref="A112:C112"/>
    <mergeCell ref="BY13:BZ14"/>
    <mergeCell ref="Q15:S15"/>
    <mergeCell ref="T15:V15"/>
    <mergeCell ref="N14:P14"/>
    <mergeCell ref="AF15:AH15"/>
    <mergeCell ref="AF14:AH14"/>
    <mergeCell ref="Z15:AB15"/>
    <mergeCell ref="W15:Y15"/>
    <mergeCell ref="AO15:AQ15"/>
    <mergeCell ref="AI15:AK15"/>
    <mergeCell ref="H13:J14"/>
    <mergeCell ref="AR13:AT13"/>
    <mergeCell ref="BD13:BF13"/>
    <mergeCell ref="D12:D14"/>
    <mergeCell ref="Q14:S14"/>
    <mergeCell ref="AI14:AK14"/>
    <mergeCell ref="K13:M13"/>
    <mergeCell ref="BS15:BU15"/>
    <mergeCell ref="N15:P15"/>
    <mergeCell ref="BP15:BR15"/>
    <mergeCell ref="AL14:AN14"/>
    <mergeCell ref="AR15:AT15"/>
    <mergeCell ref="AU15:AW15"/>
    <mergeCell ref="AX15:AZ15"/>
    <mergeCell ref="K15:M15"/>
    <mergeCell ref="AO13:AQ13"/>
    <mergeCell ref="AL15:AN15"/>
    <mergeCell ref="W13:Y13"/>
    <mergeCell ref="AI13:AK13"/>
    <mergeCell ref="CA13:CB14"/>
    <mergeCell ref="CG12:CG14"/>
    <mergeCell ref="G12:G14"/>
    <mergeCell ref="H12:CB12"/>
    <mergeCell ref="Q13:S13"/>
    <mergeCell ref="Z13:AB13"/>
    <mergeCell ref="AR14:AT14"/>
    <mergeCell ref="CC12:CD14"/>
    <mergeCell ref="CE12:CF14"/>
  </mergeCells>
  <pageMargins left="0.27559055118110237" right="0.15748031496062992" top="0.35433070866141736" bottom="0.19685039370078741" header="0.31496062992125984" footer="0.31496062992125984"/>
  <pageSetup paperSize="8" scale="40" fitToHeight="3" orientation="landscape" horizontalDpi="200" verticalDpi="2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НМЦ ГПН </vt:lpstr>
      <vt:lpstr>'НМЦ ГПН '!Область_печати</vt:lpstr>
    </vt:vector>
  </TitlesOfParts>
  <Company>ss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litvinenkoaa</dc:creator>
  <cp:lastModifiedBy>Насырова Файруза Фидановна</cp:lastModifiedBy>
  <cp:lastPrinted>2026-06-03T04:03:37Z</cp:lastPrinted>
  <dcterms:created xsi:type="dcterms:W3CDTF">2006-03-13T02:20:02Z</dcterms:created>
  <dcterms:modified xsi:type="dcterms:W3CDTF">2026-09-16T09:08:39Z</dcterms:modified>
</cp:coreProperties>
</file>