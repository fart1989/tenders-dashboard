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energoneft-t.ru\files\Закупочные документы\Закупки 2026\Документация о закупке\ЗГД по ЗиОП\ОМТО\07-3026711-508-2026\ПЗД\!На размещение\Приложение 2. Техническое задание\"/>
    </mc:Choice>
  </mc:AlternateContent>
  <bookViews>
    <workbookView xWindow="600" yWindow="4635" windowWidth="27555" windowHeight="11175" tabRatio="529"/>
  </bookViews>
  <sheets>
    <sheet name="Уведомление" sheetId="1" r:id="rId1"/>
  </sheets>
  <externalReferences>
    <externalReference r:id="rId2"/>
  </externalReferences>
  <definedNames>
    <definedName name="_1510_03_____1520_03___1530_03" localSheetId="0">#REF!</definedName>
    <definedName name="_1510_03_____1520_03___1530_03">#REF!</definedName>
    <definedName name="_xlnm._FilterDatabase" localSheetId="0" hidden="1">Уведомление!$A$4:$L$100</definedName>
    <definedName name="SAPTrigger_Лист20_Форма2">[1]sapactivexlhiddensheet!$K$44</definedName>
    <definedName name="SAPTrigger_Лист20_Форма21">[1]sapactivexlhiddensheet!$BE$44</definedName>
    <definedName name="_xlnm.Print_Area" localSheetId="0">Уведомление!$A$1:$L$107</definedName>
  </definedNames>
  <calcPr calcId="152511"/>
</workbook>
</file>

<file path=xl/calcChain.xml><?xml version="1.0" encoding="utf-8"?>
<calcChain xmlns="http://schemas.openxmlformats.org/spreadsheetml/2006/main">
  <c r="I7" i="1" l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6" i="1"/>
  <c r="G59" i="1"/>
  <c r="E59" i="1"/>
  <c r="G58" i="1"/>
  <c r="E58" i="1"/>
  <c r="G57" i="1"/>
  <c r="E57" i="1"/>
  <c r="G56" i="1"/>
  <c r="E56" i="1"/>
  <c r="G55" i="1"/>
  <c r="E55" i="1"/>
  <c r="G54" i="1"/>
  <c r="E54" i="1"/>
  <c r="G53" i="1"/>
  <c r="E53" i="1"/>
  <c r="G52" i="1"/>
  <c r="E52" i="1"/>
  <c r="G51" i="1"/>
  <c r="E51" i="1"/>
  <c r="G50" i="1"/>
  <c r="E50" i="1"/>
  <c r="G49" i="1"/>
  <c r="E49" i="1"/>
  <c r="G48" i="1"/>
  <c r="E48" i="1"/>
  <c r="G47" i="1"/>
  <c r="E47" i="1"/>
  <c r="G46" i="1"/>
  <c r="E46" i="1"/>
  <c r="G45" i="1"/>
  <c r="E45" i="1"/>
  <c r="G44" i="1"/>
  <c r="E44" i="1"/>
  <c r="G43" i="1"/>
  <c r="E43" i="1"/>
  <c r="G42" i="1"/>
  <c r="E42" i="1"/>
  <c r="G41" i="1"/>
  <c r="E41" i="1"/>
  <c r="G40" i="1"/>
  <c r="E40" i="1"/>
  <c r="G39" i="1"/>
  <c r="E39" i="1"/>
  <c r="G38" i="1"/>
  <c r="E38" i="1"/>
  <c r="G37" i="1"/>
  <c r="E37" i="1"/>
  <c r="G36" i="1"/>
  <c r="E36" i="1"/>
  <c r="G35" i="1"/>
  <c r="E35" i="1"/>
  <c r="G34" i="1"/>
  <c r="E34" i="1"/>
  <c r="G33" i="1"/>
  <c r="E33" i="1"/>
  <c r="G32" i="1"/>
  <c r="E32" i="1"/>
  <c r="G31" i="1"/>
  <c r="E31" i="1"/>
  <c r="G30" i="1"/>
  <c r="E30" i="1"/>
  <c r="G29" i="1"/>
  <c r="E29" i="1"/>
  <c r="G28" i="1"/>
  <c r="E28" i="1"/>
  <c r="G27" i="1"/>
  <c r="E27" i="1"/>
  <c r="G26" i="1"/>
  <c r="E26" i="1"/>
  <c r="G25" i="1"/>
  <c r="E25" i="1"/>
  <c r="G24" i="1"/>
  <c r="E24" i="1"/>
  <c r="G23" i="1"/>
  <c r="E23" i="1"/>
  <c r="G22" i="1"/>
  <c r="E22" i="1"/>
  <c r="G21" i="1"/>
  <c r="E21" i="1"/>
  <c r="G20" i="1"/>
  <c r="E20" i="1"/>
  <c r="G19" i="1"/>
  <c r="E19" i="1"/>
  <c r="G18" i="1"/>
  <c r="E18" i="1"/>
  <c r="G17" i="1"/>
  <c r="E17" i="1"/>
  <c r="G16" i="1"/>
  <c r="E16" i="1"/>
  <c r="G15" i="1"/>
  <c r="E15" i="1"/>
  <c r="G14" i="1"/>
  <c r="E14" i="1"/>
  <c r="G13" i="1"/>
  <c r="E13" i="1"/>
  <c r="G12" i="1"/>
  <c r="E12" i="1"/>
  <c r="G11" i="1"/>
  <c r="E11" i="1"/>
  <c r="G10" i="1"/>
  <c r="E10" i="1"/>
  <c r="G9" i="1"/>
  <c r="E9" i="1"/>
  <c r="G8" i="1"/>
  <c r="E8" i="1"/>
  <c r="G7" i="1"/>
  <c r="E7" i="1"/>
  <c r="G6" i="1"/>
  <c r="E6" i="1"/>
  <c r="G82" i="1"/>
  <c r="E82" i="1"/>
  <c r="G81" i="1"/>
  <c r="E81" i="1"/>
  <c r="G80" i="1"/>
  <c r="E80" i="1"/>
  <c r="G79" i="1"/>
  <c r="E79" i="1"/>
  <c r="G78" i="1"/>
  <c r="E78" i="1"/>
  <c r="G77" i="1"/>
  <c r="E77" i="1"/>
  <c r="G76" i="1"/>
  <c r="E76" i="1"/>
  <c r="G75" i="1"/>
  <c r="E75" i="1"/>
  <c r="G74" i="1"/>
  <c r="E74" i="1"/>
  <c r="G73" i="1"/>
  <c r="E73" i="1"/>
  <c r="G72" i="1"/>
  <c r="E72" i="1"/>
  <c r="G71" i="1"/>
  <c r="E71" i="1"/>
  <c r="G70" i="1"/>
  <c r="E70" i="1"/>
  <c r="G69" i="1"/>
  <c r="E69" i="1"/>
  <c r="G68" i="1"/>
  <c r="E68" i="1"/>
  <c r="G67" i="1"/>
  <c r="E67" i="1"/>
  <c r="G66" i="1"/>
  <c r="E66" i="1"/>
  <c r="E83" i="1"/>
  <c r="G83" i="1"/>
  <c r="E84" i="1"/>
  <c r="G84" i="1"/>
  <c r="E85" i="1"/>
  <c r="G85" i="1"/>
  <c r="E86" i="1"/>
  <c r="G86" i="1"/>
  <c r="E87" i="1"/>
  <c r="G87" i="1"/>
  <c r="E88" i="1"/>
  <c r="G88" i="1"/>
  <c r="E89" i="1"/>
  <c r="G89" i="1"/>
  <c r="E90" i="1"/>
  <c r="G90" i="1"/>
  <c r="E91" i="1"/>
  <c r="G91" i="1"/>
  <c r="E92" i="1"/>
  <c r="G92" i="1"/>
  <c r="E93" i="1"/>
  <c r="G93" i="1"/>
  <c r="E94" i="1"/>
  <c r="G94" i="1"/>
  <c r="E95" i="1"/>
  <c r="G95" i="1"/>
  <c r="E96" i="1"/>
  <c r="G96" i="1"/>
  <c r="E97" i="1"/>
  <c r="G97" i="1"/>
  <c r="E98" i="1"/>
  <c r="G98" i="1"/>
  <c r="E99" i="1"/>
  <c r="G99" i="1"/>
  <c r="G60" i="1"/>
  <c r="G61" i="1"/>
  <c r="G62" i="1"/>
  <c r="G63" i="1"/>
  <c r="G64" i="1"/>
  <c r="G65" i="1"/>
  <c r="G5" i="1"/>
  <c r="E60" i="1"/>
  <c r="E61" i="1"/>
  <c r="E62" i="1"/>
  <c r="E63" i="1"/>
  <c r="E64" i="1"/>
  <c r="E65" i="1"/>
  <c r="F100" i="1"/>
  <c r="E5" i="1"/>
  <c r="H100" i="1"/>
  <c r="E100" i="1" l="1"/>
</calcChain>
</file>

<file path=xl/sharedStrings.xml><?xml version="1.0" encoding="utf-8"?>
<sst xmlns="http://schemas.openxmlformats.org/spreadsheetml/2006/main" count="686" uniqueCount="155">
  <si>
    <t>№ п/п</t>
  </si>
  <si>
    <t>Наименование МТР</t>
  </si>
  <si>
    <t>Ед. изм.</t>
  </si>
  <si>
    <t>Код ОКВЭД</t>
  </si>
  <si>
    <t>Код ОКПД 2</t>
  </si>
  <si>
    <t>Возможность предоставления эквивалента      да/нет</t>
  </si>
  <si>
    <t>да</t>
  </si>
  <si>
    <t>-</t>
  </si>
  <si>
    <t>Объект</t>
  </si>
  <si>
    <t>Кол-во гарантированный объем</t>
  </si>
  <si>
    <t>Кол-во не гарантированный объем</t>
  </si>
  <si>
    <t xml:space="preserve">Техническое описание  </t>
  </si>
  <si>
    <t>шт</t>
  </si>
  <si>
    <t>Кол-во общий объем</t>
  </si>
  <si>
    <t>БРОЭ</t>
  </si>
  <si>
    <t>ЭТС</t>
  </si>
  <si>
    <t>Итого:</t>
  </si>
  <si>
    <t>м</t>
  </si>
  <si>
    <t>упак</t>
  </si>
  <si>
    <t>РЗА</t>
  </si>
  <si>
    <t>25.99.29.190</t>
  </si>
  <si>
    <t>Припой оловянно-свинцовый ПОС 61, трубка с канифолью, проволока 0,8 мм, катушка 100 г ЗУБР/55450-100-08C</t>
  </si>
  <si>
    <t>Уголок В-75х75х6 ГОСТ 8509-93 С245-4 ГОСТ 27772-2021, ударная вязкость KCV не менее 34 Дж/см2 при t-20 град.С</t>
  </si>
  <si>
    <t>Уголок В-45х45х4 ГОСТ 8509-93 Ст3сп5 ГОСТ 535-2005</t>
  </si>
  <si>
    <t>Прокат стальной горячекатаный круглый d=18 мм, Ст3сп</t>
  </si>
  <si>
    <t>Круг обычной точности прокатки, II класс кривизны, немерной длины, диаметр 22 мм, сталь 345-5 по ГОСТ 19281-2014</t>
  </si>
  <si>
    <t>Труба стальная водогазопроводная 40х3,5 ГОСТ 3262-75</t>
  </si>
  <si>
    <t>Катанка d=6 мм сталь Ст3сп</t>
  </si>
  <si>
    <t>Металлорукав гибкий Р3-ЦП с наружным ПВХ-покрытием пониженной горючести, номинальный диаметр 10 мм ТУ 4833-004-97341529-2012</t>
  </si>
  <si>
    <t>Металлорукав гибкий с защитной оболочкой из поливинилхлорида пониженной горючести из стальной оцинкованной ленты Р3-ЦП-НГ диаметром условного прохода 15 мм ТУ 4833-004-16755367-2014</t>
  </si>
  <si>
    <t>Металлорукав гибкий с защитной оболочкой из поливинилхлорида пониженной горючести из стальной оцинкованной ленты Р3-ЦП-НГ диаметром условного прохода 20 мм ТУ 4833-004-16755367-2014</t>
  </si>
  <si>
    <t>Подшипник SKF/6201 2RS</t>
  </si>
  <si>
    <t>Подшипник шариковый радиальный однорядный закрытый 6202-2RS</t>
  </si>
  <si>
    <t>Подшипник шариковый радиальный однорядный 6203-2RS</t>
  </si>
  <si>
    <t>Подшипник SKF/6204 2RS</t>
  </si>
  <si>
    <t>Подшипник шариковый однорядный ZKL/6205-2RS</t>
  </si>
  <si>
    <t>Подшипник шариковый радиальный однорядный FBJ/6206-2RS</t>
  </si>
  <si>
    <t>Подшипник шариковый радиальный однорядный FBJ/6207-2RS</t>
  </si>
  <si>
    <t>Подшипник шариковый радиальный однорядный с двухсторонним контактным уплотнением FKL/6208-2RS</t>
  </si>
  <si>
    <t>Подшипник шариковый закрытый однорядный 180209 (6209.2RS) ГОСТ 520-2011</t>
  </si>
  <si>
    <t>Подшипник шариковый радиальный однорядный 180212 DPI/6212 2RS</t>
  </si>
  <si>
    <t>Подшипник 6214-2RS1 70х125х24 мм SKF</t>
  </si>
  <si>
    <t>Полоса стальная горячекатаная общего назначения, 6000х40х4 мм Cт3</t>
  </si>
  <si>
    <t>Электрод для сварки углеродистых и низколегированных сталей OK 46.00Р 3х350 мм ESAB/4600303AE0 ТУ 1272-124-55224353-2013</t>
  </si>
  <si>
    <t>Электрод для сварки углеродистых и низколегированных сталей OK 46.00Р 4х450 мм ESAB/4600404AE0 ТУ 1272-124-55224353-2013</t>
  </si>
  <si>
    <t>Припой оловянно-свинцовый ПОС 61, трубка с канифолью, проволока 1 мм, катушка 100 г ЗУБР/55450-050-10C</t>
  </si>
  <si>
    <t>Саморез с полусферической головкой, пресс-шайбой и крестообразным шлицем, наконечник сверло, оцинкованный 4,2х14 мм</t>
  </si>
  <si>
    <t>Саморез 4,2х32 мм с прессшайбой, сверло по металлу, наконечник острый, оцинкованный</t>
  </si>
  <si>
    <t>Саморез с прессшайбой оцинкованный острый 4,2х51 мм Zitar/B02204205132R07</t>
  </si>
  <si>
    <t>Заклепка алюминиевая 3,2х10 мм, 50 шт/упак TOPEX/43E302</t>
  </si>
  <si>
    <t>Заклепка алюминиевые 4х12 мм 50шт/упак Stayer/3120-40-12</t>
  </si>
  <si>
    <t>Заклепка алюминиевые 4,8х16 мм 50шт/упак Stayer/3120-48-16</t>
  </si>
  <si>
    <t>Болт с шестигранной уменьшенной головкой М8-6gх10.58 ГОСТ 7796-70</t>
  </si>
  <si>
    <t>Болт с шестигранной головкой, полная резьба DIN 933 М8х30 оцинкованный Tech-Krep</t>
  </si>
  <si>
    <t>Болт с шестигранной головкой, полная резьба М8х50-8.8, оцинкованный DIN933</t>
  </si>
  <si>
    <t>Болт с шестигранной головкой, полная резьба М10х20-8.8 DIN 933</t>
  </si>
  <si>
    <t>Болт с шестигранной головкой, полная резьба М10х30-8.8, оцинкованный DIN 933</t>
  </si>
  <si>
    <t>Болт с шестигранной головкой М10х50-8.8, оцинкованный, полная резьба DIN 933</t>
  </si>
  <si>
    <t>Болт с шестигранной головкой М12х30-5.8 DIN 933</t>
  </si>
  <si>
    <t>Болт с шестигранной головкой М12х50-5.6 ГОСТ Р ИСО 4014-2013</t>
  </si>
  <si>
    <t>Болт с шестигранной головкой М16х40-8.8 ГОСТ Р ИСО 4014-2013</t>
  </si>
  <si>
    <t>Болт М20-6gх100.88 ГОСТ 7798-70</t>
  </si>
  <si>
    <t>Гайка шестигранная М8-8 DIN 934</t>
  </si>
  <si>
    <t>Гайка шестигранная М10-8 DIN 934</t>
  </si>
  <si>
    <t>Гайка шестигранная М12-8 DIN 934</t>
  </si>
  <si>
    <t>Гайка шестигранная М16-8 DIN 934</t>
  </si>
  <si>
    <t>Гайка шестигранная М20-8 DIN 934</t>
  </si>
  <si>
    <t>Шайба плоская увеличенная М8-140 HV-A DIN 9021 оцинкованная</t>
  </si>
  <si>
    <t>Шайба пружинная М8.A2 форма B DIN 127</t>
  </si>
  <si>
    <t>Шайба увеличенная плоская DIN 9021 М10 Tech-KREP</t>
  </si>
  <si>
    <t>Шайба пружинная гроверная DIN 127 М10 Tech-Krep</t>
  </si>
  <si>
    <t>Шайба плоская М12, толщина 2,5 мм, углеродистая сталь, гальваническое цинкование</t>
  </si>
  <si>
    <t>Шайба пружинная гроверная DIN 127 М12 Tech-Krep</t>
  </si>
  <si>
    <t>Шайба плоская М16.A4 форма А DIN 125</t>
  </si>
  <si>
    <t>Шайба пружинная М16.A2 форма B DIN 127</t>
  </si>
  <si>
    <t>Шайба плоская М20 ГОСТ 32484.6-2013</t>
  </si>
  <si>
    <t>Шайба пружинная М20 форма B DIN 127</t>
  </si>
  <si>
    <t>Уголок В-25х25х4 ГОСТ 8509-93 Ст3пс4 ГОСТ 535-2005</t>
  </si>
  <si>
    <t>Уголок В-35х35х3 ГОСТ 8509-93 С245-ГК ГОСТ 27772-2015</t>
  </si>
  <si>
    <t>Уголок 45х45 ст.3СП</t>
  </si>
  <si>
    <t>Уголок В-63х63х4 ГОСТ 8509-93 Ст3сп4 ГОСТ 535-2005</t>
  </si>
  <si>
    <t>Швеллер В-10П ГОСТ 8240-97 Ст3пс ГОСТ 535-2005</t>
  </si>
  <si>
    <t>Швеллер 14П Ст3пс5 ГОСТ 8240-97</t>
  </si>
  <si>
    <t>Лист стальной просечно-вытяжной, тип ромб 1000х3000 мм, толщина 4 мм, С255-4</t>
  </si>
  <si>
    <t>Полоса стальная горячекатанная 4х40мм Ст3пс ГОСТ 103-2006</t>
  </si>
  <si>
    <t>Лента стальная горячекатаная 2х40 БСт3пс ГОСТ 6009-74</t>
  </si>
  <si>
    <t>Прокат листовой горячекатаный 1,5мм Ст.3сп4 ГОСТ 19903-74</t>
  </si>
  <si>
    <t>Прокат листовой горячекатаный 2мм ГОСТ 19903-74, ст.20 ГОСТ 16523-97</t>
  </si>
  <si>
    <t>Болт с шестигранной головкой М8х10-5.8 оцинкованный DIN 933</t>
  </si>
  <si>
    <t>Болт с шестигранной головкой, метрической резьбой, легированная сталь М8х30</t>
  </si>
  <si>
    <t>Болт с шестигранной головкой М10х20-5.8 ГОСТ Р ИСО 4014-2013</t>
  </si>
  <si>
    <t>Болт с шестигранной головкой, полная резьба DIN 933 М10х40, оцинкованный Речицкий Метизный завод/М0000601</t>
  </si>
  <si>
    <t>Болт с шестигранной головкой М10-6gх50.58 (S16) ГОСТ 7805-70</t>
  </si>
  <si>
    <t>Болт М12х20-8.8 EN ISO 4017</t>
  </si>
  <si>
    <t>Болт с шестигранной уменьшенной головкой класса точности В М12-6gх30.88.019 ГОСТ 7796-70</t>
  </si>
  <si>
    <t>Болт с шестигранной уменьшенной головкой М12-6gх40.58 ГОСТ 7796-70 в комплекте с 1 гайкой АМ12-6H.35.III.2 ГОСТ 9064-75</t>
  </si>
  <si>
    <t>Болт с шестигранной уменьшенной головкой класса точности В М12-6gх50.88.019 ГОСТ 7796-70</t>
  </si>
  <si>
    <t>Шайба плоская DIN 125 М8, цинк Стройметиз</t>
  </si>
  <si>
    <t>Шайба плоская М10.A4 форма A DIN 125</t>
  </si>
  <si>
    <t>Шайба плоская DIN 125 М12, цинк Стройметиз</t>
  </si>
  <si>
    <t>Шайба пружинная М10.A4 форма B DIN 127</t>
  </si>
  <si>
    <t>Шайба пружинная волнистая М12.A4 форма B DIN 137</t>
  </si>
  <si>
    <t>Гайка шестигранная нормальная М8, класс прочности 10, сталь марки 40Х, покрытие кадмиевое, хроматированное, толщина покрытия 9 мкм</t>
  </si>
  <si>
    <t>Гайка шестигранная нормальная М10, класс прочности 10, сталь марки 40Х, покрытие кадмиевое, хроматированное, толщина покрытия 9 мкм</t>
  </si>
  <si>
    <t>Гайка шестигранная нормальная М12, класс прочности 10, сталь марки 40Х, покрытие кадмиевое, хроматированное, толщина покрытия 9 мкм</t>
  </si>
  <si>
    <t>Электроды для сварки углеродистых и низколегированных конструкционных сталей Э46А-ОК 46.00-3,0-УД/Е-43 3(2)-Р11 ГОСТ 9466-75, ГОСТ 9467-75</t>
  </si>
  <si>
    <t>Болт с шестигранной головкой М10х60-8.8 DIN 931 оцинкованный</t>
  </si>
  <si>
    <t>Болт с шестигранной головкой М20-6gх100.58 (S30) ГОСТ 7798-70</t>
  </si>
  <si>
    <t>Болт с шестигранной головкой класса точности В М16-6gх40.56.35 ГОСТ 7798-70</t>
  </si>
  <si>
    <t>Шайба плоская М20.A4 форма А DIN 125</t>
  </si>
  <si>
    <t>Шайба пружинная волнистая М16.A4 форма B DIN 137</t>
  </si>
  <si>
    <t>Дюбель-гвоздь с потайным бортиком SM-L, 6х40, шлиц PZ2, полиамид</t>
  </si>
  <si>
    <t>т</t>
  </si>
  <si>
    <t>кг</t>
  </si>
  <si>
    <t>24.43.24</t>
  </si>
  <si>
    <t>24.43</t>
  </si>
  <si>
    <t>24.10.62.124</t>
  </si>
  <si>
    <t>24.10</t>
  </si>
  <si>
    <t>24.10.66.190</t>
  </si>
  <si>
    <t>25.99.2</t>
  </si>
  <si>
    <t>25.99</t>
  </si>
  <si>
    <t>24.10.6</t>
  </si>
  <si>
    <t>24.20.13.160</t>
  </si>
  <si>
    <t>24.20</t>
  </si>
  <si>
    <t>24.10.62.220</t>
  </si>
  <si>
    <t>28.15.10</t>
  </si>
  <si>
    <t>28.15.1</t>
  </si>
  <si>
    <t>28.15.10.112</t>
  </si>
  <si>
    <t>28.15.10.110</t>
  </si>
  <si>
    <t>25.93.15.120</t>
  </si>
  <si>
    <t>25.93.1</t>
  </si>
  <si>
    <t>24.43.3</t>
  </si>
  <si>
    <t>25.94.11.110</t>
  </si>
  <si>
    <t>25.94</t>
  </si>
  <si>
    <t>25.94.11.190</t>
  </si>
  <si>
    <t>25.94.11.130</t>
  </si>
  <si>
    <t>25.94.12.110</t>
  </si>
  <si>
    <t>24.10.62.190</t>
  </si>
  <si>
    <t>24.10.62.213</t>
  </si>
  <si>
    <t>24.10.62</t>
  </si>
  <si>
    <t>24.10.71</t>
  </si>
  <si>
    <t>24.10.7</t>
  </si>
  <si>
    <t>24.10.51.000</t>
  </si>
  <si>
    <t>24.10.5</t>
  </si>
  <si>
    <t>24.10.80.190</t>
  </si>
  <si>
    <t>24.10.9</t>
  </si>
  <si>
    <t>24.42.24</t>
  </si>
  <si>
    <t>24.10.3</t>
  </si>
  <si>
    <t>25.94.12.190</t>
  </si>
  <si>
    <t>Поставка металлоизделий</t>
  </si>
  <si>
    <t>Срок поставки
гарантированный объем</t>
  </si>
  <si>
    <t>Срок поставки
негарантированный объем</t>
  </si>
  <si>
    <t>с 01.02.2027 по 28.02.2027</t>
  </si>
  <si>
    <t>с 01.02.2027 по 15.12.2027</t>
  </si>
  <si>
    <t>28.15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</si>
</sst>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\ _₽_-;\-* #,##0.00\ _₽_-;_-* &quot;-&quot;??\ _₽_-;_-@_-"/>
    <numFmt numFmtId="164" formatCode="_-* #,##0.00_р_._-;\-* #,##0.00_р_._-;_-* \-??_р_._-;_-@_-"/>
    <numFmt numFmtId="165" formatCode="_-* #,##0_р_._-;\-* #,##0_р_._-;_-* \-_р_._-;_-@_-"/>
    <numFmt numFmtId="166" formatCode="0.0"/>
    <numFmt numFmtId="167" formatCode="_-* #,##0.000\ _₽_-;\-* #,##0.000\ _₽_-;_-* &quot;-&quot;??\ _₽_-;_-@_-"/>
  </numFmts>
  <fonts count="15" x14ac:knownFonts="1">
    <font>
      <sz val="11"/>
      <color indexed="8"/>
      <name val="Calibri"/>
      <family val="2"/>
      <charset val="204"/>
    </font>
    <font>
      <sz val="10"/>
      <color indexed="8"/>
      <name val="Arial"/>
      <family val="2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sz val="12"/>
      <color indexed="8"/>
      <name val="Calibri"/>
      <family val="2"/>
      <charset val="204"/>
    </font>
    <font>
      <sz val="12"/>
      <color indexed="8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3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0">
    <xf numFmtId="0" fontId="0" fillId="0" borderId="0"/>
    <xf numFmtId="0" fontId="1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3" fillId="0" borderId="0"/>
    <xf numFmtId="165" fontId="9" fillId="0" borderId="0" applyFill="0" applyBorder="0" applyAlignment="0" applyProtection="0"/>
    <xf numFmtId="164" fontId="9" fillId="0" borderId="0" applyFill="0" applyBorder="0" applyAlignment="0" applyProtection="0"/>
    <xf numFmtId="164" fontId="9" fillId="0" borderId="0" applyFill="0" applyBorder="0" applyAlignment="0" applyProtection="0"/>
    <xf numFmtId="164" fontId="9" fillId="0" borderId="0" applyFill="0" applyBorder="0" applyAlignment="0" applyProtection="0"/>
    <xf numFmtId="43" fontId="9" fillId="0" borderId="0" applyFont="0" applyFill="0" applyBorder="0" applyAlignment="0" applyProtection="0"/>
  </cellStyleXfs>
  <cellXfs count="37">
    <xf numFmtId="0" fontId="0" fillId="0" borderId="0" xfId="0"/>
    <xf numFmtId="0" fontId="4" fillId="0" borderId="0" xfId="0" applyFont="1" applyFill="1"/>
    <xf numFmtId="0" fontId="8" fillId="0" borderId="1" xfId="1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11" fillId="0" borderId="0" xfId="0" applyFont="1" applyFill="1" applyBorder="1" applyAlignment="1">
      <alignment wrapText="1"/>
    </xf>
    <xf numFmtId="0" fontId="5" fillId="0" borderId="0" xfId="0" applyFont="1" applyFill="1" applyAlignment="1">
      <alignment wrapText="1"/>
    </xf>
    <xf numFmtId="0" fontId="11" fillId="0" borderId="0" xfId="0" applyFont="1" applyFill="1" applyBorder="1" applyAlignment="1">
      <alignment horizontal="left"/>
    </xf>
    <xf numFmtId="2" fontId="8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/>
    <xf numFmtId="1" fontId="14" fillId="0" borderId="1" xfId="9" applyNumberFormat="1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2" fontId="8" fillId="0" borderId="5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2" fontId="8" fillId="0" borderId="0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167" fontId="10" fillId="0" borderId="1" xfId="19" applyNumberFormat="1" applyFont="1" applyFill="1" applyBorder="1" applyAlignment="1">
      <alignment horizontal="center" vertical="center" wrapText="1"/>
    </xf>
    <xf numFmtId="167" fontId="8" fillId="0" borderId="1" xfId="19" applyNumberFormat="1" applyFont="1" applyFill="1" applyBorder="1" applyAlignment="1">
      <alignment horizontal="center" vertical="center" wrapText="1"/>
    </xf>
    <xf numFmtId="0" fontId="7" fillId="0" borderId="0" xfId="0" applyNumberFormat="1" applyFont="1" applyFill="1" applyBorder="1" applyAlignment="1">
      <alignment horizontal="center" vertical="center" wrapText="1"/>
    </xf>
    <xf numFmtId="4" fontId="7" fillId="0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7" fillId="0" borderId="1" xfId="1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10" applyFont="1" applyFill="1" applyBorder="1" applyAlignment="1">
      <alignment horizontal="right" vertical="center" wrapText="1"/>
    </xf>
    <xf numFmtId="0" fontId="0" fillId="0" borderId="1" xfId="0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166" fontId="7" fillId="0" borderId="1" xfId="0" applyNumberFormat="1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</cellXfs>
  <cellStyles count="20">
    <cellStyle name="Normal_Sheet1" xfId="1"/>
    <cellStyle name="SAPError" xfId="2"/>
    <cellStyle name="SAPKey" xfId="3"/>
    <cellStyle name="SAPLocked" xfId="4"/>
    <cellStyle name="SAPOutput" xfId="5"/>
    <cellStyle name="SAPSpace" xfId="6"/>
    <cellStyle name="SAPText" xfId="7"/>
    <cellStyle name="SAPUnLocked" xfId="8"/>
    <cellStyle name="Обычный" xfId="0" builtinId="0"/>
    <cellStyle name="Обычный 2" xfId="9"/>
    <cellStyle name="Обычный 2 2" xfId="10"/>
    <cellStyle name="Обычный 2 2 2" xfId="11"/>
    <cellStyle name="Обычный 3" xfId="12"/>
    <cellStyle name="Обычный 5" xfId="13"/>
    <cellStyle name="Стиль 1" xfId="14"/>
    <cellStyle name="Финансовый" xfId="19" builtinId="3"/>
    <cellStyle name="Финансовый [0] 2" xfId="15"/>
    <cellStyle name="Финансовый 10" xfId="16"/>
    <cellStyle name="Финансовый 10 2 2" xfId="17"/>
    <cellStyle name="Финансовый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t\files\&#1048;&#1085;&#1090;&#1077;&#1088;&#1072;&#1082;&#1090;&#1080;&#1074;_&#1044;&#1040;&#1054;\All_new_2004_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activexlhiddensheet"/>
      <sheetName val="Параметры"/>
      <sheetName val="Форма1"/>
      <sheetName val="Форма2 (отгрузка)"/>
      <sheetName val="Расшифр.отд.ПУ"/>
      <sheetName val="Форма3"/>
      <sheetName val="Форма4"/>
      <sheetName val="Форма 5"/>
      <sheetName val="Форма1 (таб.1)"/>
      <sheetName val="Форма2 (таб.2)"/>
      <sheetName val="Форма3 (таб.3)"/>
      <sheetName val="Форма5 (таб.5)"/>
      <sheetName val="Форма24"/>
      <sheetName val="Форма6 (таб.6)"/>
      <sheetName val="Форма8 (таб.8)"/>
      <sheetName val="Форма9 (таб.9)"/>
      <sheetName val="Форма10 (таб.10)"/>
      <sheetName val="Форма12(таб 12)"/>
      <sheetName val="Форма бюджет (т.22)"/>
      <sheetName val="Форма4 (валюта)"/>
      <sheetName val="Пост от партн - часть1"/>
      <sheetName val="Пост от партн - часть2"/>
      <sheetName val="ВвЭкспл"/>
      <sheetName val="Проверки"/>
      <sheetName val="НКС"/>
      <sheetName val="ОСиАморт"/>
      <sheetName val="ОССахПур"/>
      <sheetName val="Проверка"/>
      <sheetName val="saphiddenvaluecache"/>
      <sheetName val="saphiddenbackup"/>
      <sheetName val="saphiddenpivotdefinition"/>
      <sheetName val="Форма3 (A)"/>
      <sheetName val="Destination"/>
      <sheetName val="БИ-2-18-П"/>
      <sheetName val="БИ-2-19-П"/>
      <sheetName val="БИ-2-7-П"/>
      <sheetName val="БИ-2-9-П"/>
      <sheetName val="БИ-2-14-П"/>
      <sheetName val="БИ-2-16-П"/>
      <sheetName val="Форма2_(отгрузка)"/>
      <sheetName val="Расшифр_отд_ПУ"/>
      <sheetName val="Форма_5"/>
      <sheetName val="Форма1_(таб_1)"/>
      <sheetName val="Форма2_(таб_2)"/>
      <sheetName val="Форма3_(таб_3)"/>
      <sheetName val="Форма5_(таб_5)"/>
      <sheetName val="Форма6_(таб_6)"/>
      <sheetName val="Форма8_(таб_8)"/>
      <sheetName val="Форма9_(таб_9)"/>
      <sheetName val="Форма10_(таб_10)"/>
      <sheetName val="Форма12(таб_12)"/>
      <sheetName val="Форма_бюджет_(т_22)"/>
      <sheetName val="Форма4_(валюта)"/>
      <sheetName val="Пост_от_партн_-_часть1"/>
      <sheetName val="Пост_от_партн_-_часть2"/>
      <sheetName val="Форма3_(A)"/>
      <sheetName val="Смета"/>
      <sheetName val="топография"/>
      <sheetName val="Хар_"/>
      <sheetName val="С1_"/>
      <sheetName val="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25"/>
  <sheetViews>
    <sheetView tabSelected="1" view="pageBreakPreview" zoomScale="70" zoomScaleNormal="85" zoomScaleSheetLayoutView="70" workbookViewId="0">
      <pane ySplit="4" topLeftCell="A95" activePane="bottomLeft" state="frozen"/>
      <selection activeCell="C1" sqref="C1"/>
      <selection pane="bottomLeft" activeCell="M15" sqref="M15:M26"/>
    </sheetView>
  </sheetViews>
  <sheetFormatPr defaultRowHeight="15.75" x14ac:dyDescent="0.25"/>
  <cols>
    <col min="1" max="1" width="6.85546875" style="1" customWidth="1"/>
    <col min="2" max="2" width="66.42578125" style="8" customWidth="1"/>
    <col min="3" max="3" width="6.5703125" style="6" customWidth="1"/>
    <col min="4" max="4" width="26.85546875" style="6" customWidth="1"/>
    <col min="5" max="5" width="14.7109375" style="6" customWidth="1"/>
    <col min="6" max="6" width="14.85546875" style="6" customWidth="1"/>
    <col min="7" max="7" width="33.5703125" style="6" customWidth="1"/>
    <col min="8" max="8" width="15.5703125" style="6" customWidth="1"/>
    <col min="9" max="9" width="34.42578125" style="6" customWidth="1"/>
    <col min="10" max="10" width="15.28515625" style="1" bestFit="1" customWidth="1"/>
    <col min="11" max="11" width="14.5703125" style="1" bestFit="1" customWidth="1"/>
    <col min="12" max="12" width="14" style="13" customWidth="1"/>
    <col min="13" max="16384" width="9.140625" style="1"/>
  </cols>
  <sheetData>
    <row r="1" spans="1:12" ht="28.5" customHeight="1" x14ac:dyDescent="0.25">
      <c r="A1" s="27" t="s">
        <v>11</v>
      </c>
      <c r="B1" s="28"/>
      <c r="C1" s="27"/>
      <c r="D1" s="27"/>
      <c r="E1" s="27"/>
      <c r="F1" s="27"/>
      <c r="G1" s="27"/>
      <c r="H1" s="27"/>
      <c r="I1" s="27"/>
      <c r="J1" s="27"/>
      <c r="K1" s="27"/>
    </row>
    <row r="2" spans="1:12" s="15" customFormat="1" ht="28.5" customHeight="1" x14ac:dyDescent="0.25">
      <c r="A2" s="25" t="s">
        <v>149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14"/>
    </row>
    <row r="3" spans="1:12" ht="30.75" customHeight="1" x14ac:dyDescent="0.25">
      <c r="A3" s="29" t="s">
        <v>0</v>
      </c>
      <c r="B3" s="30" t="s">
        <v>1</v>
      </c>
      <c r="C3" s="30" t="s">
        <v>2</v>
      </c>
      <c r="D3" s="30" t="s">
        <v>5</v>
      </c>
      <c r="E3" s="35" t="s">
        <v>13</v>
      </c>
      <c r="F3" s="34" t="s">
        <v>9</v>
      </c>
      <c r="G3" s="17" t="s">
        <v>150</v>
      </c>
      <c r="H3" s="34" t="s">
        <v>10</v>
      </c>
      <c r="I3" s="18" t="s">
        <v>151</v>
      </c>
      <c r="J3" s="26" t="s">
        <v>4</v>
      </c>
      <c r="K3" s="26" t="s">
        <v>3</v>
      </c>
      <c r="L3" s="33" t="s">
        <v>8</v>
      </c>
    </row>
    <row r="4" spans="1:12" ht="30.75" customHeight="1" x14ac:dyDescent="0.25">
      <c r="A4" s="29"/>
      <c r="B4" s="30"/>
      <c r="C4" s="30"/>
      <c r="D4" s="32"/>
      <c r="E4" s="36"/>
      <c r="F4" s="34"/>
      <c r="G4" s="12" t="s">
        <v>152</v>
      </c>
      <c r="H4" s="34"/>
      <c r="I4" s="12" t="s">
        <v>153</v>
      </c>
      <c r="J4" s="26"/>
      <c r="K4" s="26"/>
      <c r="L4" s="33"/>
    </row>
    <row r="5" spans="1:12" ht="25.5" x14ac:dyDescent="0.25">
      <c r="A5" s="2">
        <v>1</v>
      </c>
      <c r="B5" s="16" t="s">
        <v>21</v>
      </c>
      <c r="C5" s="5" t="s">
        <v>12</v>
      </c>
      <c r="D5" s="3" t="s">
        <v>6</v>
      </c>
      <c r="E5" s="23">
        <f t="shared" ref="E5:E36" si="0">F5+H5</f>
        <v>2</v>
      </c>
      <c r="F5" s="23">
        <v>2</v>
      </c>
      <c r="G5" s="24">
        <f t="shared" ref="G5:G36" si="1">F5</f>
        <v>2</v>
      </c>
      <c r="H5" s="23"/>
      <c r="I5" s="24"/>
      <c r="J5" s="10" t="s">
        <v>119</v>
      </c>
      <c r="K5" s="10" t="s">
        <v>115</v>
      </c>
      <c r="L5" s="11" t="s">
        <v>19</v>
      </c>
    </row>
    <row r="6" spans="1:12" ht="25.5" x14ac:dyDescent="0.25">
      <c r="A6" s="2">
        <v>2</v>
      </c>
      <c r="B6" s="16" t="s">
        <v>22</v>
      </c>
      <c r="C6" s="5" t="s">
        <v>112</v>
      </c>
      <c r="D6" s="3" t="s">
        <v>6</v>
      </c>
      <c r="E6" s="23">
        <f t="shared" si="0"/>
        <v>1</v>
      </c>
      <c r="F6" s="23">
        <v>0.5</v>
      </c>
      <c r="G6" s="24">
        <f t="shared" si="1"/>
        <v>0.5</v>
      </c>
      <c r="H6" s="23">
        <v>0.5</v>
      </c>
      <c r="I6" s="24">
        <f>H6</f>
        <v>0.5</v>
      </c>
      <c r="J6" s="10" t="s">
        <v>119</v>
      </c>
      <c r="K6" s="10" t="s">
        <v>117</v>
      </c>
      <c r="L6" s="11" t="s">
        <v>15</v>
      </c>
    </row>
    <row r="7" spans="1:12" ht="18.75" x14ac:dyDescent="0.25">
      <c r="A7" s="2">
        <v>3</v>
      </c>
      <c r="B7" s="16" t="s">
        <v>23</v>
      </c>
      <c r="C7" s="5" t="s">
        <v>112</v>
      </c>
      <c r="D7" s="3" t="s">
        <v>6</v>
      </c>
      <c r="E7" s="23">
        <f t="shared" si="0"/>
        <v>0.4</v>
      </c>
      <c r="F7" s="23">
        <v>0.2</v>
      </c>
      <c r="G7" s="24">
        <f t="shared" si="1"/>
        <v>0.2</v>
      </c>
      <c r="H7" s="23">
        <v>0.2</v>
      </c>
      <c r="I7" s="24">
        <f t="shared" ref="I7:I70" si="2">H7</f>
        <v>0.2</v>
      </c>
      <c r="J7" s="10" t="s">
        <v>119</v>
      </c>
      <c r="K7" s="10" t="s">
        <v>117</v>
      </c>
      <c r="L7" s="11" t="s">
        <v>15</v>
      </c>
    </row>
    <row r="8" spans="1:12" ht="18.75" x14ac:dyDescent="0.25">
      <c r="A8" s="2">
        <v>4</v>
      </c>
      <c r="B8" s="16" t="s">
        <v>24</v>
      </c>
      <c r="C8" s="5" t="s">
        <v>112</v>
      </c>
      <c r="D8" s="3" t="s">
        <v>6</v>
      </c>
      <c r="E8" s="23">
        <f t="shared" si="0"/>
        <v>0.3</v>
      </c>
      <c r="F8" s="23">
        <v>0.15</v>
      </c>
      <c r="G8" s="24">
        <f t="shared" si="1"/>
        <v>0.15</v>
      </c>
      <c r="H8" s="23">
        <v>0.15</v>
      </c>
      <c r="I8" s="24">
        <f t="shared" si="2"/>
        <v>0.15</v>
      </c>
      <c r="J8" s="10" t="s">
        <v>119</v>
      </c>
      <c r="K8" s="10" t="s">
        <v>120</v>
      </c>
      <c r="L8" s="11" t="s">
        <v>15</v>
      </c>
    </row>
    <row r="9" spans="1:12" ht="25.5" x14ac:dyDescent="0.25">
      <c r="A9" s="2">
        <v>5</v>
      </c>
      <c r="B9" s="16" t="s">
        <v>25</v>
      </c>
      <c r="C9" s="5" t="s">
        <v>112</v>
      </c>
      <c r="D9" s="3" t="s">
        <v>6</v>
      </c>
      <c r="E9" s="23">
        <f t="shared" si="0"/>
        <v>0.44</v>
      </c>
      <c r="F9" s="23">
        <v>0.22</v>
      </c>
      <c r="G9" s="24">
        <f t="shared" si="1"/>
        <v>0.22</v>
      </c>
      <c r="H9" s="23">
        <v>0.22</v>
      </c>
      <c r="I9" s="24">
        <f t="shared" si="2"/>
        <v>0.22</v>
      </c>
      <c r="J9" s="10" t="s">
        <v>119</v>
      </c>
      <c r="K9" s="10" t="s">
        <v>117</v>
      </c>
      <c r="L9" s="11" t="s">
        <v>15</v>
      </c>
    </row>
    <row r="10" spans="1:12" ht="18.75" x14ac:dyDescent="0.25">
      <c r="A10" s="2">
        <v>6</v>
      </c>
      <c r="B10" s="16" t="s">
        <v>26</v>
      </c>
      <c r="C10" s="5" t="s">
        <v>112</v>
      </c>
      <c r="D10" s="3" t="s">
        <v>6</v>
      </c>
      <c r="E10" s="23">
        <f t="shared" si="0"/>
        <v>0.6</v>
      </c>
      <c r="F10" s="23">
        <v>0.3</v>
      </c>
      <c r="G10" s="24">
        <f t="shared" si="1"/>
        <v>0.3</v>
      </c>
      <c r="H10" s="23">
        <v>0.3</v>
      </c>
      <c r="I10" s="24">
        <f t="shared" si="2"/>
        <v>0.3</v>
      </c>
      <c r="J10" s="10" t="s">
        <v>119</v>
      </c>
      <c r="K10" s="10" t="s">
        <v>123</v>
      </c>
      <c r="L10" s="11" t="s">
        <v>15</v>
      </c>
    </row>
    <row r="11" spans="1:12" ht="18.75" x14ac:dyDescent="0.25">
      <c r="A11" s="2">
        <v>7</v>
      </c>
      <c r="B11" s="16" t="s">
        <v>27</v>
      </c>
      <c r="C11" s="5" t="s">
        <v>112</v>
      </c>
      <c r="D11" s="3" t="s">
        <v>6</v>
      </c>
      <c r="E11" s="23">
        <f t="shared" si="0"/>
        <v>0.14000000000000001</v>
      </c>
      <c r="F11" s="23">
        <v>7.0000000000000007E-2</v>
      </c>
      <c r="G11" s="24">
        <f t="shared" si="1"/>
        <v>7.0000000000000007E-2</v>
      </c>
      <c r="H11" s="23">
        <v>7.0000000000000007E-2</v>
      </c>
      <c r="I11" s="24">
        <f t="shared" si="2"/>
        <v>7.0000000000000007E-2</v>
      </c>
      <c r="J11" s="22" t="s">
        <v>119</v>
      </c>
      <c r="K11" s="10" t="s">
        <v>117</v>
      </c>
      <c r="L11" s="11" t="s">
        <v>15</v>
      </c>
    </row>
    <row r="12" spans="1:12" ht="24.75" customHeight="1" x14ac:dyDescent="0.25">
      <c r="A12" s="2">
        <v>8</v>
      </c>
      <c r="B12" s="16" t="s">
        <v>28</v>
      </c>
      <c r="C12" s="5" t="s">
        <v>17</v>
      </c>
      <c r="D12" s="3" t="s">
        <v>6</v>
      </c>
      <c r="E12" s="23">
        <f t="shared" si="0"/>
        <v>120</v>
      </c>
      <c r="F12" s="23">
        <v>60</v>
      </c>
      <c r="G12" s="24">
        <f t="shared" si="1"/>
        <v>60</v>
      </c>
      <c r="H12" s="23">
        <v>60</v>
      </c>
      <c r="I12" s="24">
        <f t="shared" si="2"/>
        <v>60</v>
      </c>
      <c r="J12" s="10" t="s">
        <v>119</v>
      </c>
      <c r="K12" s="10" t="s">
        <v>120</v>
      </c>
      <c r="L12" s="11" t="s">
        <v>15</v>
      </c>
    </row>
    <row r="13" spans="1:12" ht="38.25" x14ac:dyDescent="0.25">
      <c r="A13" s="2">
        <v>9</v>
      </c>
      <c r="B13" s="16" t="s">
        <v>29</v>
      </c>
      <c r="C13" s="5" t="s">
        <v>17</v>
      </c>
      <c r="D13" s="3" t="s">
        <v>6</v>
      </c>
      <c r="E13" s="23">
        <f t="shared" si="0"/>
        <v>120</v>
      </c>
      <c r="F13" s="23">
        <v>60</v>
      </c>
      <c r="G13" s="24">
        <f t="shared" si="1"/>
        <v>60</v>
      </c>
      <c r="H13" s="23">
        <v>60</v>
      </c>
      <c r="I13" s="24">
        <f t="shared" si="2"/>
        <v>60</v>
      </c>
      <c r="J13" s="10" t="s">
        <v>119</v>
      </c>
      <c r="K13" s="10" t="s">
        <v>120</v>
      </c>
      <c r="L13" s="11" t="s">
        <v>15</v>
      </c>
    </row>
    <row r="14" spans="1:12" ht="38.25" x14ac:dyDescent="0.25">
      <c r="A14" s="2">
        <v>10</v>
      </c>
      <c r="B14" s="16" t="s">
        <v>30</v>
      </c>
      <c r="C14" s="5" t="s">
        <v>17</v>
      </c>
      <c r="D14" s="3" t="s">
        <v>6</v>
      </c>
      <c r="E14" s="23">
        <f t="shared" si="0"/>
        <v>120</v>
      </c>
      <c r="F14" s="23">
        <v>60</v>
      </c>
      <c r="G14" s="24">
        <f t="shared" si="1"/>
        <v>60</v>
      </c>
      <c r="H14" s="23">
        <v>60</v>
      </c>
      <c r="I14" s="24">
        <f t="shared" si="2"/>
        <v>60</v>
      </c>
      <c r="J14" s="10" t="s">
        <v>119</v>
      </c>
      <c r="K14" s="10" t="s">
        <v>120</v>
      </c>
      <c r="L14" s="11" t="s">
        <v>15</v>
      </c>
    </row>
    <row r="15" spans="1:12" ht="18.75" x14ac:dyDescent="0.25">
      <c r="A15" s="2">
        <v>11</v>
      </c>
      <c r="B15" s="16" t="s">
        <v>31</v>
      </c>
      <c r="C15" s="5" t="s">
        <v>12</v>
      </c>
      <c r="D15" s="3" t="s">
        <v>6</v>
      </c>
      <c r="E15" s="23">
        <f t="shared" si="0"/>
        <v>8</v>
      </c>
      <c r="F15" s="23">
        <v>4</v>
      </c>
      <c r="G15" s="24">
        <f t="shared" si="1"/>
        <v>4</v>
      </c>
      <c r="H15" s="23">
        <v>4</v>
      </c>
      <c r="I15" s="24">
        <f t="shared" si="2"/>
        <v>4</v>
      </c>
      <c r="J15" s="10" t="s">
        <v>154</v>
      </c>
      <c r="K15" s="10" t="s">
        <v>126</v>
      </c>
      <c r="L15" s="11" t="s">
        <v>15</v>
      </c>
    </row>
    <row r="16" spans="1:12" ht="18.75" x14ac:dyDescent="0.25">
      <c r="A16" s="2">
        <v>12</v>
      </c>
      <c r="B16" s="16" t="s">
        <v>32</v>
      </c>
      <c r="C16" s="5" t="s">
        <v>12</v>
      </c>
      <c r="D16" s="3" t="s">
        <v>6</v>
      </c>
      <c r="E16" s="23">
        <f t="shared" si="0"/>
        <v>8</v>
      </c>
      <c r="F16" s="23">
        <v>4</v>
      </c>
      <c r="G16" s="24">
        <f t="shared" si="1"/>
        <v>4</v>
      </c>
      <c r="H16" s="23">
        <v>4</v>
      </c>
      <c r="I16" s="24">
        <f t="shared" si="2"/>
        <v>4</v>
      </c>
      <c r="J16" s="10" t="s">
        <v>154</v>
      </c>
      <c r="K16" s="10" t="s">
        <v>126</v>
      </c>
      <c r="L16" s="11" t="s">
        <v>15</v>
      </c>
    </row>
    <row r="17" spans="1:12" ht="18.75" x14ac:dyDescent="0.25">
      <c r="A17" s="2">
        <v>13</v>
      </c>
      <c r="B17" s="16" t="s">
        <v>33</v>
      </c>
      <c r="C17" s="5" t="s">
        <v>12</v>
      </c>
      <c r="D17" s="3" t="s">
        <v>6</v>
      </c>
      <c r="E17" s="23">
        <f t="shared" si="0"/>
        <v>8</v>
      </c>
      <c r="F17" s="23">
        <v>4</v>
      </c>
      <c r="G17" s="24">
        <f t="shared" si="1"/>
        <v>4</v>
      </c>
      <c r="H17" s="23">
        <v>4</v>
      </c>
      <c r="I17" s="24">
        <f t="shared" si="2"/>
        <v>4</v>
      </c>
      <c r="J17" s="10" t="s">
        <v>154</v>
      </c>
      <c r="K17" s="10" t="s">
        <v>126</v>
      </c>
      <c r="L17" s="11" t="s">
        <v>15</v>
      </c>
    </row>
    <row r="18" spans="1:12" ht="18.75" x14ac:dyDescent="0.25">
      <c r="A18" s="2">
        <v>14</v>
      </c>
      <c r="B18" s="16" t="s">
        <v>34</v>
      </c>
      <c r="C18" s="5" t="s">
        <v>12</v>
      </c>
      <c r="D18" s="3" t="s">
        <v>6</v>
      </c>
      <c r="E18" s="23">
        <f t="shared" si="0"/>
        <v>8</v>
      </c>
      <c r="F18" s="23">
        <v>4</v>
      </c>
      <c r="G18" s="24">
        <f t="shared" si="1"/>
        <v>4</v>
      </c>
      <c r="H18" s="23">
        <v>4</v>
      </c>
      <c r="I18" s="24">
        <f t="shared" si="2"/>
        <v>4</v>
      </c>
      <c r="J18" s="10" t="s">
        <v>154</v>
      </c>
      <c r="K18" s="10" t="s">
        <v>126</v>
      </c>
      <c r="L18" s="11" t="s">
        <v>15</v>
      </c>
    </row>
    <row r="19" spans="1:12" ht="18.75" x14ac:dyDescent="0.25">
      <c r="A19" s="2">
        <v>15</v>
      </c>
      <c r="B19" s="16" t="s">
        <v>35</v>
      </c>
      <c r="C19" s="5" t="s">
        <v>12</v>
      </c>
      <c r="D19" s="3" t="s">
        <v>6</v>
      </c>
      <c r="E19" s="23">
        <f t="shared" si="0"/>
        <v>8</v>
      </c>
      <c r="F19" s="23">
        <v>4</v>
      </c>
      <c r="G19" s="24">
        <f t="shared" si="1"/>
        <v>4</v>
      </c>
      <c r="H19" s="23">
        <v>4</v>
      </c>
      <c r="I19" s="24">
        <f t="shared" si="2"/>
        <v>4</v>
      </c>
      <c r="J19" s="10" t="s">
        <v>154</v>
      </c>
      <c r="K19" s="10" t="s">
        <v>126</v>
      </c>
      <c r="L19" s="11" t="s">
        <v>15</v>
      </c>
    </row>
    <row r="20" spans="1:12" ht="18.75" x14ac:dyDescent="0.25">
      <c r="A20" s="2">
        <v>16</v>
      </c>
      <c r="B20" s="16" t="s">
        <v>36</v>
      </c>
      <c r="C20" s="5" t="s">
        <v>12</v>
      </c>
      <c r="D20" s="3" t="s">
        <v>6</v>
      </c>
      <c r="E20" s="23">
        <f t="shared" si="0"/>
        <v>8</v>
      </c>
      <c r="F20" s="23">
        <v>4</v>
      </c>
      <c r="G20" s="24">
        <f t="shared" si="1"/>
        <v>4</v>
      </c>
      <c r="H20" s="23">
        <v>4</v>
      </c>
      <c r="I20" s="24">
        <f t="shared" si="2"/>
        <v>4</v>
      </c>
      <c r="J20" s="10" t="s">
        <v>154</v>
      </c>
      <c r="K20" s="10" t="s">
        <v>126</v>
      </c>
      <c r="L20" s="11" t="s">
        <v>15</v>
      </c>
    </row>
    <row r="21" spans="1:12" ht="18.75" x14ac:dyDescent="0.25">
      <c r="A21" s="2">
        <v>17</v>
      </c>
      <c r="B21" s="16" t="s">
        <v>37</v>
      </c>
      <c r="C21" s="5" t="s">
        <v>12</v>
      </c>
      <c r="D21" s="3" t="s">
        <v>6</v>
      </c>
      <c r="E21" s="23">
        <f t="shared" si="0"/>
        <v>8</v>
      </c>
      <c r="F21" s="23">
        <v>4</v>
      </c>
      <c r="G21" s="24">
        <f t="shared" si="1"/>
        <v>4</v>
      </c>
      <c r="H21" s="23">
        <v>4</v>
      </c>
      <c r="I21" s="24">
        <f t="shared" si="2"/>
        <v>4</v>
      </c>
      <c r="J21" s="10" t="s">
        <v>154</v>
      </c>
      <c r="K21" s="10" t="s">
        <v>126</v>
      </c>
      <c r="L21" s="11" t="s">
        <v>15</v>
      </c>
    </row>
    <row r="22" spans="1:12" ht="25.5" x14ac:dyDescent="0.25">
      <c r="A22" s="2">
        <v>18</v>
      </c>
      <c r="B22" s="16" t="s">
        <v>38</v>
      </c>
      <c r="C22" s="5" t="s">
        <v>12</v>
      </c>
      <c r="D22" s="3" t="s">
        <v>6</v>
      </c>
      <c r="E22" s="23">
        <f t="shared" si="0"/>
        <v>8</v>
      </c>
      <c r="F22" s="23">
        <v>4</v>
      </c>
      <c r="G22" s="24">
        <f t="shared" si="1"/>
        <v>4</v>
      </c>
      <c r="H22" s="23">
        <v>4</v>
      </c>
      <c r="I22" s="24">
        <f t="shared" si="2"/>
        <v>4</v>
      </c>
      <c r="J22" s="10" t="s">
        <v>154</v>
      </c>
      <c r="K22" s="10" t="s">
        <v>126</v>
      </c>
      <c r="L22" s="11" t="s">
        <v>15</v>
      </c>
    </row>
    <row r="23" spans="1:12" ht="25.5" x14ac:dyDescent="0.25">
      <c r="A23" s="2">
        <v>19</v>
      </c>
      <c r="B23" s="16" t="s">
        <v>39</v>
      </c>
      <c r="C23" s="5" t="s">
        <v>12</v>
      </c>
      <c r="D23" s="3" t="s">
        <v>6</v>
      </c>
      <c r="E23" s="23">
        <f t="shared" si="0"/>
        <v>8</v>
      </c>
      <c r="F23" s="23">
        <v>4</v>
      </c>
      <c r="G23" s="24">
        <f t="shared" si="1"/>
        <v>4</v>
      </c>
      <c r="H23" s="23">
        <v>4</v>
      </c>
      <c r="I23" s="24">
        <f t="shared" si="2"/>
        <v>4</v>
      </c>
      <c r="J23" s="10" t="s">
        <v>154</v>
      </c>
      <c r="K23" s="10" t="s">
        <v>126</v>
      </c>
      <c r="L23" s="11" t="s">
        <v>15</v>
      </c>
    </row>
    <row r="24" spans="1:12" ht="18.75" x14ac:dyDescent="0.25">
      <c r="A24" s="2">
        <v>20</v>
      </c>
      <c r="B24" s="16" t="s">
        <v>40</v>
      </c>
      <c r="C24" s="5" t="s">
        <v>12</v>
      </c>
      <c r="D24" s="3" t="s">
        <v>6</v>
      </c>
      <c r="E24" s="23">
        <f t="shared" si="0"/>
        <v>8</v>
      </c>
      <c r="F24" s="23">
        <v>4</v>
      </c>
      <c r="G24" s="24">
        <f t="shared" si="1"/>
        <v>4</v>
      </c>
      <c r="H24" s="23">
        <v>4</v>
      </c>
      <c r="I24" s="24">
        <f t="shared" si="2"/>
        <v>4</v>
      </c>
      <c r="J24" s="10" t="s">
        <v>154</v>
      </c>
      <c r="K24" s="10" t="s">
        <v>126</v>
      </c>
      <c r="L24" s="11" t="s">
        <v>15</v>
      </c>
    </row>
    <row r="25" spans="1:12" ht="18.75" x14ac:dyDescent="0.25">
      <c r="A25" s="2">
        <v>21</v>
      </c>
      <c r="B25" s="16" t="s">
        <v>41</v>
      </c>
      <c r="C25" s="5" t="s">
        <v>12</v>
      </c>
      <c r="D25" s="3" t="s">
        <v>6</v>
      </c>
      <c r="E25" s="23">
        <f t="shared" si="0"/>
        <v>8</v>
      </c>
      <c r="F25" s="23">
        <v>4</v>
      </c>
      <c r="G25" s="24">
        <f t="shared" si="1"/>
        <v>4</v>
      </c>
      <c r="H25" s="23">
        <v>4</v>
      </c>
      <c r="I25" s="24">
        <f t="shared" si="2"/>
        <v>4</v>
      </c>
      <c r="J25" s="10" t="s">
        <v>154</v>
      </c>
      <c r="K25" s="10" t="s">
        <v>126</v>
      </c>
      <c r="L25" s="11" t="s">
        <v>15</v>
      </c>
    </row>
    <row r="26" spans="1:12" ht="18.75" x14ac:dyDescent="0.25">
      <c r="A26" s="2">
        <v>22</v>
      </c>
      <c r="B26" s="16" t="s">
        <v>42</v>
      </c>
      <c r="C26" s="5" t="s">
        <v>112</v>
      </c>
      <c r="D26" s="3" t="s">
        <v>6</v>
      </c>
      <c r="E26" s="23">
        <f t="shared" si="0"/>
        <v>0.156</v>
      </c>
      <c r="F26" s="23">
        <v>7.8E-2</v>
      </c>
      <c r="G26" s="24">
        <f t="shared" si="1"/>
        <v>7.8E-2</v>
      </c>
      <c r="H26" s="23">
        <v>7.8E-2</v>
      </c>
      <c r="I26" s="24">
        <f t="shared" si="2"/>
        <v>7.8E-2</v>
      </c>
      <c r="J26" s="10" t="s">
        <v>143</v>
      </c>
      <c r="K26" s="10" t="s">
        <v>121</v>
      </c>
      <c r="L26" s="11" t="s">
        <v>15</v>
      </c>
    </row>
    <row r="27" spans="1:12" ht="25.5" x14ac:dyDescent="0.25">
      <c r="A27" s="2">
        <v>23</v>
      </c>
      <c r="B27" s="16" t="s">
        <v>43</v>
      </c>
      <c r="C27" s="5" t="s">
        <v>113</v>
      </c>
      <c r="D27" s="3" t="s">
        <v>6</v>
      </c>
      <c r="E27" s="23">
        <f t="shared" si="0"/>
        <v>240</v>
      </c>
      <c r="F27" s="23">
        <v>120</v>
      </c>
      <c r="G27" s="24">
        <f t="shared" si="1"/>
        <v>120</v>
      </c>
      <c r="H27" s="23">
        <v>120</v>
      </c>
      <c r="I27" s="24">
        <f t="shared" si="2"/>
        <v>120</v>
      </c>
      <c r="J27" s="10" t="s">
        <v>119</v>
      </c>
      <c r="K27" s="10" t="s">
        <v>130</v>
      </c>
      <c r="L27" s="11" t="s">
        <v>15</v>
      </c>
    </row>
    <row r="28" spans="1:12" ht="25.5" x14ac:dyDescent="0.25">
      <c r="A28" s="2">
        <v>24</v>
      </c>
      <c r="B28" s="16" t="s">
        <v>44</v>
      </c>
      <c r="C28" s="5" t="s">
        <v>113</v>
      </c>
      <c r="D28" s="3" t="s">
        <v>6</v>
      </c>
      <c r="E28" s="23">
        <f t="shared" si="0"/>
        <v>240</v>
      </c>
      <c r="F28" s="23">
        <v>120</v>
      </c>
      <c r="G28" s="24">
        <f t="shared" si="1"/>
        <v>120</v>
      </c>
      <c r="H28" s="23">
        <v>120</v>
      </c>
      <c r="I28" s="24">
        <f t="shared" si="2"/>
        <v>120</v>
      </c>
      <c r="J28" s="10" t="s">
        <v>119</v>
      </c>
      <c r="K28" s="10" t="s">
        <v>130</v>
      </c>
      <c r="L28" s="11" t="s">
        <v>15</v>
      </c>
    </row>
    <row r="29" spans="1:12" ht="24.75" customHeight="1" x14ac:dyDescent="0.25">
      <c r="A29" s="2">
        <v>25</v>
      </c>
      <c r="B29" s="16" t="s">
        <v>45</v>
      </c>
      <c r="C29" s="5" t="s">
        <v>12</v>
      </c>
      <c r="D29" s="3" t="s">
        <v>6</v>
      </c>
      <c r="E29" s="23">
        <f t="shared" si="0"/>
        <v>24</v>
      </c>
      <c r="F29" s="23">
        <v>12</v>
      </c>
      <c r="G29" s="24">
        <f t="shared" si="1"/>
        <v>12</v>
      </c>
      <c r="H29" s="23">
        <v>12</v>
      </c>
      <c r="I29" s="24">
        <f t="shared" si="2"/>
        <v>12</v>
      </c>
      <c r="J29" s="10" t="s">
        <v>119</v>
      </c>
      <c r="K29" s="10" t="s">
        <v>131</v>
      </c>
      <c r="L29" s="11" t="s">
        <v>15</v>
      </c>
    </row>
    <row r="30" spans="1:12" ht="25.5" x14ac:dyDescent="0.25">
      <c r="A30" s="2">
        <v>26</v>
      </c>
      <c r="B30" s="16" t="s">
        <v>46</v>
      </c>
      <c r="C30" s="5" t="s">
        <v>12</v>
      </c>
      <c r="D30" s="3" t="s">
        <v>6</v>
      </c>
      <c r="E30" s="23">
        <f t="shared" si="0"/>
        <v>6000</v>
      </c>
      <c r="F30" s="23">
        <v>3000</v>
      </c>
      <c r="G30" s="24">
        <f t="shared" si="1"/>
        <v>3000</v>
      </c>
      <c r="H30" s="23">
        <v>3000</v>
      </c>
      <c r="I30" s="24">
        <f t="shared" si="2"/>
        <v>3000</v>
      </c>
      <c r="J30" s="10" t="s">
        <v>119</v>
      </c>
      <c r="K30" s="10" t="s">
        <v>133</v>
      </c>
      <c r="L30" s="11" t="s">
        <v>15</v>
      </c>
    </row>
    <row r="31" spans="1:12" ht="25.5" x14ac:dyDescent="0.25">
      <c r="A31" s="2">
        <v>27</v>
      </c>
      <c r="B31" s="16" t="s">
        <v>47</v>
      </c>
      <c r="C31" s="5" t="s">
        <v>12</v>
      </c>
      <c r="D31" s="3" t="s">
        <v>6</v>
      </c>
      <c r="E31" s="23">
        <f t="shared" si="0"/>
        <v>6000</v>
      </c>
      <c r="F31" s="23">
        <v>3000</v>
      </c>
      <c r="G31" s="24">
        <f t="shared" si="1"/>
        <v>3000</v>
      </c>
      <c r="H31" s="23">
        <v>3000</v>
      </c>
      <c r="I31" s="24">
        <f t="shared" si="2"/>
        <v>3000</v>
      </c>
      <c r="J31" s="10" t="s">
        <v>119</v>
      </c>
      <c r="K31" s="10" t="s">
        <v>133</v>
      </c>
      <c r="L31" s="11" t="s">
        <v>15</v>
      </c>
    </row>
    <row r="32" spans="1:12" ht="25.5" x14ac:dyDescent="0.25">
      <c r="A32" s="2">
        <v>28</v>
      </c>
      <c r="B32" s="16" t="s">
        <v>48</v>
      </c>
      <c r="C32" s="5" t="s">
        <v>12</v>
      </c>
      <c r="D32" s="3" t="s">
        <v>6</v>
      </c>
      <c r="E32" s="23">
        <f t="shared" si="0"/>
        <v>6000</v>
      </c>
      <c r="F32" s="23">
        <v>3000</v>
      </c>
      <c r="G32" s="24">
        <f t="shared" si="1"/>
        <v>3000</v>
      </c>
      <c r="H32" s="23">
        <v>3000</v>
      </c>
      <c r="I32" s="24">
        <f t="shared" si="2"/>
        <v>3000</v>
      </c>
      <c r="J32" s="10" t="s">
        <v>119</v>
      </c>
      <c r="K32" s="10" t="s">
        <v>133</v>
      </c>
      <c r="L32" s="11" t="s">
        <v>15</v>
      </c>
    </row>
    <row r="33" spans="1:12" ht="18.75" x14ac:dyDescent="0.25">
      <c r="A33" s="2">
        <v>29</v>
      </c>
      <c r="B33" s="16" t="s">
        <v>49</v>
      </c>
      <c r="C33" s="5" t="s">
        <v>18</v>
      </c>
      <c r="D33" s="3" t="s">
        <v>6</v>
      </c>
      <c r="E33" s="23">
        <f t="shared" si="0"/>
        <v>24</v>
      </c>
      <c r="F33" s="23">
        <v>12</v>
      </c>
      <c r="G33" s="24">
        <f t="shared" si="1"/>
        <v>12</v>
      </c>
      <c r="H33" s="23">
        <v>12</v>
      </c>
      <c r="I33" s="24">
        <f t="shared" si="2"/>
        <v>12</v>
      </c>
      <c r="J33" s="10" t="s">
        <v>119</v>
      </c>
      <c r="K33" s="10" t="s">
        <v>133</v>
      </c>
      <c r="L33" s="11" t="s">
        <v>15</v>
      </c>
    </row>
    <row r="34" spans="1:12" ht="18.75" x14ac:dyDescent="0.25">
      <c r="A34" s="2">
        <v>30</v>
      </c>
      <c r="B34" s="16" t="s">
        <v>50</v>
      </c>
      <c r="C34" s="5" t="s">
        <v>18</v>
      </c>
      <c r="D34" s="3" t="s">
        <v>6</v>
      </c>
      <c r="E34" s="23">
        <f t="shared" si="0"/>
        <v>24</v>
      </c>
      <c r="F34" s="23">
        <v>12</v>
      </c>
      <c r="G34" s="24">
        <f t="shared" si="1"/>
        <v>12</v>
      </c>
      <c r="H34" s="23">
        <v>12</v>
      </c>
      <c r="I34" s="24">
        <f t="shared" si="2"/>
        <v>12</v>
      </c>
      <c r="J34" s="10" t="s">
        <v>119</v>
      </c>
      <c r="K34" s="10" t="s">
        <v>133</v>
      </c>
      <c r="L34" s="11" t="s">
        <v>15</v>
      </c>
    </row>
    <row r="35" spans="1:12" ht="18.75" x14ac:dyDescent="0.25">
      <c r="A35" s="2">
        <v>31</v>
      </c>
      <c r="B35" s="16" t="s">
        <v>51</v>
      </c>
      <c r="C35" s="5" t="s">
        <v>18</v>
      </c>
      <c r="D35" s="3" t="s">
        <v>6</v>
      </c>
      <c r="E35" s="23">
        <f t="shared" si="0"/>
        <v>24</v>
      </c>
      <c r="F35" s="23">
        <v>12</v>
      </c>
      <c r="G35" s="24">
        <f t="shared" si="1"/>
        <v>12</v>
      </c>
      <c r="H35" s="23">
        <v>12</v>
      </c>
      <c r="I35" s="24">
        <f t="shared" si="2"/>
        <v>12</v>
      </c>
      <c r="J35" s="10" t="s">
        <v>119</v>
      </c>
      <c r="K35" s="10" t="s">
        <v>133</v>
      </c>
      <c r="L35" s="11" t="s">
        <v>15</v>
      </c>
    </row>
    <row r="36" spans="1:12" ht="18.75" x14ac:dyDescent="0.25">
      <c r="A36" s="2">
        <v>32</v>
      </c>
      <c r="B36" s="16" t="s">
        <v>52</v>
      </c>
      <c r="C36" s="5" t="s">
        <v>113</v>
      </c>
      <c r="D36" s="3" t="s">
        <v>6</v>
      </c>
      <c r="E36" s="23">
        <f t="shared" si="0"/>
        <v>12</v>
      </c>
      <c r="F36" s="23">
        <v>6</v>
      </c>
      <c r="G36" s="24">
        <f t="shared" si="1"/>
        <v>6</v>
      </c>
      <c r="H36" s="23">
        <v>6</v>
      </c>
      <c r="I36" s="24">
        <f t="shared" si="2"/>
        <v>6</v>
      </c>
      <c r="J36" s="10" t="s">
        <v>119</v>
      </c>
      <c r="K36" s="10" t="s">
        <v>133</v>
      </c>
      <c r="L36" s="11" t="s">
        <v>15</v>
      </c>
    </row>
    <row r="37" spans="1:12" ht="25.5" x14ac:dyDescent="0.25">
      <c r="A37" s="2">
        <v>33</v>
      </c>
      <c r="B37" s="16" t="s">
        <v>53</v>
      </c>
      <c r="C37" s="5" t="s">
        <v>113</v>
      </c>
      <c r="D37" s="3" t="s">
        <v>6</v>
      </c>
      <c r="E37" s="23">
        <f t="shared" ref="E37:E68" si="3">F37+H37</f>
        <v>12</v>
      </c>
      <c r="F37" s="23">
        <v>6</v>
      </c>
      <c r="G37" s="24">
        <f t="shared" ref="G37:G65" si="4">F37</f>
        <v>6</v>
      </c>
      <c r="H37" s="23">
        <v>6</v>
      </c>
      <c r="I37" s="24">
        <f t="shared" si="2"/>
        <v>6</v>
      </c>
      <c r="J37" s="10" t="s">
        <v>119</v>
      </c>
      <c r="K37" s="10" t="s">
        <v>133</v>
      </c>
      <c r="L37" s="11" t="s">
        <v>15</v>
      </c>
    </row>
    <row r="38" spans="1:12" ht="25.5" x14ac:dyDescent="0.25">
      <c r="A38" s="2">
        <v>34</v>
      </c>
      <c r="B38" s="16" t="s">
        <v>54</v>
      </c>
      <c r="C38" s="5" t="s">
        <v>113</v>
      </c>
      <c r="D38" s="3" t="s">
        <v>6</v>
      </c>
      <c r="E38" s="23">
        <f t="shared" si="3"/>
        <v>12</v>
      </c>
      <c r="F38" s="23">
        <v>6</v>
      </c>
      <c r="G38" s="24">
        <f t="shared" si="4"/>
        <v>6</v>
      </c>
      <c r="H38" s="23">
        <v>6</v>
      </c>
      <c r="I38" s="24">
        <f t="shared" si="2"/>
        <v>6</v>
      </c>
      <c r="J38" s="10" t="s">
        <v>119</v>
      </c>
      <c r="K38" s="10" t="s">
        <v>133</v>
      </c>
      <c r="L38" s="11" t="s">
        <v>15</v>
      </c>
    </row>
    <row r="39" spans="1:12" ht="18.75" x14ac:dyDescent="0.25">
      <c r="A39" s="2">
        <v>35</v>
      </c>
      <c r="B39" s="16" t="s">
        <v>55</v>
      </c>
      <c r="C39" s="5" t="s">
        <v>113</v>
      </c>
      <c r="D39" s="3" t="s">
        <v>6</v>
      </c>
      <c r="E39" s="23">
        <f t="shared" si="3"/>
        <v>12</v>
      </c>
      <c r="F39" s="23">
        <v>6</v>
      </c>
      <c r="G39" s="24">
        <f t="shared" si="4"/>
        <v>6</v>
      </c>
      <c r="H39" s="23">
        <v>6</v>
      </c>
      <c r="I39" s="24">
        <f t="shared" si="2"/>
        <v>6</v>
      </c>
      <c r="J39" s="10" t="s">
        <v>119</v>
      </c>
      <c r="K39" s="10" t="s">
        <v>133</v>
      </c>
      <c r="L39" s="11" t="s">
        <v>15</v>
      </c>
    </row>
    <row r="40" spans="1:12" ht="25.5" x14ac:dyDescent="0.25">
      <c r="A40" s="2">
        <v>36</v>
      </c>
      <c r="B40" s="16" t="s">
        <v>56</v>
      </c>
      <c r="C40" s="5" t="s">
        <v>113</v>
      </c>
      <c r="D40" s="3" t="s">
        <v>6</v>
      </c>
      <c r="E40" s="23">
        <f t="shared" si="3"/>
        <v>12</v>
      </c>
      <c r="F40" s="23">
        <v>6</v>
      </c>
      <c r="G40" s="24">
        <f t="shared" si="4"/>
        <v>6</v>
      </c>
      <c r="H40" s="23">
        <v>6</v>
      </c>
      <c r="I40" s="24">
        <f t="shared" si="2"/>
        <v>6</v>
      </c>
      <c r="J40" s="10" t="s">
        <v>119</v>
      </c>
      <c r="K40" s="10" t="s">
        <v>133</v>
      </c>
      <c r="L40" s="11" t="s">
        <v>15</v>
      </c>
    </row>
    <row r="41" spans="1:12" ht="25.5" x14ac:dyDescent="0.25">
      <c r="A41" s="2">
        <v>37</v>
      </c>
      <c r="B41" s="16" t="s">
        <v>57</v>
      </c>
      <c r="C41" s="5" t="s">
        <v>113</v>
      </c>
      <c r="D41" s="3" t="s">
        <v>6</v>
      </c>
      <c r="E41" s="23">
        <f t="shared" si="3"/>
        <v>12</v>
      </c>
      <c r="F41" s="23">
        <v>6</v>
      </c>
      <c r="G41" s="24">
        <f t="shared" si="4"/>
        <v>6</v>
      </c>
      <c r="H41" s="23">
        <v>6</v>
      </c>
      <c r="I41" s="24">
        <f t="shared" si="2"/>
        <v>6</v>
      </c>
      <c r="J41" s="10" t="s">
        <v>119</v>
      </c>
      <c r="K41" s="10" t="s">
        <v>133</v>
      </c>
      <c r="L41" s="11" t="s">
        <v>15</v>
      </c>
    </row>
    <row r="42" spans="1:12" ht="18.75" x14ac:dyDescent="0.25">
      <c r="A42" s="2">
        <v>38</v>
      </c>
      <c r="B42" s="16" t="s">
        <v>58</v>
      </c>
      <c r="C42" s="5" t="s">
        <v>113</v>
      </c>
      <c r="D42" s="3" t="s">
        <v>6</v>
      </c>
      <c r="E42" s="23">
        <f t="shared" si="3"/>
        <v>12</v>
      </c>
      <c r="F42" s="23">
        <v>6</v>
      </c>
      <c r="G42" s="24">
        <f t="shared" si="4"/>
        <v>6</v>
      </c>
      <c r="H42" s="23">
        <v>6</v>
      </c>
      <c r="I42" s="24">
        <f t="shared" si="2"/>
        <v>6</v>
      </c>
      <c r="J42" s="10" t="s">
        <v>119</v>
      </c>
      <c r="K42" s="10" t="s">
        <v>133</v>
      </c>
      <c r="L42" s="11" t="s">
        <v>15</v>
      </c>
    </row>
    <row r="43" spans="1:12" ht="18.75" x14ac:dyDescent="0.25">
      <c r="A43" s="2">
        <v>39</v>
      </c>
      <c r="B43" s="16" t="s">
        <v>59</v>
      </c>
      <c r="C43" s="5" t="s">
        <v>113</v>
      </c>
      <c r="D43" s="3" t="s">
        <v>6</v>
      </c>
      <c r="E43" s="23">
        <f t="shared" si="3"/>
        <v>12</v>
      </c>
      <c r="F43" s="23">
        <v>6</v>
      </c>
      <c r="G43" s="24">
        <f t="shared" si="4"/>
        <v>6</v>
      </c>
      <c r="H43" s="23">
        <v>6</v>
      </c>
      <c r="I43" s="24">
        <f t="shared" si="2"/>
        <v>6</v>
      </c>
      <c r="J43" s="10" t="s">
        <v>119</v>
      </c>
      <c r="K43" s="10" t="s">
        <v>133</v>
      </c>
      <c r="L43" s="11" t="s">
        <v>15</v>
      </c>
    </row>
    <row r="44" spans="1:12" ht="18.75" x14ac:dyDescent="0.25">
      <c r="A44" s="2">
        <v>40</v>
      </c>
      <c r="B44" s="16" t="s">
        <v>60</v>
      </c>
      <c r="C44" s="5" t="s">
        <v>113</v>
      </c>
      <c r="D44" s="3" t="s">
        <v>6</v>
      </c>
      <c r="E44" s="23">
        <f t="shared" si="3"/>
        <v>12</v>
      </c>
      <c r="F44" s="23">
        <v>6</v>
      </c>
      <c r="G44" s="24">
        <f t="shared" si="4"/>
        <v>6</v>
      </c>
      <c r="H44" s="23">
        <v>6</v>
      </c>
      <c r="I44" s="24">
        <f t="shared" si="2"/>
        <v>6</v>
      </c>
      <c r="J44" s="10" t="s">
        <v>119</v>
      </c>
      <c r="K44" s="10" t="s">
        <v>133</v>
      </c>
      <c r="L44" s="11" t="s">
        <v>15</v>
      </c>
    </row>
    <row r="45" spans="1:12" ht="18.75" x14ac:dyDescent="0.25">
      <c r="A45" s="2">
        <v>41</v>
      </c>
      <c r="B45" s="16" t="s">
        <v>61</v>
      </c>
      <c r="C45" s="5" t="s">
        <v>113</v>
      </c>
      <c r="D45" s="3" t="s">
        <v>6</v>
      </c>
      <c r="E45" s="23">
        <f t="shared" si="3"/>
        <v>12</v>
      </c>
      <c r="F45" s="23">
        <v>6</v>
      </c>
      <c r="G45" s="24">
        <f t="shared" si="4"/>
        <v>6</v>
      </c>
      <c r="H45" s="23">
        <v>6</v>
      </c>
      <c r="I45" s="24">
        <f t="shared" si="2"/>
        <v>6</v>
      </c>
      <c r="J45" s="10" t="s">
        <v>119</v>
      </c>
      <c r="K45" s="10" t="s">
        <v>133</v>
      </c>
      <c r="L45" s="11" t="s">
        <v>15</v>
      </c>
    </row>
    <row r="46" spans="1:12" ht="18.75" x14ac:dyDescent="0.25">
      <c r="A46" s="2">
        <v>42</v>
      </c>
      <c r="B46" s="16" t="s">
        <v>62</v>
      </c>
      <c r="C46" s="5" t="s">
        <v>113</v>
      </c>
      <c r="D46" s="3" t="s">
        <v>6</v>
      </c>
      <c r="E46" s="23">
        <f t="shared" si="3"/>
        <v>12</v>
      </c>
      <c r="F46" s="23">
        <v>6</v>
      </c>
      <c r="G46" s="24">
        <f t="shared" si="4"/>
        <v>6</v>
      </c>
      <c r="H46" s="23">
        <v>6</v>
      </c>
      <c r="I46" s="24">
        <f t="shared" si="2"/>
        <v>6</v>
      </c>
      <c r="J46" s="10" t="s">
        <v>119</v>
      </c>
      <c r="K46" s="10" t="s">
        <v>133</v>
      </c>
      <c r="L46" s="11" t="s">
        <v>15</v>
      </c>
    </row>
    <row r="47" spans="1:12" ht="18.75" x14ac:dyDescent="0.25">
      <c r="A47" s="2">
        <v>43</v>
      </c>
      <c r="B47" s="16" t="s">
        <v>63</v>
      </c>
      <c r="C47" s="5" t="s">
        <v>113</v>
      </c>
      <c r="D47" s="3" t="s">
        <v>6</v>
      </c>
      <c r="E47" s="23">
        <f t="shared" si="3"/>
        <v>12</v>
      </c>
      <c r="F47" s="23">
        <v>6</v>
      </c>
      <c r="G47" s="24">
        <f t="shared" si="4"/>
        <v>6</v>
      </c>
      <c r="H47" s="23">
        <v>6</v>
      </c>
      <c r="I47" s="24">
        <f t="shared" si="2"/>
        <v>6</v>
      </c>
      <c r="J47" s="10" t="s">
        <v>119</v>
      </c>
      <c r="K47" s="10" t="s">
        <v>133</v>
      </c>
      <c r="L47" s="11" t="s">
        <v>15</v>
      </c>
    </row>
    <row r="48" spans="1:12" ht="18.75" x14ac:dyDescent="0.25">
      <c r="A48" s="2">
        <v>44</v>
      </c>
      <c r="B48" s="16" t="s">
        <v>64</v>
      </c>
      <c r="C48" s="5" t="s">
        <v>113</v>
      </c>
      <c r="D48" s="3" t="s">
        <v>6</v>
      </c>
      <c r="E48" s="23">
        <f t="shared" si="3"/>
        <v>12</v>
      </c>
      <c r="F48" s="23">
        <v>6</v>
      </c>
      <c r="G48" s="24">
        <f t="shared" si="4"/>
        <v>6</v>
      </c>
      <c r="H48" s="23">
        <v>6</v>
      </c>
      <c r="I48" s="24">
        <f t="shared" si="2"/>
        <v>6</v>
      </c>
      <c r="J48" s="10" t="s">
        <v>119</v>
      </c>
      <c r="K48" s="10" t="s">
        <v>133</v>
      </c>
      <c r="L48" s="11" t="s">
        <v>15</v>
      </c>
    </row>
    <row r="49" spans="1:12" ht="18.75" x14ac:dyDescent="0.25">
      <c r="A49" s="2">
        <v>45</v>
      </c>
      <c r="B49" s="16" t="s">
        <v>65</v>
      </c>
      <c r="C49" s="5" t="s">
        <v>113</v>
      </c>
      <c r="D49" s="3" t="s">
        <v>6</v>
      </c>
      <c r="E49" s="23">
        <f t="shared" si="3"/>
        <v>12</v>
      </c>
      <c r="F49" s="23">
        <v>6</v>
      </c>
      <c r="G49" s="24">
        <f t="shared" si="4"/>
        <v>6</v>
      </c>
      <c r="H49" s="23">
        <v>6</v>
      </c>
      <c r="I49" s="24">
        <f t="shared" si="2"/>
        <v>6</v>
      </c>
      <c r="J49" s="10" t="s">
        <v>119</v>
      </c>
      <c r="K49" s="10" t="s">
        <v>133</v>
      </c>
      <c r="L49" s="11" t="s">
        <v>15</v>
      </c>
    </row>
    <row r="50" spans="1:12" ht="18.75" x14ac:dyDescent="0.25">
      <c r="A50" s="2">
        <v>46</v>
      </c>
      <c r="B50" s="16" t="s">
        <v>66</v>
      </c>
      <c r="C50" s="5" t="s">
        <v>113</v>
      </c>
      <c r="D50" s="3" t="s">
        <v>6</v>
      </c>
      <c r="E50" s="23">
        <f t="shared" si="3"/>
        <v>12</v>
      </c>
      <c r="F50" s="23">
        <v>6</v>
      </c>
      <c r="G50" s="24">
        <f t="shared" si="4"/>
        <v>6</v>
      </c>
      <c r="H50" s="23">
        <v>6</v>
      </c>
      <c r="I50" s="24">
        <f t="shared" si="2"/>
        <v>6</v>
      </c>
      <c r="J50" s="10" t="s">
        <v>119</v>
      </c>
      <c r="K50" s="10" t="s">
        <v>133</v>
      </c>
      <c r="L50" s="11" t="s">
        <v>15</v>
      </c>
    </row>
    <row r="51" spans="1:12" ht="18.75" x14ac:dyDescent="0.25">
      <c r="A51" s="2">
        <v>47</v>
      </c>
      <c r="B51" s="16" t="s">
        <v>67</v>
      </c>
      <c r="C51" s="5" t="s">
        <v>113</v>
      </c>
      <c r="D51" s="3" t="s">
        <v>6</v>
      </c>
      <c r="E51" s="23">
        <f t="shared" si="3"/>
        <v>12</v>
      </c>
      <c r="F51" s="23">
        <v>6</v>
      </c>
      <c r="G51" s="24">
        <f t="shared" si="4"/>
        <v>6</v>
      </c>
      <c r="H51" s="23">
        <v>6</v>
      </c>
      <c r="I51" s="24">
        <f t="shared" si="2"/>
        <v>6</v>
      </c>
      <c r="J51" s="10" t="s">
        <v>119</v>
      </c>
      <c r="K51" s="10" t="s">
        <v>133</v>
      </c>
      <c r="L51" s="11" t="s">
        <v>15</v>
      </c>
    </row>
    <row r="52" spans="1:12" ht="18.75" x14ac:dyDescent="0.25">
      <c r="A52" s="2">
        <v>48</v>
      </c>
      <c r="B52" s="16" t="s">
        <v>68</v>
      </c>
      <c r="C52" s="5" t="s">
        <v>113</v>
      </c>
      <c r="D52" s="3" t="s">
        <v>6</v>
      </c>
      <c r="E52" s="23">
        <f t="shared" si="3"/>
        <v>12</v>
      </c>
      <c r="F52" s="23">
        <v>6</v>
      </c>
      <c r="G52" s="24">
        <f t="shared" si="4"/>
        <v>6</v>
      </c>
      <c r="H52" s="23">
        <v>6</v>
      </c>
      <c r="I52" s="24">
        <f t="shared" si="2"/>
        <v>6</v>
      </c>
      <c r="J52" s="10" t="s">
        <v>119</v>
      </c>
      <c r="K52" s="10" t="s">
        <v>133</v>
      </c>
      <c r="L52" s="11" t="s">
        <v>15</v>
      </c>
    </row>
    <row r="53" spans="1:12" ht="18.75" x14ac:dyDescent="0.25">
      <c r="A53" s="2">
        <v>49</v>
      </c>
      <c r="B53" s="16" t="s">
        <v>69</v>
      </c>
      <c r="C53" s="5" t="s">
        <v>113</v>
      </c>
      <c r="D53" s="3" t="s">
        <v>6</v>
      </c>
      <c r="E53" s="23">
        <f t="shared" si="3"/>
        <v>12</v>
      </c>
      <c r="F53" s="23">
        <v>6</v>
      </c>
      <c r="G53" s="24">
        <f t="shared" si="4"/>
        <v>6</v>
      </c>
      <c r="H53" s="23">
        <v>6</v>
      </c>
      <c r="I53" s="24">
        <f t="shared" si="2"/>
        <v>6</v>
      </c>
      <c r="J53" s="10" t="s">
        <v>119</v>
      </c>
      <c r="K53" s="10" t="s">
        <v>133</v>
      </c>
      <c r="L53" s="11" t="s">
        <v>15</v>
      </c>
    </row>
    <row r="54" spans="1:12" ht="18.75" x14ac:dyDescent="0.25">
      <c r="A54" s="2">
        <v>50</v>
      </c>
      <c r="B54" s="16" t="s">
        <v>70</v>
      </c>
      <c r="C54" s="5" t="s">
        <v>113</v>
      </c>
      <c r="D54" s="3" t="s">
        <v>6</v>
      </c>
      <c r="E54" s="23">
        <f t="shared" si="3"/>
        <v>12</v>
      </c>
      <c r="F54" s="23">
        <v>6</v>
      </c>
      <c r="G54" s="24">
        <f t="shared" si="4"/>
        <v>6</v>
      </c>
      <c r="H54" s="23">
        <v>6</v>
      </c>
      <c r="I54" s="24">
        <f t="shared" si="2"/>
        <v>6</v>
      </c>
      <c r="J54" s="10" t="s">
        <v>119</v>
      </c>
      <c r="K54" s="10" t="s">
        <v>133</v>
      </c>
      <c r="L54" s="11" t="s">
        <v>15</v>
      </c>
    </row>
    <row r="55" spans="1:12" ht="25.5" x14ac:dyDescent="0.25">
      <c r="A55" s="2">
        <v>51</v>
      </c>
      <c r="B55" s="16" t="s">
        <v>71</v>
      </c>
      <c r="C55" s="5" t="s">
        <v>113</v>
      </c>
      <c r="D55" s="3" t="s">
        <v>6</v>
      </c>
      <c r="E55" s="23">
        <f t="shared" si="3"/>
        <v>12</v>
      </c>
      <c r="F55" s="23">
        <v>6</v>
      </c>
      <c r="G55" s="24">
        <f t="shared" si="4"/>
        <v>6</v>
      </c>
      <c r="H55" s="23">
        <v>6</v>
      </c>
      <c r="I55" s="24">
        <f t="shared" si="2"/>
        <v>6</v>
      </c>
      <c r="J55" s="10" t="s">
        <v>119</v>
      </c>
      <c r="K55" s="10" t="s">
        <v>133</v>
      </c>
      <c r="L55" s="11" t="s">
        <v>15</v>
      </c>
    </row>
    <row r="56" spans="1:12" ht="18.75" x14ac:dyDescent="0.25">
      <c r="A56" s="2">
        <v>52</v>
      </c>
      <c r="B56" s="16" t="s">
        <v>72</v>
      </c>
      <c r="C56" s="5" t="s">
        <v>113</v>
      </c>
      <c r="D56" s="3" t="s">
        <v>6</v>
      </c>
      <c r="E56" s="23">
        <f t="shared" si="3"/>
        <v>12</v>
      </c>
      <c r="F56" s="23">
        <v>6</v>
      </c>
      <c r="G56" s="24">
        <f t="shared" si="4"/>
        <v>6</v>
      </c>
      <c r="H56" s="23">
        <v>6</v>
      </c>
      <c r="I56" s="24">
        <f t="shared" si="2"/>
        <v>6</v>
      </c>
      <c r="J56" s="10" t="s">
        <v>119</v>
      </c>
      <c r="K56" s="10" t="s">
        <v>133</v>
      </c>
      <c r="L56" s="11" t="s">
        <v>15</v>
      </c>
    </row>
    <row r="57" spans="1:12" ht="18.75" x14ac:dyDescent="0.25">
      <c r="A57" s="2">
        <v>53</v>
      </c>
      <c r="B57" s="16" t="s">
        <v>73</v>
      </c>
      <c r="C57" s="5" t="s">
        <v>113</v>
      </c>
      <c r="D57" s="3" t="s">
        <v>6</v>
      </c>
      <c r="E57" s="23">
        <f t="shared" si="3"/>
        <v>12</v>
      </c>
      <c r="F57" s="23">
        <v>6</v>
      </c>
      <c r="G57" s="24">
        <f t="shared" si="4"/>
        <v>6</v>
      </c>
      <c r="H57" s="23">
        <v>6</v>
      </c>
      <c r="I57" s="24">
        <f t="shared" si="2"/>
        <v>6</v>
      </c>
      <c r="J57" s="10" t="s">
        <v>119</v>
      </c>
      <c r="K57" s="10" t="s">
        <v>133</v>
      </c>
      <c r="L57" s="11" t="s">
        <v>15</v>
      </c>
    </row>
    <row r="58" spans="1:12" ht="18.75" x14ac:dyDescent="0.25">
      <c r="A58" s="2">
        <v>54</v>
      </c>
      <c r="B58" s="16" t="s">
        <v>74</v>
      </c>
      <c r="C58" s="5" t="s">
        <v>113</v>
      </c>
      <c r="D58" s="3" t="s">
        <v>6</v>
      </c>
      <c r="E58" s="23">
        <f t="shared" si="3"/>
        <v>12</v>
      </c>
      <c r="F58" s="23">
        <v>6</v>
      </c>
      <c r="G58" s="24">
        <f t="shared" si="4"/>
        <v>6</v>
      </c>
      <c r="H58" s="23">
        <v>6</v>
      </c>
      <c r="I58" s="24">
        <f t="shared" si="2"/>
        <v>6</v>
      </c>
      <c r="J58" s="10" t="s">
        <v>119</v>
      </c>
      <c r="K58" s="10" t="s">
        <v>133</v>
      </c>
      <c r="L58" s="11" t="s">
        <v>15</v>
      </c>
    </row>
    <row r="59" spans="1:12" ht="18.75" x14ac:dyDescent="0.25">
      <c r="A59" s="2">
        <v>55</v>
      </c>
      <c r="B59" s="16" t="s">
        <v>75</v>
      </c>
      <c r="C59" s="5" t="s">
        <v>113</v>
      </c>
      <c r="D59" s="3" t="s">
        <v>6</v>
      </c>
      <c r="E59" s="23">
        <f t="shared" si="3"/>
        <v>12</v>
      </c>
      <c r="F59" s="23">
        <v>6</v>
      </c>
      <c r="G59" s="24">
        <f t="shared" si="4"/>
        <v>6</v>
      </c>
      <c r="H59" s="23">
        <v>6</v>
      </c>
      <c r="I59" s="24">
        <f t="shared" si="2"/>
        <v>6</v>
      </c>
      <c r="J59" s="10" t="s">
        <v>119</v>
      </c>
      <c r="K59" s="10" t="s">
        <v>133</v>
      </c>
      <c r="L59" s="11" t="s">
        <v>15</v>
      </c>
    </row>
    <row r="60" spans="1:12" ht="18.75" x14ac:dyDescent="0.25">
      <c r="A60" s="2">
        <v>56</v>
      </c>
      <c r="B60" s="16" t="s">
        <v>76</v>
      </c>
      <c r="C60" s="5" t="s">
        <v>113</v>
      </c>
      <c r="D60" s="3" t="s">
        <v>6</v>
      </c>
      <c r="E60" s="23">
        <f t="shared" si="3"/>
        <v>12</v>
      </c>
      <c r="F60" s="23">
        <v>6</v>
      </c>
      <c r="G60" s="24">
        <f t="shared" si="4"/>
        <v>6</v>
      </c>
      <c r="H60" s="23">
        <v>6</v>
      </c>
      <c r="I60" s="24">
        <f t="shared" si="2"/>
        <v>6</v>
      </c>
      <c r="J60" s="10" t="s">
        <v>119</v>
      </c>
      <c r="K60" s="10" t="s">
        <v>133</v>
      </c>
      <c r="L60" s="11" t="s">
        <v>15</v>
      </c>
    </row>
    <row r="61" spans="1:12" ht="18.75" x14ac:dyDescent="0.25">
      <c r="A61" s="2">
        <v>57</v>
      </c>
      <c r="B61" s="16" t="s">
        <v>77</v>
      </c>
      <c r="C61" s="5" t="s">
        <v>112</v>
      </c>
      <c r="D61" s="3" t="s">
        <v>6</v>
      </c>
      <c r="E61" s="23">
        <f t="shared" si="3"/>
        <v>0.69</v>
      </c>
      <c r="F61" s="23">
        <v>0.06</v>
      </c>
      <c r="G61" s="24">
        <f t="shared" si="4"/>
        <v>0.06</v>
      </c>
      <c r="H61" s="23">
        <v>0.63</v>
      </c>
      <c r="I61" s="24">
        <f t="shared" si="2"/>
        <v>0.63</v>
      </c>
      <c r="J61" s="10" t="s">
        <v>119</v>
      </c>
      <c r="K61" s="10" t="s">
        <v>121</v>
      </c>
      <c r="L61" s="11" t="s">
        <v>14</v>
      </c>
    </row>
    <row r="62" spans="1:12" ht="18.75" x14ac:dyDescent="0.25">
      <c r="A62" s="2">
        <v>58</v>
      </c>
      <c r="B62" s="16" t="s">
        <v>78</v>
      </c>
      <c r="C62" s="5" t="s">
        <v>112</v>
      </c>
      <c r="D62" s="3" t="s">
        <v>6</v>
      </c>
      <c r="E62" s="23">
        <f t="shared" si="3"/>
        <v>0.64500000000000002</v>
      </c>
      <c r="F62" s="23">
        <v>4.4999999999999998E-2</v>
      </c>
      <c r="G62" s="24">
        <f t="shared" si="4"/>
        <v>4.4999999999999998E-2</v>
      </c>
      <c r="H62" s="23">
        <v>0.6</v>
      </c>
      <c r="I62" s="24">
        <f t="shared" si="2"/>
        <v>0.6</v>
      </c>
      <c r="J62" s="10" t="s">
        <v>119</v>
      </c>
      <c r="K62" s="10" t="s">
        <v>121</v>
      </c>
      <c r="L62" s="11" t="s">
        <v>14</v>
      </c>
    </row>
    <row r="63" spans="1:12" ht="18.75" x14ac:dyDescent="0.25">
      <c r="A63" s="2">
        <v>59</v>
      </c>
      <c r="B63" s="16" t="s">
        <v>79</v>
      </c>
      <c r="C63" s="5" t="s">
        <v>112</v>
      </c>
      <c r="D63" s="3" t="s">
        <v>6</v>
      </c>
      <c r="E63" s="23">
        <f t="shared" si="3"/>
        <v>1.1000000000000001</v>
      </c>
      <c r="F63" s="23">
        <v>0.18</v>
      </c>
      <c r="G63" s="24">
        <f t="shared" si="4"/>
        <v>0.18</v>
      </c>
      <c r="H63" s="23">
        <v>0.92</v>
      </c>
      <c r="I63" s="24">
        <f t="shared" si="2"/>
        <v>0.92</v>
      </c>
      <c r="J63" s="10" t="s">
        <v>119</v>
      </c>
      <c r="K63" s="10" t="s">
        <v>121</v>
      </c>
      <c r="L63" s="11" t="s">
        <v>14</v>
      </c>
    </row>
    <row r="64" spans="1:12" ht="18.75" x14ac:dyDescent="0.25">
      <c r="A64" s="2">
        <v>60</v>
      </c>
      <c r="B64" s="16" t="s">
        <v>80</v>
      </c>
      <c r="C64" s="5" t="s">
        <v>112</v>
      </c>
      <c r="D64" s="3" t="s">
        <v>6</v>
      </c>
      <c r="E64" s="23">
        <f t="shared" si="3"/>
        <v>0.5</v>
      </c>
      <c r="F64" s="23">
        <v>0.09</v>
      </c>
      <c r="G64" s="24">
        <f t="shared" si="4"/>
        <v>0.09</v>
      </c>
      <c r="H64" s="23">
        <v>0.41</v>
      </c>
      <c r="I64" s="24">
        <f t="shared" si="2"/>
        <v>0.41</v>
      </c>
      <c r="J64" s="10" t="s">
        <v>119</v>
      </c>
      <c r="K64" s="10" t="s">
        <v>121</v>
      </c>
      <c r="L64" s="11" t="s">
        <v>14</v>
      </c>
    </row>
    <row r="65" spans="1:12" ht="18.75" x14ac:dyDescent="0.25">
      <c r="A65" s="2">
        <v>61</v>
      </c>
      <c r="B65" s="16" t="s">
        <v>81</v>
      </c>
      <c r="C65" s="5" t="s">
        <v>112</v>
      </c>
      <c r="D65" s="3" t="s">
        <v>6</v>
      </c>
      <c r="E65" s="23">
        <f t="shared" si="3"/>
        <v>1.2</v>
      </c>
      <c r="F65" s="23">
        <v>0.21</v>
      </c>
      <c r="G65" s="24">
        <f t="shared" si="4"/>
        <v>0.21</v>
      </c>
      <c r="H65" s="23">
        <v>0.99</v>
      </c>
      <c r="I65" s="24">
        <f t="shared" si="2"/>
        <v>0.99</v>
      </c>
      <c r="J65" s="10" t="s">
        <v>119</v>
      </c>
      <c r="K65" s="10" t="s">
        <v>141</v>
      </c>
      <c r="L65" s="11" t="s">
        <v>14</v>
      </c>
    </row>
    <row r="66" spans="1:12" ht="24.75" customHeight="1" x14ac:dyDescent="0.25">
      <c r="A66" s="2">
        <v>62</v>
      </c>
      <c r="B66" s="16" t="s">
        <v>82</v>
      </c>
      <c r="C66" s="5" t="s">
        <v>112</v>
      </c>
      <c r="D66" s="3" t="s">
        <v>6</v>
      </c>
      <c r="E66" s="23">
        <f t="shared" si="3"/>
        <v>0.8</v>
      </c>
      <c r="F66" s="23">
        <v>0.15</v>
      </c>
      <c r="G66" s="24">
        <f t="shared" ref="G66:G82" si="5">F66</f>
        <v>0.15</v>
      </c>
      <c r="H66" s="23">
        <v>0.65</v>
      </c>
      <c r="I66" s="24">
        <f t="shared" si="2"/>
        <v>0.65</v>
      </c>
      <c r="J66" s="10" t="s">
        <v>119</v>
      </c>
      <c r="K66" s="10" t="s">
        <v>141</v>
      </c>
      <c r="L66" s="11" t="s">
        <v>14</v>
      </c>
    </row>
    <row r="67" spans="1:12" ht="25.5" x14ac:dyDescent="0.25">
      <c r="A67" s="2">
        <v>63</v>
      </c>
      <c r="B67" s="16" t="s">
        <v>83</v>
      </c>
      <c r="C67" s="5" t="s">
        <v>112</v>
      </c>
      <c r="D67" s="3" t="s">
        <v>6</v>
      </c>
      <c r="E67" s="23">
        <f t="shared" si="3"/>
        <v>0.8</v>
      </c>
      <c r="F67" s="23">
        <v>0.15</v>
      </c>
      <c r="G67" s="24">
        <f t="shared" si="5"/>
        <v>0.15</v>
      </c>
      <c r="H67" s="23">
        <v>0.65</v>
      </c>
      <c r="I67" s="24">
        <f t="shared" si="2"/>
        <v>0.65</v>
      </c>
      <c r="J67" s="22" t="s">
        <v>143</v>
      </c>
      <c r="K67" s="10" t="s">
        <v>143</v>
      </c>
      <c r="L67" s="11" t="s">
        <v>14</v>
      </c>
    </row>
    <row r="68" spans="1:12" ht="18.75" x14ac:dyDescent="0.25">
      <c r="A68" s="2">
        <v>64</v>
      </c>
      <c r="B68" s="16" t="s">
        <v>84</v>
      </c>
      <c r="C68" s="5" t="s">
        <v>112</v>
      </c>
      <c r="D68" s="3" t="s">
        <v>6</v>
      </c>
      <c r="E68" s="23">
        <f t="shared" si="3"/>
        <v>0.08</v>
      </c>
      <c r="F68" s="23">
        <v>1.4999999999999999E-2</v>
      </c>
      <c r="G68" s="24">
        <f t="shared" si="5"/>
        <v>1.4999999999999999E-2</v>
      </c>
      <c r="H68" s="23">
        <v>6.5000000000000002E-2</v>
      </c>
      <c r="I68" s="24">
        <f t="shared" si="2"/>
        <v>6.5000000000000002E-2</v>
      </c>
      <c r="J68" s="22" t="s">
        <v>143</v>
      </c>
      <c r="K68" s="10" t="s">
        <v>121</v>
      </c>
      <c r="L68" s="11" t="s">
        <v>14</v>
      </c>
    </row>
    <row r="69" spans="1:12" ht="18.75" x14ac:dyDescent="0.25">
      <c r="A69" s="2">
        <v>65</v>
      </c>
      <c r="B69" s="16" t="s">
        <v>85</v>
      </c>
      <c r="C69" s="5" t="s">
        <v>112</v>
      </c>
      <c r="D69" s="3" t="s">
        <v>6</v>
      </c>
      <c r="E69" s="23">
        <f t="shared" ref="E69:E99" si="6">F69+H69</f>
        <v>0.1</v>
      </c>
      <c r="F69" s="23">
        <v>1.4999999999999999E-2</v>
      </c>
      <c r="G69" s="24">
        <f t="shared" si="5"/>
        <v>1.4999999999999999E-2</v>
      </c>
      <c r="H69" s="23">
        <v>8.5000000000000006E-2</v>
      </c>
      <c r="I69" s="24">
        <f t="shared" si="2"/>
        <v>8.5000000000000006E-2</v>
      </c>
      <c r="J69" s="22" t="s">
        <v>143</v>
      </c>
      <c r="K69" s="10" t="s">
        <v>145</v>
      </c>
      <c r="L69" s="11" t="s">
        <v>14</v>
      </c>
    </row>
    <row r="70" spans="1:12" ht="18.75" x14ac:dyDescent="0.25">
      <c r="A70" s="2">
        <v>66</v>
      </c>
      <c r="B70" s="16" t="s">
        <v>86</v>
      </c>
      <c r="C70" s="5" t="s">
        <v>112</v>
      </c>
      <c r="D70" s="3" t="s">
        <v>6</v>
      </c>
      <c r="E70" s="23">
        <f t="shared" si="6"/>
        <v>1</v>
      </c>
      <c r="F70" s="23">
        <v>0.15</v>
      </c>
      <c r="G70" s="24">
        <f t="shared" si="5"/>
        <v>0.15</v>
      </c>
      <c r="H70" s="23">
        <v>0.85</v>
      </c>
      <c r="I70" s="24">
        <f t="shared" si="2"/>
        <v>0.85</v>
      </c>
      <c r="J70" s="22" t="s">
        <v>143</v>
      </c>
      <c r="K70" s="10" t="s">
        <v>117</v>
      </c>
      <c r="L70" s="11" t="s">
        <v>14</v>
      </c>
    </row>
    <row r="71" spans="1:12" ht="18.75" x14ac:dyDescent="0.25">
      <c r="A71" s="2">
        <v>67</v>
      </c>
      <c r="B71" s="16" t="s">
        <v>87</v>
      </c>
      <c r="C71" s="5" t="s">
        <v>112</v>
      </c>
      <c r="D71" s="3" t="s">
        <v>6</v>
      </c>
      <c r="E71" s="23">
        <f t="shared" si="6"/>
        <v>1</v>
      </c>
      <c r="F71" s="23">
        <v>0.15</v>
      </c>
      <c r="G71" s="24">
        <f t="shared" si="5"/>
        <v>0.15</v>
      </c>
      <c r="H71" s="23">
        <v>0.85</v>
      </c>
      <c r="I71" s="24">
        <f t="shared" ref="I71:I99" si="7">H71</f>
        <v>0.85</v>
      </c>
      <c r="J71" s="22" t="s">
        <v>143</v>
      </c>
      <c r="K71" s="10" t="s">
        <v>143</v>
      </c>
      <c r="L71" s="11" t="s">
        <v>14</v>
      </c>
    </row>
    <row r="72" spans="1:12" ht="18.75" x14ac:dyDescent="0.25">
      <c r="A72" s="2">
        <v>68</v>
      </c>
      <c r="B72" s="16" t="s">
        <v>88</v>
      </c>
      <c r="C72" s="5" t="s">
        <v>12</v>
      </c>
      <c r="D72" s="3" t="s">
        <v>6</v>
      </c>
      <c r="E72" s="23">
        <f t="shared" si="6"/>
        <v>808</v>
      </c>
      <c r="F72" s="23">
        <v>60</v>
      </c>
      <c r="G72" s="24">
        <f t="shared" si="5"/>
        <v>60</v>
      </c>
      <c r="H72" s="23">
        <v>748</v>
      </c>
      <c r="I72" s="24">
        <f t="shared" si="7"/>
        <v>748</v>
      </c>
      <c r="J72" s="10" t="s">
        <v>119</v>
      </c>
      <c r="K72" s="10" t="s">
        <v>133</v>
      </c>
      <c r="L72" s="11" t="s">
        <v>14</v>
      </c>
    </row>
    <row r="73" spans="1:12" ht="25.5" x14ac:dyDescent="0.25">
      <c r="A73" s="2">
        <v>69</v>
      </c>
      <c r="B73" s="16" t="s">
        <v>89</v>
      </c>
      <c r="C73" s="5" t="s">
        <v>113</v>
      </c>
      <c r="D73" s="3" t="s">
        <v>6</v>
      </c>
      <c r="E73" s="23">
        <f t="shared" si="6"/>
        <v>26</v>
      </c>
      <c r="F73" s="23">
        <v>3</v>
      </c>
      <c r="G73" s="24">
        <f t="shared" si="5"/>
        <v>3</v>
      </c>
      <c r="H73" s="23">
        <v>23</v>
      </c>
      <c r="I73" s="24">
        <f t="shared" si="7"/>
        <v>23</v>
      </c>
      <c r="J73" s="10" t="s">
        <v>119</v>
      </c>
      <c r="K73" s="10" t="s">
        <v>133</v>
      </c>
      <c r="L73" s="11" t="s">
        <v>14</v>
      </c>
    </row>
    <row r="74" spans="1:12" ht="18.75" x14ac:dyDescent="0.25">
      <c r="A74" s="2">
        <v>70</v>
      </c>
      <c r="B74" s="16" t="s">
        <v>90</v>
      </c>
      <c r="C74" s="5" t="s">
        <v>113</v>
      </c>
      <c r="D74" s="3" t="s">
        <v>6</v>
      </c>
      <c r="E74" s="23">
        <f t="shared" si="6"/>
        <v>15</v>
      </c>
      <c r="F74" s="23">
        <v>1.5</v>
      </c>
      <c r="G74" s="24">
        <f t="shared" si="5"/>
        <v>1.5</v>
      </c>
      <c r="H74" s="23">
        <v>13.5</v>
      </c>
      <c r="I74" s="24">
        <f t="shared" si="7"/>
        <v>13.5</v>
      </c>
      <c r="J74" s="10" t="s">
        <v>119</v>
      </c>
      <c r="K74" s="10" t="s">
        <v>133</v>
      </c>
      <c r="L74" s="11" t="s">
        <v>14</v>
      </c>
    </row>
    <row r="75" spans="1:12" ht="25.5" x14ac:dyDescent="0.25">
      <c r="A75" s="2">
        <v>71</v>
      </c>
      <c r="B75" s="16" t="s">
        <v>56</v>
      </c>
      <c r="C75" s="5" t="s">
        <v>113</v>
      </c>
      <c r="D75" s="3" t="s">
        <v>6</v>
      </c>
      <c r="E75" s="23">
        <f t="shared" si="6"/>
        <v>25</v>
      </c>
      <c r="F75" s="23">
        <v>3</v>
      </c>
      <c r="G75" s="24">
        <f t="shared" si="5"/>
        <v>3</v>
      </c>
      <c r="H75" s="23">
        <v>22</v>
      </c>
      <c r="I75" s="24">
        <f t="shared" si="7"/>
        <v>22</v>
      </c>
      <c r="J75" s="10" t="s">
        <v>119</v>
      </c>
      <c r="K75" s="10" t="s">
        <v>133</v>
      </c>
      <c r="L75" s="11" t="s">
        <v>14</v>
      </c>
    </row>
    <row r="76" spans="1:12" ht="25.5" x14ac:dyDescent="0.25">
      <c r="A76" s="2">
        <v>72</v>
      </c>
      <c r="B76" s="16" t="s">
        <v>91</v>
      </c>
      <c r="C76" s="5" t="s">
        <v>113</v>
      </c>
      <c r="D76" s="3" t="s">
        <v>6</v>
      </c>
      <c r="E76" s="23">
        <f t="shared" si="6"/>
        <v>50</v>
      </c>
      <c r="F76" s="23">
        <v>6</v>
      </c>
      <c r="G76" s="24">
        <f t="shared" si="5"/>
        <v>6</v>
      </c>
      <c r="H76" s="23">
        <v>44</v>
      </c>
      <c r="I76" s="24">
        <f t="shared" si="7"/>
        <v>44</v>
      </c>
      <c r="J76" s="10" t="s">
        <v>119</v>
      </c>
      <c r="K76" s="10" t="s">
        <v>133</v>
      </c>
      <c r="L76" s="11" t="s">
        <v>14</v>
      </c>
    </row>
    <row r="77" spans="1:12" ht="18.75" x14ac:dyDescent="0.25">
      <c r="A77" s="2">
        <v>73</v>
      </c>
      <c r="B77" s="16" t="s">
        <v>92</v>
      </c>
      <c r="C77" s="5" t="s">
        <v>113</v>
      </c>
      <c r="D77" s="3" t="s">
        <v>6</v>
      </c>
      <c r="E77" s="23">
        <f t="shared" si="6"/>
        <v>24.5</v>
      </c>
      <c r="F77" s="23">
        <v>3</v>
      </c>
      <c r="G77" s="24">
        <f t="shared" si="5"/>
        <v>3</v>
      </c>
      <c r="H77" s="23">
        <v>21.5</v>
      </c>
      <c r="I77" s="24">
        <f t="shared" si="7"/>
        <v>21.5</v>
      </c>
      <c r="J77" s="10" t="s">
        <v>119</v>
      </c>
      <c r="K77" s="10" t="s">
        <v>133</v>
      </c>
      <c r="L77" s="11" t="s">
        <v>14</v>
      </c>
    </row>
    <row r="78" spans="1:12" ht="18.75" x14ac:dyDescent="0.25">
      <c r="A78" s="2">
        <v>74</v>
      </c>
      <c r="B78" s="16" t="s">
        <v>93</v>
      </c>
      <c r="C78" s="5" t="s">
        <v>12</v>
      </c>
      <c r="D78" s="3" t="s">
        <v>6</v>
      </c>
      <c r="E78" s="23">
        <f t="shared" si="6"/>
        <v>250</v>
      </c>
      <c r="F78" s="23">
        <v>60</v>
      </c>
      <c r="G78" s="24">
        <f t="shared" si="5"/>
        <v>60</v>
      </c>
      <c r="H78" s="23">
        <v>190</v>
      </c>
      <c r="I78" s="24">
        <f t="shared" si="7"/>
        <v>190</v>
      </c>
      <c r="J78" s="10" t="s">
        <v>119</v>
      </c>
      <c r="K78" s="10" t="s">
        <v>133</v>
      </c>
      <c r="L78" s="11" t="s">
        <v>14</v>
      </c>
    </row>
    <row r="79" spans="1:12" ht="25.5" x14ac:dyDescent="0.25">
      <c r="A79" s="2">
        <v>75</v>
      </c>
      <c r="B79" s="16" t="s">
        <v>94</v>
      </c>
      <c r="C79" s="5" t="s">
        <v>113</v>
      </c>
      <c r="D79" s="3" t="s">
        <v>6</v>
      </c>
      <c r="E79" s="23">
        <f t="shared" si="6"/>
        <v>25</v>
      </c>
      <c r="F79" s="23">
        <v>4.5</v>
      </c>
      <c r="G79" s="24">
        <f t="shared" si="5"/>
        <v>4.5</v>
      </c>
      <c r="H79" s="23">
        <v>20.5</v>
      </c>
      <c r="I79" s="24">
        <f t="shared" si="7"/>
        <v>20.5</v>
      </c>
      <c r="J79" s="10" t="s">
        <v>119</v>
      </c>
      <c r="K79" s="10" t="s">
        <v>133</v>
      </c>
      <c r="L79" s="11" t="s">
        <v>14</v>
      </c>
    </row>
    <row r="80" spans="1:12" ht="25.5" x14ac:dyDescent="0.25">
      <c r="A80" s="2">
        <v>76</v>
      </c>
      <c r="B80" s="16" t="s">
        <v>95</v>
      </c>
      <c r="C80" s="5" t="s">
        <v>113</v>
      </c>
      <c r="D80" s="3" t="s">
        <v>6</v>
      </c>
      <c r="E80" s="23">
        <f t="shared" si="6"/>
        <v>30</v>
      </c>
      <c r="F80" s="23">
        <v>6</v>
      </c>
      <c r="G80" s="24">
        <f t="shared" si="5"/>
        <v>6</v>
      </c>
      <c r="H80" s="23">
        <v>24</v>
      </c>
      <c r="I80" s="24">
        <f t="shared" si="7"/>
        <v>24</v>
      </c>
      <c r="J80" s="10" t="s">
        <v>119</v>
      </c>
      <c r="K80" s="10" t="s">
        <v>133</v>
      </c>
      <c r="L80" s="11" t="s">
        <v>14</v>
      </c>
    </row>
    <row r="81" spans="1:12" ht="25.5" x14ac:dyDescent="0.25">
      <c r="A81" s="2">
        <v>77</v>
      </c>
      <c r="B81" s="16" t="s">
        <v>96</v>
      </c>
      <c r="C81" s="5" t="s">
        <v>113</v>
      </c>
      <c r="D81" s="3" t="s">
        <v>6</v>
      </c>
      <c r="E81" s="23">
        <f t="shared" si="6"/>
        <v>45</v>
      </c>
      <c r="F81" s="23">
        <v>9</v>
      </c>
      <c r="G81" s="24">
        <f t="shared" si="5"/>
        <v>9</v>
      </c>
      <c r="H81" s="23">
        <v>36</v>
      </c>
      <c r="I81" s="24">
        <f t="shared" si="7"/>
        <v>36</v>
      </c>
      <c r="J81" s="10" t="s">
        <v>119</v>
      </c>
      <c r="K81" s="10" t="s">
        <v>133</v>
      </c>
      <c r="L81" s="11" t="s">
        <v>14</v>
      </c>
    </row>
    <row r="82" spans="1:12" ht="18.75" x14ac:dyDescent="0.25">
      <c r="A82" s="2">
        <v>78</v>
      </c>
      <c r="B82" s="16" t="s">
        <v>97</v>
      </c>
      <c r="C82" s="5" t="s">
        <v>113</v>
      </c>
      <c r="D82" s="3" t="s">
        <v>6</v>
      </c>
      <c r="E82" s="23">
        <f t="shared" si="6"/>
        <v>6.6</v>
      </c>
      <c r="F82" s="23">
        <v>1.08</v>
      </c>
      <c r="G82" s="24">
        <f t="shared" si="5"/>
        <v>1.08</v>
      </c>
      <c r="H82" s="23">
        <v>5.52</v>
      </c>
      <c r="I82" s="24">
        <f t="shared" si="7"/>
        <v>5.52</v>
      </c>
      <c r="J82" s="10" t="s">
        <v>119</v>
      </c>
      <c r="K82" s="10" t="s">
        <v>133</v>
      </c>
      <c r="L82" s="11" t="s">
        <v>14</v>
      </c>
    </row>
    <row r="83" spans="1:12" ht="24.75" customHeight="1" x14ac:dyDescent="0.25">
      <c r="A83" s="2">
        <v>79</v>
      </c>
      <c r="B83" s="16" t="s">
        <v>98</v>
      </c>
      <c r="C83" s="5" t="s">
        <v>113</v>
      </c>
      <c r="D83" s="3" t="s">
        <v>6</v>
      </c>
      <c r="E83" s="23">
        <f t="shared" si="6"/>
        <v>25</v>
      </c>
      <c r="F83" s="23">
        <v>3</v>
      </c>
      <c r="G83" s="24">
        <f t="shared" ref="G83:G99" si="8">F83</f>
        <v>3</v>
      </c>
      <c r="H83" s="23">
        <v>22</v>
      </c>
      <c r="I83" s="24">
        <f t="shared" si="7"/>
        <v>22</v>
      </c>
      <c r="J83" s="10" t="s">
        <v>119</v>
      </c>
      <c r="K83" s="10" t="s">
        <v>133</v>
      </c>
      <c r="L83" s="11" t="s">
        <v>14</v>
      </c>
    </row>
    <row r="84" spans="1:12" ht="18.75" x14ac:dyDescent="0.25">
      <c r="A84" s="2">
        <v>80</v>
      </c>
      <c r="B84" s="16" t="s">
        <v>99</v>
      </c>
      <c r="C84" s="5" t="s">
        <v>113</v>
      </c>
      <c r="D84" s="3" t="s">
        <v>6</v>
      </c>
      <c r="E84" s="23">
        <f t="shared" si="6"/>
        <v>30</v>
      </c>
      <c r="F84" s="23">
        <v>6</v>
      </c>
      <c r="G84" s="24">
        <f t="shared" si="8"/>
        <v>6</v>
      </c>
      <c r="H84" s="23">
        <v>24</v>
      </c>
      <c r="I84" s="24">
        <f t="shared" si="7"/>
        <v>24</v>
      </c>
      <c r="J84" s="10" t="s">
        <v>119</v>
      </c>
      <c r="K84" s="10" t="s">
        <v>133</v>
      </c>
      <c r="L84" s="11" t="s">
        <v>14</v>
      </c>
    </row>
    <row r="85" spans="1:12" ht="18.75" x14ac:dyDescent="0.25">
      <c r="A85" s="2">
        <v>81</v>
      </c>
      <c r="B85" s="16" t="s">
        <v>68</v>
      </c>
      <c r="C85" s="5" t="s">
        <v>113</v>
      </c>
      <c r="D85" s="3" t="s">
        <v>6</v>
      </c>
      <c r="E85" s="23">
        <f t="shared" si="6"/>
        <v>7</v>
      </c>
      <c r="F85" s="23">
        <v>0.9</v>
      </c>
      <c r="G85" s="24">
        <f t="shared" si="8"/>
        <v>0.9</v>
      </c>
      <c r="H85" s="23">
        <v>6.1</v>
      </c>
      <c r="I85" s="24">
        <f t="shared" si="7"/>
        <v>6.1</v>
      </c>
      <c r="J85" s="10" t="s">
        <v>119</v>
      </c>
      <c r="K85" s="10" t="s">
        <v>133</v>
      </c>
      <c r="L85" s="11" t="s">
        <v>14</v>
      </c>
    </row>
    <row r="86" spans="1:12" ht="18.75" x14ac:dyDescent="0.25">
      <c r="A86" s="2">
        <v>82</v>
      </c>
      <c r="B86" s="16" t="s">
        <v>100</v>
      </c>
      <c r="C86" s="5" t="s">
        <v>113</v>
      </c>
      <c r="D86" s="3" t="s">
        <v>6</v>
      </c>
      <c r="E86" s="23">
        <f t="shared" si="6"/>
        <v>9</v>
      </c>
      <c r="F86" s="23">
        <v>1.5</v>
      </c>
      <c r="G86" s="24">
        <f t="shared" si="8"/>
        <v>1.5</v>
      </c>
      <c r="H86" s="23">
        <v>7.5</v>
      </c>
      <c r="I86" s="24">
        <f t="shared" si="7"/>
        <v>7.5</v>
      </c>
      <c r="J86" s="10" t="s">
        <v>119</v>
      </c>
      <c r="K86" s="10" t="s">
        <v>133</v>
      </c>
      <c r="L86" s="11" t="s">
        <v>14</v>
      </c>
    </row>
    <row r="87" spans="1:12" ht="18.75" x14ac:dyDescent="0.25">
      <c r="A87" s="2">
        <v>83</v>
      </c>
      <c r="B87" s="16" t="s">
        <v>101</v>
      </c>
      <c r="C87" s="5" t="s">
        <v>113</v>
      </c>
      <c r="D87" s="3" t="s">
        <v>6</v>
      </c>
      <c r="E87" s="23">
        <f t="shared" si="6"/>
        <v>16</v>
      </c>
      <c r="F87" s="23">
        <v>3</v>
      </c>
      <c r="G87" s="24">
        <f t="shared" si="8"/>
        <v>3</v>
      </c>
      <c r="H87" s="23">
        <v>13</v>
      </c>
      <c r="I87" s="24">
        <f t="shared" si="7"/>
        <v>13</v>
      </c>
      <c r="J87" s="10" t="s">
        <v>119</v>
      </c>
      <c r="K87" s="10" t="s">
        <v>133</v>
      </c>
      <c r="L87" s="11" t="s">
        <v>14</v>
      </c>
    </row>
    <row r="88" spans="1:12" ht="25.5" x14ac:dyDescent="0.25">
      <c r="A88" s="2">
        <v>84</v>
      </c>
      <c r="B88" s="16" t="s">
        <v>102</v>
      </c>
      <c r="C88" s="5" t="s">
        <v>113</v>
      </c>
      <c r="D88" s="3" t="s">
        <v>6</v>
      </c>
      <c r="E88" s="23">
        <f t="shared" si="6"/>
        <v>9</v>
      </c>
      <c r="F88" s="23">
        <v>1.2</v>
      </c>
      <c r="G88" s="24">
        <f t="shared" si="8"/>
        <v>1.2</v>
      </c>
      <c r="H88" s="23">
        <v>7.8</v>
      </c>
      <c r="I88" s="24">
        <f t="shared" si="7"/>
        <v>7.8</v>
      </c>
      <c r="J88" s="10" t="s">
        <v>119</v>
      </c>
      <c r="K88" s="10" t="s">
        <v>133</v>
      </c>
      <c r="L88" s="11" t="s">
        <v>14</v>
      </c>
    </row>
    <row r="89" spans="1:12" ht="25.5" x14ac:dyDescent="0.25">
      <c r="A89" s="2">
        <v>85</v>
      </c>
      <c r="B89" s="16" t="s">
        <v>103</v>
      </c>
      <c r="C89" s="5" t="s">
        <v>113</v>
      </c>
      <c r="D89" s="3" t="s">
        <v>6</v>
      </c>
      <c r="E89" s="23">
        <f t="shared" si="6"/>
        <v>30</v>
      </c>
      <c r="F89" s="23">
        <v>6</v>
      </c>
      <c r="G89" s="24">
        <f t="shared" si="8"/>
        <v>6</v>
      </c>
      <c r="H89" s="23">
        <v>24</v>
      </c>
      <c r="I89" s="24">
        <f t="shared" si="7"/>
        <v>24</v>
      </c>
      <c r="J89" s="10" t="s">
        <v>119</v>
      </c>
      <c r="K89" s="10" t="s">
        <v>133</v>
      </c>
      <c r="L89" s="11" t="s">
        <v>14</v>
      </c>
    </row>
    <row r="90" spans="1:12" ht="25.5" x14ac:dyDescent="0.25">
      <c r="A90" s="2">
        <v>86</v>
      </c>
      <c r="B90" s="16" t="s">
        <v>104</v>
      </c>
      <c r="C90" s="5" t="s">
        <v>113</v>
      </c>
      <c r="D90" s="3" t="s">
        <v>6</v>
      </c>
      <c r="E90" s="23">
        <f t="shared" si="6"/>
        <v>30</v>
      </c>
      <c r="F90" s="23">
        <v>6</v>
      </c>
      <c r="G90" s="24">
        <f t="shared" si="8"/>
        <v>6</v>
      </c>
      <c r="H90" s="23">
        <v>24</v>
      </c>
      <c r="I90" s="24">
        <f t="shared" si="7"/>
        <v>24</v>
      </c>
      <c r="J90" s="10" t="s">
        <v>119</v>
      </c>
      <c r="K90" s="10" t="s">
        <v>133</v>
      </c>
      <c r="L90" s="11" t="s">
        <v>14</v>
      </c>
    </row>
    <row r="91" spans="1:12" ht="25.5" x14ac:dyDescent="0.25">
      <c r="A91" s="2">
        <v>87</v>
      </c>
      <c r="B91" s="16" t="s">
        <v>105</v>
      </c>
      <c r="C91" s="5" t="s">
        <v>113</v>
      </c>
      <c r="D91" s="3" t="s">
        <v>6</v>
      </c>
      <c r="E91" s="23">
        <f t="shared" si="6"/>
        <v>140</v>
      </c>
      <c r="F91" s="23">
        <v>21</v>
      </c>
      <c r="G91" s="24">
        <f t="shared" si="8"/>
        <v>21</v>
      </c>
      <c r="H91" s="23">
        <v>119</v>
      </c>
      <c r="I91" s="24">
        <f t="shared" si="7"/>
        <v>119</v>
      </c>
      <c r="J91" s="10" t="s">
        <v>119</v>
      </c>
      <c r="K91" s="10" t="s">
        <v>130</v>
      </c>
      <c r="L91" s="11" t="s">
        <v>14</v>
      </c>
    </row>
    <row r="92" spans="1:12" ht="18.75" x14ac:dyDescent="0.25">
      <c r="A92" s="2">
        <v>88</v>
      </c>
      <c r="B92" s="16" t="s">
        <v>106</v>
      </c>
      <c r="C92" s="5" t="s">
        <v>113</v>
      </c>
      <c r="D92" s="3" t="s">
        <v>6</v>
      </c>
      <c r="E92" s="23">
        <f t="shared" si="6"/>
        <v>9</v>
      </c>
      <c r="F92" s="23">
        <v>0.9</v>
      </c>
      <c r="G92" s="24">
        <f t="shared" si="8"/>
        <v>0.9</v>
      </c>
      <c r="H92" s="23">
        <v>8.1</v>
      </c>
      <c r="I92" s="24">
        <f t="shared" si="7"/>
        <v>8.1</v>
      </c>
      <c r="J92" s="10" t="s">
        <v>119</v>
      </c>
      <c r="K92" s="10" t="s">
        <v>133</v>
      </c>
      <c r="L92" s="11" t="s">
        <v>14</v>
      </c>
    </row>
    <row r="93" spans="1:12" ht="18.75" x14ac:dyDescent="0.25">
      <c r="A93" s="2">
        <v>89</v>
      </c>
      <c r="B93" s="16" t="s">
        <v>107</v>
      </c>
      <c r="C93" s="5" t="s">
        <v>113</v>
      </c>
      <c r="D93" s="3" t="s">
        <v>6</v>
      </c>
      <c r="E93" s="23">
        <f t="shared" si="6"/>
        <v>21.6</v>
      </c>
      <c r="F93" s="23">
        <v>2.46</v>
      </c>
      <c r="G93" s="24">
        <f t="shared" si="8"/>
        <v>2.46</v>
      </c>
      <c r="H93" s="23">
        <v>19.14</v>
      </c>
      <c r="I93" s="24">
        <f t="shared" si="7"/>
        <v>19.14</v>
      </c>
      <c r="J93" s="10" t="s">
        <v>119</v>
      </c>
      <c r="K93" s="10" t="s">
        <v>133</v>
      </c>
      <c r="L93" s="11" t="s">
        <v>14</v>
      </c>
    </row>
    <row r="94" spans="1:12" ht="25.5" x14ac:dyDescent="0.25">
      <c r="A94" s="2">
        <v>90</v>
      </c>
      <c r="B94" s="16" t="s">
        <v>108</v>
      </c>
      <c r="C94" s="5" t="s">
        <v>113</v>
      </c>
      <c r="D94" s="3" t="s">
        <v>6</v>
      </c>
      <c r="E94" s="23">
        <f t="shared" si="6"/>
        <v>5.04</v>
      </c>
      <c r="F94" s="23">
        <v>1.68</v>
      </c>
      <c r="G94" s="24">
        <f t="shared" si="8"/>
        <v>1.68</v>
      </c>
      <c r="H94" s="23">
        <v>3.36</v>
      </c>
      <c r="I94" s="24">
        <f t="shared" si="7"/>
        <v>3.36</v>
      </c>
      <c r="J94" s="10" t="s">
        <v>119</v>
      </c>
      <c r="K94" s="10" t="s">
        <v>133</v>
      </c>
      <c r="L94" s="11" t="s">
        <v>14</v>
      </c>
    </row>
    <row r="95" spans="1:12" ht="18.75" x14ac:dyDescent="0.25">
      <c r="A95" s="2">
        <v>91</v>
      </c>
      <c r="B95" s="16" t="s">
        <v>73</v>
      </c>
      <c r="C95" s="5" t="s">
        <v>113</v>
      </c>
      <c r="D95" s="3" t="s">
        <v>6</v>
      </c>
      <c r="E95" s="23">
        <f t="shared" si="6"/>
        <v>0.6</v>
      </c>
      <c r="F95" s="23">
        <v>0.09</v>
      </c>
      <c r="G95" s="24">
        <f t="shared" si="8"/>
        <v>0.09</v>
      </c>
      <c r="H95" s="23">
        <v>0.51</v>
      </c>
      <c r="I95" s="24">
        <f t="shared" si="7"/>
        <v>0.51</v>
      </c>
      <c r="J95" s="10" t="s">
        <v>119</v>
      </c>
      <c r="K95" s="10" t="s">
        <v>133</v>
      </c>
      <c r="L95" s="11" t="s">
        <v>14</v>
      </c>
    </row>
    <row r="96" spans="1:12" ht="18.75" x14ac:dyDescent="0.25">
      <c r="A96" s="2">
        <v>92</v>
      </c>
      <c r="B96" s="16" t="s">
        <v>109</v>
      </c>
      <c r="C96" s="5" t="s">
        <v>113</v>
      </c>
      <c r="D96" s="3" t="s">
        <v>6</v>
      </c>
      <c r="E96" s="23">
        <f t="shared" si="6"/>
        <v>1.8</v>
      </c>
      <c r="F96" s="23">
        <v>0.21</v>
      </c>
      <c r="G96" s="24">
        <f t="shared" si="8"/>
        <v>0.21</v>
      </c>
      <c r="H96" s="23">
        <v>1.59</v>
      </c>
      <c r="I96" s="24">
        <f t="shared" si="7"/>
        <v>1.59</v>
      </c>
      <c r="J96" s="10" t="s">
        <v>119</v>
      </c>
      <c r="K96" s="10" t="s">
        <v>133</v>
      </c>
      <c r="L96" s="11" t="s">
        <v>14</v>
      </c>
    </row>
    <row r="97" spans="1:12" ht="18.75" x14ac:dyDescent="0.25">
      <c r="A97" s="2">
        <v>93</v>
      </c>
      <c r="B97" s="16" t="s">
        <v>110</v>
      </c>
      <c r="C97" s="5" t="s">
        <v>113</v>
      </c>
      <c r="D97" s="3" t="s">
        <v>6</v>
      </c>
      <c r="E97" s="23">
        <f t="shared" si="6"/>
        <v>0.6</v>
      </c>
      <c r="F97" s="23">
        <v>0.12</v>
      </c>
      <c r="G97" s="24">
        <f t="shared" si="8"/>
        <v>0.12</v>
      </c>
      <c r="H97" s="23">
        <v>0.48</v>
      </c>
      <c r="I97" s="24">
        <f t="shared" si="7"/>
        <v>0.48</v>
      </c>
      <c r="J97" s="10" t="s">
        <v>119</v>
      </c>
      <c r="K97" s="10" t="s">
        <v>133</v>
      </c>
      <c r="L97" s="11" t="s">
        <v>14</v>
      </c>
    </row>
    <row r="98" spans="1:12" ht="18.75" x14ac:dyDescent="0.25">
      <c r="A98" s="2">
        <v>94</v>
      </c>
      <c r="B98" s="16" t="s">
        <v>76</v>
      </c>
      <c r="C98" s="5" t="s">
        <v>113</v>
      </c>
      <c r="D98" s="3" t="s">
        <v>6</v>
      </c>
      <c r="E98" s="23">
        <f t="shared" si="6"/>
        <v>2.4</v>
      </c>
      <c r="F98" s="23">
        <v>0.42</v>
      </c>
      <c r="G98" s="24">
        <f t="shared" si="8"/>
        <v>0.42</v>
      </c>
      <c r="H98" s="23">
        <v>1.98</v>
      </c>
      <c r="I98" s="24">
        <f t="shared" si="7"/>
        <v>1.98</v>
      </c>
      <c r="J98" s="10" t="s">
        <v>119</v>
      </c>
      <c r="K98" s="10" t="s">
        <v>133</v>
      </c>
      <c r="L98" s="11" t="s">
        <v>14</v>
      </c>
    </row>
    <row r="99" spans="1:12" ht="18.75" x14ac:dyDescent="0.25">
      <c r="A99" s="2">
        <v>95</v>
      </c>
      <c r="B99" s="16" t="s">
        <v>111</v>
      </c>
      <c r="C99" s="5" t="s">
        <v>12</v>
      </c>
      <c r="D99" s="3" t="s">
        <v>6</v>
      </c>
      <c r="E99" s="23">
        <f t="shared" si="6"/>
        <v>50</v>
      </c>
      <c r="F99" s="23">
        <v>15</v>
      </c>
      <c r="G99" s="24">
        <f t="shared" si="8"/>
        <v>15</v>
      </c>
      <c r="H99" s="23">
        <v>35</v>
      </c>
      <c r="I99" s="24">
        <f t="shared" si="7"/>
        <v>35</v>
      </c>
      <c r="J99" s="10" t="s">
        <v>119</v>
      </c>
      <c r="K99" s="10" t="s">
        <v>133</v>
      </c>
      <c r="L99" s="11" t="s">
        <v>14</v>
      </c>
    </row>
    <row r="100" spans="1:12" ht="18.75" customHeight="1" x14ac:dyDescent="0.25">
      <c r="A100" s="31" t="s">
        <v>16</v>
      </c>
      <c r="B100" s="31"/>
      <c r="C100" s="31"/>
      <c r="D100" s="31"/>
      <c r="E100" s="23">
        <f>SUM(E5:E99)</f>
        <v>21029.090999999993</v>
      </c>
      <c r="F100" s="23">
        <f>SUM(F5:F99)</f>
        <v>9893.292999999996</v>
      </c>
      <c r="G100" s="24" t="s">
        <v>7</v>
      </c>
      <c r="H100" s="23">
        <f>SUM(H5:H99)</f>
        <v>11135.797999999999</v>
      </c>
      <c r="I100" s="24" t="s">
        <v>7</v>
      </c>
      <c r="J100" s="10"/>
      <c r="K100" s="4" t="s">
        <v>7</v>
      </c>
      <c r="L100" s="4" t="s">
        <v>7</v>
      </c>
    </row>
    <row r="101" spans="1:12" ht="18.75" customHeight="1" x14ac:dyDescent="0.25">
      <c r="I101" s="20"/>
      <c r="J101" s="21"/>
      <c r="K101" s="15"/>
      <c r="L101" s="14"/>
    </row>
    <row r="102" spans="1:12" ht="18.75" x14ac:dyDescent="0.3">
      <c r="C102" s="7"/>
      <c r="D102" s="9"/>
      <c r="E102" s="9"/>
      <c r="F102" s="7"/>
      <c r="G102" s="1"/>
      <c r="H102" s="1"/>
      <c r="I102" s="15"/>
      <c r="J102" s="21"/>
      <c r="K102" s="15"/>
      <c r="L102" s="15"/>
    </row>
    <row r="103" spans="1:12" ht="24.95" customHeight="1" x14ac:dyDescent="0.3">
      <c r="C103" s="7"/>
      <c r="D103" s="9"/>
      <c r="E103" s="9"/>
      <c r="F103" s="7"/>
      <c r="G103" s="1"/>
      <c r="H103" s="1"/>
      <c r="I103" s="15"/>
      <c r="J103" s="21"/>
      <c r="K103" s="15"/>
      <c r="L103" s="15"/>
    </row>
    <row r="104" spans="1:12" ht="18.75" x14ac:dyDescent="0.3">
      <c r="C104" s="7"/>
      <c r="D104" s="9"/>
      <c r="E104" s="9"/>
      <c r="F104" s="7"/>
      <c r="G104" s="1"/>
      <c r="H104" s="1"/>
      <c r="I104" s="15"/>
      <c r="J104" s="21"/>
      <c r="K104" s="15"/>
      <c r="L104" s="15"/>
    </row>
    <row r="105" spans="1:12" ht="24.95" customHeight="1" x14ac:dyDescent="0.25">
      <c r="I105" s="20"/>
      <c r="J105" s="21"/>
      <c r="K105" s="15"/>
      <c r="L105" s="14"/>
    </row>
    <row r="106" spans="1:12" ht="18.75" x14ac:dyDescent="0.3">
      <c r="D106" s="9"/>
      <c r="I106" s="20"/>
      <c r="J106" s="21"/>
      <c r="K106" s="15"/>
      <c r="L106" s="14"/>
    </row>
    <row r="107" spans="1:12" x14ac:dyDescent="0.25">
      <c r="I107" s="20"/>
      <c r="J107" s="21"/>
      <c r="K107" s="15"/>
      <c r="L107" s="14"/>
    </row>
    <row r="108" spans="1:12" x14ac:dyDescent="0.25">
      <c r="C108" s="1"/>
      <c r="D108" s="1"/>
      <c r="E108" s="1"/>
      <c r="F108" s="1"/>
      <c r="G108" s="1"/>
      <c r="H108" s="1"/>
      <c r="I108" s="15"/>
      <c r="J108" s="21"/>
      <c r="K108" s="15"/>
      <c r="L108" s="14"/>
    </row>
    <row r="109" spans="1:12" x14ac:dyDescent="0.25">
      <c r="I109" s="20"/>
      <c r="J109" s="21"/>
      <c r="K109" s="15"/>
      <c r="L109" s="14"/>
    </row>
    <row r="110" spans="1:12" x14ac:dyDescent="0.25">
      <c r="I110" s="20"/>
      <c r="J110" s="21"/>
      <c r="K110" s="15"/>
      <c r="L110" s="14"/>
    </row>
    <row r="111" spans="1:12" x14ac:dyDescent="0.25">
      <c r="I111" s="20"/>
      <c r="J111" s="21"/>
      <c r="K111" s="15"/>
      <c r="L111" s="14"/>
    </row>
    <row r="112" spans="1:12" x14ac:dyDescent="0.25">
      <c r="I112" s="20"/>
      <c r="J112" s="21"/>
      <c r="K112" s="15"/>
      <c r="L112" s="14"/>
    </row>
    <row r="113" spans="9:12" x14ac:dyDescent="0.25">
      <c r="I113" s="20"/>
      <c r="J113" s="21"/>
      <c r="K113" s="15"/>
      <c r="L113" s="14"/>
    </row>
    <row r="114" spans="9:12" x14ac:dyDescent="0.25">
      <c r="I114" s="20"/>
      <c r="J114" s="21"/>
      <c r="K114" s="15"/>
      <c r="L114" s="14"/>
    </row>
    <row r="115" spans="9:12" x14ac:dyDescent="0.25">
      <c r="I115" s="20"/>
      <c r="J115" s="21"/>
      <c r="K115" s="15"/>
      <c r="L115" s="14"/>
    </row>
    <row r="116" spans="9:12" x14ac:dyDescent="0.25">
      <c r="J116" s="19"/>
    </row>
    <row r="117" spans="9:12" x14ac:dyDescent="0.25">
      <c r="J117" s="10"/>
    </row>
    <row r="118" spans="9:12" x14ac:dyDescent="0.25">
      <c r="J118" s="10"/>
    </row>
    <row r="119" spans="9:12" x14ac:dyDescent="0.25">
      <c r="J119" s="10"/>
    </row>
    <row r="120" spans="9:12" x14ac:dyDescent="0.25">
      <c r="J120" s="10"/>
    </row>
    <row r="121" spans="9:12" x14ac:dyDescent="0.25">
      <c r="J121" s="10"/>
    </row>
    <row r="122" spans="9:12" x14ac:dyDescent="0.25">
      <c r="J122" s="10"/>
    </row>
    <row r="123" spans="9:12" x14ac:dyDescent="0.25">
      <c r="J123" s="10"/>
    </row>
    <row r="124" spans="9:12" x14ac:dyDescent="0.25">
      <c r="J124" s="10"/>
    </row>
    <row r="125" spans="9:12" x14ac:dyDescent="0.25">
      <c r="J125" s="10"/>
    </row>
    <row r="126" spans="9:12" x14ac:dyDescent="0.25">
      <c r="J126" s="10"/>
    </row>
    <row r="127" spans="9:12" x14ac:dyDescent="0.25">
      <c r="J127" s="10"/>
    </row>
    <row r="128" spans="9:12" x14ac:dyDescent="0.25">
      <c r="J128" s="10"/>
    </row>
    <row r="129" spans="10:10" x14ac:dyDescent="0.25">
      <c r="J129" s="10"/>
    </row>
    <row r="130" spans="10:10" x14ac:dyDescent="0.25">
      <c r="J130" s="10"/>
    </row>
    <row r="131" spans="10:10" x14ac:dyDescent="0.25">
      <c r="J131" s="10" t="s">
        <v>116</v>
      </c>
    </row>
    <row r="132" spans="10:10" x14ac:dyDescent="0.25">
      <c r="J132" s="10" t="s">
        <v>118</v>
      </c>
    </row>
    <row r="133" spans="10:10" x14ac:dyDescent="0.25">
      <c r="J133" s="10" t="s">
        <v>119</v>
      </c>
    </row>
    <row r="134" spans="10:10" x14ac:dyDescent="0.25">
      <c r="J134" s="10" t="s">
        <v>121</v>
      </c>
    </row>
    <row r="135" spans="10:10" x14ac:dyDescent="0.25">
      <c r="J135" s="10" t="s">
        <v>122</v>
      </c>
    </row>
    <row r="136" spans="10:10" x14ac:dyDescent="0.25">
      <c r="J136" s="10" t="s">
        <v>124</v>
      </c>
    </row>
    <row r="137" spans="10:10" x14ac:dyDescent="0.25">
      <c r="J137" s="10" t="s">
        <v>20</v>
      </c>
    </row>
    <row r="138" spans="10:10" x14ac:dyDescent="0.25">
      <c r="J138" s="10" t="s">
        <v>20</v>
      </c>
    </row>
    <row r="139" spans="10:10" x14ac:dyDescent="0.25">
      <c r="J139" s="10" t="s">
        <v>20</v>
      </c>
    </row>
    <row r="140" spans="10:10" x14ac:dyDescent="0.25">
      <c r="J140" s="10" t="s">
        <v>125</v>
      </c>
    </row>
    <row r="141" spans="10:10" x14ac:dyDescent="0.25">
      <c r="J141" s="10" t="s">
        <v>127</v>
      </c>
    </row>
    <row r="142" spans="10:10" x14ac:dyDescent="0.25">
      <c r="J142" s="10" t="s">
        <v>127</v>
      </c>
    </row>
    <row r="143" spans="10:10" x14ac:dyDescent="0.25">
      <c r="J143" s="10" t="s">
        <v>125</v>
      </c>
    </row>
    <row r="144" spans="10:10" x14ac:dyDescent="0.25">
      <c r="J144" s="10" t="s">
        <v>127</v>
      </c>
    </row>
    <row r="145" spans="10:10" x14ac:dyDescent="0.25">
      <c r="J145" s="10" t="s">
        <v>127</v>
      </c>
    </row>
    <row r="146" spans="10:10" x14ac:dyDescent="0.25">
      <c r="J146" s="10" t="s">
        <v>127</v>
      </c>
    </row>
    <row r="147" spans="10:10" x14ac:dyDescent="0.25">
      <c r="J147" s="10" t="s">
        <v>128</v>
      </c>
    </row>
    <row r="148" spans="10:10" x14ac:dyDescent="0.25">
      <c r="J148" s="10" t="s">
        <v>125</v>
      </c>
    </row>
    <row r="149" spans="10:10" x14ac:dyDescent="0.25">
      <c r="J149" s="10" t="s">
        <v>128</v>
      </c>
    </row>
    <row r="150" spans="10:10" x14ac:dyDescent="0.25">
      <c r="J150" s="10" t="s">
        <v>128</v>
      </c>
    </row>
    <row r="151" spans="10:10" x14ac:dyDescent="0.25">
      <c r="J151" s="10" t="s">
        <v>116</v>
      </c>
    </row>
    <row r="152" spans="10:10" x14ac:dyDescent="0.25">
      <c r="J152" s="10" t="s">
        <v>129</v>
      </c>
    </row>
    <row r="153" spans="10:10" x14ac:dyDescent="0.25">
      <c r="J153" s="10" t="s">
        <v>129</v>
      </c>
    </row>
    <row r="154" spans="10:10" x14ac:dyDescent="0.25">
      <c r="J154" s="10" t="s">
        <v>114</v>
      </c>
    </row>
    <row r="155" spans="10:10" x14ac:dyDescent="0.25">
      <c r="J155" s="10" t="s">
        <v>132</v>
      </c>
    </row>
    <row r="156" spans="10:10" x14ac:dyDescent="0.25">
      <c r="J156" s="10" t="s">
        <v>132</v>
      </c>
    </row>
    <row r="157" spans="10:10" x14ac:dyDescent="0.25">
      <c r="J157" s="10" t="s">
        <v>132</v>
      </c>
    </row>
    <row r="158" spans="10:10" x14ac:dyDescent="0.25">
      <c r="J158" s="10" t="s">
        <v>134</v>
      </c>
    </row>
    <row r="159" spans="10:10" x14ac:dyDescent="0.25">
      <c r="J159" s="10" t="s">
        <v>134</v>
      </c>
    </row>
    <row r="160" spans="10:10" x14ac:dyDescent="0.25">
      <c r="J160" s="10" t="s">
        <v>134</v>
      </c>
    </row>
    <row r="161" spans="10:10" x14ac:dyDescent="0.25">
      <c r="J161" s="10" t="s">
        <v>132</v>
      </c>
    </row>
    <row r="162" spans="10:10" x14ac:dyDescent="0.25">
      <c r="J162" s="10" t="s">
        <v>132</v>
      </c>
    </row>
    <row r="163" spans="10:10" x14ac:dyDescent="0.25">
      <c r="J163" s="10" t="s">
        <v>132</v>
      </c>
    </row>
    <row r="164" spans="10:10" x14ac:dyDescent="0.25">
      <c r="J164" s="10" t="s">
        <v>132</v>
      </c>
    </row>
    <row r="165" spans="10:10" x14ac:dyDescent="0.25">
      <c r="J165" s="10" t="s">
        <v>132</v>
      </c>
    </row>
    <row r="166" spans="10:10" x14ac:dyDescent="0.25">
      <c r="J166" s="10" t="s">
        <v>132</v>
      </c>
    </row>
    <row r="167" spans="10:10" x14ac:dyDescent="0.25">
      <c r="J167" s="10" t="s">
        <v>132</v>
      </c>
    </row>
    <row r="168" spans="10:10" x14ac:dyDescent="0.25">
      <c r="J168" s="10" t="s">
        <v>132</v>
      </c>
    </row>
    <row r="169" spans="10:10" x14ac:dyDescent="0.25">
      <c r="J169" s="10" t="s">
        <v>132</v>
      </c>
    </row>
    <row r="170" spans="10:10" x14ac:dyDescent="0.25">
      <c r="J170" s="10" t="s">
        <v>132</v>
      </c>
    </row>
    <row r="171" spans="10:10" x14ac:dyDescent="0.25">
      <c r="J171" s="10" t="s">
        <v>135</v>
      </c>
    </row>
    <row r="172" spans="10:10" x14ac:dyDescent="0.25">
      <c r="J172" s="10" t="s">
        <v>135</v>
      </c>
    </row>
    <row r="173" spans="10:10" x14ac:dyDescent="0.25">
      <c r="J173" s="10" t="s">
        <v>135</v>
      </c>
    </row>
    <row r="174" spans="10:10" x14ac:dyDescent="0.25">
      <c r="J174" s="10" t="s">
        <v>135</v>
      </c>
    </row>
    <row r="175" spans="10:10" x14ac:dyDescent="0.25">
      <c r="J175" s="10" t="s">
        <v>135</v>
      </c>
    </row>
    <row r="176" spans="10:10" x14ac:dyDescent="0.25">
      <c r="J176" s="10" t="s">
        <v>136</v>
      </c>
    </row>
    <row r="177" spans="10:10" x14ac:dyDescent="0.25">
      <c r="J177" s="10" t="s">
        <v>136</v>
      </c>
    </row>
    <row r="178" spans="10:10" x14ac:dyDescent="0.25">
      <c r="J178" s="10" t="s">
        <v>136</v>
      </c>
    </row>
    <row r="179" spans="10:10" x14ac:dyDescent="0.25">
      <c r="J179" s="10" t="s">
        <v>136</v>
      </c>
    </row>
    <row r="180" spans="10:10" x14ac:dyDescent="0.25">
      <c r="J180" s="10" t="s">
        <v>136</v>
      </c>
    </row>
    <row r="181" spans="10:10" x14ac:dyDescent="0.25">
      <c r="J181" s="10" t="s">
        <v>136</v>
      </c>
    </row>
    <row r="182" spans="10:10" x14ac:dyDescent="0.25">
      <c r="J182" s="10" t="s">
        <v>136</v>
      </c>
    </row>
    <row r="183" spans="10:10" x14ac:dyDescent="0.25">
      <c r="J183" s="10" t="s">
        <v>136</v>
      </c>
    </row>
    <row r="184" spans="10:10" x14ac:dyDescent="0.25">
      <c r="J184" s="10" t="s">
        <v>136</v>
      </c>
    </row>
    <row r="185" spans="10:10" x14ac:dyDescent="0.25">
      <c r="J185" s="10" t="s">
        <v>136</v>
      </c>
    </row>
    <row r="186" spans="10:10" x14ac:dyDescent="0.25">
      <c r="J186" s="10" t="s">
        <v>137</v>
      </c>
    </row>
    <row r="187" spans="10:10" x14ac:dyDescent="0.25">
      <c r="J187" s="10" t="s">
        <v>116</v>
      </c>
    </row>
    <row r="188" spans="10:10" x14ac:dyDescent="0.25">
      <c r="J188" s="10" t="s">
        <v>138</v>
      </c>
    </row>
    <row r="189" spans="10:10" x14ac:dyDescent="0.25">
      <c r="J189" s="10" t="s">
        <v>139</v>
      </c>
    </row>
    <row r="190" spans="10:10" x14ac:dyDescent="0.25">
      <c r="J190" s="10" t="s">
        <v>140</v>
      </c>
    </row>
    <row r="191" spans="10:10" x14ac:dyDescent="0.25">
      <c r="J191" s="10" t="s">
        <v>140</v>
      </c>
    </row>
    <row r="192" spans="10:10" x14ac:dyDescent="0.25">
      <c r="J192" s="10" t="s">
        <v>142</v>
      </c>
    </row>
    <row r="193" spans="10:10" x14ac:dyDescent="0.25">
      <c r="J193" s="10" t="s">
        <v>116</v>
      </c>
    </row>
    <row r="194" spans="10:10" x14ac:dyDescent="0.25">
      <c r="J194" s="10" t="s">
        <v>144</v>
      </c>
    </row>
    <row r="195" spans="10:10" x14ac:dyDescent="0.25">
      <c r="J195" s="10" t="s">
        <v>146</v>
      </c>
    </row>
    <row r="196" spans="10:10" x14ac:dyDescent="0.25">
      <c r="J196" s="10" t="s">
        <v>147</v>
      </c>
    </row>
    <row r="197" spans="10:10" x14ac:dyDescent="0.25">
      <c r="J197" s="10" t="s">
        <v>132</v>
      </c>
    </row>
    <row r="198" spans="10:10" x14ac:dyDescent="0.25">
      <c r="J198" s="10" t="s">
        <v>132</v>
      </c>
    </row>
    <row r="199" spans="10:10" x14ac:dyDescent="0.25">
      <c r="J199" s="10" t="s">
        <v>132</v>
      </c>
    </row>
    <row r="200" spans="10:10" x14ac:dyDescent="0.25">
      <c r="J200" s="10" t="s">
        <v>132</v>
      </c>
    </row>
    <row r="201" spans="10:10" x14ac:dyDescent="0.25">
      <c r="J201" s="10" t="s">
        <v>132</v>
      </c>
    </row>
    <row r="202" spans="10:10" x14ac:dyDescent="0.25">
      <c r="J202" s="10" t="s">
        <v>132</v>
      </c>
    </row>
    <row r="203" spans="10:10" x14ac:dyDescent="0.25">
      <c r="J203" s="10" t="s">
        <v>132</v>
      </c>
    </row>
    <row r="204" spans="10:10" x14ac:dyDescent="0.25">
      <c r="J204" s="10" t="s">
        <v>132</v>
      </c>
    </row>
    <row r="205" spans="10:10" x14ac:dyDescent="0.25">
      <c r="J205" s="10" t="s">
        <v>132</v>
      </c>
    </row>
    <row r="206" spans="10:10" x14ac:dyDescent="0.25">
      <c r="J206" s="10" t="s">
        <v>132</v>
      </c>
    </row>
    <row r="207" spans="10:10" x14ac:dyDescent="0.25">
      <c r="J207" s="10" t="s">
        <v>132</v>
      </c>
    </row>
    <row r="208" spans="10:10" x14ac:dyDescent="0.25">
      <c r="J208" s="10" t="s">
        <v>132</v>
      </c>
    </row>
    <row r="209" spans="10:10" x14ac:dyDescent="0.25">
      <c r="J209" s="10" t="s">
        <v>132</v>
      </c>
    </row>
    <row r="210" spans="10:10" x14ac:dyDescent="0.25">
      <c r="J210" s="10" t="s">
        <v>132</v>
      </c>
    </row>
    <row r="211" spans="10:10" x14ac:dyDescent="0.25">
      <c r="J211" s="10" t="s">
        <v>132</v>
      </c>
    </row>
    <row r="212" spans="10:10" x14ac:dyDescent="0.25">
      <c r="J212" s="10" t="s">
        <v>132</v>
      </c>
    </row>
    <row r="213" spans="10:10" x14ac:dyDescent="0.25">
      <c r="J213" s="10" t="s">
        <v>132</v>
      </c>
    </row>
    <row r="214" spans="10:10" x14ac:dyDescent="0.25">
      <c r="J214" s="10" t="s">
        <v>132</v>
      </c>
    </row>
    <row r="215" spans="10:10" x14ac:dyDescent="0.25">
      <c r="J215" s="10" t="s">
        <v>132</v>
      </c>
    </row>
    <row r="216" spans="10:10" x14ac:dyDescent="0.25">
      <c r="J216" s="10" t="s">
        <v>129</v>
      </c>
    </row>
    <row r="217" spans="10:10" x14ac:dyDescent="0.25">
      <c r="J217" s="10" t="s">
        <v>132</v>
      </c>
    </row>
    <row r="218" spans="10:10" x14ac:dyDescent="0.25">
      <c r="J218" s="10" t="s">
        <v>132</v>
      </c>
    </row>
    <row r="219" spans="10:10" x14ac:dyDescent="0.25">
      <c r="J219" s="10" t="s">
        <v>132</v>
      </c>
    </row>
    <row r="220" spans="10:10" x14ac:dyDescent="0.25">
      <c r="J220" s="10" t="s">
        <v>136</v>
      </c>
    </row>
    <row r="221" spans="10:10" x14ac:dyDescent="0.25">
      <c r="J221" s="10" t="s">
        <v>136</v>
      </c>
    </row>
    <row r="222" spans="10:10" x14ac:dyDescent="0.25">
      <c r="J222" s="10" t="s">
        <v>136</v>
      </c>
    </row>
    <row r="223" spans="10:10" x14ac:dyDescent="0.25">
      <c r="J223" s="10" t="s">
        <v>136</v>
      </c>
    </row>
    <row r="224" spans="10:10" x14ac:dyDescent="0.25">
      <c r="J224" s="10" t="s">
        <v>148</v>
      </c>
    </row>
    <row r="225" spans="10:10" x14ac:dyDescent="0.25">
      <c r="J225" s="4" t="s">
        <v>7</v>
      </c>
    </row>
  </sheetData>
  <sheetProtection selectLockedCells="1" selectUnlockedCells="1"/>
  <protectedRanges>
    <protectedRange sqref="B5:B99" name="Диапазон1_7_2"/>
  </protectedRanges>
  <autoFilter ref="A4:L100"/>
  <mergeCells count="13">
    <mergeCell ref="A100:D100"/>
    <mergeCell ref="C3:C4"/>
    <mergeCell ref="D3:D4"/>
    <mergeCell ref="L3:L4"/>
    <mergeCell ref="F3:F4"/>
    <mergeCell ref="H3:H4"/>
    <mergeCell ref="E3:E4"/>
    <mergeCell ref="A2:K2"/>
    <mergeCell ref="J3:J4"/>
    <mergeCell ref="A1:K1"/>
    <mergeCell ref="A3:A4"/>
    <mergeCell ref="B3:B4"/>
    <mergeCell ref="K3:K4"/>
  </mergeCells>
  <pageMargins left="0.25" right="0.25" top="0.75" bottom="0.75" header="0.3" footer="0.3"/>
  <pageSetup paperSize="9" scale="54" firstPageNumber="0" fitToHeight="0" orientation="landscape" horizontalDpi="4294967294" vertic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Уведомление</vt:lpstr>
      <vt:lpstr>Уведомление!Область_печати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Резников Андрей Геннадьевич</dc:creator>
  <cp:lastModifiedBy>Насырова Файруза Фидановна</cp:lastModifiedBy>
  <cp:lastPrinted>2025-12-20T09:57:19Z</cp:lastPrinted>
  <dcterms:created xsi:type="dcterms:W3CDTF">2014-02-07T03:02:54Z</dcterms:created>
  <dcterms:modified xsi:type="dcterms:W3CDTF">2026-09-17T09:57:53Z</dcterms:modified>
</cp:coreProperties>
</file>