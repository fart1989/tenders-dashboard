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120" yWindow="216" windowWidth="18636" windowHeight="11880"/>
  </bookViews>
  <sheets>
    <sheet name="НМЦК" sheetId="7" r:id="rId1"/>
  </sheets>
  <externalReferences>
    <externalReference r:id="rId2"/>
  </externalReferences>
  <definedNames>
    <definedName name="_xlnm._FilterDatabase" localSheetId="0" hidden="1">НМЦК!$A$6:$M$31</definedName>
    <definedName name="dict8665890a5c1b42e8ba0635f371d9fee5">[1]Ед.изм.!$A$2:$A$496</definedName>
  </definedNames>
  <calcPr calcId="145621" fullPrecision="0"/>
</workbook>
</file>

<file path=xl/calcChain.xml><?xml version="1.0" encoding="utf-8"?>
<calcChain xmlns="http://schemas.openxmlformats.org/spreadsheetml/2006/main">
  <c r="L21" i="7" l="1"/>
  <c r="M21" i="7" s="1"/>
  <c r="K21" i="7"/>
  <c r="H21" i="7"/>
  <c r="I21" i="7" s="1"/>
  <c r="J21" i="7" s="1"/>
  <c r="L24" i="7"/>
  <c r="M24" i="7" s="1"/>
  <c r="K24" i="7"/>
  <c r="H24" i="7"/>
  <c r="I24" i="7" s="1"/>
  <c r="J24" i="7" s="1"/>
  <c r="L10" i="7" l="1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2" i="7"/>
  <c r="M22" i="7" s="1"/>
  <c r="L23" i="7"/>
  <c r="M23" i="7" s="1"/>
  <c r="K10" i="7"/>
  <c r="K11" i="7"/>
  <c r="K12" i="7"/>
  <c r="K13" i="7"/>
  <c r="K14" i="7"/>
  <c r="K15" i="7"/>
  <c r="K16" i="7"/>
  <c r="K17" i="7"/>
  <c r="K18" i="7"/>
  <c r="K19" i="7"/>
  <c r="K20" i="7"/>
  <c r="K22" i="7"/>
  <c r="K23" i="7"/>
  <c r="H10" i="7"/>
  <c r="I10" i="7" s="1"/>
  <c r="J10" i="7" s="1"/>
  <c r="H11" i="7"/>
  <c r="I11" i="7" s="1"/>
  <c r="J11" i="7" s="1"/>
  <c r="H12" i="7"/>
  <c r="I12" i="7" s="1"/>
  <c r="J12" i="7" s="1"/>
  <c r="H13" i="7"/>
  <c r="I13" i="7" s="1"/>
  <c r="J13" i="7" s="1"/>
  <c r="H14" i="7"/>
  <c r="I14" i="7" s="1"/>
  <c r="J14" i="7" s="1"/>
  <c r="H15" i="7"/>
  <c r="I15" i="7" s="1"/>
  <c r="J15" i="7" s="1"/>
  <c r="H16" i="7"/>
  <c r="I16" i="7" s="1"/>
  <c r="J16" i="7" s="1"/>
  <c r="H17" i="7"/>
  <c r="I17" i="7" s="1"/>
  <c r="J17" i="7" s="1"/>
  <c r="H18" i="7"/>
  <c r="I18" i="7" s="1"/>
  <c r="J18" i="7" s="1"/>
  <c r="H19" i="7"/>
  <c r="I19" i="7" s="1"/>
  <c r="J19" i="7" s="1"/>
  <c r="H20" i="7"/>
  <c r="I20" i="7" s="1"/>
  <c r="J20" i="7" s="1"/>
  <c r="H22" i="7"/>
  <c r="I22" i="7" s="1"/>
  <c r="J22" i="7" s="1"/>
  <c r="H23" i="7"/>
  <c r="I23" i="7" s="1"/>
  <c r="J23" i="7" s="1"/>
  <c r="L7" i="7" l="1"/>
  <c r="M7" i="7" s="1"/>
  <c r="K7" i="7"/>
  <c r="H7" i="7"/>
  <c r="I7" i="7" s="1"/>
  <c r="J7" i="7" s="1"/>
  <c r="L9" i="7" l="1"/>
  <c r="M9" i="7" s="1"/>
  <c r="K9" i="7"/>
  <c r="H9" i="7"/>
  <c r="I9" i="7" s="1"/>
  <c r="J9" i="7" s="1"/>
  <c r="L8" i="7" l="1"/>
  <c r="M8" i="7" s="1"/>
  <c r="M25" i="7" s="1"/>
  <c r="K8" i="7"/>
  <c r="K25" i="7" s="1"/>
  <c r="H8" i="7"/>
  <c r="I8" i="7" s="1"/>
  <c r="J8" i="7" s="1"/>
  <c r="I28" i="7" l="1"/>
  <c r="J28" i="7" s="1"/>
  <c r="C6" i="7" l="1"/>
  <c r="D6" i="7" s="1"/>
  <c r="E6" i="7" s="1"/>
  <c r="F6" i="7" l="1"/>
  <c r="G6" i="7" s="1"/>
  <c r="H6" i="7" l="1"/>
  <c r="I6" i="7" s="1"/>
  <c r="J6" i="7" s="1"/>
  <c r="K6" i="7" s="1"/>
  <c r="L6" i="7" s="1"/>
  <c r="M6" i="7" s="1"/>
</calcChain>
</file>

<file path=xl/sharedStrings.xml><?xml version="1.0" encoding="utf-8"?>
<sst xmlns="http://schemas.openxmlformats.org/spreadsheetml/2006/main" count="60" uniqueCount="39">
  <si>
    <t>№ п/п</t>
  </si>
  <si>
    <t>ЕИ</t>
  </si>
  <si>
    <t>Обоснование начальной (максимальной) цены контракта</t>
  </si>
  <si>
    <t xml:space="preserve">Наименование объекта закупки: </t>
  </si>
  <si>
    <t xml:space="preserve">Используемый метод:  </t>
  </si>
  <si>
    <t>метод сопоставимых рыночных цен (анализ рынка) в соответствии с  ч. 2 ст. 22 Федерального закона от 05.04.2013 № 44-ФЗ, приказом МЭР РФ от 2 октября 2013 г. № 567.</t>
  </si>
  <si>
    <t>Кол-во ЕИ</t>
  </si>
  <si>
    <t xml:space="preserve">Цена за ЕИ, согласно информации, полученной заказчиком, с учетом НДС,  руб.
</t>
  </si>
  <si>
    <t>Средняя арифметическая цена за единицу &lt;ц&gt;, руб.</t>
  </si>
  <si>
    <t xml:space="preserve">Среднее квадратичное отклонение </t>
  </si>
  <si>
    <t xml:space="preserve">Коэффициент вариации цен V, %    </t>
  </si>
  <si>
    <t xml:space="preserve">Расчет Н(М)ЦК                                                                                                                         </t>
  </si>
  <si>
    <t>Цена за ЕИ минимальная, руб.</t>
  </si>
  <si>
    <t>Н(М)ЦК, руб.</t>
  </si>
  <si>
    <t>v - количество (объем) закупаемого товара (работы, услуги);
n - количество значений, используемых в расчете;
i - номер источника ценовой информации;
  ц1   - цена единицы</t>
  </si>
  <si>
    <t>Итого:</t>
  </si>
  <si>
    <t>Заказчик принял решение в целях повышения эффективности бюджетных расходов, на основании ст. 34 Бюджетного кодекса РФ установить начальную (максимальную) цену контракта в размере:</t>
  </si>
  <si>
    <t xml:space="preserve">Наименование </t>
  </si>
  <si>
    <t xml:space="preserve">Дата подготовки обоснования Н(М)ЦК: </t>
  </si>
  <si>
    <t>Специалист по закупкам ОРГЗ  __________________ М.М. Панькова</t>
  </si>
  <si>
    <t>шт</t>
  </si>
  <si>
    <t>Фитинги для труб из чугуна</t>
  </si>
  <si>
    <t>Трубы и профили пустотельные из чугуна</t>
  </si>
  <si>
    <t>Полуфабрикаты из меди или медных сплавов</t>
  </si>
  <si>
    <t>Фитинги для труб и трубок литые стальные</t>
  </si>
  <si>
    <t xml:space="preserve"> Трубы, профили пустотелые бесшовные и их фитинги стальные</t>
  </si>
  <si>
    <t>Прокат листовой холоднокатаный</t>
  </si>
  <si>
    <t>лист</t>
  </si>
  <si>
    <t>Кран</t>
  </si>
  <si>
    <t>вх-06/180226-1 от 18.02.2026г              вх-06/200326-1 от 20.03.2026г.</t>
  </si>
  <si>
    <t>вх-06/180226-2 от 18.02.2026г.              вх-06/200326-2 от 20.03.2026г.</t>
  </si>
  <si>
    <t>вх-06/18.02.26-3 от 18.02.2026г                 вх-06/200326-3 от 20.03.2026г.</t>
  </si>
  <si>
    <t>Поставка строительных материалов для нужд Государственного бюджетного учреждения здравоохранения «Самарский областной клинический онкологический диспансер»</t>
  </si>
  <si>
    <t xml:space="preserve">Колено вертикального выпуска для чаши унитаза
</t>
  </si>
  <si>
    <t xml:space="preserve">Стойка для душа
</t>
  </si>
  <si>
    <t>Муфта проходная</t>
  </si>
  <si>
    <t>Крышка-сиденье</t>
  </si>
  <si>
    <t>Части кранов, клапанов и аналогичной арматуры</t>
  </si>
  <si>
    <t>пог.м.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</si>
</sst>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_р_."/>
    <numFmt numFmtId="165" formatCode="#,##0.00&quot;р.&quot;"/>
    <numFmt numFmtId="166" formatCode="[$-F800]dddd\,\ mmmm\ dd\,\ yyyy"/>
  </numFmts>
  <fonts count="1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4" fontId="3" fillId="0" borderId="5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2" fontId="3" fillId="0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center" vertical="top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top" wrapText="1"/>
    </xf>
    <xf numFmtId="4" fontId="7" fillId="0" borderId="1" xfId="0" applyNumberFormat="1" applyFont="1" applyBorder="1" applyAlignment="1">
      <alignment horizontal="right"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/>
    <xf numFmtId="4" fontId="8" fillId="0" borderId="0" xfId="0" applyNumberFormat="1" applyFont="1" applyAlignment="1">
      <alignment horizontal="right"/>
    </xf>
    <xf numFmtId="165" fontId="8" fillId="0" borderId="0" xfId="0" applyNumberFormat="1" applyFont="1" applyAlignment="1"/>
    <xf numFmtId="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left" wrapText="1"/>
    </xf>
    <xf numFmtId="164" fontId="4" fillId="0" borderId="0" xfId="0" applyNumberFormat="1" applyFont="1" applyFill="1" applyAlignment="1">
      <alignment horizontal="left" wrapText="1"/>
    </xf>
    <xf numFmtId="0" fontId="0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right" vertical="center" wrapText="1"/>
    </xf>
    <xf numFmtId="4" fontId="6" fillId="0" borderId="0" xfId="0" applyNumberFormat="1" applyFont="1" applyAlignment="1">
      <alignment horizontal="right"/>
    </xf>
    <xf numFmtId="165" fontId="12" fillId="0" borderId="0" xfId="0" applyNumberFormat="1" applyFont="1" applyAlignment="1"/>
    <xf numFmtId="4" fontId="13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0" fontId="3" fillId="0" borderId="0" xfId="0" applyFont="1" applyFill="1" applyAlignment="1"/>
    <xf numFmtId="164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3" fillId="0" borderId="0" xfId="0" applyNumberFormat="1" applyFont="1" applyFill="1" applyAlignment="1">
      <alignment horizontal="center" wrapText="1"/>
    </xf>
    <xf numFmtId="0" fontId="0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3" fillId="0" borderId="2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164" fontId="6" fillId="0" borderId="3" xfId="0" applyNumberFormat="1" applyFont="1" applyFill="1" applyBorder="1" applyAlignment="1">
      <alignment horizontal="center" vertical="top" wrapText="1"/>
    </xf>
    <xf numFmtId="164" fontId="6" fillId="0" borderId="4" xfId="0" applyNumberFormat="1" applyFont="1" applyFill="1" applyBorder="1" applyAlignment="1">
      <alignment horizontal="center" vertical="top" wrapText="1"/>
    </xf>
    <xf numFmtId="164" fontId="4" fillId="0" borderId="0" xfId="0" applyNumberFormat="1" applyFont="1" applyFill="1" applyAlignment="1">
      <alignment horizontal="center" vertical="center" wrapText="1"/>
    </xf>
    <xf numFmtId="166" fontId="3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wrapText="1"/>
    </xf>
    <xf numFmtId="0" fontId="3" fillId="0" borderId="2" xfId="0" applyNumberFormat="1" applyFont="1" applyFill="1" applyBorder="1" applyAlignment="1">
      <alignment horizontal="center" vertical="top" wrapText="1"/>
    </xf>
    <xf numFmtId="0" fontId="3" fillId="0" borderId="6" xfId="0" applyNumberFormat="1" applyFont="1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center" vertical="top" wrapText="1"/>
    </xf>
    <xf numFmtId="164" fontId="3" fillId="0" borderId="6" xfId="0" applyNumberFormat="1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3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3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3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3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4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4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4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5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5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5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5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5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6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6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6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6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6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7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7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7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7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8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8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8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8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8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9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9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9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9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9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0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0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0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0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0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1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1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1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1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2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2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2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2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3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3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3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3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4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4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4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5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5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5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5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5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6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6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6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6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6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7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7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7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7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8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8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8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8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8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9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9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9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9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19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0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0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0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0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0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1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1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1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1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2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2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2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2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3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3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3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3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4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4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4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5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5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5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5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5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6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6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6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6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6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7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85725</xdr:colOff>
      <xdr:row>5</xdr:row>
      <xdr:rowOff>0</xdr:rowOff>
    </xdr:from>
    <xdr:to>
      <xdr:col>9</xdr:col>
      <xdr:colOff>1019175</xdr:colOff>
      <xdr:row>5</xdr:row>
      <xdr:rowOff>0</xdr:rowOff>
    </xdr:to>
    <xdr:pic>
      <xdr:nvPicPr>
        <xdr:cNvPr id="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76975" y="2371725"/>
          <a:ext cx="304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7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7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7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1038225</xdr:colOff>
      <xdr:row>5</xdr:row>
      <xdr:rowOff>0</xdr:rowOff>
    </xdr:from>
    <xdr:to>
      <xdr:col>10</xdr:col>
      <xdr:colOff>1485900</xdr:colOff>
      <xdr:row>5</xdr:row>
      <xdr:rowOff>0</xdr:rowOff>
    </xdr:to>
    <xdr:pic>
      <xdr:nvPicPr>
        <xdr:cNvPr id="27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81775" y="2371725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4</xdr:row>
      <xdr:rowOff>92528</xdr:rowOff>
    </xdr:from>
    <xdr:to>
      <xdr:col>8</xdr:col>
      <xdr:colOff>826825</xdr:colOff>
      <xdr:row>4</xdr:row>
      <xdr:rowOff>423333</xdr:rowOff>
    </xdr:to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715250" y="1683203"/>
          <a:ext cx="788725" cy="330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105834</xdr:colOff>
      <xdr:row>4</xdr:row>
      <xdr:rowOff>81644</xdr:rowOff>
    </xdr:from>
    <xdr:to>
      <xdr:col>9</xdr:col>
      <xdr:colOff>892025</xdr:colOff>
      <xdr:row>4</xdr:row>
      <xdr:rowOff>480980</xdr:rowOff>
    </xdr:to>
    <xdr:pic>
      <xdr:nvPicPr>
        <xdr:cNvPr id="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59584" y="2024744"/>
          <a:ext cx="786191" cy="399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95853</xdr:colOff>
      <xdr:row>3</xdr:row>
      <xdr:rowOff>250977</xdr:rowOff>
    </xdr:from>
    <xdr:to>
      <xdr:col>10</xdr:col>
      <xdr:colOff>1248758</xdr:colOff>
      <xdr:row>3</xdr:row>
      <xdr:rowOff>509512</xdr:rowOff>
    </xdr:to>
    <xdr:pic>
      <xdr:nvPicPr>
        <xdr:cNvPr id="29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011628" y="1613052"/>
          <a:ext cx="1152905" cy="2585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\&#1087;&#1088;&#1077;&#1076;&#1089;&#1090;\&#1056;&#1072;&#1079;&#1084;&#1077;&#1097;&#1077;&#1085;&#1086;\&#1058;&#1072;&#1073;&#1083;&#1080;&#1094;&#1072;%20&#1074;&#1101;&#1073;&#1072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  <sheetName val="Код_ОКПД"/>
      <sheetName val="Ед.изм."/>
      <sheetName val="ОКВЭД"/>
    </sheetNames>
    <sheetDataSet>
      <sheetData sheetId="0" refreshError="1"/>
      <sheetData sheetId="1">
        <row r="2">
          <cell r="A2" t="str">
            <v>01.11.11</v>
          </cell>
        </row>
      </sheetData>
      <sheetData sheetId="2">
        <row r="2">
          <cell r="A2" t="str">
            <v>нет</v>
          </cell>
        </row>
        <row r="3">
          <cell r="A3" t="str">
            <v>КГ</v>
          </cell>
        </row>
        <row r="4">
          <cell r="A4" t="str">
            <v>М3</v>
          </cell>
        </row>
        <row r="5">
          <cell r="A5" t="str">
            <v>МИН</v>
          </cell>
        </row>
        <row r="6">
          <cell r="A6" t="str">
            <v>УПАК</v>
          </cell>
        </row>
        <row r="7">
          <cell r="A7" t="str">
            <v>ФЛАК</v>
          </cell>
        </row>
        <row r="8">
          <cell r="A8" t="str">
            <v>ММ</v>
          </cell>
        </row>
        <row r="9">
          <cell r="A9" t="str">
            <v>СМ</v>
          </cell>
        </row>
        <row r="10">
          <cell r="A10" t="str">
            <v>ДМ</v>
          </cell>
        </row>
        <row r="11">
          <cell r="A11" t="str">
            <v>М</v>
          </cell>
        </row>
        <row r="12">
          <cell r="A12" t="str">
            <v>ДЮЙМ</v>
          </cell>
        </row>
        <row r="13">
          <cell r="A13" t="str">
            <v>ФУТ</v>
          </cell>
        </row>
        <row r="14">
          <cell r="A14" t="str">
            <v>ЯРД</v>
          </cell>
        </row>
        <row r="15">
          <cell r="A15" t="str">
            <v>МИЛЬ</v>
          </cell>
        </row>
        <row r="16">
          <cell r="A16" t="str">
            <v>ММ2</v>
          </cell>
        </row>
        <row r="17">
          <cell r="A17" t="str">
            <v>СМ2</v>
          </cell>
        </row>
        <row r="18">
          <cell r="A18" t="str">
            <v>ДМ2</v>
          </cell>
        </row>
        <row r="19">
          <cell r="A19" t="str">
            <v>М2</v>
          </cell>
        </row>
        <row r="20">
          <cell r="A20" t="str">
            <v>ТЫС М2</v>
          </cell>
        </row>
        <row r="21">
          <cell r="A21" t="str">
            <v>ГА</v>
          </cell>
        </row>
        <row r="22">
          <cell r="A22" t="str">
            <v>КМ2</v>
          </cell>
        </row>
        <row r="23">
          <cell r="A23" t="str">
            <v>ДЮЙМ2</v>
          </cell>
        </row>
        <row r="24">
          <cell r="A24" t="str">
            <v>ФУТ2</v>
          </cell>
        </row>
        <row r="25">
          <cell r="A25" t="str">
            <v>ЯРД2</v>
          </cell>
        </row>
        <row r="26">
          <cell r="A26" t="str">
            <v>АР</v>
          </cell>
        </row>
        <row r="27">
          <cell r="A27" t="str">
            <v>ММ3</v>
          </cell>
        </row>
        <row r="28">
          <cell r="A28" t="str">
            <v>Л; ДМ3</v>
          </cell>
        </row>
        <row r="29">
          <cell r="A29" t="str">
            <v>ДЛ</v>
          </cell>
        </row>
        <row r="30">
          <cell r="A30" t="str">
            <v>ГЛ</v>
          </cell>
        </row>
        <row r="31">
          <cell r="A31" t="str">
            <v>МЕГАЛ</v>
          </cell>
        </row>
        <row r="32">
          <cell r="A32" t="str">
            <v>ДЮЙМ3</v>
          </cell>
        </row>
        <row r="33">
          <cell r="A33" t="str">
            <v>ФУТ3</v>
          </cell>
        </row>
        <row r="34">
          <cell r="A34" t="str">
            <v>ЯРД3</v>
          </cell>
        </row>
        <row r="35">
          <cell r="A35" t="str">
            <v>МЛН М3</v>
          </cell>
        </row>
        <row r="36">
          <cell r="A36" t="str">
            <v>ГГ</v>
          </cell>
        </row>
        <row r="37">
          <cell r="A37" t="str">
            <v>МГ</v>
          </cell>
        </row>
        <row r="38">
          <cell r="A38" t="str">
            <v>КАР</v>
          </cell>
        </row>
        <row r="39">
          <cell r="A39" t="str">
            <v>Г</v>
          </cell>
        </row>
        <row r="40">
          <cell r="A40" t="str">
            <v>КТ</v>
          </cell>
        </row>
        <row r="41">
          <cell r="A41" t="str">
            <v>СГ</v>
          </cell>
        </row>
        <row r="42">
          <cell r="A42" t="str">
            <v>БРУТТ. РЕГИСТР Т</v>
          </cell>
        </row>
        <row r="43">
          <cell r="A43" t="str">
            <v>Т ГРУЗОПОД</v>
          </cell>
        </row>
        <row r="44">
          <cell r="A44" t="str">
            <v>ВТ</v>
          </cell>
        </row>
        <row r="45">
          <cell r="A45" t="str">
            <v>КВТ</v>
          </cell>
        </row>
        <row r="46">
          <cell r="A46" t="str">
            <v>В</v>
          </cell>
        </row>
        <row r="47">
          <cell r="A47" t="str">
            <v>КВ</v>
          </cell>
        </row>
        <row r="48">
          <cell r="A48" t="str">
            <v>КВ·А</v>
          </cell>
        </row>
        <row r="49">
          <cell r="A49" t="str">
            <v>МЕГАВ·А</v>
          </cell>
        </row>
        <row r="50">
          <cell r="A50" t="str">
            <v>КВАР</v>
          </cell>
        </row>
        <row r="51">
          <cell r="A51" t="str">
            <v>ВТ·Ч</v>
          </cell>
        </row>
        <row r="52">
          <cell r="A52" t="str">
            <v>КВТ·Ч</v>
          </cell>
        </row>
        <row r="53">
          <cell r="A53" t="str">
            <v>ТЫС КВТ·Ч; МЕГАВТ·Ч</v>
          </cell>
        </row>
        <row r="54">
          <cell r="A54" t="str">
            <v>ГИГАВТ·Ч</v>
          </cell>
        </row>
        <row r="55">
          <cell r="A55" t="str">
            <v>А</v>
          </cell>
        </row>
        <row r="56">
          <cell r="A56" t="str">
            <v>А·Ч</v>
          </cell>
        </row>
        <row r="57">
          <cell r="A57" t="str">
            <v>ТЫС А·Ч</v>
          </cell>
        </row>
        <row r="58">
          <cell r="A58" t="str">
            <v>КЛ</v>
          </cell>
        </row>
        <row r="59">
          <cell r="A59" t="str">
            <v>ДЖ</v>
          </cell>
        </row>
        <row r="60">
          <cell r="A60" t="str">
            <v>КДЖ</v>
          </cell>
        </row>
        <row r="61">
          <cell r="A61" t="str">
            <v>ОМ</v>
          </cell>
        </row>
        <row r="62">
          <cell r="A62" t="str">
            <v>ГРАД ЦЕЛЬС</v>
          </cell>
        </row>
        <row r="63">
          <cell r="A63" t="str">
            <v>ГРАД ФАРЕНГ</v>
          </cell>
        </row>
        <row r="64">
          <cell r="A64" t="str">
            <v>КД</v>
          </cell>
        </row>
        <row r="65">
          <cell r="A65" t="str">
            <v>ЛК</v>
          </cell>
        </row>
        <row r="66">
          <cell r="A66" t="str">
            <v>ЛМ</v>
          </cell>
        </row>
        <row r="67">
          <cell r="A67" t="str">
            <v>К</v>
          </cell>
        </row>
        <row r="68">
          <cell r="A68" t="str">
            <v>Н</v>
          </cell>
        </row>
        <row r="69">
          <cell r="A69" t="str">
            <v>ГЦ</v>
          </cell>
        </row>
        <row r="70">
          <cell r="A70" t="str">
            <v>КГЦ</v>
          </cell>
        </row>
        <row r="71">
          <cell r="A71" t="str">
            <v>МЕГАГЦ</v>
          </cell>
        </row>
        <row r="72">
          <cell r="A72" t="str">
            <v>ПА</v>
          </cell>
        </row>
        <row r="73">
          <cell r="A73" t="str">
            <v>СИ</v>
          </cell>
        </row>
        <row r="74">
          <cell r="A74" t="str">
            <v>КПА</v>
          </cell>
        </row>
        <row r="75">
          <cell r="A75" t="str">
            <v>МЕГАПА</v>
          </cell>
        </row>
        <row r="76">
          <cell r="A76" t="str">
            <v>АТМ</v>
          </cell>
        </row>
        <row r="77">
          <cell r="A77" t="str">
            <v>АТТ</v>
          </cell>
        </row>
        <row r="78">
          <cell r="A78" t="str">
            <v>ГИГАБК</v>
          </cell>
        </row>
        <row r="79">
          <cell r="A79" t="str">
            <v>МКИ</v>
          </cell>
        </row>
        <row r="80">
          <cell r="A80" t="str">
            <v>КИ</v>
          </cell>
        </row>
        <row r="81">
          <cell r="A81" t="str">
            <v>Г ДЕЛЯЩ ИЗОТОП</v>
          </cell>
        </row>
        <row r="82">
          <cell r="A82" t="str">
            <v>МБАР</v>
          </cell>
        </row>
        <row r="83">
          <cell r="A83" t="str">
            <v>БАР</v>
          </cell>
        </row>
        <row r="84">
          <cell r="A84" t="str">
            <v>ГБАР</v>
          </cell>
        </row>
        <row r="85">
          <cell r="A85" t="str">
            <v>КБАР</v>
          </cell>
        </row>
        <row r="86">
          <cell r="A86" t="str">
            <v>Ф</v>
          </cell>
        </row>
        <row r="87">
          <cell r="A87" t="str">
            <v>КГ/М3</v>
          </cell>
        </row>
        <row r="88">
          <cell r="A88" t="str">
            <v>БК</v>
          </cell>
        </row>
        <row r="89">
          <cell r="A89" t="str">
            <v>ВБ</v>
          </cell>
        </row>
        <row r="90">
          <cell r="A90" t="str">
            <v>УЗ</v>
          </cell>
        </row>
        <row r="91">
          <cell r="A91" t="str">
            <v>М/С</v>
          </cell>
        </row>
        <row r="92">
          <cell r="A92" t="str">
            <v>ОБ/С</v>
          </cell>
        </row>
        <row r="93">
          <cell r="A93" t="str">
            <v>ОБ/МИН</v>
          </cell>
        </row>
        <row r="94">
          <cell r="A94" t="str">
            <v>КМ/Ч</v>
          </cell>
        </row>
        <row r="95">
          <cell r="A95" t="str">
            <v>М/С2</v>
          </cell>
        </row>
        <row r="96">
          <cell r="A96" t="str">
            <v>КЛ/КГ</v>
          </cell>
        </row>
        <row r="97">
          <cell r="A97" t="str">
            <v>С</v>
          </cell>
        </row>
        <row r="98">
          <cell r="A98" t="str">
            <v>Ч</v>
          </cell>
        </row>
        <row r="99">
          <cell r="A99" t="str">
            <v>СУТ; ДН</v>
          </cell>
        </row>
        <row r="100">
          <cell r="A100" t="str">
            <v>НЕД</v>
          </cell>
        </row>
        <row r="101">
          <cell r="A101" t="str">
            <v>ДЕК</v>
          </cell>
        </row>
        <row r="102">
          <cell r="A102" t="str">
            <v>МЕС</v>
          </cell>
        </row>
        <row r="103">
          <cell r="A103" t="str">
            <v>КВАРТ</v>
          </cell>
        </row>
        <row r="104">
          <cell r="A104" t="str">
            <v>ПОЛГОД</v>
          </cell>
        </row>
        <row r="105">
          <cell r="A105" t="str">
            <v>ДЕСЛЕТ</v>
          </cell>
        </row>
        <row r="106">
          <cell r="A106" t="str">
            <v>КГ/С</v>
          </cell>
        </row>
        <row r="107">
          <cell r="A107" t="str">
            <v>Т ПАР/Ч</v>
          </cell>
        </row>
        <row r="108">
          <cell r="A108" t="str">
            <v>М3/С</v>
          </cell>
        </row>
        <row r="109">
          <cell r="A109" t="str">
            <v>М3/Ч</v>
          </cell>
        </row>
        <row r="110">
          <cell r="A110" t="str">
            <v>ТЫС М3/СУТ</v>
          </cell>
        </row>
        <row r="111">
          <cell r="A111" t="str">
            <v>БОБ</v>
          </cell>
        </row>
        <row r="112">
          <cell r="A112" t="str">
            <v>ЛИСТ</v>
          </cell>
        </row>
        <row r="113">
          <cell r="A113" t="str">
            <v>100 ЛИСТ</v>
          </cell>
        </row>
        <row r="114">
          <cell r="A114" t="str">
            <v>ТЫС СТАНД УСЛ КИРП</v>
          </cell>
        </row>
        <row r="115">
          <cell r="A115" t="str">
            <v>ДЮЖИНА</v>
          </cell>
        </row>
        <row r="116">
          <cell r="A116" t="str">
            <v>ИЗД</v>
          </cell>
        </row>
        <row r="117">
          <cell r="A117" t="str">
            <v>100 ЯЩ</v>
          </cell>
        </row>
        <row r="118">
          <cell r="A118" t="str">
            <v>НАБОР</v>
          </cell>
        </row>
        <row r="119">
          <cell r="A119" t="str">
            <v>ПАР</v>
          </cell>
        </row>
        <row r="120">
          <cell r="A120" t="str">
            <v>2 ДЕС</v>
          </cell>
        </row>
        <row r="121">
          <cell r="A121" t="str">
            <v>ДЕС ПАР</v>
          </cell>
        </row>
        <row r="122">
          <cell r="A122" t="str">
            <v>ДЮЖИНА ПАР</v>
          </cell>
        </row>
        <row r="123">
          <cell r="A123" t="str">
            <v>ПОСЫЛ</v>
          </cell>
        </row>
        <row r="124">
          <cell r="A124" t="str">
            <v>ЧАСТЬ</v>
          </cell>
        </row>
        <row r="125">
          <cell r="A125" t="str">
            <v>РУЛ</v>
          </cell>
        </row>
        <row r="126">
          <cell r="A126" t="str">
            <v>ДЮЖИНА РУЛ</v>
          </cell>
        </row>
        <row r="127">
          <cell r="A127" t="str">
            <v>ДЮЖИНА ШТ</v>
          </cell>
        </row>
        <row r="128">
          <cell r="A128" t="str">
            <v>ЭЛЕМ</v>
          </cell>
        </row>
        <row r="129">
          <cell r="A129" t="str">
            <v>ДЮЖИНА УПАК</v>
          </cell>
        </row>
        <row r="130">
          <cell r="A130" t="str">
            <v>100 УПАК</v>
          </cell>
        </row>
        <row r="131">
          <cell r="A131" t="str">
            <v>ШТ</v>
          </cell>
        </row>
        <row r="132">
          <cell r="A132" t="str">
            <v>100 ШТ</v>
          </cell>
        </row>
        <row r="133">
          <cell r="A133" t="str">
            <v>ТЫС ШТ</v>
          </cell>
        </row>
        <row r="134">
          <cell r="A134" t="str">
            <v>МЛН ШТ</v>
          </cell>
        </row>
        <row r="135">
          <cell r="A135" t="str">
            <v>МЛРД ШТ</v>
          </cell>
        </row>
        <row r="136">
          <cell r="A136" t="str">
            <v>КВИНТ ШТ</v>
          </cell>
        </row>
        <row r="137">
          <cell r="A137" t="str">
            <v>КРЕП СПИРТ ПО МАССЕ</v>
          </cell>
        </row>
        <row r="138">
          <cell r="A138" t="str">
            <v>КРЕП СПИРТ ПО ОБЪЕМ</v>
          </cell>
        </row>
        <row r="139">
          <cell r="A139" t="str">
            <v>Л ЧИСТ СПИРТ</v>
          </cell>
        </row>
        <row r="140">
          <cell r="A140" t="str">
            <v>ГЛ ЧИСТ СПИРТ</v>
          </cell>
        </row>
        <row r="141">
          <cell r="A141" t="str">
            <v>КГ ПЕРОКСИД ВОДОРОДА</v>
          </cell>
        </row>
        <row r="142">
          <cell r="A142" t="str">
            <v>КГ 90 ПРОЦ СУХ ВЕЩ</v>
          </cell>
        </row>
        <row r="143">
          <cell r="A143" t="str">
            <v>Т 90 ПРОЦ СУХ ВЕЩ</v>
          </cell>
        </row>
        <row r="144">
          <cell r="A144" t="str">
            <v>КГ ОКСИД КАЛИЯ</v>
          </cell>
        </row>
        <row r="145">
          <cell r="A145" t="str">
            <v>КГ ГИДРОКСИД КАЛИЯ</v>
          </cell>
        </row>
        <row r="146">
          <cell r="A146" t="str">
            <v>КГ АЗОТ</v>
          </cell>
        </row>
        <row r="147">
          <cell r="A147" t="str">
            <v>КГ ГИДРОКСИД НАТРИЯ</v>
          </cell>
        </row>
        <row r="148">
          <cell r="A148" t="str">
            <v>КГ ПЯТИОКИСЬ ФОСФОРА</v>
          </cell>
        </row>
        <row r="149">
          <cell r="A149" t="str">
            <v>КГ УРАН</v>
          </cell>
        </row>
        <row r="150">
          <cell r="A150" t="str">
            <v>ПОГ М</v>
          </cell>
        </row>
        <row r="151">
          <cell r="A151" t="str">
            <v>ТЫС ПОГ М</v>
          </cell>
        </row>
        <row r="152">
          <cell r="A152" t="str">
            <v>УСЛ М</v>
          </cell>
        </row>
        <row r="153">
          <cell r="A153" t="str">
            <v>ТЫС УСЛ М</v>
          </cell>
        </row>
        <row r="154">
          <cell r="A154" t="str">
            <v>КМ УСЛ ТРУБ</v>
          </cell>
        </row>
        <row r="155">
          <cell r="A155" t="str">
            <v>ТЫС ДМ2</v>
          </cell>
        </row>
        <row r="156">
          <cell r="A156" t="str">
            <v>МЛН ДМ2</v>
          </cell>
        </row>
        <row r="157">
          <cell r="A157" t="str">
            <v>МЛН М2</v>
          </cell>
        </row>
        <row r="158">
          <cell r="A158" t="str">
            <v>ТЫС ГА</v>
          </cell>
        </row>
        <row r="159">
          <cell r="A159" t="str">
            <v>УСЛ М2</v>
          </cell>
        </row>
        <row r="160">
          <cell r="A160" t="str">
            <v>ТЫС УСЛ М2</v>
          </cell>
        </row>
        <row r="161">
          <cell r="A161" t="str">
            <v>МЛН УСЛ М2</v>
          </cell>
        </row>
        <row r="162">
          <cell r="A162" t="str">
            <v>М2 ОБЩ ПЛ</v>
          </cell>
        </row>
        <row r="163">
          <cell r="A163" t="str">
            <v>ТЫС М2 ОБЩ ПЛ</v>
          </cell>
        </row>
        <row r="164">
          <cell r="A164" t="str">
            <v>МЛН М2 ОБЩ ПЛ</v>
          </cell>
        </row>
        <row r="165">
          <cell r="A165" t="str">
            <v>М2 ЖИЛ ПЛ</v>
          </cell>
        </row>
        <row r="166">
          <cell r="A166" t="str">
            <v>ТЫС М2 ЖИЛ ПЛ</v>
          </cell>
        </row>
        <row r="167">
          <cell r="A167" t="str">
            <v>МЛН М2 ЖИЛ ПЛ</v>
          </cell>
        </row>
        <row r="168">
          <cell r="A168" t="str">
            <v>М2 УЧ.ЛАБ ЗДАН</v>
          </cell>
        </row>
        <row r="169">
          <cell r="A169" t="str">
            <v>ТЫС М2 УЧ. ЛАБ ЗДАН</v>
          </cell>
        </row>
        <row r="170">
          <cell r="A170" t="str">
            <v>МЛН М2 2ММ ИСЧ</v>
          </cell>
        </row>
        <row r="171">
          <cell r="A171" t="str">
            <v>ТЫС М3</v>
          </cell>
        </row>
        <row r="172">
          <cell r="A172" t="str">
            <v>МЛРД М3</v>
          </cell>
        </row>
        <row r="173">
          <cell r="A173" t="str">
            <v>ДКЛ</v>
          </cell>
        </row>
        <row r="174">
          <cell r="A174" t="str">
            <v>ТЫС ДКЛ</v>
          </cell>
        </row>
        <row r="175">
          <cell r="A175" t="str">
            <v>МЛН ДКЛ</v>
          </cell>
        </row>
        <row r="176">
          <cell r="A176" t="str">
            <v>ПЛОТН М3</v>
          </cell>
        </row>
        <row r="177">
          <cell r="A177" t="str">
            <v>УСЛ М3</v>
          </cell>
        </row>
        <row r="178">
          <cell r="A178" t="str">
            <v>ТЫС УСЛ М3</v>
          </cell>
        </row>
        <row r="179">
          <cell r="A179" t="str">
            <v>МЛН М3 ПЕРЕРАБ ГАЗА</v>
          </cell>
        </row>
        <row r="180">
          <cell r="A180" t="str">
            <v>ТЫС ПЛОТН М3</v>
          </cell>
        </row>
        <row r="181">
          <cell r="A181" t="str">
            <v>ТЫС ПОЛ Л</v>
          </cell>
        </row>
        <row r="182">
          <cell r="A182" t="str">
            <v>МЛН ПОЛ Л</v>
          </cell>
        </row>
        <row r="183">
          <cell r="A183" t="str">
            <v>ТЫС Л</v>
          </cell>
        </row>
        <row r="184">
          <cell r="A184" t="str">
            <v>ТЫС КАР</v>
          </cell>
        </row>
        <row r="185">
          <cell r="A185" t="str">
            <v>МЛН КАР</v>
          </cell>
        </row>
        <row r="186">
          <cell r="A186" t="str">
            <v>ТЫС Т</v>
          </cell>
        </row>
        <row r="187">
          <cell r="A187" t="str">
            <v>МЛН Т</v>
          </cell>
        </row>
        <row r="188">
          <cell r="A188" t="str">
            <v>Т УСЛ ТОПЛ</v>
          </cell>
        </row>
        <row r="189">
          <cell r="A189" t="str">
            <v>ТЫС Т УСЛ ТОПЛ</v>
          </cell>
        </row>
        <row r="190">
          <cell r="A190" t="str">
            <v>МЛН Т УСЛ ТОПЛ</v>
          </cell>
        </row>
        <row r="191">
          <cell r="A191" t="str">
            <v>ТЫС Т ЕДИНОВР ХРАН</v>
          </cell>
        </row>
        <row r="192">
          <cell r="A192" t="str">
            <v>ТЫС Т ПЕРЕРАБ</v>
          </cell>
        </row>
        <row r="193">
          <cell r="A193" t="str">
            <v>УСЛ Т</v>
          </cell>
        </row>
        <row r="194">
          <cell r="A194" t="str">
            <v>ТЫС Ц</v>
          </cell>
        </row>
        <row r="195">
          <cell r="A195" t="str">
            <v>В·А</v>
          </cell>
        </row>
        <row r="196">
          <cell r="A196" t="str">
            <v>М/Ч</v>
          </cell>
        </row>
        <row r="197">
          <cell r="A197" t="str">
            <v>ККАЛ</v>
          </cell>
        </row>
        <row r="198">
          <cell r="A198" t="str">
            <v>ГИГАКАЛ</v>
          </cell>
        </row>
        <row r="199">
          <cell r="A199" t="str">
            <v>ТЫС ГИГАКАЛ</v>
          </cell>
        </row>
        <row r="200">
          <cell r="A200" t="str">
            <v>МЛН ГИГАКАЛ</v>
          </cell>
        </row>
        <row r="201">
          <cell r="A201" t="str">
            <v>КАЛ/Ч</v>
          </cell>
        </row>
        <row r="202">
          <cell r="A202" t="str">
            <v>ККАЛ/Ч</v>
          </cell>
        </row>
        <row r="203">
          <cell r="A203" t="str">
            <v>ГИГАКАЛ/Ч</v>
          </cell>
        </row>
        <row r="204">
          <cell r="A204" t="str">
            <v>ТЫС ГИГАКАЛ/Ч</v>
          </cell>
        </row>
        <row r="205">
          <cell r="A205" t="str">
            <v>МЛН А·Ч</v>
          </cell>
        </row>
        <row r="206">
          <cell r="A206" t="str">
            <v>МЛН КВ·А</v>
          </cell>
        </row>
        <row r="207">
          <cell r="A207" t="str">
            <v>КВ·А Р</v>
          </cell>
        </row>
        <row r="208">
          <cell r="A208" t="str">
            <v>МЛРД КВТ·Ч</v>
          </cell>
        </row>
        <row r="209">
          <cell r="A209" t="str">
            <v>ТЫС КВ·А Р</v>
          </cell>
        </row>
        <row r="210">
          <cell r="A210" t="str">
            <v>ЛС</v>
          </cell>
        </row>
        <row r="211">
          <cell r="A211" t="str">
            <v>ТЫС ЛС</v>
          </cell>
        </row>
        <row r="212">
          <cell r="A212" t="str">
            <v>МЛН ЛС</v>
          </cell>
        </row>
        <row r="213">
          <cell r="A213" t="str">
            <v>БИТ</v>
          </cell>
        </row>
        <row r="214">
          <cell r="A214" t="str">
            <v>БАЙТ</v>
          </cell>
        </row>
        <row r="215">
          <cell r="A215" t="str">
            <v>КБАЙТ</v>
          </cell>
        </row>
        <row r="216">
          <cell r="A216" t="str">
            <v>МБАЙТ</v>
          </cell>
        </row>
        <row r="217">
          <cell r="A217" t="str">
            <v>БОД</v>
          </cell>
        </row>
        <row r="218">
          <cell r="A218" t="str">
            <v>ГН</v>
          </cell>
        </row>
        <row r="219">
          <cell r="A219" t="str">
            <v>ТЛ</v>
          </cell>
        </row>
        <row r="220">
          <cell r="A220" t="str">
            <v>КГ/СМ2</v>
          </cell>
        </row>
        <row r="221">
          <cell r="A221" t="str">
            <v>ММ ВОД СТ</v>
          </cell>
        </row>
        <row r="222">
          <cell r="A222" t="str">
            <v>ММ РТ СТ</v>
          </cell>
        </row>
        <row r="223">
          <cell r="A223" t="str">
            <v>СМ ВОД СТ</v>
          </cell>
        </row>
        <row r="224">
          <cell r="A224" t="str">
            <v>МКС</v>
          </cell>
        </row>
        <row r="225">
          <cell r="A225" t="str">
            <v>МЛС</v>
          </cell>
        </row>
        <row r="226">
          <cell r="A226" t="str">
            <v>РУБ</v>
          </cell>
        </row>
        <row r="227">
          <cell r="A227" t="str">
            <v>ТЫС РУБ</v>
          </cell>
        </row>
        <row r="228">
          <cell r="A228" t="str">
            <v>МЛН РУБ</v>
          </cell>
        </row>
        <row r="229">
          <cell r="A229" t="str">
            <v>МЛРД РУБ</v>
          </cell>
        </row>
        <row r="230">
          <cell r="A230" t="str">
            <v>ТРИЛЛ РУБ</v>
          </cell>
        </row>
        <row r="231">
          <cell r="A231" t="str">
            <v>КВАДР РУБ</v>
          </cell>
        </row>
        <row r="232">
          <cell r="A232" t="str">
            <v>ПАСС·КМ</v>
          </cell>
        </row>
        <row r="233">
          <cell r="A233" t="str">
            <v>ПАСС МЕСТ</v>
          </cell>
        </row>
        <row r="234">
          <cell r="A234" t="str">
            <v>ТЫС ПАСС·КМ</v>
          </cell>
        </row>
        <row r="235">
          <cell r="A235" t="str">
            <v>МЛН ПАСС·КМ</v>
          </cell>
        </row>
        <row r="236">
          <cell r="A236" t="str">
            <v>ПАСС.ПОТОК</v>
          </cell>
        </row>
        <row r="237">
          <cell r="A237" t="str">
            <v>Т·КМ</v>
          </cell>
        </row>
        <row r="238">
          <cell r="A238" t="str">
            <v>ТЫС Т·КМ</v>
          </cell>
        </row>
        <row r="239">
          <cell r="A239" t="str">
            <v>МЛН Т·КМ</v>
          </cell>
        </row>
        <row r="240">
          <cell r="A240" t="str">
            <v>ТЫС НАБОР</v>
          </cell>
        </row>
        <row r="241">
          <cell r="A241" t="str">
            <v>Г/КВТ·Ч</v>
          </cell>
        </row>
        <row r="242">
          <cell r="A242" t="str">
            <v>КГ/ГИГАКАЛ</v>
          </cell>
        </row>
        <row r="243">
          <cell r="A243" t="str">
            <v>Т·НОМ</v>
          </cell>
        </row>
        <row r="244">
          <cell r="A244" t="str">
            <v>АВТО Т</v>
          </cell>
        </row>
        <row r="245">
          <cell r="A245" t="str">
            <v>Т ТЯГИ</v>
          </cell>
        </row>
        <row r="246">
          <cell r="A246" t="str">
            <v>ДЕДВЕЙТ.Т</v>
          </cell>
        </row>
        <row r="247">
          <cell r="A247" t="str">
            <v>Т.ТАНИД</v>
          </cell>
        </row>
        <row r="248">
          <cell r="A248" t="str">
            <v>ЧЕЛ/М2</v>
          </cell>
        </row>
        <row r="249">
          <cell r="A249" t="str">
            <v>ЧЕЛ/КМ2</v>
          </cell>
        </row>
        <row r="250">
          <cell r="A250" t="str">
            <v>Т/Ч</v>
          </cell>
        </row>
        <row r="251">
          <cell r="A251" t="str">
            <v>Т/СУТ</v>
          </cell>
        </row>
        <row r="252">
          <cell r="A252" t="str">
            <v>Т/СМЕН</v>
          </cell>
        </row>
        <row r="253">
          <cell r="A253" t="str">
            <v>ТЫС Т/СЕЗ</v>
          </cell>
        </row>
        <row r="254">
          <cell r="A254" t="str">
            <v>ТЫС Т/ГОД</v>
          </cell>
        </row>
        <row r="255">
          <cell r="A255" t="str">
            <v>ЧЕЛ·Ч</v>
          </cell>
        </row>
        <row r="256">
          <cell r="A256" t="str">
            <v>ЧЕЛ·ДН</v>
          </cell>
        </row>
        <row r="257">
          <cell r="A257" t="str">
            <v>ТЫС ЧЕЛ·ДН</v>
          </cell>
        </row>
        <row r="258">
          <cell r="A258" t="str">
            <v>ТЫС ЧЕЛ·Ч</v>
          </cell>
        </row>
        <row r="259">
          <cell r="A259" t="str">
            <v>ТЫС УСЛ БАНК/СМЕН</v>
          </cell>
        </row>
        <row r="260">
          <cell r="A260" t="str">
            <v>МЛН ЕД/ГОД</v>
          </cell>
        </row>
        <row r="261">
          <cell r="A261" t="str">
            <v>ПОСЕЩ/СМЕН</v>
          </cell>
        </row>
        <row r="262">
          <cell r="A262" t="str">
            <v>ТЫС ПОСЕЩ/СМЕН</v>
          </cell>
        </row>
        <row r="263">
          <cell r="A263" t="str">
            <v>ПАР/СМЕН</v>
          </cell>
        </row>
        <row r="264">
          <cell r="A264" t="str">
            <v>ТЫС ПАР/СМЕН</v>
          </cell>
        </row>
        <row r="265">
          <cell r="A265" t="str">
            <v>МЛН Т/ГОД</v>
          </cell>
        </row>
        <row r="266">
          <cell r="A266" t="str">
            <v>Т ПЕРЕРАБ/СУТ</v>
          </cell>
        </row>
        <row r="267">
          <cell r="A267" t="str">
            <v>ТЫС Т ПЕРЕРАБ/СУТ</v>
          </cell>
        </row>
        <row r="268">
          <cell r="A268" t="str">
            <v>Ц ПЕРЕРАБ/СУТ</v>
          </cell>
        </row>
        <row r="269">
          <cell r="A269" t="str">
            <v>ТЫС Ц ПЕРЕРАБ/СУТ</v>
          </cell>
        </row>
        <row r="270">
          <cell r="A270" t="str">
            <v>ТЫС ГОЛ/ГОД</v>
          </cell>
        </row>
        <row r="271">
          <cell r="A271" t="str">
            <v>МЛН ГОЛ/ГОД</v>
          </cell>
        </row>
        <row r="272">
          <cell r="A272" t="str">
            <v>ТЫС ПТИЦЕМЕСТ</v>
          </cell>
        </row>
        <row r="273">
          <cell r="A273" t="str">
            <v>ТЫС КУР. НЕСУШ</v>
          </cell>
        </row>
        <row r="274">
          <cell r="A274" t="str">
            <v>МИН ЗАРАБОТН ПЛАТ</v>
          </cell>
        </row>
        <row r="275">
          <cell r="A275" t="str">
            <v>ТЫС Т ПАР/Ч</v>
          </cell>
        </row>
        <row r="276">
          <cell r="A276" t="str">
            <v>ТЫС ПРЯД ВЕРЕТ</v>
          </cell>
        </row>
        <row r="277">
          <cell r="A277" t="str">
            <v>ТЫС ПРЯД МЕСТ</v>
          </cell>
        </row>
        <row r="278">
          <cell r="A278" t="str">
            <v>ДОЗ</v>
          </cell>
        </row>
        <row r="279">
          <cell r="A279" t="str">
            <v>ТЫС ДОЗ</v>
          </cell>
        </row>
        <row r="280">
          <cell r="A280" t="str">
            <v>ЕД</v>
          </cell>
        </row>
        <row r="281">
          <cell r="A281" t="str">
            <v>ТЫС ЕД</v>
          </cell>
        </row>
        <row r="282">
          <cell r="A282" t="str">
            <v>МЛН ЕД</v>
          </cell>
        </row>
        <row r="283">
          <cell r="A283" t="str">
            <v>КАНАЛ</v>
          </cell>
        </row>
        <row r="284">
          <cell r="A284" t="str">
            <v>ТЫС КОМПЛ</v>
          </cell>
        </row>
        <row r="285">
          <cell r="A285" t="str">
            <v>МЕСТ</v>
          </cell>
        </row>
        <row r="286">
          <cell r="A286" t="str">
            <v>ТЫС МЕСТ</v>
          </cell>
        </row>
        <row r="287">
          <cell r="A287" t="str">
            <v>ТЫС НОМ</v>
          </cell>
        </row>
        <row r="288">
          <cell r="A288" t="str">
            <v>ТЫС ГА ПОРЦ</v>
          </cell>
        </row>
        <row r="289">
          <cell r="A289" t="str">
            <v>ТЫС ПАЧ</v>
          </cell>
        </row>
        <row r="290">
          <cell r="A290" t="str">
            <v>ПРОЦ</v>
          </cell>
        </row>
        <row r="291">
          <cell r="A291" t="str">
            <v>ПРОМИЛЛЕ</v>
          </cell>
        </row>
        <row r="292">
          <cell r="A292" t="str">
            <v>ТЫС РУЛ</v>
          </cell>
        </row>
        <row r="293">
          <cell r="A293" t="str">
            <v>ТЫС СТАН</v>
          </cell>
        </row>
        <row r="294">
          <cell r="A294" t="str">
            <v>СТАНЦ</v>
          </cell>
        </row>
        <row r="295">
          <cell r="A295" t="str">
            <v>ТЫС ТЮБИК</v>
          </cell>
        </row>
        <row r="296">
          <cell r="A296" t="str">
            <v>ТЫС УСЛ ТУБ</v>
          </cell>
        </row>
        <row r="297">
          <cell r="A297" t="str">
            <v>МЛН УПАК</v>
          </cell>
        </row>
        <row r="298">
          <cell r="A298" t="str">
            <v>ТЫС УПАК</v>
          </cell>
        </row>
        <row r="299">
          <cell r="A299" t="str">
            <v>ЧЕЛ</v>
          </cell>
        </row>
        <row r="300">
          <cell r="A300" t="str">
            <v>ТЫС ЧЕЛ</v>
          </cell>
        </row>
        <row r="301">
          <cell r="A301" t="str">
            <v>МЛН ЧЕЛ</v>
          </cell>
        </row>
        <row r="302">
          <cell r="A302" t="str">
            <v>МЛН ЭКЗ</v>
          </cell>
        </row>
        <row r="303">
          <cell r="A303" t="str">
            <v>ЯЧ</v>
          </cell>
        </row>
        <row r="304">
          <cell r="A304" t="str">
            <v>ЯЩ</v>
          </cell>
        </row>
        <row r="305">
          <cell r="A305" t="str">
            <v>ГОЛ</v>
          </cell>
        </row>
        <row r="306">
          <cell r="A306" t="str">
            <v>ТЫС ПАР</v>
          </cell>
        </row>
        <row r="307">
          <cell r="A307" t="str">
            <v>МЛН ПАР</v>
          </cell>
        </row>
        <row r="308">
          <cell r="A308" t="str">
            <v>КОМПЛ</v>
          </cell>
        </row>
        <row r="309">
          <cell r="A309" t="str">
            <v>СЕКЦ</v>
          </cell>
        </row>
        <row r="310">
          <cell r="A310" t="str">
            <v>БУТ</v>
          </cell>
        </row>
        <row r="311">
          <cell r="A311" t="str">
            <v>ТЫС БУТ</v>
          </cell>
        </row>
        <row r="312">
          <cell r="A312" t="str">
            <v>АМПУЛ</v>
          </cell>
        </row>
        <row r="313">
          <cell r="A313" t="str">
            <v>ТЫС АМПУЛ</v>
          </cell>
        </row>
        <row r="314">
          <cell r="A314" t="str">
            <v>ТЫС ФЛАК</v>
          </cell>
        </row>
        <row r="315">
          <cell r="A315" t="str">
            <v>ТЫС ТУБ</v>
          </cell>
        </row>
        <row r="316">
          <cell r="A316" t="str">
            <v>ТЫС КОР</v>
          </cell>
        </row>
        <row r="317">
          <cell r="A317" t="str">
            <v>УСЛ ЕД</v>
          </cell>
        </row>
        <row r="318">
          <cell r="A318" t="str">
            <v>ТЫС УСЛ ЕД</v>
          </cell>
        </row>
        <row r="319">
          <cell r="A319" t="str">
            <v>МЛН УСЛ ЕД</v>
          </cell>
        </row>
        <row r="320">
          <cell r="A320" t="str">
            <v>УСЛ ШТ</v>
          </cell>
        </row>
        <row r="321">
          <cell r="A321" t="str">
            <v>ТЫС УСЛ ШТ</v>
          </cell>
        </row>
        <row r="322">
          <cell r="A322" t="str">
            <v>УСЛ БАНК</v>
          </cell>
        </row>
        <row r="323">
          <cell r="A323" t="str">
            <v>ТЫС УСЛ БАНК</v>
          </cell>
        </row>
        <row r="324">
          <cell r="A324" t="str">
            <v>МЛН УСЛ БАНК</v>
          </cell>
        </row>
        <row r="325">
          <cell r="A325" t="str">
            <v>УСЛ КУС</v>
          </cell>
        </row>
        <row r="326">
          <cell r="A326" t="str">
            <v>ТЫС УСЛ КУС</v>
          </cell>
        </row>
        <row r="327">
          <cell r="A327" t="str">
            <v>МЛН УСЛ КУС</v>
          </cell>
        </row>
        <row r="328">
          <cell r="A328" t="str">
            <v>УСЛ ЯЩ</v>
          </cell>
        </row>
        <row r="329">
          <cell r="A329" t="str">
            <v>ТЫС УСЛ ЯЩ</v>
          </cell>
        </row>
        <row r="330">
          <cell r="A330" t="str">
            <v>УСЛ КАТ</v>
          </cell>
        </row>
        <row r="331">
          <cell r="A331" t="str">
            <v>ТЫС УСЛ КАТ</v>
          </cell>
        </row>
        <row r="332">
          <cell r="A332" t="str">
            <v>УСЛ ПЛИТ</v>
          </cell>
        </row>
        <row r="333">
          <cell r="A333" t="str">
            <v>ТЫС УСЛ ПЛИТ</v>
          </cell>
        </row>
        <row r="334">
          <cell r="A334" t="str">
            <v>УСЛ КИРП</v>
          </cell>
        </row>
        <row r="335">
          <cell r="A335" t="str">
            <v>ТЫС УСЛ КИРП</v>
          </cell>
        </row>
        <row r="336">
          <cell r="A336" t="str">
            <v>МЛН УСЛ КИРП</v>
          </cell>
        </row>
        <row r="337">
          <cell r="A337" t="str">
            <v>СЕМЕЙ</v>
          </cell>
        </row>
        <row r="338">
          <cell r="A338" t="str">
            <v>ТЫС СЕМЕЙ</v>
          </cell>
        </row>
        <row r="339">
          <cell r="A339" t="str">
            <v>МЛН СЕМЕЙ</v>
          </cell>
        </row>
        <row r="340">
          <cell r="A340" t="str">
            <v>ДОМХОЗ</v>
          </cell>
        </row>
        <row r="341">
          <cell r="A341" t="str">
            <v>ТЫС ДОМХОЗ</v>
          </cell>
        </row>
        <row r="342">
          <cell r="A342" t="str">
            <v>МЛН ДОМХОЗ</v>
          </cell>
        </row>
        <row r="343">
          <cell r="A343" t="str">
            <v>УЧЕН МЕСТ</v>
          </cell>
        </row>
        <row r="344">
          <cell r="A344" t="str">
            <v>ТЫС УЧЕН МЕСТ</v>
          </cell>
        </row>
        <row r="345">
          <cell r="A345" t="str">
            <v>РАБ МЕСТ</v>
          </cell>
        </row>
        <row r="346">
          <cell r="A346" t="str">
            <v>ТЫС РАБ МЕСТ</v>
          </cell>
        </row>
        <row r="347">
          <cell r="A347" t="str">
            <v>ПОСАД МЕСТ</v>
          </cell>
        </row>
        <row r="348">
          <cell r="A348" t="str">
            <v>ТЫС ПОСАД МЕСТ</v>
          </cell>
        </row>
        <row r="349">
          <cell r="A349" t="str">
            <v>НОМ</v>
          </cell>
        </row>
        <row r="350">
          <cell r="A350" t="str">
            <v>КВАРТ</v>
          </cell>
        </row>
        <row r="351">
          <cell r="A351" t="str">
            <v>ТЫС КВАРТ</v>
          </cell>
        </row>
        <row r="352">
          <cell r="A352" t="str">
            <v>КОЕК</v>
          </cell>
        </row>
        <row r="353">
          <cell r="A353" t="str">
            <v>ТЫС КОЕК</v>
          </cell>
        </row>
        <row r="354">
          <cell r="A354" t="str">
            <v>ТОМ КНИЖН ФОНД</v>
          </cell>
        </row>
        <row r="355">
          <cell r="A355" t="str">
            <v>ТЫС ТОМ КНИЖН ФОНД</v>
          </cell>
        </row>
        <row r="356">
          <cell r="A356" t="str">
            <v>УСЛ РЕМ</v>
          </cell>
        </row>
        <row r="357">
          <cell r="A357" t="str">
            <v>УСЛ РЕМ/ГОД</v>
          </cell>
        </row>
        <row r="358">
          <cell r="A358" t="str">
            <v>СМЕН</v>
          </cell>
        </row>
        <row r="359">
          <cell r="A359" t="str">
            <v>ЛИСТ АВТ</v>
          </cell>
        </row>
        <row r="360">
          <cell r="A360" t="str">
            <v>ЛИСТ ПЕЧ</v>
          </cell>
        </row>
        <row r="361">
          <cell r="A361" t="str">
            <v>ЛИСТ УЧ. ИЗД</v>
          </cell>
        </row>
        <row r="362">
          <cell r="A362" t="str">
            <v>ЗНАК</v>
          </cell>
        </row>
        <row r="363">
          <cell r="A363" t="str">
            <v>СЛОВО</v>
          </cell>
        </row>
        <row r="364">
          <cell r="A364" t="str">
            <v>СИМВОЛ</v>
          </cell>
        </row>
        <row r="365">
          <cell r="A365" t="str">
            <v>УСЛ ТРУБ</v>
          </cell>
        </row>
        <row r="366">
          <cell r="A366" t="str">
            <v>ТЫС ПЛАСТ</v>
          </cell>
        </row>
        <row r="367">
          <cell r="A367" t="str">
            <v>МЛН ДОЗ</v>
          </cell>
        </row>
        <row r="368">
          <cell r="A368" t="str">
            <v>МЛН ЛИСТ.ОТТИСК</v>
          </cell>
        </row>
        <row r="369">
          <cell r="A369" t="str">
            <v>ВАГ (МАШ)·ДН</v>
          </cell>
        </row>
        <row r="370">
          <cell r="A370" t="str">
            <v>ТЫС ВАГ (МАШ)·Ч</v>
          </cell>
        </row>
        <row r="371">
          <cell r="A371" t="str">
            <v>ТЫС ВАГ (МАШ)·КМ</v>
          </cell>
        </row>
        <row r="372">
          <cell r="A372" t="str">
            <v>ТЫС МЕСТ·КМ</v>
          </cell>
        </row>
        <row r="373">
          <cell r="A373" t="str">
            <v>ВАГ·СУТ</v>
          </cell>
        </row>
        <row r="374">
          <cell r="A374" t="str">
            <v>ТЫС ПОЕЗД·Ч</v>
          </cell>
        </row>
        <row r="375">
          <cell r="A375" t="str">
            <v>ТЫС ПОЕЗД·КМ</v>
          </cell>
        </row>
        <row r="376">
          <cell r="A376" t="str">
            <v>ТЫС Т·МИЛЬ</v>
          </cell>
        </row>
        <row r="377">
          <cell r="A377" t="str">
            <v>ТЫС ПАСС·МИЛЬ</v>
          </cell>
        </row>
        <row r="378">
          <cell r="A378" t="str">
            <v>АВТОМОБ·ДН</v>
          </cell>
        </row>
        <row r="379">
          <cell r="A379" t="str">
            <v>ТЫС Т·АВТОМОБ·ДН</v>
          </cell>
        </row>
        <row r="380">
          <cell r="A380" t="str">
            <v>ТЫС АВТОМОБ·Ч</v>
          </cell>
        </row>
        <row r="381">
          <cell r="A381" t="str">
            <v>ТЫС АВТОМОБ·МЕСТ·ДН</v>
          </cell>
        </row>
        <row r="382">
          <cell r="A382" t="str">
            <v>ПРИВЕД.Ч</v>
          </cell>
        </row>
        <row r="383">
          <cell r="A383" t="str">
            <v>САМОЛЕТ·КМ</v>
          </cell>
        </row>
        <row r="384">
          <cell r="A384" t="str">
            <v>ТЫС КМ</v>
          </cell>
        </row>
        <row r="385">
          <cell r="A385" t="str">
            <v>ТЫС ТОННАЖ·РЕЙС</v>
          </cell>
        </row>
        <row r="386">
          <cell r="A386" t="str">
            <v>МЛН Т·МИЛЬ</v>
          </cell>
        </row>
        <row r="387">
          <cell r="A387" t="str">
            <v>МЛН ПАСС·МИЛЬ</v>
          </cell>
        </row>
        <row r="388">
          <cell r="A388" t="str">
            <v>МЛН ТОННАЖ·МИЛЬ</v>
          </cell>
        </row>
        <row r="389">
          <cell r="A389" t="str">
            <v>МЛН ПАСС·МЕСТ·МИЛЬ</v>
          </cell>
        </row>
        <row r="390">
          <cell r="A390" t="str">
            <v>КОРМ·ДН</v>
          </cell>
        </row>
        <row r="391">
          <cell r="A391" t="str">
            <v>Ц КОРМ ЕД</v>
          </cell>
        </row>
        <row r="392">
          <cell r="A392" t="str">
            <v>ТЫС АВТОМОБ·КМ</v>
          </cell>
        </row>
        <row r="393">
          <cell r="A393" t="str">
            <v>ТЫС ТОННАЖ·СУТ</v>
          </cell>
        </row>
        <row r="394">
          <cell r="A394" t="str">
            <v>СУГО. СУТ</v>
          </cell>
        </row>
        <row r="395">
          <cell r="A395" t="str">
            <v>ШТ В 20 ФУТ ЭКВИВ</v>
          </cell>
        </row>
        <row r="396">
          <cell r="A396" t="str">
            <v>КАНАЛ. КМ</v>
          </cell>
        </row>
        <row r="397">
          <cell r="A397" t="str">
            <v>КАНАЛ. КОНЦ</v>
          </cell>
        </row>
        <row r="398">
          <cell r="A398" t="str">
            <v>ТЫС ЭКЗ</v>
          </cell>
        </row>
        <row r="399">
          <cell r="A399" t="str">
            <v>ТЫС ДОЛЛАР</v>
          </cell>
        </row>
        <row r="400">
          <cell r="A400" t="str">
            <v>ТЫС Т КОРМ ЕД</v>
          </cell>
        </row>
        <row r="401">
          <cell r="A401" t="str">
            <v>МЛН Т КОРМ ЕД</v>
          </cell>
        </row>
        <row r="402">
          <cell r="A402" t="str">
            <v>СУД·СУТ</v>
          </cell>
        </row>
        <row r="445">
          <cell r="A445" t="str">
            <v>;</v>
          </cell>
        </row>
        <row r="449">
          <cell r="A449" t="str">
            <v>;</v>
          </cell>
        </row>
        <row r="455">
          <cell r="A455" t="str">
            <v>КМ; ТЫС М</v>
          </cell>
        </row>
        <row r="456">
          <cell r="A456" t="str">
            <v>МЕГАМ; МЛН М</v>
          </cell>
        </row>
        <row r="457">
          <cell r="A457" t="str">
            <v>СМ3; МЛ</v>
          </cell>
        </row>
        <row r="458">
          <cell r="A458" t="str">
            <v>МЕГАВТ; ТЫС КВТ</v>
          </cell>
        </row>
        <row r="459">
          <cell r="A459" t="str">
            <v>ГОД; ЛЕТ</v>
          </cell>
        </row>
        <row r="460">
          <cell r="A460" t="str">
            <v>БИЛЛ ШТ; ТРИЛЛ ШТ</v>
          </cell>
        </row>
        <row r="461">
          <cell r="A461" t="str">
            <v>Т</v>
          </cell>
        </row>
        <row r="462">
          <cell r="A462" t="str">
            <v>Ц</v>
          </cell>
        </row>
        <row r="463">
          <cell r="A463" t="str">
            <v>ГБАЙТ</v>
          </cell>
        </row>
        <row r="464">
          <cell r="A464" t="str">
            <v>ПАСС/Ч</v>
          </cell>
        </row>
        <row r="465">
          <cell r="A465" t="str">
            <v>ЧЕЛ/Ч</v>
          </cell>
        </row>
        <row r="466">
          <cell r="A466" t="str">
            <v>КОЙК ДН</v>
          </cell>
        </row>
        <row r="467">
          <cell r="A467" t="str">
            <v>ПАЦИЕНТ ДН</v>
          </cell>
        </row>
        <row r="468">
          <cell r="A468" t="str">
            <v>ПОСЕЩ</v>
          </cell>
        </row>
        <row r="469">
          <cell r="A469" t="str">
            <v>МЛРД ДОЛЛАР</v>
          </cell>
        </row>
        <row r="470">
          <cell r="A470" t="str">
            <v>Ц/ГА</v>
          </cell>
        </row>
        <row r="471">
          <cell r="A471" t="str">
            <v>ТЫС ГОЛ</v>
          </cell>
        </row>
        <row r="472">
          <cell r="A472" t="str">
            <v>ЙБАЙТ</v>
          </cell>
        </row>
        <row r="473">
          <cell r="A473" t="str">
            <v>РУБ ТОННА</v>
          </cell>
        </row>
        <row r="474">
          <cell r="A474" t="str">
            <v>МЛН УСЛ ПЛИТ</v>
          </cell>
        </row>
        <row r="475">
          <cell r="A475" t="str">
            <v>ЗАПИСЬ</v>
          </cell>
        </row>
        <row r="476">
          <cell r="A476" t="str">
            <v>ВАГ (МАШ) Ч</v>
          </cell>
        </row>
        <row r="477">
          <cell r="A477" t="str">
            <v>ВЫЗОВ</v>
          </cell>
        </row>
        <row r="478">
          <cell r="A478" t="str">
            <v>КОР</v>
          </cell>
        </row>
        <row r="479">
          <cell r="A479" t="str">
            <v>ТЫС ГНЕЗД</v>
          </cell>
        </row>
        <row r="480">
          <cell r="A480" t="str">
            <v>ДОКУМ</v>
          </cell>
        </row>
        <row r="481">
          <cell r="A481" t="str">
            <v>ТЫС КРАСК ОТТИСК</v>
          </cell>
        </row>
        <row r="482">
          <cell r="A482" t="str">
            <v>ЭБАЙТ</v>
          </cell>
        </row>
        <row r="483">
          <cell r="A483" t="str">
            <v>ПАСС МИЛЯ</v>
          </cell>
        </row>
        <row r="484">
          <cell r="A484" t="str">
            <v>ЛИСТ. ОТТИСК</v>
          </cell>
        </row>
        <row r="485">
          <cell r="A485" t="str">
            <v>ДЕТ ДН</v>
          </cell>
        </row>
        <row r="486">
          <cell r="A486" t="str">
            <v>ПБАЙТ</v>
          </cell>
        </row>
        <row r="487">
          <cell r="A487" t="str">
            <v>ЕД/ГОД</v>
          </cell>
        </row>
        <row r="488">
          <cell r="A488" t="str">
            <v>ТБАЙТ</v>
          </cell>
        </row>
        <row r="489">
          <cell r="A489" t="str">
            <v>ДОЛЛАР ЗА ТОННУ</v>
          </cell>
        </row>
        <row r="490">
          <cell r="A490" t="str">
            <v>МЛН КРАСК ОТТИСК</v>
          </cell>
        </row>
        <row r="491">
          <cell r="A491" t="str">
            <v>ЗБАЙТ</v>
          </cell>
        </row>
        <row r="492">
          <cell r="A492" t="str">
            <v>ШТАММ</v>
          </cell>
        </row>
        <row r="493">
          <cell r="A493" t="str">
            <v>ЛЕТН Ч</v>
          </cell>
        </row>
        <row r="494">
          <cell r="A494" t="str">
            <v>ЧЕЛ/ГОД</v>
          </cell>
        </row>
        <row r="495">
          <cell r="A495" t="str">
            <v>ОСОБЬ</v>
          </cell>
        </row>
        <row r="496">
          <cell r="A496" t="str">
            <v>нет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M32"/>
  <sheetViews>
    <sheetView tabSelected="1" zoomScale="85" zoomScaleNormal="85" workbookViewId="0">
      <selection activeCell="E20" sqref="E20"/>
    </sheetView>
  </sheetViews>
  <sheetFormatPr defaultRowHeight="14.4" x14ac:dyDescent="0.3"/>
  <cols>
    <col min="1" max="1" width="4.33203125" style="42" customWidth="1"/>
    <col min="2" max="2" width="28.44140625" style="46" customWidth="1"/>
    <col min="3" max="3" width="8.109375" style="44" customWidth="1"/>
    <col min="4" max="4" width="8.109375" style="42" customWidth="1"/>
    <col min="5" max="7" width="17.88671875" style="45" customWidth="1"/>
    <col min="8" max="13" width="15.5546875" style="44" customWidth="1"/>
    <col min="14" max="16384" width="8.88671875" style="44"/>
  </cols>
  <sheetData>
    <row r="1" spans="1:13" s="8" customFormat="1" ht="19.5" customHeight="1" x14ac:dyDescent="0.3">
      <c r="A1" s="58" t="s">
        <v>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s="9" customFormat="1" ht="26.25" customHeight="1" x14ac:dyDescent="0.3">
      <c r="A2" s="59" t="s">
        <v>3</v>
      </c>
      <c r="B2" s="59"/>
      <c r="C2" s="60" t="s">
        <v>32</v>
      </c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s="9" customFormat="1" ht="29.25" customHeight="1" x14ac:dyDescent="0.3">
      <c r="A3" s="61" t="s">
        <v>4</v>
      </c>
      <c r="B3" s="61"/>
      <c r="C3" s="60" t="s">
        <v>5</v>
      </c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s="9" customFormat="1" ht="50.25" customHeight="1" x14ac:dyDescent="0.3">
      <c r="A4" s="47" t="s">
        <v>0</v>
      </c>
      <c r="B4" s="47" t="s">
        <v>17</v>
      </c>
      <c r="C4" s="47" t="s">
        <v>1</v>
      </c>
      <c r="D4" s="47" t="s">
        <v>6</v>
      </c>
      <c r="E4" s="49" t="s">
        <v>7</v>
      </c>
      <c r="F4" s="50"/>
      <c r="G4" s="50"/>
      <c r="H4" s="47" t="s">
        <v>8</v>
      </c>
      <c r="I4" s="47" t="s">
        <v>9</v>
      </c>
      <c r="J4" s="47" t="s">
        <v>10</v>
      </c>
      <c r="K4" s="10" t="s">
        <v>11</v>
      </c>
      <c r="L4" s="54" t="s">
        <v>12</v>
      </c>
      <c r="M4" s="56" t="s">
        <v>13</v>
      </c>
    </row>
    <row r="5" spans="1:13" s="9" customFormat="1" ht="66" customHeight="1" x14ac:dyDescent="0.3">
      <c r="A5" s="48"/>
      <c r="B5" s="48"/>
      <c r="C5" s="48"/>
      <c r="D5" s="48"/>
      <c r="E5" s="11" t="s">
        <v>29</v>
      </c>
      <c r="F5" s="11" t="s">
        <v>30</v>
      </c>
      <c r="G5" s="11" t="s">
        <v>31</v>
      </c>
      <c r="H5" s="48"/>
      <c r="I5" s="48"/>
      <c r="J5" s="48"/>
      <c r="K5" s="10" t="s">
        <v>14</v>
      </c>
      <c r="L5" s="55"/>
      <c r="M5" s="57"/>
    </row>
    <row r="6" spans="1:13" s="8" customFormat="1" ht="17.399999999999999" customHeight="1" x14ac:dyDescent="0.3">
      <c r="A6" s="7">
        <v>1</v>
      </c>
      <c r="B6" s="7">
        <v>2</v>
      </c>
      <c r="C6" s="7">
        <f>B6+1</f>
        <v>3</v>
      </c>
      <c r="D6" s="4">
        <f t="shared" ref="D6:F6" si="0">C6+1</f>
        <v>4</v>
      </c>
      <c r="E6" s="4">
        <f t="shared" si="0"/>
        <v>5</v>
      </c>
      <c r="F6" s="4">
        <f t="shared" si="0"/>
        <v>6</v>
      </c>
      <c r="G6" s="4">
        <f>F6+1</f>
        <v>7</v>
      </c>
      <c r="H6" s="4">
        <f>G6+1</f>
        <v>8</v>
      </c>
      <c r="I6" s="4">
        <f t="shared" ref="I6" si="1">H6+1</f>
        <v>9</v>
      </c>
      <c r="J6" s="4">
        <f t="shared" ref="J6" si="2">I6+1</f>
        <v>10</v>
      </c>
      <c r="K6" s="4">
        <f t="shared" ref="K6" si="3">J6+1</f>
        <v>11</v>
      </c>
      <c r="L6" s="4">
        <f t="shared" ref="L6" si="4">K6+1</f>
        <v>12</v>
      </c>
      <c r="M6" s="4">
        <f t="shared" ref="M6" si="5">L6+1</f>
        <v>13</v>
      </c>
    </row>
    <row r="7" spans="1:13" s="8" customFormat="1" ht="36" customHeight="1" x14ac:dyDescent="0.3">
      <c r="A7" s="7">
        <v>1</v>
      </c>
      <c r="B7" s="7" t="s">
        <v>21</v>
      </c>
      <c r="C7" s="7" t="s">
        <v>20</v>
      </c>
      <c r="D7" s="4">
        <v>2</v>
      </c>
      <c r="E7" s="12">
        <v>1342</v>
      </c>
      <c r="F7" s="12">
        <v>1354.2</v>
      </c>
      <c r="G7" s="12">
        <v>1366.4</v>
      </c>
      <c r="H7" s="1">
        <f t="shared" ref="H7:H24" si="6">AVERAGE(E7:G7)</f>
        <v>1354.2</v>
      </c>
      <c r="I7" s="1">
        <f t="shared" ref="I7:I24" si="7">SQRT((POWER(E7-H7,2)+POWER(F7-H7,2)+POWER(G7-H7,2))/2)</f>
        <v>12.2</v>
      </c>
      <c r="J7" s="1">
        <f t="shared" ref="J7:J24" si="8">I7/H7*100</f>
        <v>0.9</v>
      </c>
      <c r="K7" s="1">
        <f t="shared" ref="K7:K24" si="9">SUM(E7:G7)/3*D7</f>
        <v>2708.4</v>
      </c>
      <c r="L7" s="1">
        <f>MIN(E7,F7,G7)</f>
        <v>1342</v>
      </c>
      <c r="M7" s="1">
        <f t="shared" ref="M7:M22" si="10">L7*D7</f>
        <v>2684</v>
      </c>
    </row>
    <row r="8" spans="1:13" s="8" customFormat="1" ht="30.6" customHeight="1" x14ac:dyDescent="0.3">
      <c r="A8" s="7">
        <v>2</v>
      </c>
      <c r="B8" s="6" t="s">
        <v>22</v>
      </c>
      <c r="C8" s="2" t="s">
        <v>38</v>
      </c>
      <c r="D8" s="4">
        <v>12</v>
      </c>
      <c r="E8" s="5">
        <v>3904</v>
      </c>
      <c r="F8" s="5">
        <v>4026</v>
      </c>
      <c r="G8" s="5">
        <v>4087</v>
      </c>
      <c r="H8" s="1">
        <f t="shared" si="6"/>
        <v>4005.67</v>
      </c>
      <c r="I8" s="1">
        <f t="shared" si="7"/>
        <v>93.18</v>
      </c>
      <c r="J8" s="1">
        <f t="shared" si="8"/>
        <v>2.33</v>
      </c>
      <c r="K8" s="1">
        <f t="shared" si="9"/>
        <v>48068</v>
      </c>
      <c r="L8" s="1">
        <f>MIN(E8,F8,G8)</f>
        <v>3904</v>
      </c>
      <c r="M8" s="1">
        <f t="shared" si="10"/>
        <v>46848</v>
      </c>
    </row>
    <row r="9" spans="1:13" s="8" customFormat="1" ht="30" customHeight="1" x14ac:dyDescent="0.3">
      <c r="A9" s="7">
        <v>3</v>
      </c>
      <c r="B9" s="6" t="s">
        <v>23</v>
      </c>
      <c r="C9" s="2" t="s">
        <v>38</v>
      </c>
      <c r="D9" s="4">
        <v>3</v>
      </c>
      <c r="E9" s="5">
        <v>3172</v>
      </c>
      <c r="F9" s="5">
        <v>3233</v>
      </c>
      <c r="G9" s="5">
        <v>3281.8</v>
      </c>
      <c r="H9" s="1">
        <f t="shared" si="6"/>
        <v>3228.93</v>
      </c>
      <c r="I9" s="1">
        <f t="shared" si="7"/>
        <v>55.01</v>
      </c>
      <c r="J9" s="1">
        <f t="shared" si="8"/>
        <v>1.7</v>
      </c>
      <c r="K9" s="1">
        <f t="shared" si="9"/>
        <v>9686.7999999999993</v>
      </c>
      <c r="L9" s="1">
        <f t="shared" ref="L9:L24" si="11">MIN(E9,F9,G9)</f>
        <v>3172</v>
      </c>
      <c r="M9" s="1">
        <f t="shared" si="10"/>
        <v>9516</v>
      </c>
    </row>
    <row r="10" spans="1:13" s="8" customFormat="1" ht="30" customHeight="1" x14ac:dyDescent="0.3">
      <c r="A10" s="7">
        <v>4</v>
      </c>
      <c r="B10" s="6" t="s">
        <v>23</v>
      </c>
      <c r="C10" s="2" t="s">
        <v>20</v>
      </c>
      <c r="D10" s="4">
        <v>10</v>
      </c>
      <c r="E10" s="5">
        <v>4636</v>
      </c>
      <c r="F10" s="5">
        <v>4758</v>
      </c>
      <c r="G10" s="5">
        <v>4819</v>
      </c>
      <c r="H10" s="1">
        <f t="shared" si="6"/>
        <v>4737.67</v>
      </c>
      <c r="I10" s="1">
        <f t="shared" si="7"/>
        <v>93.18</v>
      </c>
      <c r="J10" s="1">
        <f t="shared" si="8"/>
        <v>1.97</v>
      </c>
      <c r="K10" s="1">
        <f t="shared" si="9"/>
        <v>47376.67</v>
      </c>
      <c r="L10" s="1">
        <f t="shared" si="11"/>
        <v>4636</v>
      </c>
      <c r="M10" s="1">
        <f t="shared" si="10"/>
        <v>46360</v>
      </c>
    </row>
    <row r="11" spans="1:13" s="8" customFormat="1" ht="30" customHeight="1" x14ac:dyDescent="0.3">
      <c r="A11" s="7">
        <v>5</v>
      </c>
      <c r="B11" s="6" t="s">
        <v>23</v>
      </c>
      <c r="C11" s="2" t="s">
        <v>20</v>
      </c>
      <c r="D11" s="4">
        <v>5</v>
      </c>
      <c r="E11" s="5">
        <v>5856</v>
      </c>
      <c r="F11" s="5">
        <v>5978</v>
      </c>
      <c r="G11" s="5">
        <v>6039</v>
      </c>
      <c r="H11" s="1">
        <f t="shared" si="6"/>
        <v>5957.67</v>
      </c>
      <c r="I11" s="1">
        <f t="shared" si="7"/>
        <v>93.18</v>
      </c>
      <c r="J11" s="1">
        <f t="shared" si="8"/>
        <v>1.56</v>
      </c>
      <c r="K11" s="1">
        <f t="shared" si="9"/>
        <v>29788.33</v>
      </c>
      <c r="L11" s="1">
        <f t="shared" si="11"/>
        <v>5856</v>
      </c>
      <c r="M11" s="1">
        <f t="shared" si="10"/>
        <v>29280</v>
      </c>
    </row>
    <row r="12" spans="1:13" s="8" customFormat="1" ht="30" customHeight="1" x14ac:dyDescent="0.3">
      <c r="A12" s="7">
        <v>6</v>
      </c>
      <c r="B12" s="6" t="s">
        <v>23</v>
      </c>
      <c r="C12" s="2" t="s">
        <v>20</v>
      </c>
      <c r="D12" s="4">
        <v>5</v>
      </c>
      <c r="E12" s="5">
        <v>6087.8</v>
      </c>
      <c r="F12" s="5">
        <v>6097.56</v>
      </c>
      <c r="G12" s="5">
        <v>6098.78</v>
      </c>
      <c r="H12" s="1">
        <f t="shared" si="6"/>
        <v>6094.71</v>
      </c>
      <c r="I12" s="1">
        <f t="shared" si="7"/>
        <v>6.02</v>
      </c>
      <c r="J12" s="1">
        <f t="shared" si="8"/>
        <v>0.1</v>
      </c>
      <c r="K12" s="1">
        <f t="shared" si="9"/>
        <v>30473.57</v>
      </c>
      <c r="L12" s="1">
        <f t="shared" si="11"/>
        <v>6087.8</v>
      </c>
      <c r="M12" s="1">
        <f t="shared" si="10"/>
        <v>30439</v>
      </c>
    </row>
    <row r="13" spans="1:13" s="8" customFormat="1" ht="30" customHeight="1" x14ac:dyDescent="0.3">
      <c r="A13" s="7">
        <v>7</v>
      </c>
      <c r="B13" s="6" t="s">
        <v>23</v>
      </c>
      <c r="C13" s="2" t="s">
        <v>38</v>
      </c>
      <c r="D13" s="4">
        <v>10</v>
      </c>
      <c r="E13" s="5">
        <v>4331</v>
      </c>
      <c r="F13" s="5">
        <v>4336.32</v>
      </c>
      <c r="G13" s="5">
        <v>4339.54</v>
      </c>
      <c r="H13" s="1">
        <f t="shared" si="6"/>
        <v>4335.62</v>
      </c>
      <c r="I13" s="1">
        <f t="shared" si="7"/>
        <v>4.3099999999999996</v>
      </c>
      <c r="J13" s="1">
        <f t="shared" si="8"/>
        <v>0.1</v>
      </c>
      <c r="K13" s="1">
        <f t="shared" si="9"/>
        <v>43356.2</v>
      </c>
      <c r="L13" s="1">
        <f t="shared" si="11"/>
        <v>4331</v>
      </c>
      <c r="M13" s="1">
        <f t="shared" si="10"/>
        <v>43310</v>
      </c>
    </row>
    <row r="14" spans="1:13" s="8" customFormat="1" ht="30" customHeight="1" x14ac:dyDescent="0.3">
      <c r="A14" s="7">
        <v>8</v>
      </c>
      <c r="B14" s="6" t="s">
        <v>33</v>
      </c>
      <c r="C14" s="2" t="s">
        <v>20</v>
      </c>
      <c r="D14" s="4">
        <v>5</v>
      </c>
      <c r="E14" s="5">
        <v>2318</v>
      </c>
      <c r="F14" s="5">
        <v>2379</v>
      </c>
      <c r="G14" s="5">
        <v>2402.1799999999998</v>
      </c>
      <c r="H14" s="1">
        <f t="shared" si="6"/>
        <v>2366.39</v>
      </c>
      <c r="I14" s="1">
        <f t="shared" si="7"/>
        <v>43.48</v>
      </c>
      <c r="J14" s="1">
        <f t="shared" si="8"/>
        <v>1.84</v>
      </c>
      <c r="K14" s="1">
        <f t="shared" si="9"/>
        <v>11831.97</v>
      </c>
      <c r="L14" s="1">
        <f t="shared" si="11"/>
        <v>2318</v>
      </c>
      <c r="M14" s="1">
        <f t="shared" si="10"/>
        <v>11590</v>
      </c>
    </row>
    <row r="15" spans="1:13" s="8" customFormat="1" ht="30" customHeight="1" x14ac:dyDescent="0.3">
      <c r="A15" s="7">
        <v>9</v>
      </c>
      <c r="B15" s="6" t="s">
        <v>34</v>
      </c>
      <c r="C15" s="2" t="s">
        <v>20</v>
      </c>
      <c r="D15" s="4">
        <v>20</v>
      </c>
      <c r="E15" s="5">
        <v>1342</v>
      </c>
      <c r="F15" s="5">
        <v>1403</v>
      </c>
      <c r="G15" s="5">
        <v>1410.32</v>
      </c>
      <c r="H15" s="1">
        <f t="shared" si="6"/>
        <v>1385.11</v>
      </c>
      <c r="I15" s="1">
        <f t="shared" si="7"/>
        <v>37.51</v>
      </c>
      <c r="J15" s="1">
        <f t="shared" si="8"/>
        <v>2.71</v>
      </c>
      <c r="K15" s="1">
        <f t="shared" si="9"/>
        <v>27702.13</v>
      </c>
      <c r="L15" s="1">
        <f t="shared" si="11"/>
        <v>1342</v>
      </c>
      <c r="M15" s="1">
        <f t="shared" si="10"/>
        <v>26840</v>
      </c>
    </row>
    <row r="16" spans="1:13" s="8" customFormat="1" ht="30" customHeight="1" x14ac:dyDescent="0.3">
      <c r="A16" s="7">
        <v>10</v>
      </c>
      <c r="B16" s="6" t="s">
        <v>24</v>
      </c>
      <c r="C16" s="2" t="s">
        <v>20</v>
      </c>
      <c r="D16" s="4">
        <v>5</v>
      </c>
      <c r="E16" s="5">
        <v>1159</v>
      </c>
      <c r="F16" s="5">
        <v>1171.2</v>
      </c>
      <c r="G16" s="5">
        <v>1183.4000000000001</v>
      </c>
      <c r="H16" s="1">
        <f t="shared" si="6"/>
        <v>1171.2</v>
      </c>
      <c r="I16" s="1">
        <f t="shared" si="7"/>
        <v>12.2</v>
      </c>
      <c r="J16" s="1">
        <f t="shared" si="8"/>
        <v>1.04</v>
      </c>
      <c r="K16" s="1">
        <f t="shared" si="9"/>
        <v>5856</v>
      </c>
      <c r="L16" s="1">
        <f t="shared" si="11"/>
        <v>1159</v>
      </c>
      <c r="M16" s="1">
        <f t="shared" si="10"/>
        <v>5795</v>
      </c>
    </row>
    <row r="17" spans="1:13" s="8" customFormat="1" ht="30" customHeight="1" x14ac:dyDescent="0.3">
      <c r="A17" s="7">
        <v>11</v>
      </c>
      <c r="B17" s="6" t="s">
        <v>35</v>
      </c>
      <c r="C17" s="2" t="s">
        <v>20</v>
      </c>
      <c r="D17" s="4">
        <v>10</v>
      </c>
      <c r="E17" s="5">
        <v>225.7</v>
      </c>
      <c r="F17" s="5">
        <v>231.8</v>
      </c>
      <c r="G17" s="5">
        <v>234.24</v>
      </c>
      <c r="H17" s="1">
        <f t="shared" si="6"/>
        <v>230.58</v>
      </c>
      <c r="I17" s="1">
        <f t="shared" si="7"/>
        <v>4.4000000000000004</v>
      </c>
      <c r="J17" s="1">
        <f t="shared" si="8"/>
        <v>1.91</v>
      </c>
      <c r="K17" s="1">
        <f t="shared" si="9"/>
        <v>2305.8000000000002</v>
      </c>
      <c r="L17" s="1">
        <f t="shared" si="11"/>
        <v>225.7</v>
      </c>
      <c r="M17" s="1">
        <f t="shared" si="10"/>
        <v>2257</v>
      </c>
    </row>
    <row r="18" spans="1:13" s="8" customFormat="1" ht="30" customHeight="1" x14ac:dyDescent="0.3">
      <c r="A18" s="7">
        <v>12</v>
      </c>
      <c r="B18" s="6" t="s">
        <v>36</v>
      </c>
      <c r="C18" s="2" t="s">
        <v>20</v>
      </c>
      <c r="D18" s="4">
        <v>60</v>
      </c>
      <c r="E18" s="5">
        <v>4819</v>
      </c>
      <c r="F18" s="5">
        <v>4855.6000000000004</v>
      </c>
      <c r="G18" s="5">
        <v>4866.58</v>
      </c>
      <c r="H18" s="1">
        <f t="shared" si="6"/>
        <v>4847.0600000000004</v>
      </c>
      <c r="I18" s="1">
        <f t="shared" si="7"/>
        <v>24.91</v>
      </c>
      <c r="J18" s="1">
        <f t="shared" si="8"/>
        <v>0.51</v>
      </c>
      <c r="K18" s="1">
        <f t="shared" si="9"/>
        <v>290823.59999999998</v>
      </c>
      <c r="L18" s="1">
        <f t="shared" si="11"/>
        <v>4819</v>
      </c>
      <c r="M18" s="1">
        <f t="shared" si="10"/>
        <v>289140</v>
      </c>
    </row>
    <row r="19" spans="1:13" s="8" customFormat="1" ht="42.6" customHeight="1" x14ac:dyDescent="0.3">
      <c r="A19" s="7">
        <v>13</v>
      </c>
      <c r="B19" s="6" t="s">
        <v>25</v>
      </c>
      <c r="C19" s="2" t="s">
        <v>20</v>
      </c>
      <c r="D19" s="4">
        <v>8</v>
      </c>
      <c r="E19" s="5">
        <v>1586</v>
      </c>
      <c r="F19" s="5">
        <v>1640.4</v>
      </c>
      <c r="G19" s="5">
        <v>1622.6</v>
      </c>
      <c r="H19" s="1">
        <f t="shared" si="6"/>
        <v>1616.33</v>
      </c>
      <c r="I19" s="1">
        <f t="shared" si="7"/>
        <v>27.74</v>
      </c>
      <c r="J19" s="1">
        <f t="shared" si="8"/>
        <v>1.72</v>
      </c>
      <c r="K19" s="1">
        <f t="shared" si="9"/>
        <v>12930.67</v>
      </c>
      <c r="L19" s="1">
        <f t="shared" si="11"/>
        <v>1586</v>
      </c>
      <c r="M19" s="1">
        <f t="shared" si="10"/>
        <v>12688</v>
      </c>
    </row>
    <row r="20" spans="1:13" s="8" customFormat="1" ht="46.8" customHeight="1" x14ac:dyDescent="0.3">
      <c r="A20" s="7">
        <v>14</v>
      </c>
      <c r="B20" s="6" t="s">
        <v>25</v>
      </c>
      <c r="C20" s="2" t="s">
        <v>20</v>
      </c>
      <c r="D20" s="4">
        <v>1</v>
      </c>
      <c r="E20" s="5">
        <v>1464</v>
      </c>
      <c r="F20" s="5">
        <v>1400.64</v>
      </c>
      <c r="G20" s="5">
        <v>1490.84</v>
      </c>
      <c r="H20" s="1">
        <f t="shared" si="6"/>
        <v>1451.83</v>
      </c>
      <c r="I20" s="1">
        <f t="shared" si="7"/>
        <v>46.32</v>
      </c>
      <c r="J20" s="1">
        <f t="shared" si="8"/>
        <v>3.19</v>
      </c>
      <c r="K20" s="1">
        <f t="shared" si="9"/>
        <v>1451.83</v>
      </c>
      <c r="L20" s="1">
        <f t="shared" si="11"/>
        <v>1400.64</v>
      </c>
      <c r="M20" s="1">
        <f t="shared" si="10"/>
        <v>1400.64</v>
      </c>
    </row>
    <row r="21" spans="1:13" s="8" customFormat="1" ht="30" customHeight="1" x14ac:dyDescent="0.3">
      <c r="A21" s="7">
        <v>15</v>
      </c>
      <c r="B21" s="6" t="s">
        <v>28</v>
      </c>
      <c r="C21" s="2" t="s">
        <v>20</v>
      </c>
      <c r="D21" s="4">
        <v>20</v>
      </c>
      <c r="E21" s="5">
        <v>98.82</v>
      </c>
      <c r="F21" s="5">
        <v>98.82</v>
      </c>
      <c r="G21" s="5">
        <v>109.8</v>
      </c>
      <c r="H21" s="1">
        <f t="shared" si="6"/>
        <v>102.48</v>
      </c>
      <c r="I21" s="1">
        <f t="shared" si="7"/>
        <v>6.34</v>
      </c>
      <c r="J21" s="1">
        <f t="shared" si="8"/>
        <v>6.19</v>
      </c>
      <c r="K21" s="1">
        <f t="shared" si="9"/>
        <v>2049.6</v>
      </c>
      <c r="L21" s="1">
        <f t="shared" si="11"/>
        <v>98.82</v>
      </c>
      <c r="M21" s="1">
        <f t="shared" si="10"/>
        <v>1976.4</v>
      </c>
    </row>
    <row r="22" spans="1:13" s="8" customFormat="1" ht="46.8" customHeight="1" x14ac:dyDescent="0.3">
      <c r="A22" s="7">
        <v>16</v>
      </c>
      <c r="B22" s="6" t="s">
        <v>25</v>
      </c>
      <c r="C22" s="2" t="s">
        <v>20</v>
      </c>
      <c r="D22" s="4">
        <v>6</v>
      </c>
      <c r="E22" s="5">
        <v>1220</v>
      </c>
      <c r="F22" s="5">
        <v>1220</v>
      </c>
      <c r="G22" s="5">
        <v>1329.8</v>
      </c>
      <c r="H22" s="1">
        <f t="shared" si="6"/>
        <v>1256.5999999999999</v>
      </c>
      <c r="I22" s="1">
        <f t="shared" si="7"/>
        <v>63.39</v>
      </c>
      <c r="J22" s="1">
        <f t="shared" si="8"/>
        <v>5.04</v>
      </c>
      <c r="K22" s="1">
        <f t="shared" si="9"/>
        <v>7539.6</v>
      </c>
      <c r="L22" s="1">
        <f t="shared" si="11"/>
        <v>1220</v>
      </c>
      <c r="M22" s="1">
        <f t="shared" si="10"/>
        <v>7320</v>
      </c>
    </row>
    <row r="23" spans="1:13" s="8" customFormat="1" ht="30" customHeight="1" x14ac:dyDescent="0.3">
      <c r="A23" s="7">
        <v>17</v>
      </c>
      <c r="B23" s="6" t="s">
        <v>37</v>
      </c>
      <c r="C23" s="2" t="s">
        <v>20</v>
      </c>
      <c r="D23" s="4">
        <v>3</v>
      </c>
      <c r="E23" s="5">
        <v>4093.1</v>
      </c>
      <c r="F23" s="5">
        <v>4093.1</v>
      </c>
      <c r="G23" s="5">
        <v>4099.2</v>
      </c>
      <c r="H23" s="1">
        <f t="shared" si="6"/>
        <v>4095.13</v>
      </c>
      <c r="I23" s="1">
        <f t="shared" si="7"/>
        <v>3.52</v>
      </c>
      <c r="J23" s="1">
        <f t="shared" si="8"/>
        <v>0.09</v>
      </c>
      <c r="K23" s="1">
        <f t="shared" si="9"/>
        <v>12285.4</v>
      </c>
      <c r="L23" s="1">
        <f t="shared" si="11"/>
        <v>4093.1</v>
      </c>
      <c r="M23" s="1">
        <f>L23*D23</f>
        <v>12279.3</v>
      </c>
    </row>
    <row r="24" spans="1:13" s="8" customFormat="1" ht="30" customHeight="1" x14ac:dyDescent="0.3">
      <c r="A24" s="7">
        <v>18</v>
      </c>
      <c r="B24" s="6" t="s">
        <v>26</v>
      </c>
      <c r="C24" s="2" t="s">
        <v>27</v>
      </c>
      <c r="D24" s="4">
        <v>8</v>
      </c>
      <c r="E24" s="5">
        <v>12300</v>
      </c>
      <c r="F24" s="5">
        <v>12200</v>
      </c>
      <c r="G24" s="5">
        <v>12000</v>
      </c>
      <c r="H24" s="1">
        <f t="shared" si="6"/>
        <v>12166.67</v>
      </c>
      <c r="I24" s="1">
        <f t="shared" si="7"/>
        <v>152.75</v>
      </c>
      <c r="J24" s="1">
        <f t="shared" si="8"/>
        <v>1.26</v>
      </c>
      <c r="K24" s="1">
        <f t="shared" si="9"/>
        <v>97333.33</v>
      </c>
      <c r="L24" s="1">
        <f t="shared" si="11"/>
        <v>12000</v>
      </c>
      <c r="M24" s="1">
        <f>L24*D24</f>
        <v>96000</v>
      </c>
    </row>
    <row r="25" spans="1:13" s="17" customFormat="1" ht="14.25" customHeight="1" x14ac:dyDescent="0.3">
      <c r="A25" s="13"/>
      <c r="B25" s="14" t="s">
        <v>15</v>
      </c>
      <c r="C25" s="15"/>
      <c r="D25" s="15"/>
      <c r="E25" s="16"/>
      <c r="F25" s="16"/>
      <c r="G25" s="16"/>
      <c r="H25" s="1"/>
      <c r="I25" s="1"/>
      <c r="J25" s="1"/>
      <c r="K25" s="3">
        <f>SUM(K7:K23)</f>
        <v>586234.56999999995</v>
      </c>
      <c r="L25" s="1"/>
      <c r="M25" s="3">
        <f>SUM(M7:M24)</f>
        <v>675723.34</v>
      </c>
    </row>
    <row r="26" spans="1:13" s="18" customFormat="1" ht="31.5" customHeight="1" x14ac:dyDescent="0.3">
      <c r="A26" s="53" t="s">
        <v>16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spans="1:13" s="18" customFormat="1" ht="18" customHeight="1" x14ac:dyDescent="0.3">
      <c r="C27" s="19"/>
      <c r="D27" s="20"/>
      <c r="E27" s="21"/>
      <c r="F27" s="22"/>
      <c r="G27" s="23"/>
      <c r="H27" s="24"/>
      <c r="K27" s="25"/>
      <c r="L27" s="25"/>
      <c r="M27" s="25"/>
    </row>
    <row r="28" spans="1:13" s="26" customFormat="1" ht="32.4" customHeight="1" x14ac:dyDescent="0.3">
      <c r="C28" s="27"/>
      <c r="D28" s="28"/>
      <c r="E28" s="29"/>
      <c r="F28" s="30"/>
      <c r="G28" s="31"/>
      <c r="H28" s="8"/>
      <c r="I28" s="32">
        <f>M25</f>
        <v>675723.34</v>
      </c>
      <c r="J28" s="51" t="str">
        <f>INDEX({"","сто ","двести ","триста ","четыреста ","пятьсот ","шестьсот ","семьсот ","восемьсот ","девятьсот "},MOD(TRUNC(I28/10^8),10)+1)&amp;CHOOSE(MOD(TRUNC(I28/10^7),10)+1,"",INDEX({"десять ","одиннадцать ","двенадцать ","тринадцать ","четырнадцать ","пятнадцать ","шестнадцать ","семнадцать ","восемнадцать ","девятнадцать "},MOD(TRUNC(I28/10^6),10)+1),"двадцать ","тридцать ","сорок ","пятьдесят ","шестьдесят ","семьдесят ","восемьдесят ","девяносто ")&amp;IF(MOD(TRUNC(I28/10^7),10)&lt;&gt;1,INDEX({"","один ","два ","три ","четыре ","пять ","шесть ","семь ","восемь ","девять "},MOD(TRUNC(I28/10^6),10)+1),"")&amp;IF(MOD(TRUNC(I28/10^6),1000),"миллион"&amp;IF(MOD(TRUNC(I28/10^7),10)=1,"ов ",VLOOKUP(MOD(TRUNC(I28/10^6),10),{0,"ов ";1," ";2,"а ";5,"ов "},2)),"")&amp;INDEX({"","сто ","двести ","триста ","четыреста ","пятьсот ","шестьсот ","семьсот ","восемьсот ","девятьсот "},MOD(TRUNC(I28/10^5),10)+1)&amp;CHOOSE(MOD(TRUNC(I28/10^4),10)+1,"",INDEX({"десять ","одиннадцать ","двенадцать ","тринадцать ","четырнадцать ","пятнадцать ","шестнадцать ","семнадцать ","восемнадцать ","девятнадцать "},MOD(TRUNC(I28/1000),10)+1),"двадцать ","тридцать ","сорок ","пятьдесят ","шестьдесят ","семьдесят ","восемьдесят ","девяносто ")&amp;IF(MOD(TRUNC(I28/10^4),10)&lt;&gt;1,INDEX({"","одна ","две ","три ","четыре ","пять ","шесть ","семь ","восемь ","девять "},MOD(TRUNC(I28/1000),10)+1),"")&amp;IF(MOD(TRUNC(I28/1000),1000),"тысяч"&amp;IF(MOD(TRUNC(I28/10^4),10)=1," ",VLOOKUP(MOD(TRUNC(I28/1000),10),{0," ";1,"а ";2,"и ";5," "},2)),"")&amp;INDEX({"","сто ","двести ","триста ","четыреста ","пятьсот ","шестьсот ","семьсот ","восемьсот ","девятьсот "},MOD(TRUNC(I28/100),10)+1)&amp;CHOOSE(MOD(TRUNC(I28/10),10)+1,"",INDEX({"десять ","одиннадцать ","двенадцать ","тринадцать ","четырнадцать ","пятнадцать ","шестнадцать ","семнадцать ","восемнадцать ","девятнадцать "},MOD(TRUNC(I28),10)+1),"двадцать ","тридцать ","сорок ","пятьдесят ","шестьдесят ","семьдесят ","восемьдесят ","девяносто ")&amp;IF(TRUNC(I28)=0,"ноль ",IF(MOD(TRUNC(I28/10),10)&lt;&gt;1,INDEX({"","один ","два ","три ","четыре ","пять ","шесть ","семь ","восемь ","девять "},MOD(TRUNC(I28),10)+1),""))&amp;"рубл"&amp;IF(MOD(TRUNC(I28/10),10)=1,"ей",VLOOKUP(MOD(TRUNC(I28),10),{0,"ей";1,"ь";2,"я";5,"ей"},2))&amp;TEXT(TRUNC((I28-TRUNC(I28)+0.00001)*100)," 00\ коп.;;")</f>
        <v>шестьсот семьдесят пять тысяч семьсот двадцать три рубля 34 коп.</v>
      </c>
      <c r="K28" s="51"/>
      <c r="L28" s="51"/>
      <c r="M28" s="51"/>
    </row>
    <row r="29" spans="1:13" s="18" customFormat="1" ht="18" customHeight="1" x14ac:dyDescent="0.3">
      <c r="C29" s="33"/>
      <c r="D29" s="34"/>
      <c r="E29" s="35"/>
      <c r="F29" s="36"/>
      <c r="G29" s="23"/>
      <c r="H29" s="24"/>
      <c r="I29" s="37"/>
      <c r="K29" s="25"/>
      <c r="L29" s="25"/>
      <c r="M29" s="25"/>
    </row>
    <row r="30" spans="1:13" s="18" customFormat="1" ht="18" customHeight="1" x14ac:dyDescent="0.3">
      <c r="A30" s="53" t="s">
        <v>19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spans="1:13" s="18" customFormat="1" ht="18" customHeight="1" x14ac:dyDescent="0.3">
      <c r="A31" s="38" t="s">
        <v>18</v>
      </c>
      <c r="B31" s="38"/>
      <c r="C31" s="52">
        <v>46219</v>
      </c>
      <c r="D31" s="52"/>
      <c r="E31" s="52"/>
      <c r="F31" s="38"/>
      <c r="G31" s="38"/>
      <c r="H31" s="38"/>
      <c r="I31" s="39"/>
      <c r="J31" s="40"/>
      <c r="K31" s="39"/>
      <c r="L31" s="41"/>
      <c r="M31" s="39"/>
    </row>
    <row r="32" spans="1:13" ht="18" customHeight="1" x14ac:dyDescent="0.3">
      <c r="B32" s="43"/>
    </row>
  </sheetData>
  <mergeCells count="19">
    <mergeCell ref="A1:M1"/>
    <mergeCell ref="A2:B2"/>
    <mergeCell ref="C2:M2"/>
    <mergeCell ref="A3:B3"/>
    <mergeCell ref="C3:M3"/>
    <mergeCell ref="C4:C5"/>
    <mergeCell ref="D4:D5"/>
    <mergeCell ref="E4:G4"/>
    <mergeCell ref="J28:M28"/>
    <mergeCell ref="C31:E31"/>
    <mergeCell ref="A26:M26"/>
    <mergeCell ref="A30:M30"/>
    <mergeCell ref="H4:H5"/>
    <mergeCell ref="I4:I5"/>
    <mergeCell ref="J4:J5"/>
    <mergeCell ref="L4:L5"/>
    <mergeCell ref="M4:M5"/>
    <mergeCell ref="A4:A5"/>
    <mergeCell ref="B4:B5"/>
  </mergeCells>
  <pageMargins left="0.25" right="0.25" top="0.75" bottom="0.75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НМЦК</vt:lpstr>
    </vt:vector>
  </TitlesOfParts>
  <Company>SOKOD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Кривоносова Анна Николаевна</dc:creator>
  <cp:lastModifiedBy>Панькова Марина Михайловна</cp:lastModifiedBy>
  <cp:lastPrinted>2026-07-16T08:11:48Z</cp:lastPrinted>
  <dcterms:created xsi:type="dcterms:W3CDTF">2016-06-09T07:45:55Z</dcterms:created>
  <dcterms:modified xsi:type="dcterms:W3CDTF">2026-09-16T08:04:00Z</dcterms:modified>
</cp:coreProperties>
</file>