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\\cms02gosz15-031\текущие\!АУКЦИОНЫ 2026\!СОВМЕСТНЫЕ ТОРГИ\44929 Стройка (металлопрокат) 1 280 607,31\"/>
    </mc:Choice>
  </mc:AlternateContent>
  <xr:revisionPtr revIDLastSave="0" documentId="13_ncr:1_{EBB5BCBB-7815-44DE-B407-CD65F9ACAD1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НМ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7" i="1" l="1"/>
  <c r="N27" i="1"/>
  <c r="N17" i="1"/>
  <c r="M26" i="1"/>
  <c r="M25" i="1"/>
  <c r="M14" i="1"/>
  <c r="J21" i="1"/>
  <c r="J14" i="1"/>
  <c r="L20" i="1"/>
  <c r="L14" i="1"/>
  <c r="L32" i="1"/>
  <c r="L31" i="1"/>
  <c r="L30" i="1"/>
  <c r="L29" i="1"/>
  <c r="L28" i="1"/>
  <c r="L27" i="1"/>
  <c r="L26" i="1"/>
  <c r="L25" i="1"/>
  <c r="L24" i="1"/>
  <c r="L23" i="1"/>
  <c r="L22" i="1"/>
  <c r="L21" i="1"/>
  <c r="L19" i="1"/>
  <c r="L18" i="1"/>
  <c r="L17" i="1"/>
  <c r="L16" i="1"/>
  <c r="L15" i="1"/>
  <c r="K32" i="1"/>
  <c r="N32" i="1" s="1"/>
  <c r="K31" i="1"/>
  <c r="N31" i="1" s="1"/>
  <c r="K30" i="1"/>
  <c r="N30" i="1" s="1"/>
  <c r="K29" i="1"/>
  <c r="N29" i="1" s="1"/>
  <c r="K28" i="1"/>
  <c r="N28" i="1" s="1"/>
  <c r="K27" i="1"/>
  <c r="K26" i="1"/>
  <c r="N26" i="1" s="1"/>
  <c r="K25" i="1"/>
  <c r="N25" i="1" s="1"/>
  <c r="K24" i="1"/>
  <c r="N24" i="1" s="1"/>
  <c r="K23" i="1"/>
  <c r="N23" i="1" s="1"/>
  <c r="K22" i="1"/>
  <c r="N22" i="1" s="1"/>
  <c r="K21" i="1"/>
  <c r="N21" i="1" s="1"/>
  <c r="K20" i="1"/>
  <c r="N20" i="1" s="1"/>
  <c r="K19" i="1"/>
  <c r="N19" i="1" s="1"/>
  <c r="K18" i="1"/>
  <c r="N18" i="1" s="1"/>
  <c r="K17" i="1"/>
  <c r="K16" i="1"/>
  <c r="N16" i="1" s="1"/>
  <c r="K15" i="1"/>
  <c r="N15" i="1" s="1"/>
  <c r="K14" i="1"/>
  <c r="N14" i="1" s="1"/>
  <c r="J32" i="1"/>
  <c r="M32" i="1" s="1"/>
  <c r="J31" i="1"/>
  <c r="M31" i="1" s="1"/>
  <c r="J30" i="1"/>
  <c r="M30" i="1" s="1"/>
  <c r="J29" i="1"/>
  <c r="M29" i="1" s="1"/>
  <c r="J28" i="1"/>
  <c r="M28" i="1" s="1"/>
  <c r="J27" i="1"/>
  <c r="M27" i="1" s="1"/>
  <c r="J26" i="1"/>
  <c r="J25" i="1"/>
  <c r="J24" i="1"/>
  <c r="M24" i="1" s="1"/>
  <c r="J23" i="1"/>
  <c r="M23" i="1" s="1"/>
  <c r="J22" i="1"/>
  <c r="M22" i="1" s="1"/>
  <c r="M21" i="1"/>
  <c r="J20" i="1"/>
  <c r="M20" i="1" s="1"/>
  <c r="J19" i="1"/>
  <c r="M19" i="1" s="1"/>
  <c r="J18" i="1"/>
  <c r="M18" i="1" s="1"/>
  <c r="J17" i="1"/>
  <c r="M17" i="1" s="1"/>
  <c r="J16" i="1"/>
  <c r="M16" i="1" s="1"/>
  <c r="J15" i="1"/>
  <c r="M15" i="1" s="1"/>
  <c r="L35" i="1"/>
  <c r="L36" i="1"/>
  <c r="K35" i="1"/>
  <c r="N35" i="1" s="1"/>
  <c r="K36" i="1"/>
  <c r="N36" i="1" s="1"/>
  <c r="J35" i="1"/>
  <c r="M35" i="1" s="1"/>
  <c r="J36" i="1"/>
  <c r="M36" i="1" s="1"/>
  <c r="L34" i="1"/>
  <c r="L33" i="1"/>
  <c r="J34" i="1" l="1"/>
  <c r="M34" i="1" s="1"/>
  <c r="J33" i="1"/>
  <c r="M33" i="1" s="1"/>
  <c r="K34" i="1"/>
  <c r="N34" i="1" s="1"/>
  <c r="K33" i="1"/>
  <c r="N33" i="1" s="1"/>
  <c r="M37" i="1" l="1"/>
</calcChain>
</file>

<file path=xl/sharedStrings.xml><?xml version="1.0" encoding="utf-8"?>
<sst xmlns="http://schemas.openxmlformats.org/spreadsheetml/2006/main" count="82" uniqueCount="52">
  <si>
    <t>ОБОСНОВАНИЕ НАЧАЛЬНОЙ (МАКСИМАЛЬНОЙ) ЦЕНЫ КОНТРАКТА</t>
  </si>
  <si>
    <r>
      <t xml:space="preserve">                            Используемый метод:  </t>
    </r>
    <r>
      <rPr>
        <sz val="12"/>
        <rFont val="Times New Roman"/>
        <family val="1"/>
        <charset val="204"/>
      </rPr>
      <t xml:space="preserve">метод сопоставимых рыночных цен (анализ рынка)     </t>
    </r>
  </si>
  <si>
    <t>№ п/п</t>
  </si>
  <si>
    <t>Объект закупки</t>
  </si>
  <si>
    <t>Единица измерения</t>
  </si>
  <si>
    <t>Количество источников ценовой информации</t>
  </si>
  <si>
    <t>Коэффициент вариации</t>
  </si>
  <si>
    <t>Применяемые сокращения:</t>
  </si>
  <si>
    <t>КП</t>
  </si>
  <si>
    <t>РК</t>
  </si>
  <si>
    <t>Главный врач</t>
  </si>
  <si>
    <t>ГБУЗ СО "ТГКБ № 5"</t>
  </si>
  <si>
    <t>Работник контрактной службы</t>
  </si>
  <si>
    <t xml:space="preserve"> </t>
  </si>
  <si>
    <t>УТВЕРЖДАЮ</t>
  </si>
  <si>
    <t>Ставка НДС, %</t>
  </si>
  <si>
    <t>Источники ценовой информации и цена за единицу с учетом НДС, руб.</t>
  </si>
  <si>
    <t>Минимальная цена за ед.с учетом НДС,  руб.</t>
  </si>
  <si>
    <t>Коммерческие предложения, поступившие по запросу цен Заказчика</t>
  </si>
  <si>
    <t>Реестр контрактов единой информационной системы в сфере закупок</t>
  </si>
  <si>
    <t>Средневзвешенное значение цены цена за ед. с учетом НДС,  руб.</t>
  </si>
  <si>
    <t>Итого:</t>
  </si>
  <si>
    <t>Количество товара</t>
  </si>
  <si>
    <t xml:space="preserve">Расчет Н(М)ЦК контракта, исходя из средневзвешенной цены за ед. с учетом НДС и общего количества товара, руб. </t>
  </si>
  <si>
    <t xml:space="preserve">Расчет Н(М)ЦК,  контракта, исходя из минимального ценового предложения с учетом НДС и общего количества товара, руб. </t>
  </si>
  <si>
    <t>по определению поставщика на поставку строительных материалов (металлопрокат)</t>
  </si>
  <si>
    <t>Полоса прокатная</t>
  </si>
  <si>
    <t>м</t>
  </si>
  <si>
    <t>пог. м.</t>
  </si>
  <si>
    <t>пог.м.</t>
  </si>
  <si>
    <t>тн</t>
  </si>
  <si>
    <t>шт</t>
  </si>
  <si>
    <t>Начальник ОМТС</t>
  </si>
  <si>
    <t>Исполнитель: Сафронова Л.И.</t>
  </si>
  <si>
    <t xml:space="preserve"> +7(8482)79-00-87</t>
  </si>
  <si>
    <r>
      <rPr>
        <b/>
        <sz val="12"/>
        <color indexed="10"/>
        <rFont val="Times New Roman"/>
        <family val="1"/>
        <charset val="204"/>
      </rPr>
      <t xml:space="preserve"> </t>
    </r>
    <r>
      <rPr>
        <sz val="12"/>
        <rFont val="Times New Roman"/>
        <family val="1"/>
        <charset val="204"/>
      </rPr>
      <t xml:space="preserve">                                                                                                                                                                                                                      ________________________О.Е. Сакеев</t>
    </r>
  </si>
  <si>
    <t>КП от 01.07.2026 г. №АНВ-37316</t>
  </si>
  <si>
    <t>Счет от 02.06.2026 №НЦА-МВН-58361</t>
  </si>
  <si>
    <t>"02" июля 2026 г.</t>
  </si>
  <si>
    <t xml:space="preserve">Труба стальная возогазопроводная </t>
  </si>
  <si>
    <t xml:space="preserve">Труба стальная </t>
  </si>
  <si>
    <t xml:space="preserve">Прокат листовой стальной горячекатанный </t>
  </si>
  <si>
    <t xml:space="preserve">Лист нержавеющий  </t>
  </si>
  <si>
    <t xml:space="preserve">Уголок стальной горячекатанный </t>
  </si>
  <si>
    <t xml:space="preserve">Уголки стальные горячекатанные из нелегированных сталей </t>
  </si>
  <si>
    <t>Труба стальная водогазопроводная</t>
  </si>
  <si>
    <t xml:space="preserve">Труба стальная водогазопроводная </t>
  </si>
  <si>
    <t xml:space="preserve">Швеллер стальной горячекатанный </t>
  </si>
  <si>
    <t xml:space="preserve">Прокат листовой стальной с рифлением </t>
  </si>
  <si>
    <t>Начальная (максимальная) цена контракта определена Заказчиком исходя из минимального ценового предложения в размере 1 280 607,31 руб.</t>
  </si>
  <si>
    <t>Рыбьева И.А.</t>
  </si>
  <si>
    <t>КП от 30.06.2026 г.№120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</si>
</sst>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</font>
    <font>
      <sz val="12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color indexed="10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Arial"/>
      <family val="2"/>
      <charset val="204"/>
    </font>
    <font>
      <sz val="9.5"/>
      <name val="Times New Roman"/>
      <family val="1"/>
      <charset val="204"/>
    </font>
    <font>
      <b/>
      <sz val="10"/>
      <name val="Arial"/>
      <family val="2"/>
      <charset val="204"/>
    </font>
    <font>
      <sz val="10"/>
      <color theme="1"/>
      <name val="Arial"/>
      <family val="2"/>
      <charset val="204"/>
    </font>
    <font>
      <b/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theme="1"/>
      <name val="Arial"/>
      <family val="2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Arial"/>
      <family val="2"/>
      <charset val="204"/>
    </font>
    <font>
      <sz val="11"/>
      <color indexed="8"/>
      <name val="Times New Roman"/>
      <family val="1"/>
      <charset val="204"/>
    </font>
    <font>
      <sz val="11"/>
      <name val="Times New Roman"/>
      <family val="1"/>
      <charset val="204"/>
    </font>
    <font>
      <sz val="9"/>
      <name val="Times New Roman"/>
      <family val="1"/>
      <charset val="204"/>
    </font>
    <font>
      <sz val="9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7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top" wrapText="1"/>
    </xf>
    <xf numFmtId="0" fontId="3" fillId="0" borderId="0" xfId="0" applyFont="1" applyAlignment="1">
      <alignment vertical="center"/>
    </xf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2" borderId="0" xfId="0" applyFont="1" applyFill="1"/>
    <xf numFmtId="0" fontId="10" fillId="0" borderId="0" xfId="1" applyFont="1" applyAlignment="1">
      <alignment horizontal="left" vertical="top"/>
    </xf>
    <xf numFmtId="0" fontId="1" fillId="0" borderId="6" xfId="0" applyFont="1" applyBorder="1" applyAlignment="1">
      <alignment horizontal="center" vertical="top" wrapText="1"/>
    </xf>
    <xf numFmtId="4" fontId="3" fillId="0" borderId="0" xfId="0" applyNumberFormat="1" applyFont="1"/>
    <xf numFmtId="0" fontId="8" fillId="0" borderId="2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11" fillId="0" borderId="0" xfId="0" applyFont="1" applyAlignment="1">
      <alignment horizontal="left"/>
    </xf>
    <xf numFmtId="4" fontId="2" fillId="0" borderId="0" xfId="0" applyNumberFormat="1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/>
    <xf numFmtId="0" fontId="2" fillId="2" borderId="0" xfId="0" applyFont="1" applyFill="1"/>
    <xf numFmtId="0" fontId="2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/>
    </xf>
    <xf numFmtId="4" fontId="6" fillId="2" borderId="1" xfId="0" applyNumberFormat="1" applyFont="1" applyFill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 wrapText="1"/>
    </xf>
    <xf numFmtId="4" fontId="13" fillId="0" borderId="11" xfId="0" applyNumberFormat="1" applyFont="1" applyBorder="1" applyAlignment="1">
      <alignment horizontal="center"/>
    </xf>
    <xf numFmtId="4" fontId="13" fillId="0" borderId="1" xfId="0" applyNumberFormat="1" applyFont="1" applyBorder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top" wrapText="1"/>
    </xf>
    <xf numFmtId="0" fontId="21" fillId="0" borderId="1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2" fillId="0" borderId="0" xfId="0" applyFont="1" applyAlignment="1">
      <alignment wrapText="1"/>
    </xf>
    <xf numFmtId="0" fontId="16" fillId="0" borderId="7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3" fillId="0" borderId="6" xfId="0" applyFont="1" applyBorder="1" applyAlignment="1">
      <alignment horizontal="left" vertical="center"/>
    </xf>
    <xf numFmtId="0" fontId="15" fillId="0" borderId="10" xfId="0" applyFont="1" applyBorder="1" applyAlignment="1">
      <alignment horizontal="left"/>
    </xf>
    <xf numFmtId="0" fontId="15" fillId="0" borderId="11" xfId="0" applyFont="1" applyBorder="1" applyAlignment="1">
      <alignment horizontal="left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49"/>
  <sheetViews>
    <sheetView tabSelected="1" topLeftCell="A7" zoomScale="80" zoomScaleNormal="80" workbookViewId="0">
      <selection activeCell="N38" sqref="N38"/>
    </sheetView>
  </sheetViews>
  <sheetFormatPr defaultRowHeight="15.6" x14ac:dyDescent="0.3"/>
  <cols>
    <col min="1" max="1" width="5.109375" style="7" customWidth="1"/>
    <col min="2" max="2" width="35.77734375" style="6" customWidth="1"/>
    <col min="3" max="3" width="12.6640625" style="1" customWidth="1"/>
    <col min="4" max="5" width="12.5546875" style="1" customWidth="1"/>
    <col min="6" max="6" width="11.5546875" style="1" customWidth="1"/>
    <col min="7" max="9" width="15.6640625" style="1" customWidth="1"/>
    <col min="10" max="10" width="17.5546875" style="9" customWidth="1"/>
    <col min="11" max="11" width="16.88671875" style="1" customWidth="1"/>
    <col min="12" max="12" width="15.109375" style="1" customWidth="1"/>
    <col min="13" max="13" width="16.88671875" style="1" customWidth="1"/>
    <col min="14" max="14" width="18.109375" style="1" customWidth="1"/>
    <col min="15" max="15" width="19.5546875" hidden="1" customWidth="1"/>
    <col min="16" max="16" width="0.109375" customWidth="1"/>
    <col min="17" max="17" width="6.6640625" hidden="1" customWidth="1"/>
    <col min="18" max="18" width="4.109375" hidden="1" customWidth="1"/>
    <col min="19" max="19" width="0.5546875" customWidth="1"/>
    <col min="20" max="21" width="8.88671875" hidden="1" customWidth="1"/>
  </cols>
  <sheetData>
    <row r="1" spans="1:14" ht="19.2" customHeight="1" x14ac:dyDescent="0.3">
      <c r="B1" s="53" t="s">
        <v>14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1:14" ht="11.4" customHeight="1" x14ac:dyDescent="0.3">
      <c r="B2" s="54" t="s">
        <v>10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</row>
    <row r="3" spans="1:14" ht="6.6" customHeight="1" x14ac:dyDescent="0.3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</row>
    <row r="4" spans="1:14" ht="19.5" customHeight="1" x14ac:dyDescent="0.3">
      <c r="B4" s="54" t="s">
        <v>11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</row>
    <row r="5" spans="1:14" ht="16.95" customHeight="1" x14ac:dyDescent="0.3">
      <c r="B5" s="56" t="s">
        <v>35</v>
      </c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</row>
    <row r="6" spans="1:14" ht="16.5" customHeight="1" x14ac:dyDescent="0.3">
      <c r="B6" s="19" t="s">
        <v>13</v>
      </c>
      <c r="C6" s="20"/>
      <c r="D6" s="57" t="s">
        <v>0</v>
      </c>
      <c r="E6" s="57"/>
      <c r="F6" s="57"/>
      <c r="G6" s="57"/>
      <c r="H6" s="57"/>
      <c r="I6" s="57"/>
      <c r="J6" s="57"/>
      <c r="K6" s="22"/>
      <c r="L6" s="20"/>
      <c r="M6" s="20"/>
      <c r="N6" s="20"/>
    </row>
    <row r="7" spans="1:14" s="1" customFormat="1" ht="13.8" customHeight="1" x14ac:dyDescent="0.3">
      <c r="A7" s="7"/>
      <c r="B7" s="19"/>
      <c r="C7" s="46" t="s">
        <v>25</v>
      </c>
      <c r="D7" s="46"/>
      <c r="E7" s="46"/>
      <c r="F7" s="46"/>
      <c r="G7" s="46"/>
      <c r="H7" s="46"/>
      <c r="I7" s="46"/>
      <c r="J7" s="46"/>
      <c r="K7" s="46"/>
      <c r="L7" s="20"/>
      <c r="M7" s="20"/>
      <c r="N7" s="20"/>
    </row>
    <row r="8" spans="1:14" s="1" customFormat="1" x14ac:dyDescent="0.3">
      <c r="A8" s="7"/>
      <c r="B8" s="6"/>
      <c r="J8" s="9"/>
    </row>
    <row r="9" spans="1:14" s="1" customFormat="1" ht="11.4" customHeight="1" x14ac:dyDescent="0.3">
      <c r="A9" s="7"/>
      <c r="B9" s="6"/>
      <c r="D9" s="20" t="s">
        <v>1</v>
      </c>
      <c r="E9" s="20"/>
      <c r="F9" s="20"/>
      <c r="G9" s="20"/>
      <c r="H9" s="20"/>
      <c r="I9" s="20"/>
      <c r="J9" s="21"/>
    </row>
    <row r="10" spans="1:14" s="1" customFormat="1" ht="9" customHeight="1" x14ac:dyDescent="0.3">
      <c r="A10" s="7"/>
      <c r="B10" s="6"/>
      <c r="J10" s="9"/>
    </row>
    <row r="11" spans="1:14" s="1" customFormat="1" ht="101.4" customHeight="1" x14ac:dyDescent="0.3">
      <c r="A11" s="59" t="s">
        <v>2</v>
      </c>
      <c r="B11" s="62" t="s">
        <v>3</v>
      </c>
      <c r="C11" s="59" t="s">
        <v>22</v>
      </c>
      <c r="D11" s="48" t="s">
        <v>4</v>
      </c>
      <c r="E11" s="59" t="s">
        <v>15</v>
      </c>
      <c r="F11" s="48" t="s">
        <v>5</v>
      </c>
      <c r="G11" s="51" t="s">
        <v>16</v>
      </c>
      <c r="H11" s="52"/>
      <c r="I11" s="52"/>
      <c r="J11" s="61" t="s">
        <v>20</v>
      </c>
      <c r="K11" s="49" t="s">
        <v>17</v>
      </c>
      <c r="L11" s="47" t="s">
        <v>6</v>
      </c>
      <c r="M11" s="68" t="s">
        <v>23</v>
      </c>
      <c r="N11" s="68" t="s">
        <v>24</v>
      </c>
    </row>
    <row r="12" spans="1:14" s="2" customFormat="1" ht="42" customHeight="1" x14ac:dyDescent="0.25">
      <c r="A12" s="60"/>
      <c r="B12" s="63"/>
      <c r="C12" s="60"/>
      <c r="D12" s="48"/>
      <c r="E12" s="65"/>
      <c r="F12" s="48"/>
      <c r="G12" s="13" t="s">
        <v>51</v>
      </c>
      <c r="H12" s="13" t="s">
        <v>36</v>
      </c>
      <c r="I12" s="13" t="s">
        <v>37</v>
      </c>
      <c r="J12" s="60"/>
      <c r="K12" s="50"/>
      <c r="L12" s="47"/>
      <c r="M12" s="69"/>
      <c r="N12" s="69"/>
    </row>
    <row r="13" spans="1:14" s="42" customFormat="1" ht="12" x14ac:dyDescent="0.25">
      <c r="A13" s="39">
        <v>1</v>
      </c>
      <c r="B13" s="39">
        <v>2</v>
      </c>
      <c r="C13" s="39">
        <v>3</v>
      </c>
      <c r="D13" s="39">
        <v>4</v>
      </c>
      <c r="E13" s="39">
        <v>5</v>
      </c>
      <c r="F13" s="39">
        <v>6</v>
      </c>
      <c r="G13" s="40">
        <v>7</v>
      </c>
      <c r="H13" s="40">
        <v>8</v>
      </c>
      <c r="I13" s="40">
        <v>9</v>
      </c>
      <c r="J13" s="39">
        <v>10</v>
      </c>
      <c r="K13" s="41">
        <v>11</v>
      </c>
      <c r="L13" s="41">
        <v>12</v>
      </c>
      <c r="M13" s="41">
        <v>13</v>
      </c>
      <c r="N13" s="41">
        <v>14</v>
      </c>
    </row>
    <row r="14" spans="1:14" s="2" customFormat="1" x14ac:dyDescent="0.25">
      <c r="A14" s="14">
        <v>1</v>
      </c>
      <c r="B14" s="24" t="s">
        <v>47</v>
      </c>
      <c r="C14" s="23">
        <v>18</v>
      </c>
      <c r="D14" s="45" t="s">
        <v>27</v>
      </c>
      <c r="E14" s="38">
        <v>22</v>
      </c>
      <c r="F14" s="15">
        <v>3</v>
      </c>
      <c r="G14" s="43">
        <v>1772.2</v>
      </c>
      <c r="H14" s="25">
        <v>2225.2800000000002</v>
      </c>
      <c r="I14" s="25">
        <v>2061.1999999999998</v>
      </c>
      <c r="J14" s="25">
        <f>AVERAGE(G14:I14)</f>
        <v>2019.5600000000002</v>
      </c>
      <c r="K14" s="25">
        <f t="shared" ref="K14:K32" si="0">MIN(G14:I14)</f>
        <v>1772.2</v>
      </c>
      <c r="L14" s="26">
        <f>STDEV(G14:I14)/AVERAGE(G14:I14)</f>
        <v>0.11358524435231228</v>
      </c>
      <c r="M14" s="25">
        <f>C14*J14</f>
        <v>36352.080000000002</v>
      </c>
      <c r="N14" s="25">
        <f t="shared" ref="N14:N32" si="1">C14*K14</f>
        <v>31899.600000000002</v>
      </c>
    </row>
    <row r="15" spans="1:14" s="2" customFormat="1" x14ac:dyDescent="0.25">
      <c r="A15" s="14">
        <v>2</v>
      </c>
      <c r="B15" s="24" t="s">
        <v>39</v>
      </c>
      <c r="C15" s="23">
        <v>200</v>
      </c>
      <c r="D15" s="45" t="s">
        <v>27</v>
      </c>
      <c r="E15" s="38">
        <v>22</v>
      </c>
      <c r="F15" s="15">
        <v>3</v>
      </c>
      <c r="G15" s="43">
        <v>522.51</v>
      </c>
      <c r="H15" s="25">
        <v>732</v>
      </c>
      <c r="I15" s="25">
        <v>652.91999999999996</v>
      </c>
      <c r="J15" s="25">
        <f t="shared" ref="J15:J32" si="2">AVERAGE(G15:I15)</f>
        <v>635.80999999999995</v>
      </c>
      <c r="K15" s="25">
        <f t="shared" si="0"/>
        <v>522.51</v>
      </c>
      <c r="L15" s="26">
        <f t="shared" ref="L15:L32" si="3">STDEV(G15:I15)/AVERAGE(G15:I15)</f>
        <v>0.16638287657590436</v>
      </c>
      <c r="M15" s="25">
        <f t="shared" ref="M15:M32" si="4">C15*J15</f>
        <v>127161.99999999999</v>
      </c>
      <c r="N15" s="25">
        <f t="shared" si="1"/>
        <v>104502</v>
      </c>
    </row>
    <row r="16" spans="1:14" s="2" customFormat="1" x14ac:dyDescent="0.25">
      <c r="A16" s="14">
        <v>3</v>
      </c>
      <c r="B16" s="24" t="s">
        <v>40</v>
      </c>
      <c r="C16" s="23">
        <v>180</v>
      </c>
      <c r="D16" s="45" t="s">
        <v>28</v>
      </c>
      <c r="E16" s="38">
        <v>22</v>
      </c>
      <c r="F16" s="15">
        <v>3</v>
      </c>
      <c r="G16" s="43">
        <v>344.08</v>
      </c>
      <c r="H16" s="25">
        <v>433.1</v>
      </c>
      <c r="I16" s="25">
        <v>424.21</v>
      </c>
      <c r="J16" s="25">
        <f t="shared" si="2"/>
        <v>400.46333333333337</v>
      </c>
      <c r="K16" s="25">
        <f t="shared" si="0"/>
        <v>344.08</v>
      </c>
      <c r="L16" s="26">
        <f t="shared" si="3"/>
        <v>0.12243642407757174</v>
      </c>
      <c r="M16" s="25">
        <f t="shared" si="4"/>
        <v>72083.400000000009</v>
      </c>
      <c r="N16" s="25">
        <f t="shared" si="1"/>
        <v>61934.399999999994</v>
      </c>
    </row>
    <row r="17" spans="1:14" s="2" customFormat="1" x14ac:dyDescent="0.25">
      <c r="A17" s="14">
        <v>4</v>
      </c>
      <c r="B17" s="24" t="s">
        <v>40</v>
      </c>
      <c r="C17" s="23">
        <v>60</v>
      </c>
      <c r="D17" s="45" t="s">
        <v>29</v>
      </c>
      <c r="E17" s="38">
        <v>22</v>
      </c>
      <c r="F17" s="15">
        <v>3</v>
      </c>
      <c r="G17" s="43">
        <v>243.27</v>
      </c>
      <c r="H17" s="25">
        <v>319.64</v>
      </c>
      <c r="I17" s="25">
        <v>275.08</v>
      </c>
      <c r="J17" s="25">
        <f t="shared" si="2"/>
        <v>279.33</v>
      </c>
      <c r="K17" s="25">
        <f t="shared" si="0"/>
        <v>243.27</v>
      </c>
      <c r="L17" s="26">
        <f t="shared" si="3"/>
        <v>0.13733567702150759</v>
      </c>
      <c r="M17" s="25">
        <f t="shared" si="4"/>
        <v>16759.8</v>
      </c>
      <c r="N17" s="25">
        <f>C17*K17</f>
        <v>14596.2</v>
      </c>
    </row>
    <row r="18" spans="1:14" s="2" customFormat="1" x14ac:dyDescent="0.25">
      <c r="A18" s="14">
        <v>5</v>
      </c>
      <c r="B18" s="24" t="s">
        <v>48</v>
      </c>
      <c r="C18" s="23">
        <v>0.3</v>
      </c>
      <c r="D18" s="45" t="s">
        <v>30</v>
      </c>
      <c r="E18" s="38">
        <v>22</v>
      </c>
      <c r="F18" s="15">
        <v>3</v>
      </c>
      <c r="G18" s="43">
        <v>144500</v>
      </c>
      <c r="H18" s="25">
        <v>191540</v>
      </c>
      <c r="I18" s="25">
        <v>189685</v>
      </c>
      <c r="J18" s="25">
        <f t="shared" si="2"/>
        <v>175241.66666666666</v>
      </c>
      <c r="K18" s="25">
        <f t="shared" si="0"/>
        <v>144500</v>
      </c>
      <c r="L18" s="26">
        <f t="shared" si="3"/>
        <v>0.15201416487892405</v>
      </c>
      <c r="M18" s="25">
        <f t="shared" si="4"/>
        <v>52572.499999999993</v>
      </c>
      <c r="N18" s="25">
        <f t="shared" si="1"/>
        <v>43350</v>
      </c>
    </row>
    <row r="19" spans="1:14" s="2" customFormat="1" x14ac:dyDescent="0.25">
      <c r="A19" s="14">
        <v>6</v>
      </c>
      <c r="B19" s="24" t="s">
        <v>41</v>
      </c>
      <c r="C19" s="23">
        <v>0.35</v>
      </c>
      <c r="D19" s="45" t="s">
        <v>30</v>
      </c>
      <c r="E19" s="38">
        <v>22</v>
      </c>
      <c r="F19" s="15">
        <v>3</v>
      </c>
      <c r="G19" s="43">
        <v>132600</v>
      </c>
      <c r="H19" s="25">
        <v>213500</v>
      </c>
      <c r="I19" s="25">
        <v>211185</v>
      </c>
      <c r="J19" s="25">
        <f t="shared" si="2"/>
        <v>185761.66666666666</v>
      </c>
      <c r="K19" s="25">
        <f t="shared" si="0"/>
        <v>132600</v>
      </c>
      <c r="L19" s="26">
        <f t="shared" si="3"/>
        <v>0.24791929913031008</v>
      </c>
      <c r="M19" s="25">
        <f t="shared" si="4"/>
        <v>65016.583333333328</v>
      </c>
      <c r="N19" s="25">
        <f t="shared" si="1"/>
        <v>46410</v>
      </c>
    </row>
    <row r="20" spans="1:14" s="2" customFormat="1" x14ac:dyDescent="0.25">
      <c r="A20" s="14">
        <v>7</v>
      </c>
      <c r="B20" s="24" t="s">
        <v>41</v>
      </c>
      <c r="C20" s="23">
        <v>0.18</v>
      </c>
      <c r="D20" s="45" t="s">
        <v>30</v>
      </c>
      <c r="E20" s="38">
        <v>22</v>
      </c>
      <c r="F20" s="15">
        <v>3</v>
      </c>
      <c r="G20" s="43">
        <v>815924.59</v>
      </c>
      <c r="H20" s="25">
        <v>915000</v>
      </c>
      <c r="I20" s="25">
        <v>848564</v>
      </c>
      <c r="J20" s="25">
        <f t="shared" si="2"/>
        <v>859829.52999999991</v>
      </c>
      <c r="K20" s="25">
        <f t="shared" si="0"/>
        <v>815924.59</v>
      </c>
      <c r="L20" s="26">
        <f>STDEV(G20:I20)/AVERAGE(G20:I20)</f>
        <v>5.8720115570036563E-2</v>
      </c>
      <c r="M20" s="25">
        <f t="shared" si="4"/>
        <v>154769.31539999999</v>
      </c>
      <c r="N20" s="25">
        <f t="shared" si="1"/>
        <v>146866.42619999999</v>
      </c>
    </row>
    <row r="21" spans="1:14" s="2" customFormat="1" x14ac:dyDescent="0.25">
      <c r="A21" s="14">
        <v>8</v>
      </c>
      <c r="B21" s="24" t="s">
        <v>42</v>
      </c>
      <c r="C21" s="23">
        <v>5</v>
      </c>
      <c r="D21" s="45" t="s">
        <v>31</v>
      </c>
      <c r="E21" s="38">
        <v>22</v>
      </c>
      <c r="F21" s="15">
        <v>3</v>
      </c>
      <c r="G21" s="43">
        <v>8328.64</v>
      </c>
      <c r="H21" s="25">
        <v>14640</v>
      </c>
      <c r="I21" s="25">
        <v>15536.32</v>
      </c>
      <c r="J21" s="25">
        <f>AVERAGE(G21:I21)</f>
        <v>12834.986666666666</v>
      </c>
      <c r="K21" s="25">
        <f t="shared" si="0"/>
        <v>8328.64</v>
      </c>
      <c r="L21" s="26">
        <f t="shared" si="3"/>
        <v>0.30605866234363532</v>
      </c>
      <c r="M21" s="25">
        <f t="shared" si="4"/>
        <v>64174.933333333327</v>
      </c>
      <c r="N21" s="25">
        <f t="shared" si="1"/>
        <v>41643.199999999997</v>
      </c>
    </row>
    <row r="22" spans="1:14" s="2" customFormat="1" x14ac:dyDescent="0.25">
      <c r="A22" s="14">
        <v>9</v>
      </c>
      <c r="B22" s="24" t="s">
        <v>26</v>
      </c>
      <c r="C22" s="23">
        <v>7.0000000000000007E-2</v>
      </c>
      <c r="D22" s="45" t="s">
        <v>30</v>
      </c>
      <c r="E22" s="38">
        <v>22</v>
      </c>
      <c r="F22" s="15">
        <v>3</v>
      </c>
      <c r="G22" s="43">
        <v>127500</v>
      </c>
      <c r="H22" s="25">
        <v>162260</v>
      </c>
      <c r="I22" s="25">
        <v>133664</v>
      </c>
      <c r="J22" s="25">
        <f t="shared" si="2"/>
        <v>141141.33333333334</v>
      </c>
      <c r="K22" s="25">
        <f t="shared" si="0"/>
        <v>127500</v>
      </c>
      <c r="L22" s="26">
        <f t="shared" si="3"/>
        <v>0.13140844974544366</v>
      </c>
      <c r="M22" s="25">
        <f t="shared" si="4"/>
        <v>9879.8933333333352</v>
      </c>
      <c r="N22" s="25">
        <f t="shared" si="1"/>
        <v>8925</v>
      </c>
    </row>
    <row r="23" spans="1:14" s="2" customFormat="1" x14ac:dyDescent="0.25">
      <c r="A23" s="14">
        <v>10</v>
      </c>
      <c r="B23" s="24" t="s">
        <v>43</v>
      </c>
      <c r="C23" s="23">
        <v>156</v>
      </c>
      <c r="D23" s="45" t="s">
        <v>27</v>
      </c>
      <c r="E23" s="38">
        <v>22</v>
      </c>
      <c r="F23" s="15">
        <v>3</v>
      </c>
      <c r="G23" s="43">
        <v>208.08</v>
      </c>
      <c r="H23" s="25">
        <v>259.86</v>
      </c>
      <c r="I23" s="25">
        <v>245.89</v>
      </c>
      <c r="J23" s="25">
        <f t="shared" si="2"/>
        <v>237.94333333333336</v>
      </c>
      <c r="K23" s="25">
        <f t="shared" si="0"/>
        <v>208.08</v>
      </c>
      <c r="L23" s="26">
        <f t="shared" si="3"/>
        <v>0.11258592082834806</v>
      </c>
      <c r="M23" s="25">
        <f t="shared" si="4"/>
        <v>37119.160000000003</v>
      </c>
      <c r="N23" s="25">
        <f t="shared" si="1"/>
        <v>32460.480000000003</v>
      </c>
    </row>
    <row r="24" spans="1:14" s="2" customFormat="1" ht="26.4" x14ac:dyDescent="0.25">
      <c r="A24" s="14">
        <v>11</v>
      </c>
      <c r="B24" s="24" t="s">
        <v>44</v>
      </c>
      <c r="C24" s="23">
        <v>90</v>
      </c>
      <c r="D24" s="45" t="s">
        <v>27</v>
      </c>
      <c r="E24" s="38">
        <v>22</v>
      </c>
      <c r="F24" s="15">
        <v>3</v>
      </c>
      <c r="G24" s="43">
        <v>517.16999999999996</v>
      </c>
      <c r="H24" s="25">
        <v>663.68</v>
      </c>
      <c r="I24" s="25">
        <v>534.79</v>
      </c>
      <c r="J24" s="25">
        <f t="shared" si="2"/>
        <v>571.88</v>
      </c>
      <c r="K24" s="25">
        <f t="shared" si="0"/>
        <v>517.16999999999996</v>
      </c>
      <c r="L24" s="26">
        <f t="shared" si="3"/>
        <v>0.13986813176329954</v>
      </c>
      <c r="M24" s="25">
        <f t="shared" si="4"/>
        <v>51469.2</v>
      </c>
      <c r="N24" s="25">
        <f t="shared" si="1"/>
        <v>46545.299999999996</v>
      </c>
    </row>
    <row r="25" spans="1:14" s="2" customFormat="1" x14ac:dyDescent="0.25">
      <c r="A25" s="14">
        <v>12</v>
      </c>
      <c r="B25" s="24" t="s">
        <v>45</v>
      </c>
      <c r="C25" s="23">
        <v>200</v>
      </c>
      <c r="D25" s="45" t="s">
        <v>27</v>
      </c>
      <c r="E25" s="38">
        <v>22</v>
      </c>
      <c r="F25" s="15">
        <v>3</v>
      </c>
      <c r="G25" s="43">
        <v>121.38</v>
      </c>
      <c r="H25" s="25">
        <v>152.5</v>
      </c>
      <c r="I25" s="25">
        <v>138.47</v>
      </c>
      <c r="J25" s="25">
        <f t="shared" si="2"/>
        <v>137.45000000000002</v>
      </c>
      <c r="K25" s="25">
        <f t="shared" si="0"/>
        <v>121.38</v>
      </c>
      <c r="L25" s="26">
        <f t="shared" si="3"/>
        <v>0.11338707702783217</v>
      </c>
      <c r="M25" s="25">
        <f>C25*J25</f>
        <v>27490.000000000004</v>
      </c>
      <c r="N25" s="25">
        <f t="shared" si="1"/>
        <v>24276</v>
      </c>
    </row>
    <row r="26" spans="1:14" s="2" customFormat="1" x14ac:dyDescent="0.25">
      <c r="A26" s="14">
        <v>13</v>
      </c>
      <c r="B26" s="24" t="s">
        <v>46</v>
      </c>
      <c r="C26" s="23">
        <v>200</v>
      </c>
      <c r="D26" s="45" t="s">
        <v>27</v>
      </c>
      <c r="E26" s="38">
        <v>22</v>
      </c>
      <c r="F26" s="15">
        <v>3</v>
      </c>
      <c r="G26" s="43">
        <v>166.38</v>
      </c>
      <c r="H26" s="25">
        <v>219.6</v>
      </c>
      <c r="I26" s="25">
        <v>195.26</v>
      </c>
      <c r="J26" s="25">
        <f t="shared" si="2"/>
        <v>193.74666666666667</v>
      </c>
      <c r="K26" s="25">
        <f t="shared" si="0"/>
        <v>166.38</v>
      </c>
      <c r="L26" s="26">
        <f t="shared" si="3"/>
        <v>0.13751077692180838</v>
      </c>
      <c r="M26" s="25">
        <f>C26*J26</f>
        <v>38749.333333333336</v>
      </c>
      <c r="N26" s="25">
        <f t="shared" si="1"/>
        <v>33276</v>
      </c>
    </row>
    <row r="27" spans="1:14" s="2" customFormat="1" x14ac:dyDescent="0.25">
      <c r="A27" s="14">
        <v>14</v>
      </c>
      <c r="B27" s="24" t="s">
        <v>46</v>
      </c>
      <c r="C27" s="23">
        <v>100</v>
      </c>
      <c r="D27" s="45" t="s">
        <v>27</v>
      </c>
      <c r="E27" s="38">
        <v>22</v>
      </c>
      <c r="F27" s="15">
        <v>3</v>
      </c>
      <c r="G27" s="43">
        <v>232.56</v>
      </c>
      <c r="H27" s="25">
        <v>298.89999999999998</v>
      </c>
      <c r="I27" s="25">
        <v>265.44</v>
      </c>
      <c r="J27" s="25">
        <f t="shared" si="2"/>
        <v>265.63333333333338</v>
      </c>
      <c r="K27" s="25">
        <f t="shared" si="0"/>
        <v>232.56</v>
      </c>
      <c r="L27" s="26">
        <f t="shared" si="3"/>
        <v>0.12487296737823048</v>
      </c>
      <c r="M27" s="25">
        <f t="shared" si="4"/>
        <v>26563.333333333339</v>
      </c>
      <c r="N27" s="25">
        <f t="shared" si="1"/>
        <v>23256</v>
      </c>
    </row>
    <row r="28" spans="1:14" s="2" customFormat="1" x14ac:dyDescent="0.25">
      <c r="A28" s="14">
        <v>15</v>
      </c>
      <c r="B28" s="24" t="s">
        <v>46</v>
      </c>
      <c r="C28" s="23">
        <v>40</v>
      </c>
      <c r="D28" s="45" t="s">
        <v>27</v>
      </c>
      <c r="E28" s="38">
        <v>22</v>
      </c>
      <c r="F28" s="15">
        <v>3</v>
      </c>
      <c r="G28" s="43">
        <v>864.11</v>
      </c>
      <c r="H28" s="25">
        <v>1165.0999999999999</v>
      </c>
      <c r="I28" s="25">
        <v>977.64</v>
      </c>
      <c r="J28" s="25">
        <f t="shared" si="2"/>
        <v>1002.2833333333333</v>
      </c>
      <c r="K28" s="25">
        <f t="shared" si="0"/>
        <v>864.11</v>
      </c>
      <c r="L28" s="26">
        <f t="shared" si="3"/>
        <v>0.15165443104308027</v>
      </c>
      <c r="M28" s="25">
        <f t="shared" si="4"/>
        <v>40091.333333333328</v>
      </c>
      <c r="N28" s="25">
        <f t="shared" si="1"/>
        <v>34564.400000000001</v>
      </c>
    </row>
    <row r="29" spans="1:14" s="2" customFormat="1" x14ac:dyDescent="0.25">
      <c r="A29" s="14">
        <v>16</v>
      </c>
      <c r="B29" s="24" t="s">
        <v>46</v>
      </c>
      <c r="C29" s="23">
        <v>80</v>
      </c>
      <c r="D29" s="45" t="s">
        <v>27</v>
      </c>
      <c r="E29" s="38">
        <v>22</v>
      </c>
      <c r="F29" s="15">
        <v>3</v>
      </c>
      <c r="G29" s="43">
        <v>1384.44</v>
      </c>
      <c r="H29" s="25">
        <v>1726.3</v>
      </c>
      <c r="I29" s="25">
        <v>1584.66</v>
      </c>
      <c r="J29" s="25">
        <f t="shared" si="2"/>
        <v>1565.1333333333332</v>
      </c>
      <c r="K29" s="25">
        <f t="shared" si="0"/>
        <v>1384.44</v>
      </c>
      <c r="L29" s="26">
        <f t="shared" si="3"/>
        <v>0.10974430465340888</v>
      </c>
      <c r="M29" s="25">
        <f t="shared" si="4"/>
        <v>125210.66666666666</v>
      </c>
      <c r="N29" s="25">
        <f t="shared" si="1"/>
        <v>110755.20000000001</v>
      </c>
    </row>
    <row r="30" spans="1:14" s="2" customFormat="1" x14ac:dyDescent="0.25">
      <c r="A30" s="14">
        <v>17</v>
      </c>
      <c r="B30" s="24" t="s">
        <v>46</v>
      </c>
      <c r="C30" s="23">
        <v>50</v>
      </c>
      <c r="D30" s="45" t="s">
        <v>27</v>
      </c>
      <c r="E30" s="38">
        <v>22</v>
      </c>
      <c r="F30" s="15">
        <v>3</v>
      </c>
      <c r="G30" s="43">
        <v>1358.3</v>
      </c>
      <c r="H30" s="25">
        <v>1772.66</v>
      </c>
      <c r="I30" s="25">
        <v>1539.21</v>
      </c>
      <c r="J30" s="25">
        <f t="shared" si="2"/>
        <v>1556.7233333333334</v>
      </c>
      <c r="K30" s="25">
        <f t="shared" si="0"/>
        <v>1358.3</v>
      </c>
      <c r="L30" s="26">
        <f t="shared" si="3"/>
        <v>0.13344337907110401</v>
      </c>
      <c r="M30" s="25">
        <f t="shared" si="4"/>
        <v>77836.166666666672</v>
      </c>
      <c r="N30" s="25">
        <f t="shared" si="1"/>
        <v>67915</v>
      </c>
    </row>
    <row r="31" spans="1:14" s="2" customFormat="1" x14ac:dyDescent="0.25">
      <c r="A31" s="14">
        <v>18</v>
      </c>
      <c r="B31" s="24" t="s">
        <v>46</v>
      </c>
      <c r="C31" s="23">
        <v>150</v>
      </c>
      <c r="D31" s="45" t="s">
        <v>27</v>
      </c>
      <c r="E31" s="38">
        <v>22</v>
      </c>
      <c r="F31" s="15">
        <v>3</v>
      </c>
      <c r="G31" s="43">
        <v>194.21</v>
      </c>
      <c r="H31" s="25">
        <v>287.92</v>
      </c>
      <c r="I31" s="25">
        <v>200.24</v>
      </c>
      <c r="J31" s="25">
        <f t="shared" si="2"/>
        <v>227.45666666666668</v>
      </c>
      <c r="K31" s="25">
        <f t="shared" si="0"/>
        <v>194.21</v>
      </c>
      <c r="L31" s="26">
        <f t="shared" si="3"/>
        <v>0.23059122446022404</v>
      </c>
      <c r="M31" s="25">
        <f t="shared" si="4"/>
        <v>34118.5</v>
      </c>
      <c r="N31" s="25">
        <f t="shared" si="1"/>
        <v>29131.5</v>
      </c>
    </row>
    <row r="32" spans="1:14" s="2" customFormat="1" x14ac:dyDescent="0.25">
      <c r="A32" s="14">
        <v>19</v>
      </c>
      <c r="B32" s="24" t="s">
        <v>46</v>
      </c>
      <c r="C32" s="23">
        <v>80</v>
      </c>
      <c r="D32" s="45" t="s">
        <v>27</v>
      </c>
      <c r="E32" s="38">
        <v>22</v>
      </c>
      <c r="F32" s="15">
        <v>3</v>
      </c>
      <c r="G32" s="43">
        <v>272.82</v>
      </c>
      <c r="H32" s="25">
        <v>361.12</v>
      </c>
      <c r="I32" s="25">
        <v>340.09</v>
      </c>
      <c r="J32" s="25">
        <f t="shared" si="2"/>
        <v>324.67666666666668</v>
      </c>
      <c r="K32" s="25">
        <f t="shared" si="0"/>
        <v>272.82</v>
      </c>
      <c r="L32" s="26">
        <f t="shared" si="3"/>
        <v>0.1420605734762507</v>
      </c>
      <c r="M32" s="25">
        <f t="shared" si="4"/>
        <v>25974.133333333335</v>
      </c>
      <c r="N32" s="25">
        <f t="shared" si="1"/>
        <v>21825.599999999999</v>
      </c>
    </row>
    <row r="33" spans="1:15" s="1" customFormat="1" x14ac:dyDescent="0.3">
      <c r="A33" s="27">
        <v>20</v>
      </c>
      <c r="B33" s="28" t="s">
        <v>46</v>
      </c>
      <c r="C33" s="23">
        <v>60</v>
      </c>
      <c r="D33" s="45" t="s">
        <v>27</v>
      </c>
      <c r="E33" s="38">
        <v>22</v>
      </c>
      <c r="F33" s="29">
        <v>3</v>
      </c>
      <c r="G33" s="44">
        <v>395.35</v>
      </c>
      <c r="H33" s="30">
        <v>555.1</v>
      </c>
      <c r="I33" s="30">
        <v>412.37</v>
      </c>
      <c r="J33" s="31">
        <f t="shared" ref="J33:J36" si="5">AVERAGE(G33:I33)</f>
        <v>454.27333333333337</v>
      </c>
      <c r="K33" s="32">
        <f t="shared" ref="K33:K36" si="6">MIN(G33:I33)</f>
        <v>395.35</v>
      </c>
      <c r="L33" s="33">
        <f t="shared" ref="L33:L36" si="7">STDEV(G33:I33)/AVERAGE(G33:I33)</f>
        <v>0.19312637954228354</v>
      </c>
      <c r="M33" s="34">
        <f>C33*J33</f>
        <v>27256.400000000001</v>
      </c>
      <c r="N33" s="35">
        <f>C33*K33</f>
        <v>23721</v>
      </c>
      <c r="O33" s="3"/>
    </row>
    <row r="34" spans="1:15" s="1" customFormat="1" ht="17.399999999999999" customHeight="1" x14ac:dyDescent="0.3">
      <c r="A34" s="27">
        <v>21</v>
      </c>
      <c r="B34" s="28" t="s">
        <v>46</v>
      </c>
      <c r="C34" s="23">
        <v>50</v>
      </c>
      <c r="D34" s="45" t="s">
        <v>27</v>
      </c>
      <c r="E34" s="38">
        <v>22</v>
      </c>
      <c r="F34" s="29">
        <v>3</v>
      </c>
      <c r="G34" s="44">
        <v>723.66</v>
      </c>
      <c r="H34" s="30">
        <v>932.08</v>
      </c>
      <c r="I34" s="30">
        <v>742</v>
      </c>
      <c r="J34" s="31">
        <f t="shared" si="5"/>
        <v>799.24666666666656</v>
      </c>
      <c r="K34" s="32">
        <f t="shared" si="6"/>
        <v>723.66</v>
      </c>
      <c r="L34" s="33">
        <f t="shared" si="7"/>
        <v>0.14438840145493229</v>
      </c>
      <c r="M34" s="34">
        <f t="shared" ref="M34:M36" si="8">C34*J34</f>
        <v>39962.333333333328</v>
      </c>
      <c r="N34" s="35">
        <f t="shared" ref="N34:N36" si="9">C34*K34</f>
        <v>36183</v>
      </c>
      <c r="O34" s="3"/>
    </row>
    <row r="35" spans="1:15" s="1" customFormat="1" ht="17.399999999999999" customHeight="1" x14ac:dyDescent="0.3">
      <c r="A35" s="27">
        <v>22</v>
      </c>
      <c r="B35" s="28" t="s">
        <v>46</v>
      </c>
      <c r="C35" s="23">
        <v>100</v>
      </c>
      <c r="D35" s="45" t="s">
        <v>27</v>
      </c>
      <c r="E35" s="38">
        <v>22</v>
      </c>
      <c r="F35" s="29">
        <v>3</v>
      </c>
      <c r="G35" s="44">
        <v>1382.58</v>
      </c>
      <c r="H35" s="30">
        <v>1775.1</v>
      </c>
      <c r="I35" s="30">
        <v>1595.39</v>
      </c>
      <c r="J35" s="31">
        <f t="shared" si="5"/>
        <v>1584.3566666666666</v>
      </c>
      <c r="K35" s="32">
        <f t="shared" si="6"/>
        <v>1382.58</v>
      </c>
      <c r="L35" s="33">
        <f t="shared" si="7"/>
        <v>0.1240203473097075</v>
      </c>
      <c r="M35" s="34">
        <f t="shared" si="8"/>
        <v>158435.66666666666</v>
      </c>
      <c r="N35" s="35">
        <f t="shared" si="9"/>
        <v>138258</v>
      </c>
      <c r="O35" s="11"/>
    </row>
    <row r="36" spans="1:15" s="1" customFormat="1" ht="17.399999999999999" customHeight="1" x14ac:dyDescent="0.3">
      <c r="A36" s="27">
        <v>23</v>
      </c>
      <c r="B36" s="28" t="s">
        <v>46</v>
      </c>
      <c r="C36" s="23">
        <v>100</v>
      </c>
      <c r="D36" s="45" t="s">
        <v>27</v>
      </c>
      <c r="E36" s="38">
        <v>22</v>
      </c>
      <c r="F36" s="29">
        <v>3</v>
      </c>
      <c r="G36" s="44">
        <v>1583.13</v>
      </c>
      <c r="H36" s="30">
        <v>1992.26</v>
      </c>
      <c r="I36" s="30">
        <v>1727.51</v>
      </c>
      <c r="J36" s="31">
        <f t="shared" si="5"/>
        <v>1767.6333333333334</v>
      </c>
      <c r="K36" s="32">
        <f t="shared" si="6"/>
        <v>1583.13</v>
      </c>
      <c r="L36" s="33">
        <f t="shared" si="7"/>
        <v>0.11738587312210215</v>
      </c>
      <c r="M36" s="34">
        <f t="shared" si="8"/>
        <v>176763.33333333334</v>
      </c>
      <c r="N36" s="35">
        <f t="shared" si="9"/>
        <v>158313</v>
      </c>
      <c r="O36" s="11"/>
    </row>
    <row r="37" spans="1:15" s="4" customFormat="1" ht="20.399999999999999" customHeight="1" x14ac:dyDescent="0.3">
      <c r="A37" s="73" t="s">
        <v>21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5"/>
      <c r="M37" s="36">
        <f>SUM(M14:M36)</f>
        <v>1485810.0653999997</v>
      </c>
      <c r="N37" s="37">
        <f>SUM(N14:N36)</f>
        <v>1280607.3062</v>
      </c>
      <c r="O37" s="5"/>
    </row>
    <row r="38" spans="1:15" s="4" customFormat="1" ht="16.8" customHeight="1" x14ac:dyDescent="0.3">
      <c r="A38" s="16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8"/>
      <c r="N38" s="18"/>
      <c r="O38" s="5"/>
    </row>
    <row r="39" spans="1:15" s="4" customFormat="1" ht="20.399999999999999" customHeight="1" x14ac:dyDescent="0.25">
      <c r="A39" s="66" t="s">
        <v>49</v>
      </c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5"/>
    </row>
    <row r="40" spans="1:15" s="1" customFormat="1" ht="18" customHeight="1" x14ac:dyDescent="0.3">
      <c r="A40" s="7"/>
      <c r="B40" s="6"/>
      <c r="J40" s="9"/>
    </row>
    <row r="41" spans="1:15" s="1" customFormat="1" x14ac:dyDescent="0.3">
      <c r="A41" s="8" t="s">
        <v>7</v>
      </c>
      <c r="B41" s="6"/>
      <c r="C41" s="10" t="s">
        <v>8</v>
      </c>
      <c r="D41" s="10" t="s">
        <v>18</v>
      </c>
      <c r="E41" s="10"/>
      <c r="I41" s="12"/>
      <c r="J41" s="9"/>
    </row>
    <row r="42" spans="1:15" s="1" customFormat="1" x14ac:dyDescent="0.3">
      <c r="A42" s="8"/>
      <c r="B42" s="6"/>
      <c r="C42" s="10" t="s">
        <v>9</v>
      </c>
      <c r="D42" s="10" t="s">
        <v>19</v>
      </c>
      <c r="E42" s="10"/>
      <c r="I42" s="12"/>
      <c r="J42" s="9"/>
    </row>
    <row r="43" spans="1:15" s="1" customFormat="1" x14ac:dyDescent="0.3">
      <c r="A43" s="8"/>
      <c r="B43" s="6"/>
      <c r="C43" s="10"/>
      <c r="D43" s="10"/>
      <c r="E43" s="10"/>
      <c r="I43" s="12"/>
      <c r="J43" s="9"/>
    </row>
    <row r="44" spans="1:15" s="1" customFormat="1" x14ac:dyDescent="0.3">
      <c r="A44" s="70" t="s">
        <v>12</v>
      </c>
      <c r="B44" s="71"/>
      <c r="C44" s="72"/>
      <c r="D44" s="10"/>
      <c r="E44" s="10"/>
      <c r="I44" s="12"/>
      <c r="J44" s="9"/>
    </row>
    <row r="45" spans="1:15" s="1" customFormat="1" x14ac:dyDescent="0.3">
      <c r="A45" s="58" t="s">
        <v>32</v>
      </c>
      <c r="B45" s="64"/>
      <c r="C45" s="64"/>
      <c r="D45" s="10"/>
      <c r="E45" s="10"/>
      <c r="I45" s="12"/>
      <c r="J45" s="9"/>
    </row>
    <row r="46" spans="1:15" s="1" customFormat="1" x14ac:dyDescent="0.3">
      <c r="A46" s="70" t="s">
        <v>50</v>
      </c>
      <c r="B46" s="71"/>
      <c r="C46" s="72"/>
      <c r="J46" s="9"/>
    </row>
    <row r="47" spans="1:15" s="1" customFormat="1" x14ac:dyDescent="0.3">
      <c r="A47" s="58" t="s">
        <v>33</v>
      </c>
      <c r="B47" s="64"/>
      <c r="C47" s="64"/>
      <c r="J47" s="9"/>
    </row>
    <row r="48" spans="1:15" s="1" customFormat="1" x14ac:dyDescent="0.3">
      <c r="A48" s="58" t="s">
        <v>34</v>
      </c>
      <c r="B48" s="58"/>
      <c r="C48" s="58"/>
      <c r="J48" s="9"/>
    </row>
    <row r="49" spans="1:3" x14ac:dyDescent="0.3">
      <c r="A49" s="58" t="s">
        <v>38</v>
      </c>
      <c r="B49" s="58"/>
      <c r="C49" s="58"/>
    </row>
  </sheetData>
  <mergeCells count="27">
    <mergeCell ref="D6:J6"/>
    <mergeCell ref="A49:C49"/>
    <mergeCell ref="A48:C48"/>
    <mergeCell ref="C11:C12"/>
    <mergeCell ref="J11:J12"/>
    <mergeCell ref="B11:B12"/>
    <mergeCell ref="A47:C47"/>
    <mergeCell ref="E11:E12"/>
    <mergeCell ref="A39:N39"/>
    <mergeCell ref="N11:N12"/>
    <mergeCell ref="A45:C45"/>
    <mergeCell ref="A46:C46"/>
    <mergeCell ref="A44:C44"/>
    <mergeCell ref="A37:L37"/>
    <mergeCell ref="A11:A12"/>
    <mergeCell ref="M11:M12"/>
    <mergeCell ref="B1:N1"/>
    <mergeCell ref="B2:N2"/>
    <mergeCell ref="B3:N3"/>
    <mergeCell ref="B4:N4"/>
    <mergeCell ref="B5:N5"/>
    <mergeCell ref="C7:K7"/>
    <mergeCell ref="L11:L12"/>
    <mergeCell ref="D11:D12"/>
    <mergeCell ref="F11:F12"/>
    <mergeCell ref="K11:K12"/>
    <mergeCell ref="G11:I11"/>
  </mergeCells>
  <phoneticPr fontId="0" type="noConversion"/>
  <pageMargins left="0.31496062992125984" right="0.15748031496062992" top="0.39370078740157483" bottom="0.39370078740157483" header="0.51181102362204722" footer="0.51181102362204722"/>
  <pageSetup paperSize="9" scale="65" fitToHeight="2" orientation="landscape" r:id="rId1"/>
  <headerFooter alignWithMargins="0"/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НМЦ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Лукьянова Татьяна Владимировна</dc:creator>
  <cp:lastModifiedBy>goszak</cp:lastModifiedBy>
  <cp:lastPrinted>2026-09-10T09:43:35Z</cp:lastPrinted>
  <dcterms:created xsi:type="dcterms:W3CDTF">2014-11-25T06:06:02Z</dcterms:created>
  <dcterms:modified xsi:type="dcterms:W3CDTF">2026-09-10T09:51:56Z</dcterms:modified>
</cp:coreProperties>
</file>