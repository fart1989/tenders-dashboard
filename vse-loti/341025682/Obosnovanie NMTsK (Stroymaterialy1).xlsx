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B3E9DBEC-389E-4B29-9138-7B0D74366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3" sheetId="3" r:id="rId2"/>
  </sheets>
  <externalReferences>
    <externalReference r:id="rId3"/>
  </externalReferences>
  <definedNames>
    <definedName name="_xlnm._FilterDatabase" localSheetId="0" hidden="1">Лист1!$A$11:$L$12</definedName>
    <definedName name="dict9533e59e1a524e579a19a9ae38e52f2e">[1]!Код_ОКПД[Код ОКПД]</definedName>
    <definedName name="focus" localSheetId="0">Лист1!#REF!</definedName>
    <definedName name="_xlnm.Print_Area" localSheetId="0">Лист1!$A$1:$O$27</definedName>
  </definedNames>
  <calcPr calcId="191029" iterate="1"/>
</workbook>
</file>

<file path=xl/calcChain.xml><?xml version="1.0" encoding="utf-8"?>
<calcChain xmlns="http://schemas.openxmlformats.org/spreadsheetml/2006/main">
  <c r="H17" i="1" l="1"/>
  <c r="I17" i="1"/>
  <c r="K17" i="1" s="1"/>
  <c r="J17" i="1"/>
  <c r="L17" i="1" s="1"/>
  <c r="H18" i="1"/>
  <c r="I18" i="1"/>
  <c r="K18" i="1" s="1"/>
  <c r="J18" i="1"/>
  <c r="L18" i="1" s="1"/>
  <c r="H19" i="1"/>
  <c r="I19" i="1"/>
  <c r="K19" i="1" s="1"/>
  <c r="J19" i="1"/>
  <c r="L19" i="1" s="1"/>
  <c r="H13" i="1"/>
  <c r="I13" i="1"/>
  <c r="K13" i="1" s="1"/>
  <c r="J13" i="1"/>
  <c r="L13" i="1" s="1"/>
  <c r="H14" i="1"/>
  <c r="I14" i="1"/>
  <c r="K14" i="1" s="1"/>
  <c r="J14" i="1"/>
  <c r="L14" i="1" s="1"/>
  <c r="H15" i="1"/>
  <c r="I15" i="1"/>
  <c r="K15" i="1" s="1"/>
  <c r="J15" i="1"/>
  <c r="L15" i="1" s="1"/>
  <c r="H16" i="1"/>
  <c r="I16" i="1"/>
  <c r="K16" i="1" s="1"/>
  <c r="J16" i="1"/>
  <c r="L16" i="1" s="1"/>
  <c r="H20" i="1"/>
  <c r="I20" i="1"/>
  <c r="K20" i="1" s="1"/>
  <c r="J20" i="1"/>
  <c r="L20" i="1" s="1"/>
  <c r="H21" i="1"/>
  <c r="I21" i="1"/>
  <c r="K21" i="1" s="1"/>
  <c r="J21" i="1"/>
  <c r="L21" i="1" s="1"/>
  <c r="H22" i="1"/>
  <c r="I22" i="1"/>
  <c r="K22" i="1" s="1"/>
  <c r="J22" i="1"/>
  <c r="L22" i="1" s="1"/>
  <c r="J12" i="1"/>
  <c r="L12" i="1" s="1"/>
  <c r="I12" i="1"/>
  <c r="K12" i="1" s="1"/>
  <c r="H12" i="1"/>
  <c r="L23" i="1" l="1"/>
  <c r="E27" i="1" s="1"/>
</calcChain>
</file>

<file path=xl/sharedStrings.xml><?xml version="1.0" encoding="utf-8"?>
<sst xmlns="http://schemas.openxmlformats.org/spreadsheetml/2006/main" count="31" uniqueCount="29">
  <si>
    <t>№ п/п</t>
  </si>
  <si>
    <t>Наименование товара</t>
  </si>
  <si>
    <t>Ед-ца изм.</t>
  </si>
  <si>
    <t>Кол-во</t>
  </si>
  <si>
    <t>Источники информации о ценах на товары</t>
  </si>
  <si>
    <t>Утверждаю</t>
  </si>
  <si>
    <t>Коэффицент вариации</t>
  </si>
  <si>
    <t>Используемый метод определения НМЦК с обоснованием:</t>
  </si>
  <si>
    <t>Начальная максимальная цена контракта сформирована на основании метода сопоставления рыночных цен(анализа рынка) Метод сопоставления рыночных цен ( анализ рынка) является приоритетным методом определения НМЦК</t>
  </si>
  <si>
    <t>Итого</t>
  </si>
  <si>
    <t>Основные характеристики объекта</t>
  </si>
  <si>
    <t>Минимальная цена</t>
  </si>
  <si>
    <t xml:space="preserve">Средняя цена </t>
  </si>
  <si>
    <t>Начальная цена средняя</t>
  </si>
  <si>
    <t>Начальная цена минимальная</t>
  </si>
  <si>
    <t>Глав. врач ________________________Л.Е. Чекулдаева</t>
  </si>
  <si>
    <t>Дата подготовки обоснования НМЦК :</t>
  </si>
  <si>
    <t xml:space="preserve">Расчет произведен в соответствии с Приказом МЗ РФ от 15.05.2020г. №450н                                                                                                                                                                                                                                  По итогам изучения рынка и с учетом позиции Правительства Самарской области и Государственной службы финансового контроля Самарской области, изложенной в распоряжении Правительства Самарской области от 24.09.2014 №746-р, а также на основании Ст. 34 Бюджетного кодекса в целях эффективности и максимальной экономии бюджетных средств заказчиком принято решение об установлении начальной (максимальной ) цены  </t>
  </si>
  <si>
    <t>контракта по наименьшему коммерческому предложению:</t>
  </si>
  <si>
    <t>руб.</t>
  </si>
  <si>
    <t>Раковина</t>
  </si>
  <si>
    <t>Сифон сантехнический</t>
  </si>
  <si>
    <t>Арматура к смывному баку</t>
  </si>
  <si>
    <t>шт</t>
  </si>
  <si>
    <t>КП 1</t>
  </si>
  <si>
    <t>КП 2</t>
  </si>
  <si>
    <t>КП 3</t>
  </si>
  <si>
    <t>Поставка строительных материалов для нужд Государственного бюджетного учреждения здравоохранения Самарской области «Самарская городская поликлиника № 2».</t>
  </si>
  <si>
    <t>строительные 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</si>
</sst>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р_._-;\-* #,##0.00_р_._-;_-* &quot;-&quot;??_р_._-;_-@_-"/>
    <numFmt numFmtId="165" formatCode="\@"/>
    <numFmt numFmtId="166" formatCode="#,##0.00#########"/>
    <numFmt numFmtId="167" formatCode="#0"/>
    <numFmt numFmtId="168" formatCode="dd/mm/yyyy\ hh:mm"/>
  </numFmts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 Cyr"/>
      <family val="2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rgb="FF000000"/>
      <name val="Arial Cyr"/>
    </font>
    <font>
      <sz val="10"/>
      <color theme="1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rgb="FF333333"/>
      <name val="Segoe UI"/>
      <family val="2"/>
      <charset val="204"/>
    </font>
    <font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  <family val="2"/>
      <scheme val="minor"/>
    </font>
    <font>
      <b/>
      <sz val="12"/>
      <color rgb="FF000000"/>
      <name val="Times New Roman Cyr&quot;, serif"/>
    </font>
    <font>
      <b/>
      <sz val="10"/>
      <color rgb="FF000000"/>
      <name val="Arial Cyr&quot;, sans-serif"/>
    </font>
    <font>
      <sz val="10"/>
      <color rgb="FF008000"/>
      <name val="Arial Cyr"/>
    </font>
    <font>
      <b/>
      <sz val="10"/>
      <color rgb="FF000000"/>
      <name val="Arial Cyr"/>
    </font>
    <font>
      <b/>
      <sz val="10"/>
      <color rgb="FF008000"/>
      <name val="Arial Cyr"/>
    </font>
    <font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99C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1" fillId="0" borderId="0"/>
    <xf numFmtId="49" fontId="9" fillId="0" borderId="7">
      <alignment vertical="top" wrapText="1"/>
    </xf>
    <xf numFmtId="49" fontId="9" fillId="0" borderId="1">
      <alignment vertical="top" wrapText="1"/>
    </xf>
    <xf numFmtId="0" fontId="11" fillId="0" borderId="7">
      <alignment horizontal="center" vertical="center" wrapText="1"/>
    </xf>
    <xf numFmtId="0" fontId="1" fillId="0" borderId="0"/>
    <xf numFmtId="165" fontId="9" fillId="0" borderId="7">
      <alignment vertical="top" wrapText="1"/>
    </xf>
    <xf numFmtId="0" fontId="15" fillId="0" borderId="0"/>
    <xf numFmtId="0" fontId="16" fillId="0" borderId="0">
      <alignment horizontal="center" vertical="center" wrapText="1"/>
    </xf>
    <xf numFmtId="0" fontId="17" fillId="5" borderId="7">
      <alignment horizontal="center" vertical="center" wrapText="1"/>
    </xf>
    <xf numFmtId="0" fontId="17" fillId="5" borderId="7">
      <alignment horizontal="center" vertical="center" wrapText="1"/>
    </xf>
    <xf numFmtId="165" fontId="9" fillId="0" borderId="7">
      <alignment vertical="top"/>
    </xf>
    <xf numFmtId="4" fontId="18" fillId="0" borderId="7">
      <alignment vertical="top" shrinkToFit="1"/>
    </xf>
    <xf numFmtId="0" fontId="19" fillId="4" borderId="7">
      <alignment horizontal="right" vertical="top"/>
    </xf>
    <xf numFmtId="0" fontId="19" fillId="4" borderId="7">
      <alignment vertical="top"/>
    </xf>
    <xf numFmtId="4" fontId="20" fillId="4" borderId="7">
      <alignment vertical="top" shrinkToFit="1"/>
    </xf>
    <xf numFmtId="0" fontId="9" fillId="0" borderId="0">
      <alignment horizontal="left" vertical="top" wrapText="1"/>
    </xf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14" fontId="9" fillId="0" borderId="7">
      <alignment vertical="top"/>
    </xf>
    <xf numFmtId="4" fontId="9" fillId="0" borderId="7">
      <alignment vertical="top" shrinkToFit="1"/>
    </xf>
    <xf numFmtId="0" fontId="9" fillId="0" borderId="0">
      <alignment horizontal="center" vertical="center" wrapText="1"/>
    </xf>
    <xf numFmtId="4" fontId="19" fillId="4" borderId="7">
      <alignment vertical="top" shrinkToFit="1"/>
    </xf>
    <xf numFmtId="168" fontId="9" fillId="0" borderId="7">
      <alignment vertical="top"/>
    </xf>
    <xf numFmtId="167" fontId="9" fillId="0" borderId="7">
      <alignment vertical="top"/>
    </xf>
  </cellStyleXfs>
  <cellXfs count="74">
    <xf numFmtId="0" fontId="0" fillId="0" borderId="0" xfId="0"/>
    <xf numFmtId="0" fontId="4" fillId="0" borderId="0" xfId="0" applyFont="1"/>
    <xf numFmtId="164" fontId="0" fillId="0" borderId="0" xfId="1" applyFont="1" applyFill="1"/>
    <xf numFmtId="0" fontId="0" fillId="0" borderId="0" xfId="0" applyAlignment="1">
      <alignment horizont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" fontId="0" fillId="0" borderId="0" xfId="1" applyNumberFormat="1" applyFont="1" applyFill="1" applyAlignment="1">
      <alignment horizontal="center"/>
    </xf>
    <xf numFmtId="0" fontId="7" fillId="0" borderId="0" xfId="3" applyFont="1" applyAlignment="1">
      <alignment horizontal="center"/>
    </xf>
    <xf numFmtId="0" fontId="7" fillId="0" borderId="0" xfId="3" applyFont="1" applyAlignment="1">
      <alignment horizontal="left"/>
    </xf>
    <xf numFmtId="164" fontId="7" fillId="0" borderId="1" xfId="0" applyNumberFormat="1" applyFont="1" applyBorder="1"/>
    <xf numFmtId="0" fontId="0" fillId="3" borderId="0" xfId="0" applyFill="1"/>
    <xf numFmtId="2" fontId="0" fillId="0" borderId="0" xfId="0" applyNumberFormat="1"/>
    <xf numFmtId="2" fontId="7" fillId="0" borderId="0" xfId="3" applyNumberFormat="1" applyFont="1" applyAlignment="1">
      <alignment horizontal="center"/>
    </xf>
    <xf numFmtId="2" fontId="0" fillId="0" borderId="0" xfId="1" applyNumberFormat="1" applyFont="1" applyFill="1"/>
    <xf numFmtId="0" fontId="2" fillId="2" borderId="3" xfId="0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164" fontId="2" fillId="2" borderId="3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0" fontId="6" fillId="0" borderId="3" xfId="2" applyNumberFormat="1" applyFont="1" applyBorder="1" applyAlignment="1">
      <alignment horizontal="center" vertical="center" wrapText="1"/>
    </xf>
    <xf numFmtId="0" fontId="12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14" fontId="0" fillId="0" borderId="4" xfId="0" applyNumberFormat="1" applyBorder="1" applyAlignment="1">
      <alignment horizontal="center"/>
    </xf>
    <xf numFmtId="166" fontId="21" fillId="0" borderId="2" xfId="0" applyNumberFormat="1" applyFont="1" applyBorder="1" applyAlignment="1">
      <alignment horizontal="left" vertical="center" wrapText="1"/>
    </xf>
    <xf numFmtId="49" fontId="9" fillId="0" borderId="7" xfId="8" applyNumberFormat="1">
      <alignment vertical="top" wrapText="1"/>
    </xf>
    <xf numFmtId="166" fontId="14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64" fontId="8" fillId="0" borderId="0" xfId="0" applyNumberFormat="1" applyFont="1" applyAlignment="1">
      <alignment wrapText="1"/>
    </xf>
    <xf numFmtId="0" fontId="8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6" fillId="0" borderId="5" xfId="2" applyNumberFormat="1" applyFont="1" applyBorder="1" applyAlignment="1">
      <alignment horizontal="center" vertical="center"/>
    </xf>
    <xf numFmtId="4" fontId="6" fillId="0" borderId="4" xfId="2" applyNumberFormat="1" applyFont="1" applyBorder="1" applyAlignment="1">
      <alignment horizontal="center" vertical="center"/>
    </xf>
    <xf numFmtId="0" fontId="7" fillId="0" borderId="0" xfId="3" applyFont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7" fillId="0" borderId="0" xfId="3" applyFont="1" applyAlignment="1">
      <alignment horizontal="right"/>
    </xf>
    <xf numFmtId="0" fontId="8" fillId="0" borderId="0" xfId="0" applyFont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 vertical="center" wrapText="1"/>
    </xf>
    <xf numFmtId="164" fontId="2" fillId="2" borderId="3" xfId="1" applyFont="1" applyFill="1" applyBorder="1" applyAlignment="1">
      <alignment horizontal="center" vertical="center" wrapText="1"/>
    </xf>
    <xf numFmtId="4" fontId="6" fillId="0" borderId="2" xfId="2" applyNumberFormat="1" applyFont="1" applyBorder="1" applyAlignment="1">
      <alignment horizontal="center" vertical="center" wrapText="1"/>
    </xf>
    <xf numFmtId="4" fontId="6" fillId="0" borderId="3" xfId="2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9" fillId="0" borderId="7" xfId="8" applyNumberFormat="1">
      <alignment vertical="top" wrapText="1"/>
    </xf>
  </cellXfs>
  <cellStyles count="30">
    <cellStyle name="br" xfId="21" xr:uid="{F729E4C1-E9C3-44E6-A796-D644E49D9C6C}"/>
    <cellStyle name="col" xfId="20" xr:uid="{2A0337E1-239E-4C50-8229-6E72D4D05FFE}"/>
    <cellStyle name="st16" xfId="5" xr:uid="{00000000-0005-0000-0000-000000000000}"/>
    <cellStyle name="st17" xfId="4" xr:uid="{00000000-0005-0000-0000-000001000000}"/>
    <cellStyle name="st17 2" xfId="8" xr:uid="{00000000-0005-0000-0000-000002000000}"/>
    <cellStyle name="st18" xfId="12" xr:uid="{591A2E98-0BF8-4D47-A756-0049B2A0216C}"/>
    <cellStyle name="st19" xfId="17" xr:uid="{840DB0ED-6CB8-423F-A581-C0E24CBD5FB5}"/>
    <cellStyle name="st20" xfId="14" xr:uid="{FB7C1154-3549-40FB-9AD3-9C31CA2DBB61}"/>
    <cellStyle name="style0" xfId="22" xr:uid="{A5D2B433-234E-4C02-ACDF-86128BAD0A3F}"/>
    <cellStyle name="td" xfId="23" xr:uid="{24579ECF-5047-4E09-BAED-9A7C13E7F084}"/>
    <cellStyle name="tr" xfId="19" xr:uid="{147D3E7F-0E92-439E-A5FD-EC12FDFC6ABB}"/>
    <cellStyle name="xl24" xfId="11" xr:uid="{5B471867-BAA7-409A-9E4D-B68EEC9AAE76}"/>
    <cellStyle name="xl25" xfId="24" xr:uid="{5BA871AB-EA95-4CC8-86BF-42A093FA32BF}"/>
    <cellStyle name="xl26" xfId="13" xr:uid="{BE7BA2ED-5AEF-4AFA-B4AB-71282E1A265C}"/>
    <cellStyle name="xl27" xfId="25" xr:uid="{5DE7BF18-EFB0-4C5E-AFC8-883F50296B29}"/>
    <cellStyle name="xl28" xfId="6" xr:uid="{00000000-0005-0000-0000-000003000000}"/>
    <cellStyle name="xl28 2" xfId="10" xr:uid="{BFCAD44E-E98F-4F01-A1DA-60C12F35E9AB}"/>
    <cellStyle name="xl29" xfId="26" xr:uid="{01A5C30B-3BF1-473F-9243-97FF647E8BE6}"/>
    <cellStyle name="xl30" xfId="18" xr:uid="{DA8BC01F-49AD-43E8-90FD-1A51DC90DA1E}"/>
    <cellStyle name="xl31" xfId="16" xr:uid="{EE6C788A-766B-4A63-88B3-CCF50408F9EB}"/>
    <cellStyle name="xl32" xfId="27" xr:uid="{A0BB1F71-D841-4B23-B17C-8C1EE7832169}"/>
    <cellStyle name="xl33" xfId="15" xr:uid="{294F29C9-0170-4404-B7F2-221563C1E84D}"/>
    <cellStyle name="xl35" xfId="28" xr:uid="{76F30499-A094-4E48-94BB-260061A96460}"/>
    <cellStyle name="xl36" xfId="29" xr:uid="{58B90D09-0DEE-42B8-8EF3-233DB572E54F}"/>
    <cellStyle name="Обычный" xfId="0" builtinId="0"/>
    <cellStyle name="Обычный 2" xfId="3" xr:uid="{00000000-0005-0000-0000-000005000000}"/>
    <cellStyle name="Обычный 3" xfId="2" xr:uid="{00000000-0005-0000-0000-000006000000}"/>
    <cellStyle name="Обычный 4" xfId="9" xr:uid="{F0B8C2A5-6FC8-4AA9-87A8-8AA62C2D97AD}"/>
    <cellStyle name="Обычный 5" xfId="7" xr:uid="{00000000-0005-0000-0000-000007000000}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&#1058;&#1086;&#1088;&#1075;&#1080;%202015%20&#1059;&#1056;&#1052;\&#1050;&#1044;&#1051;%20&#1055;&#1083;&#1072;&#1089;&#1090;&#1080;&#1082;\&#1042;&#1099;&#1075;&#1088;&#1091;&#1079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_1"/>
      <sheetName val="Код_ОКПД"/>
      <sheetName val="Код_ОКПД2"/>
      <sheetName val="Ед.изм."/>
      <sheetName val="ОКВЭД"/>
      <sheetName val="Выгрузка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zoomScaleNormal="100" zoomScaleSheetLayoutView="100" workbookViewId="0">
      <selection activeCell="J26" sqref="J26"/>
    </sheetView>
  </sheetViews>
  <sheetFormatPr defaultRowHeight="15" outlineLevelCol="1"/>
  <cols>
    <col min="1" max="1" width="9.42578125" style="3" customWidth="1"/>
    <col min="2" max="2" width="31.140625" customWidth="1"/>
    <col min="3" max="3" width="10.85546875" style="3" customWidth="1"/>
    <col min="5" max="5" width="19.28515625" style="6" customWidth="1" outlineLevel="1"/>
    <col min="6" max="7" width="18" style="6" customWidth="1" outlineLevel="1"/>
    <col min="8" max="8" width="17.140625" customWidth="1" outlineLevel="1"/>
    <col min="9" max="9" width="13.85546875" style="10" customWidth="1" outlineLevel="1"/>
    <col min="10" max="10" width="19.7109375" style="2" customWidth="1"/>
    <col min="11" max="11" width="17.42578125" style="15" customWidth="1"/>
    <col min="12" max="12" width="17.42578125" customWidth="1"/>
    <col min="13" max="13" width="13.5703125" customWidth="1"/>
    <col min="15" max="15" width="19.85546875" customWidth="1"/>
    <col min="16" max="16" width="24.42578125" customWidth="1"/>
  </cols>
  <sheetData>
    <row r="1" spans="1:12" ht="15.75">
      <c r="C1" s="1"/>
      <c r="D1" s="1"/>
      <c r="E1" s="5"/>
      <c r="F1" s="5"/>
      <c r="G1" s="5"/>
      <c r="H1" s="11"/>
      <c r="I1" s="11"/>
      <c r="J1" s="11" t="s">
        <v>5</v>
      </c>
      <c r="K1" s="16"/>
      <c r="L1" s="2"/>
    </row>
    <row r="2" spans="1:12" ht="27" customHeight="1">
      <c r="C2" s="1"/>
      <c r="D2" s="1"/>
      <c r="E2" s="5"/>
      <c r="F2" s="5"/>
      <c r="G2" s="5"/>
      <c r="H2" s="12"/>
      <c r="I2" s="47" t="s">
        <v>15</v>
      </c>
      <c r="J2" s="47"/>
      <c r="K2" s="47"/>
      <c r="L2" s="47"/>
    </row>
    <row r="3" spans="1:12" ht="15.75">
      <c r="C3" s="1"/>
      <c r="D3" s="1"/>
      <c r="E3" s="5"/>
      <c r="F3" s="5"/>
      <c r="G3" s="5"/>
      <c r="H3" s="51"/>
      <c r="I3" s="51"/>
      <c r="J3" s="51"/>
      <c r="K3" s="17"/>
      <c r="L3" s="2"/>
    </row>
    <row r="4" spans="1:12" ht="15.75">
      <c r="C4" s="1"/>
      <c r="D4" s="1"/>
      <c r="E4" s="5"/>
      <c r="F4" s="5"/>
      <c r="G4" s="5"/>
      <c r="H4" s="4"/>
      <c r="I4" s="4"/>
      <c r="J4" s="4"/>
      <c r="K4" s="17"/>
      <c r="L4" s="2"/>
    </row>
    <row r="5" spans="1:12" ht="45.75" customHeight="1">
      <c r="A5" s="50" t="s">
        <v>27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15" customHeight="1">
      <c r="A6" s="7"/>
      <c r="B6" s="7"/>
      <c r="C6" s="7"/>
      <c r="D6" s="7"/>
      <c r="E6" s="8"/>
      <c r="F6" s="8"/>
      <c r="G6" s="8"/>
      <c r="H6" s="9"/>
      <c r="I6" s="8"/>
      <c r="J6" s="7"/>
    </row>
    <row r="8" spans="1:12">
      <c r="A8" s="57" t="s">
        <v>10</v>
      </c>
      <c r="B8" s="57"/>
      <c r="C8" s="63" t="s">
        <v>28</v>
      </c>
      <c r="D8" s="64"/>
      <c r="E8" s="64"/>
      <c r="F8" s="64"/>
      <c r="G8" s="64"/>
      <c r="H8" s="64"/>
      <c r="I8" s="64"/>
      <c r="J8" s="64"/>
      <c r="K8" s="64"/>
      <c r="L8" s="65"/>
    </row>
    <row r="9" spans="1:12" ht="29.25" customHeight="1">
      <c r="A9" s="58" t="s">
        <v>7</v>
      </c>
      <c r="B9" s="59"/>
      <c r="C9" s="60" t="s">
        <v>8</v>
      </c>
      <c r="D9" s="61"/>
      <c r="E9" s="61"/>
      <c r="F9" s="61"/>
      <c r="G9" s="61"/>
      <c r="H9" s="61"/>
      <c r="I9" s="61"/>
      <c r="J9" s="61"/>
      <c r="K9" s="61"/>
      <c r="L9" s="62"/>
    </row>
    <row r="10" spans="1:12" ht="15.75" customHeight="1">
      <c r="A10" s="72" t="s">
        <v>0</v>
      </c>
      <c r="B10" s="44" t="s">
        <v>1</v>
      </c>
      <c r="C10" s="42" t="s">
        <v>2</v>
      </c>
      <c r="D10" s="42" t="s">
        <v>3</v>
      </c>
      <c r="E10" s="45" t="s">
        <v>4</v>
      </c>
      <c r="F10" s="46"/>
      <c r="G10" s="46"/>
      <c r="H10" s="70" t="s">
        <v>6</v>
      </c>
      <c r="I10" s="68" t="s">
        <v>12</v>
      </c>
      <c r="J10" s="66" t="s">
        <v>11</v>
      </c>
      <c r="K10" s="55" t="s">
        <v>13</v>
      </c>
      <c r="L10" s="48" t="s">
        <v>14</v>
      </c>
    </row>
    <row r="11" spans="1:12" ht="45" customHeight="1">
      <c r="A11" s="72"/>
      <c r="B11" s="44"/>
      <c r="C11" s="43"/>
      <c r="D11" s="43"/>
      <c r="E11" s="31" t="s">
        <v>24</v>
      </c>
      <c r="F11" s="31" t="s">
        <v>25</v>
      </c>
      <c r="G11" s="31" t="s">
        <v>26</v>
      </c>
      <c r="H11" s="71"/>
      <c r="I11" s="69"/>
      <c r="J11" s="67"/>
      <c r="K11" s="56"/>
      <c r="L11" s="49"/>
    </row>
    <row r="12" spans="1:12" ht="27" customHeight="1">
      <c r="A12" s="22">
        <v>1</v>
      </c>
      <c r="B12" s="73" t="s">
        <v>20</v>
      </c>
      <c r="C12" s="37" t="s">
        <v>23</v>
      </c>
      <c r="D12" s="30">
        <v>30</v>
      </c>
      <c r="E12" s="30">
        <v>2700</v>
      </c>
      <c r="F12" s="30">
        <v>2500</v>
      </c>
      <c r="G12" s="30">
        <v>2600</v>
      </c>
      <c r="H12" s="27">
        <f t="shared" ref="H12" si="0">STDEV(E12:G12)/AVERAGE(E12:G12)</f>
        <v>3.8461538461538464E-2</v>
      </c>
      <c r="I12" s="21">
        <f>AVERAGE(E12:G12)</f>
        <v>2600</v>
      </c>
      <c r="J12" s="20">
        <f>MIN(E12:G12)</f>
        <v>2500</v>
      </c>
      <c r="K12" s="19">
        <f>I12*D12</f>
        <v>78000</v>
      </c>
      <c r="L12" s="18">
        <f>J12*D12</f>
        <v>75000</v>
      </c>
    </row>
    <row r="13" spans="1:12" ht="15.75">
      <c r="A13" s="22">
        <v>2</v>
      </c>
      <c r="B13" s="73" t="s">
        <v>21</v>
      </c>
      <c r="C13" s="73" t="s">
        <v>23</v>
      </c>
      <c r="D13" s="30">
        <v>30</v>
      </c>
      <c r="E13" s="30">
        <v>450</v>
      </c>
      <c r="F13" s="30">
        <v>400</v>
      </c>
      <c r="G13" s="30">
        <v>420</v>
      </c>
      <c r="H13" s="27">
        <f t="shared" ref="H13:H22" si="1">STDEV(E13:G13)/AVERAGE(E13:G13)</f>
        <v>5.9447515238352365E-2</v>
      </c>
      <c r="I13" s="21">
        <f t="shared" ref="I13:I22" si="2">AVERAGE(E13:G13)</f>
        <v>423.33333333333331</v>
      </c>
      <c r="J13" s="20">
        <f t="shared" ref="J13:J22" si="3">MIN(E13:G13)</f>
        <v>400</v>
      </c>
      <c r="K13" s="19">
        <f t="shared" ref="K13:K22" si="4">I13*D13</f>
        <v>12700</v>
      </c>
      <c r="L13" s="18">
        <f t="shared" ref="L13:L22" si="5">J13*D13</f>
        <v>12000</v>
      </c>
    </row>
    <row r="14" spans="1:12" ht="15.75">
      <c r="A14" s="22">
        <v>3</v>
      </c>
      <c r="B14" s="73" t="s">
        <v>22</v>
      </c>
      <c r="C14" s="73" t="s">
        <v>23</v>
      </c>
      <c r="D14" s="30">
        <v>10</v>
      </c>
      <c r="E14" s="30">
        <v>700</v>
      </c>
      <c r="F14" s="30">
        <v>650</v>
      </c>
      <c r="G14" s="30">
        <v>670</v>
      </c>
      <c r="H14" s="27">
        <f t="shared" si="1"/>
        <v>3.7375417996389847E-2</v>
      </c>
      <c r="I14" s="21">
        <f t="shared" si="2"/>
        <v>673.33333333333337</v>
      </c>
      <c r="J14" s="20">
        <f t="shared" si="3"/>
        <v>650</v>
      </c>
      <c r="K14" s="19">
        <f t="shared" si="4"/>
        <v>6733.3333333333339</v>
      </c>
      <c r="L14" s="18">
        <f t="shared" si="5"/>
        <v>6500</v>
      </c>
    </row>
    <row r="15" spans="1:12" ht="15.75" hidden="1">
      <c r="A15" s="22">
        <v>4</v>
      </c>
      <c r="B15" s="36"/>
      <c r="C15" s="37"/>
      <c r="D15" s="30"/>
      <c r="E15" s="30"/>
      <c r="F15" s="30"/>
      <c r="G15" s="30"/>
      <c r="H15" s="27" t="e">
        <f t="shared" si="1"/>
        <v>#DIV/0!</v>
      </c>
      <c r="I15" s="21" t="e">
        <f t="shared" si="2"/>
        <v>#DIV/0!</v>
      </c>
      <c r="J15" s="20">
        <f t="shared" si="3"/>
        <v>0</v>
      </c>
      <c r="K15" s="19" t="e">
        <f t="shared" si="4"/>
        <v>#DIV/0!</v>
      </c>
      <c r="L15" s="18">
        <f t="shared" si="5"/>
        <v>0</v>
      </c>
    </row>
    <row r="16" spans="1:12" ht="15.75" hidden="1">
      <c r="A16" s="22">
        <v>5</v>
      </c>
      <c r="B16" s="36"/>
      <c r="C16" s="37"/>
      <c r="D16" s="30"/>
      <c r="E16" s="30"/>
      <c r="F16" s="30"/>
      <c r="G16" s="30"/>
      <c r="H16" s="27" t="e">
        <f t="shared" si="1"/>
        <v>#DIV/0!</v>
      </c>
      <c r="I16" s="21" t="e">
        <f t="shared" si="2"/>
        <v>#DIV/0!</v>
      </c>
      <c r="J16" s="20">
        <f t="shared" si="3"/>
        <v>0</v>
      </c>
      <c r="K16" s="19" t="e">
        <f t="shared" si="4"/>
        <v>#DIV/0!</v>
      </c>
      <c r="L16" s="18">
        <f t="shared" si="5"/>
        <v>0</v>
      </c>
    </row>
    <row r="17" spans="1:16" ht="15.75" hidden="1">
      <c r="A17" s="22">
        <v>6</v>
      </c>
      <c r="B17" s="36"/>
      <c r="C17" s="37"/>
      <c r="D17" s="38"/>
      <c r="E17" s="30"/>
      <c r="F17" s="30"/>
      <c r="G17" s="30"/>
      <c r="H17" s="27" t="e">
        <f t="shared" ref="H17:H19" si="6">STDEV(E17:G17)/AVERAGE(E17:G17)</f>
        <v>#DIV/0!</v>
      </c>
      <c r="I17" s="21" t="e">
        <f t="shared" ref="I17:I19" si="7">AVERAGE(E17:G17)</f>
        <v>#DIV/0!</v>
      </c>
      <c r="J17" s="20">
        <f t="shared" ref="J17:J19" si="8">MIN(E17:G17)</f>
        <v>0</v>
      </c>
      <c r="K17" s="19" t="e">
        <f t="shared" ref="K17:K19" si="9">I17*D17</f>
        <v>#DIV/0!</v>
      </c>
      <c r="L17" s="18">
        <f t="shared" ref="L17:L19" si="10">J17*D17</f>
        <v>0</v>
      </c>
    </row>
    <row r="18" spans="1:16" ht="15.75" hidden="1">
      <c r="A18" s="22">
        <v>7</v>
      </c>
      <c r="B18" s="36"/>
      <c r="C18" s="37"/>
      <c r="D18" s="29"/>
      <c r="E18" s="30"/>
      <c r="F18" s="30"/>
      <c r="G18" s="30"/>
      <c r="H18" s="27" t="e">
        <f t="shared" si="6"/>
        <v>#DIV/0!</v>
      </c>
      <c r="I18" s="21" t="e">
        <f t="shared" si="7"/>
        <v>#DIV/0!</v>
      </c>
      <c r="J18" s="20">
        <f t="shared" si="8"/>
        <v>0</v>
      </c>
      <c r="K18" s="19" t="e">
        <f t="shared" si="9"/>
        <v>#DIV/0!</v>
      </c>
      <c r="L18" s="18">
        <f t="shared" si="10"/>
        <v>0</v>
      </c>
    </row>
    <row r="19" spans="1:16" ht="15.75" hidden="1">
      <c r="A19" s="22">
        <v>8</v>
      </c>
      <c r="B19" s="36"/>
      <c r="C19" s="37"/>
      <c r="D19" s="29"/>
      <c r="E19" s="30"/>
      <c r="F19" s="30"/>
      <c r="G19" s="30"/>
      <c r="H19" s="27" t="e">
        <f t="shared" si="6"/>
        <v>#DIV/0!</v>
      </c>
      <c r="I19" s="21" t="e">
        <f t="shared" si="7"/>
        <v>#DIV/0!</v>
      </c>
      <c r="J19" s="20">
        <f t="shared" si="8"/>
        <v>0</v>
      </c>
      <c r="K19" s="19" t="e">
        <f t="shared" si="9"/>
        <v>#DIV/0!</v>
      </c>
      <c r="L19" s="18">
        <f t="shared" si="10"/>
        <v>0</v>
      </c>
    </row>
    <row r="20" spans="1:16" ht="15.75" hidden="1">
      <c r="A20" s="22">
        <v>9</v>
      </c>
      <c r="B20" s="28"/>
      <c r="C20" s="24"/>
      <c r="D20" s="29"/>
      <c r="E20" s="25"/>
      <c r="F20" s="25"/>
      <c r="G20" s="25"/>
      <c r="H20" s="27" t="e">
        <f t="shared" si="1"/>
        <v>#DIV/0!</v>
      </c>
      <c r="I20" s="21" t="e">
        <f t="shared" si="2"/>
        <v>#DIV/0!</v>
      </c>
      <c r="J20" s="20">
        <f t="shared" si="3"/>
        <v>0</v>
      </c>
      <c r="K20" s="19" t="e">
        <f t="shared" si="4"/>
        <v>#DIV/0!</v>
      </c>
      <c r="L20" s="18">
        <f t="shared" si="5"/>
        <v>0</v>
      </c>
    </row>
    <row r="21" spans="1:16" ht="15.75" hidden="1">
      <c r="A21" s="22">
        <v>10</v>
      </c>
      <c r="B21" s="28"/>
      <c r="C21" s="24"/>
      <c r="D21" s="29"/>
      <c r="E21" s="25"/>
      <c r="F21" s="25"/>
      <c r="G21" s="25"/>
      <c r="H21" s="27" t="e">
        <f t="shared" si="1"/>
        <v>#DIV/0!</v>
      </c>
      <c r="I21" s="21" t="e">
        <f t="shared" si="2"/>
        <v>#DIV/0!</v>
      </c>
      <c r="J21" s="20">
        <f t="shared" si="3"/>
        <v>0</v>
      </c>
      <c r="K21" s="19" t="e">
        <f t="shared" si="4"/>
        <v>#DIV/0!</v>
      </c>
      <c r="L21" s="18">
        <f t="shared" si="5"/>
        <v>0</v>
      </c>
    </row>
    <row r="22" spans="1:16" ht="15.75" hidden="1">
      <c r="A22" s="22"/>
      <c r="B22" s="28"/>
      <c r="C22" s="24"/>
      <c r="D22" s="29"/>
      <c r="E22" s="25"/>
      <c r="F22" s="25"/>
      <c r="G22" s="25"/>
      <c r="H22" s="27" t="e">
        <f t="shared" si="1"/>
        <v>#DIV/0!</v>
      </c>
      <c r="I22" s="21" t="e">
        <f t="shared" si="2"/>
        <v>#DIV/0!</v>
      </c>
      <c r="J22" s="20">
        <f t="shared" si="3"/>
        <v>0</v>
      </c>
      <c r="K22" s="19" t="e">
        <f t="shared" si="4"/>
        <v>#DIV/0!</v>
      </c>
      <c r="L22" s="18">
        <f t="shared" si="5"/>
        <v>0</v>
      </c>
    </row>
    <row r="23" spans="1:16" ht="15.75" customHeight="1">
      <c r="A23" s="53" t="s">
        <v>9</v>
      </c>
      <c r="B23" s="54"/>
      <c r="C23" s="54"/>
      <c r="D23" s="54"/>
      <c r="E23" s="54"/>
      <c r="F23" s="54"/>
      <c r="G23" s="54"/>
      <c r="H23" s="54"/>
      <c r="I23" s="54"/>
      <c r="J23" s="54"/>
      <c r="K23" s="13"/>
      <c r="L23" s="13">
        <f>SUM(L12:L22)</f>
        <v>93500</v>
      </c>
      <c r="O23" s="15"/>
      <c r="P23" s="14"/>
    </row>
    <row r="24" spans="1:16">
      <c r="A24" s="32" t="s">
        <v>16</v>
      </c>
      <c r="B24" s="33"/>
      <c r="C24" s="35">
        <v>46273</v>
      </c>
      <c r="D24" s="33"/>
      <c r="E24" s="33"/>
      <c r="F24" s="33"/>
      <c r="G24" s="33"/>
      <c r="H24" s="33"/>
      <c r="I24" s="33"/>
      <c r="J24" s="33"/>
      <c r="K24" s="33"/>
      <c r="L24" s="34"/>
    </row>
    <row r="26" spans="1:16" ht="98.25" customHeight="1">
      <c r="A26" s="41" t="s">
        <v>17</v>
      </c>
      <c r="B26" s="41"/>
      <c r="C26" s="41"/>
      <c r="D26" s="41"/>
      <c r="E26" s="41"/>
      <c r="F26" s="41"/>
      <c r="G26" s="41"/>
      <c r="H26" s="39"/>
      <c r="I26" s="39"/>
      <c r="J26" s="39"/>
      <c r="K26" s="39"/>
      <c r="L26" s="39"/>
    </row>
    <row r="27" spans="1:16" ht="15.75" customHeight="1">
      <c r="A27" s="52" t="s">
        <v>18</v>
      </c>
      <c r="B27" s="52"/>
      <c r="C27" s="52"/>
      <c r="D27" s="52"/>
      <c r="E27" s="40">
        <f>L23</f>
        <v>93500</v>
      </c>
      <c r="F27" s="39" t="s">
        <v>19</v>
      </c>
      <c r="G27" s="39"/>
      <c r="H27" s="39"/>
      <c r="I27" s="39"/>
      <c r="J27" s="39"/>
      <c r="K27" s="39"/>
      <c r="L27" s="39"/>
    </row>
  </sheetData>
  <autoFilter ref="A11:L12" xr:uid="{00000000-0009-0000-0000-000000000000}"/>
  <mergeCells count="20">
    <mergeCell ref="A27:D27"/>
    <mergeCell ref="A23:J23"/>
    <mergeCell ref="K10:K11"/>
    <mergeCell ref="A8:B8"/>
    <mergeCell ref="A9:B9"/>
    <mergeCell ref="C9:L9"/>
    <mergeCell ref="C8:L8"/>
    <mergeCell ref="J10:J11"/>
    <mergeCell ref="I10:I11"/>
    <mergeCell ref="H10:H11"/>
    <mergeCell ref="A10:A11"/>
    <mergeCell ref="C10:C11"/>
    <mergeCell ref="A26:G26"/>
    <mergeCell ref="D10:D11"/>
    <mergeCell ref="B10:B11"/>
    <mergeCell ref="E10:G10"/>
    <mergeCell ref="I2:L2"/>
    <mergeCell ref="L10:L11"/>
    <mergeCell ref="A5:L5"/>
    <mergeCell ref="H3:J3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47" fitToHeight="0" orientation="landscape" horizontalDpi="180" verticalDpi="180" r:id="rId1"/>
  <colBreaks count="1" manualBreakCount="1">
    <brk id="15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7:L39"/>
  <sheetViews>
    <sheetView topLeftCell="A7" workbookViewId="0">
      <selection activeCell="K17" sqref="K17:K22"/>
    </sheetView>
  </sheetViews>
  <sheetFormatPr defaultRowHeight="15"/>
  <cols>
    <col min="9" max="9" width="27.5703125" customWidth="1"/>
  </cols>
  <sheetData>
    <row r="17" spans="9:12">
      <c r="L17" s="26"/>
    </row>
    <row r="18" spans="9:12">
      <c r="L18" s="26"/>
    </row>
    <row r="19" spans="9:12">
      <c r="I19" s="23"/>
      <c r="L19" s="26"/>
    </row>
    <row r="20" spans="9:12">
      <c r="L20" s="26"/>
    </row>
    <row r="21" spans="9:12">
      <c r="I21" s="23"/>
      <c r="L21" s="26"/>
    </row>
    <row r="22" spans="9:12">
      <c r="L22" s="26"/>
    </row>
    <row r="23" spans="9:12">
      <c r="L23" s="26"/>
    </row>
    <row r="24" spans="9:12">
      <c r="L24" s="26"/>
    </row>
    <row r="25" spans="9:12">
      <c r="L25" s="26"/>
    </row>
    <row r="26" spans="9:12">
      <c r="L26" s="26"/>
    </row>
    <row r="27" spans="9:12">
      <c r="L27" s="26"/>
    </row>
    <row r="28" spans="9:12">
      <c r="L28" s="26"/>
    </row>
    <row r="29" spans="9:12">
      <c r="L29" s="26"/>
    </row>
    <row r="30" spans="9:12">
      <c r="L30" s="26"/>
    </row>
    <row r="31" spans="9:12">
      <c r="L31" s="26"/>
    </row>
    <row r="32" spans="9:12">
      <c r="L32" s="26"/>
    </row>
    <row r="33" spans="12:12">
      <c r="L33" s="26"/>
    </row>
    <row r="34" spans="12:12">
      <c r="L34" s="26"/>
    </row>
    <row r="35" spans="12:12">
      <c r="L35" s="26"/>
    </row>
    <row r="36" spans="12:12">
      <c r="L36" s="26"/>
    </row>
    <row r="37" spans="12:12">
      <c r="L37" s="26"/>
    </row>
    <row r="38" spans="12:12">
      <c r="L38" s="26"/>
    </row>
    <row r="39" spans="12:12">
      <c r="L39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2026-09-08T09:00:09Z</dcterms:modified>
</cp:coreProperties>
</file>