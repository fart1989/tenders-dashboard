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Управление закупок\Отдел закупок\Общая только отдела\Работа\Закупки\2026\0014-РЕМ ДОХ-2027-ГРВКК-СарФ ЗК поставка стальных бесшовн труб\Публикация\"/>
    </mc:Choice>
  </mc:AlternateContent>
  <bookViews>
    <workbookView xWindow="0" yWindow="0" windowWidth="16380" windowHeight="8190" tabRatio="500"/>
  </bookViews>
  <sheets>
    <sheet name="Комм. предл. и Структура НМЦ" sheetId="1" r:id="rId1"/>
    <sheet name="Справочники" sheetId="2" state="hidden" r:id="rId2"/>
  </sheets>
  <definedNames>
    <definedName name="_xlnm.Print_Area" localSheetId="0">'Комм. предл. и Структура НМЦ'!$A$1:$Z$48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9" i="1" l="1"/>
  <c r="Z27" i="1" l="1"/>
  <c r="Z29" i="1" s="1"/>
  <c r="Z26" i="1"/>
  <c r="K26" i="1"/>
  <c r="G26" i="1"/>
  <c r="M26" i="1" s="1"/>
  <c r="F26" i="1"/>
  <c r="E26" i="1"/>
  <c r="D26" i="1"/>
  <c r="C26" i="1"/>
  <c r="Z25" i="1"/>
  <c r="K25" i="1"/>
  <c r="G25" i="1"/>
  <c r="M25" i="1" s="1"/>
  <c r="F25" i="1"/>
  <c r="E25" i="1"/>
  <c r="D25" i="1"/>
  <c r="C25" i="1"/>
  <c r="Z24" i="1"/>
  <c r="K24" i="1"/>
  <c r="G24" i="1"/>
  <c r="M24" i="1" s="1"/>
  <c r="F24" i="1"/>
  <c r="E24" i="1"/>
  <c r="D24" i="1"/>
  <c r="C24" i="1"/>
  <c r="Z23" i="1"/>
  <c r="K23" i="1"/>
  <c r="G23" i="1"/>
  <c r="M23" i="1" s="1"/>
  <c r="F23" i="1"/>
  <c r="E23" i="1"/>
  <c r="D23" i="1"/>
  <c r="C23" i="1"/>
  <c r="Z22" i="1"/>
  <c r="K22" i="1"/>
  <c r="G22" i="1"/>
  <c r="M22" i="1" s="1"/>
  <c r="F22" i="1"/>
  <c r="E22" i="1"/>
  <c r="D22" i="1"/>
  <c r="C22" i="1"/>
  <c r="Z21" i="1"/>
  <c r="M21" i="1"/>
  <c r="K21" i="1"/>
  <c r="G21" i="1"/>
  <c r="F21" i="1"/>
  <c r="E21" i="1"/>
  <c r="D21" i="1"/>
  <c r="C21" i="1"/>
  <c r="Z20" i="1"/>
  <c r="M20" i="1"/>
  <c r="K20" i="1"/>
  <c r="G20" i="1"/>
  <c r="F20" i="1"/>
  <c r="E20" i="1"/>
  <c r="D20" i="1"/>
  <c r="C20" i="1"/>
  <c r="Z19" i="1"/>
  <c r="M19" i="1"/>
  <c r="K19" i="1"/>
  <c r="F19" i="1"/>
  <c r="E19" i="1"/>
  <c r="D19" i="1"/>
  <c r="C19" i="1"/>
  <c r="Z18" i="1"/>
  <c r="K18" i="1"/>
  <c r="G18" i="1"/>
  <c r="M18" i="1" s="1"/>
  <c r="F18" i="1"/>
  <c r="E18" i="1"/>
  <c r="D18" i="1"/>
  <c r="C18" i="1"/>
  <c r="Z17" i="1"/>
  <c r="K17" i="1"/>
  <c r="G17" i="1"/>
  <c r="M17" i="1" s="1"/>
  <c r="F17" i="1"/>
  <c r="E17" i="1"/>
  <c r="D17" i="1"/>
  <c r="C17" i="1"/>
  <c r="Z16" i="1"/>
  <c r="K16" i="1"/>
  <c r="G16" i="1"/>
  <c r="M16" i="1" s="1"/>
  <c r="F16" i="1"/>
  <c r="E16" i="1"/>
  <c r="D16" i="1"/>
  <c r="C16" i="1"/>
  <c r="Z15" i="1"/>
  <c r="K15" i="1"/>
  <c r="G15" i="1"/>
  <c r="M15" i="1" s="1"/>
  <c r="M27" i="1" s="1"/>
  <c r="F15" i="1"/>
  <c r="E15" i="1"/>
  <c r="D15" i="1"/>
  <c r="C15" i="1"/>
  <c r="M28" i="1" l="1"/>
  <c r="M29" i="1" s="1"/>
</calcChain>
</file>

<file path=xl/sharedStrings.xml><?xml version="1.0" encoding="utf-8"?>
<sst xmlns="http://schemas.openxmlformats.org/spreadsheetml/2006/main" count="143" uniqueCount="72">
  <si>
    <t>Приложение 1 к Письму о подаче оферты</t>
  </si>
  <si>
    <t>от «___» __________ 202__ г. № _____</t>
  </si>
  <si>
    <t>КОММЕРЧЕСКОЕ ПРЕДЛОЖЕНИЕ</t>
  </si>
  <si>
    <t>СТРУКТУРА НМЦ</t>
  </si>
  <si>
    <t>Наименование Участника:</t>
  </si>
  <si>
    <t>ИНН Участника:</t>
  </si>
  <si>
    <t>Предмет договора:</t>
  </si>
  <si>
    <t>№
п/п</t>
  </si>
  <si>
    <t>Наименование
продукции
(товара, работы, услуги)</t>
  </si>
  <si>
    <t>Применение законодательства
о национальном режиме (ст. 3.1-4 Закона 223-ФЗ, ПП 1875)</t>
  </si>
  <si>
    <t>Единица
измерения</t>
  </si>
  <si>
    <t>Закупаемое
количество</t>
  </si>
  <si>
    <t>Страна происхождения предлагаемого товара /
страна регистрации лица выполняющего работу, оказывающего услугу</t>
  </si>
  <si>
    <r>
      <rPr>
        <b/>
        <sz val="12"/>
        <color rgb="FF000000"/>
        <rFont val="Times New Roman"/>
        <family val="1"/>
        <charset val="1"/>
      </rPr>
      <t xml:space="preserve">Наименование реестра и
номер реестровой записи
</t>
    </r>
    <r>
      <rPr>
        <sz val="12"/>
        <color rgb="FF767171"/>
        <rFont val="Times New Roman"/>
        <family val="1"/>
        <charset val="1"/>
      </rPr>
      <t>(</t>
    </r>
    <r>
      <rPr>
        <i/>
        <sz val="12"/>
        <color rgb="FF767171"/>
        <rFont val="Times New Roman"/>
        <family val="1"/>
        <charset val="1"/>
      </rPr>
      <t>указывается обязательно при "запрете или ограничении", а также при "минимальной обязательной доле закупок товаров российского происхождения")</t>
    </r>
  </si>
  <si>
    <t>Производитель продукции</t>
  </si>
  <si>
    <r>
      <rPr>
        <b/>
        <sz val="12"/>
        <color rgb="FF000000"/>
        <rFont val="Times New Roman"/>
        <family val="1"/>
        <charset val="1"/>
      </rPr>
      <t xml:space="preserve">НМЦ единицы закупаемой продукции,
руб. без НДС
</t>
    </r>
    <r>
      <rPr>
        <b/>
        <i/>
        <sz val="12"/>
        <color rgb="FF000000"/>
        <rFont val="Times New Roman"/>
        <family val="1"/>
        <charset val="1"/>
      </rPr>
      <t>(опционально)</t>
    </r>
  </si>
  <si>
    <t>Предлагаемая цена одной единицы продукции,
руб. без НДС</t>
  </si>
  <si>
    <t>Итоговая стоимость позиции,
руб. без НДС</t>
  </si>
  <si>
    <t>Наименование
закупаемой продукции
(товара, работы, услуги)</t>
  </si>
  <si>
    <t>Применение законодательств
о национальном режиме (ст. 3.1-4 Закона 223-ФЗ, ПП 1875)</t>
  </si>
  <si>
    <t>Код ОКПД 2
закупаемой продукции
(товара, работы, услуги)</t>
  </si>
  <si>
    <r>
      <rPr>
        <b/>
        <sz val="12"/>
        <color rgb="FF000000"/>
        <rFont val="Times New Roman"/>
        <family val="1"/>
        <charset val="1"/>
      </rPr>
      <t xml:space="preserve">Сведения, которые должны быть представлены Участником
в Коммерческом предложении
для подтверждения соответствия установленным требованиям в части применения законодательства
о национальном режиме 
</t>
    </r>
    <r>
      <rPr>
        <i/>
        <sz val="12"/>
        <color rgb="FF767171"/>
        <rFont val="Times New Roman"/>
        <family val="1"/>
        <charset val="1"/>
      </rPr>
      <t>(номера столбцов, которые должны быть заполнены в Коммерческом предложении)</t>
    </r>
  </si>
  <si>
    <t>Примечание*</t>
  </si>
  <si>
    <t>НМЦ по позиции продукции,
руб. без НДС</t>
  </si>
  <si>
    <t>…</t>
  </si>
  <si>
    <t>1.</t>
  </si>
  <si>
    <t>Трубы стальные бесшовные горячедеформированные, наружный диаметр 108 мм., толщина стенки 6 мм. (Ст. 20,) ГОСТ 8732-78</t>
  </si>
  <si>
    <t>Национальный режим предоставляется</t>
  </si>
  <si>
    <t>24.20.13.110</t>
  </si>
  <si>
    <t>м</t>
  </si>
  <si>
    <t>не применимо</t>
  </si>
  <si>
    <t xml:space="preserve"> -</t>
  </si>
  <si>
    <t>2.</t>
  </si>
  <si>
    <t>Трубы стальные бесшовные горячедеформированные, наружный диаметр 219 мм., толщина стенки 8 мм. (Ст. 20), ГОСТ 8732-78</t>
  </si>
  <si>
    <t>3.</t>
  </si>
  <si>
    <t>Трубы стальные бесшовные горячедеформированные, наружный диаметр 325 мм., толщина стенки 10 мм. (Ст. 20), ГОСТ 8732-78</t>
  </si>
  <si>
    <t>4.</t>
  </si>
  <si>
    <t>Трубы стальные бесшовные горячедеформированные, наружный диаметр 57 мм., толщина стенки 5 мм. (Ст. 20), ГОСТ 8732-78</t>
  </si>
  <si>
    <t>5.</t>
  </si>
  <si>
    <t>6.</t>
  </si>
  <si>
    <t>Трубы стальные бесшовные горячедеформированные, наружный диаметр 57 мм., толщина стенки 6 мм. (Ст.. 20), ГОСТ 8732-78</t>
  </si>
  <si>
    <t>7.</t>
  </si>
  <si>
    <t>Трубы стальные бесшовные горячедеформированные, наружный диаметр 76 мм., толщина стенки 4 мм. (Ст. 20), ГОСТ 8732-78</t>
  </si>
  <si>
    <t>8.</t>
  </si>
  <si>
    <t>Трубы стальные бесшовные горячедеформированные, наружный диаметр 89 мм., толщина стенки 5 мм.(Ст. 20), ГОСТ 8732-78</t>
  </si>
  <si>
    <t>9.</t>
  </si>
  <si>
    <t>Трубы стальные бесшовные горячедеформированные, наружный диаметр 89 мм, толщина стенки 4 мм .(Ст. 20,) ,ГОСТ 8732-78</t>
  </si>
  <si>
    <t>10.</t>
  </si>
  <si>
    <t>Труба бесшовная горячедеформированная из углеродистой стали ГОСТ 8732-78, наружным диаметром:159 мм, толщина стенки 5,0 мм. Ст.20.</t>
  </si>
  <si>
    <t>11.</t>
  </si>
  <si>
    <t>Труба бесшовная горячедеформированная из углеродистой стали ГОСТ 8732-78, наружным диаметром:57 мм, толщина стенки 3,0 мм. Ст.20.</t>
  </si>
  <si>
    <t>12.</t>
  </si>
  <si>
    <t>Труба бесшовная горячедеформированная из углеродистой стали ГОСТ 8732-78, наружным диаметром:89 мм, толщина стенки 3,5 мм. Ст.20.</t>
  </si>
  <si>
    <t>Стоимость заявки (цена Договора):</t>
  </si>
  <si>
    <t>Итого без НДС:</t>
  </si>
  <si>
    <t>НМЦ:</t>
  </si>
  <si>
    <t>Кроме того, НДС:</t>
  </si>
  <si>
    <t>Итого с НДС:</t>
  </si>
  <si>
    <t>* Если в столбце 8 в отношении закупаемой продукции (с применяемой защитной мерой "Ограничение") указано "Товар отсутствует в реестре" – это означает, что закупаемый товар с характеристиками, соответствующими потребностям Заказчика, отсутствует в Реестре российской промышленной продукции. При заполнении формы Коммерческого предложения в отношении такого товара Участник должен указать наименование страны происхождения предлагаемого товара (без указания номера реестровой записи), за исключением случая, если Участником предлагается к поставке товар, который по состоянию на момент подачи заявки на участие в закупке включен в Реестр российской промышленной продукции (необходимо заполнить соответствующим образом столбцы 6 и 7 Коммерческого предложения).</t>
  </si>
  <si>
    <t>(должность подписавшего)</t>
  </si>
  <si>
    <t>(подпись)</t>
  </si>
  <si>
    <t>М.П.</t>
  </si>
  <si>
    <t>(И.О. Фамилия)</t>
  </si>
  <si>
    <r>
      <rPr>
        <i/>
        <sz val="12"/>
        <color rgb="FF000000"/>
        <rFont val="Times New Roman"/>
        <family val="1"/>
        <charset val="1"/>
      </rPr>
      <t>[Участник заполняет ячейки, в том числе ячейк</t>
    </r>
    <r>
      <rPr>
        <i/>
        <sz val="12"/>
        <rFont val="Times New Roman"/>
        <family val="1"/>
        <charset val="204"/>
      </rPr>
      <t>и в столбцах 6 и 7 (в соответствии с требованиями столбца 7 Структуры НМЦ), 8, 10,</t>
    </r>
    <r>
      <rPr>
        <i/>
        <sz val="12"/>
        <color rgb="FF000000"/>
        <rFont val="Times New Roman"/>
        <family val="1"/>
        <charset val="1"/>
      </rPr>
      <t xml:space="preserve"> подсвеченные </t>
    </r>
    <r>
      <rPr>
        <i/>
        <sz val="12"/>
        <color rgb="FF70AD47"/>
        <rFont val="Times New Roman"/>
        <family val="1"/>
        <charset val="1"/>
      </rPr>
      <t>светло-зеленым</t>
    </r>
    <r>
      <rPr>
        <i/>
        <sz val="12"/>
        <color rgb="FF000000"/>
        <rFont val="Times New Roman"/>
        <family val="1"/>
        <charset val="1"/>
      </rPr>
      <t xml:space="preserve"> цветом</t>
    </r>
    <r>
      <rPr>
        <i/>
        <sz val="12"/>
        <rFont val="Times New Roman"/>
        <family val="1"/>
        <charset val="1"/>
      </rPr>
      <t>. 
Страна происхождения предлагаемого товара / страна регистрации лица выполняющего работу, оказывающего услугу заполняется в соответствии с общероссийским классификатором стран мира.
В столбце 7 при необходимости указывается наименование соответствующего реестра (Реестр российской промышленной продукции; Реестр промышленных товаров государств – членов Евразийского экономического союза, за исключением Российской Федерации; Единый реестр российских программ для электронных вычислительных машин и баз данных; Единый реестр программ для электронных вычислительных машин и баз данных из государств – членов Евразийского экономического союза, за исключением Рос</t>
    </r>
    <r>
      <rPr>
        <i/>
        <sz val="12"/>
        <color rgb="FF000000"/>
        <rFont val="Times New Roman"/>
        <family val="1"/>
        <charset val="1"/>
      </rPr>
      <t xml:space="preserve">сийской Федерации) и номер реестровой записи.
</t>
    </r>
    <r>
      <rPr>
        <i/>
        <u/>
        <sz val="12"/>
        <color rgb="FF000000"/>
        <rFont val="Times New Roman"/>
        <family val="1"/>
        <charset val="204"/>
      </rPr>
      <t xml:space="preserve">
Примечание</t>
    </r>
    <r>
      <rPr>
        <b/>
        <i/>
        <sz val="12"/>
        <color rgb="FF000000"/>
        <rFont val="Times New Roman"/>
        <family val="1"/>
        <charset val="204"/>
      </rPr>
      <t>:</t>
    </r>
    <r>
      <rPr>
        <i/>
        <sz val="12"/>
        <color rgb="FF000000"/>
        <rFont val="Times New Roman"/>
        <family val="1"/>
        <charset val="1"/>
      </rPr>
      <t xml:space="preserve"> если в столбце 8 Структуры НМЦ указано "Товар не в реестре" – это означает, что закупаемый товар с характеристиками, соответствующими потребностям Заказчика, отсутствует в реестре российской промышленной продукции. При заполнении формы Коммерческого предложения в отношении такого товара Участник указывает в столбце 6 наименование страны происхождения предлагаемого товара (без заполнения соответствующей ячейки столбца 7), за исключением случая, если Участником предлагается к поставке товар, который по состоянию на момент подачи заявки на участие в закупке включен в реестр российской промышленной продукции (необходимо заполнить соответствующим образом ячейки столбцов 6 и 7).
В столбце 10 при необходимости указать коррективную ставку НДС в процентах]
</t>
    </r>
    <r>
      <rPr>
        <b/>
        <i/>
        <u/>
        <sz val="13"/>
        <color rgb="FF000000"/>
        <rFont val="Times New Roman"/>
        <family val="1"/>
        <charset val="204"/>
      </rPr>
      <t xml:space="preserve">ВНИМАНИЕ: </t>
    </r>
    <r>
      <rPr>
        <i/>
        <u/>
        <sz val="13"/>
        <color rgb="FF000000"/>
        <rFont val="Times New Roman"/>
        <family val="1"/>
        <charset val="204"/>
      </rPr>
      <t>указание Участником в Коммерческом предложении кодов ОКПД 2 не требуется. Предлагаемая к поставке продукция должна соответствовать кодам ОКПД 2, указанным в столбце 4 Структуры НМЦ (данные коды будут перенесены в заключаемый по результатам закупки договор).</t>
    </r>
  </si>
  <si>
    <t>Национальный режим не предоставляется – запрет</t>
  </si>
  <si>
    <t>Национальный режим не предоставляется – ограничение</t>
  </si>
  <si>
    <t>Национальный режим не предоставляется – преимущество</t>
  </si>
  <si>
    <t>Национальный режим не предоставляется – минимальная обязательная доля</t>
  </si>
  <si>
    <t>столбцы 6, 7</t>
  </si>
  <si>
    <t>столбец 6, столбец 7 (при наличии информации)</t>
  </si>
  <si>
    <t>Требования к подтверждающим документам установлены в Технических требованиях</t>
  </si>
  <si>
    <t>Товар отсутствует в реестре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</si>
</sst>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0"/>
      <color rgb="FF000000"/>
      <name val="PT Mono"/>
      <family val="2"/>
      <charset val="204"/>
    </font>
    <font>
      <sz val="12"/>
      <color rgb="FF000000"/>
      <name val="Times New Roman"/>
      <family val="1"/>
      <charset val="1"/>
    </font>
    <font>
      <i/>
      <sz val="12"/>
      <color rgb="FF000000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sz val="12"/>
      <color rgb="FF767171"/>
      <name val="Times New Roman"/>
      <family val="1"/>
      <charset val="1"/>
    </font>
    <font>
      <i/>
      <sz val="12"/>
      <color rgb="FF767171"/>
      <name val="Times New Roman"/>
      <family val="1"/>
      <charset val="1"/>
    </font>
    <font>
      <b/>
      <i/>
      <sz val="12"/>
      <color rgb="FF000000"/>
      <name val="Times New Roman"/>
      <family val="1"/>
      <charset val="1"/>
    </font>
    <font>
      <b/>
      <i/>
      <sz val="12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2"/>
      <name val="Times New Roman"/>
      <family val="1"/>
      <charset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  <charset val="204"/>
    </font>
    <font>
      <i/>
      <sz val="10"/>
      <color rgb="FF000000"/>
      <name val="Times New Roman"/>
      <family val="1"/>
      <charset val="1"/>
    </font>
    <font>
      <i/>
      <sz val="12"/>
      <name val="Times New Roman"/>
      <family val="1"/>
      <charset val="204"/>
    </font>
    <font>
      <i/>
      <sz val="12"/>
      <color rgb="FF70AD47"/>
      <name val="Times New Roman"/>
      <family val="1"/>
      <charset val="1"/>
    </font>
    <font>
      <i/>
      <sz val="12"/>
      <name val="Times New Roman"/>
      <family val="1"/>
      <charset val="1"/>
    </font>
    <font>
      <i/>
      <u/>
      <sz val="12"/>
      <color rgb="FF000000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b/>
      <i/>
      <u/>
      <sz val="13"/>
      <color rgb="FF000000"/>
      <name val="Times New Roman"/>
      <family val="1"/>
      <charset val="204"/>
    </font>
    <font>
      <i/>
      <u/>
      <sz val="13"/>
      <color rgb="FF000000"/>
      <name val="Times New Roman"/>
      <family val="1"/>
      <charset val="204"/>
    </font>
    <font>
      <sz val="10"/>
      <color rgb="FF000000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E2F0D9"/>
      </patternFill>
    </fill>
    <fill>
      <patternFill patternType="solid">
        <fgColor rgb="FFE2F0D9"/>
        <bgColor rgb="FFFBE5D6"/>
      </patternFill>
    </fill>
    <fill>
      <patternFill patternType="solid">
        <fgColor rgb="FFFBE5D6"/>
        <bgColor rgb="FFE2F0D9"/>
      </patternFill>
    </fill>
    <fill>
      <patternFill patternType="solid">
        <fgColor rgb="FFD0CECE"/>
        <bgColor rgb="FFCCCCFF"/>
      </patternFill>
    </fill>
  </fills>
  <borders count="17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 applyProtection="1">
      <alignment horizontal="left" vertical="top"/>
      <protection locked="0"/>
    </xf>
    <xf numFmtId="0" fontId="2" fillId="2" borderId="0" xfId="0" applyFont="1" applyFill="1" applyAlignment="1" applyProtection="1">
      <alignment vertical="top" wrapText="1"/>
      <protection locked="0"/>
    </xf>
    <xf numFmtId="0" fontId="1" fillId="0" borderId="1" xfId="0" applyFont="1" applyBorder="1" applyAlignment="1">
      <alignment vertical="top"/>
    </xf>
    <xf numFmtId="0" fontId="1" fillId="2" borderId="0" xfId="0" applyFont="1" applyFill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6" xfId="0" applyFont="1" applyBorder="1" applyAlignment="1">
      <alignment horizontal="left" vertical="top"/>
    </xf>
    <xf numFmtId="0" fontId="1" fillId="3" borderId="0" xfId="0" applyFont="1" applyFill="1" applyAlignment="1" applyProtection="1">
      <alignment vertical="top"/>
      <protection locked="0"/>
    </xf>
    <xf numFmtId="0" fontId="3" fillId="0" borderId="9" xfId="0" applyFont="1" applyBorder="1" applyAlignment="1">
      <alignment horizontal="center" vertical="top" wrapText="1"/>
    </xf>
    <xf numFmtId="0" fontId="3" fillId="0" borderId="9" xfId="0" applyFont="1" applyBorder="1" applyAlignment="1" applyProtection="1">
      <alignment horizontal="center" vertical="top" wrapText="1"/>
      <protection locked="0"/>
    </xf>
    <xf numFmtId="0" fontId="3" fillId="4" borderId="9" xfId="0" applyFont="1" applyFill="1" applyBorder="1" applyAlignment="1" applyProtection="1">
      <alignment horizontal="center" vertical="top" wrapText="1"/>
      <protection locked="0"/>
    </xf>
    <xf numFmtId="0" fontId="6" fillId="0" borderId="9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6" fillId="0" borderId="9" xfId="0" applyFont="1" applyBorder="1" applyAlignment="1" applyProtection="1">
      <alignment horizontal="center" vertical="top"/>
      <protection locked="0"/>
    </xf>
    <xf numFmtId="0" fontId="6" fillId="4" borderId="9" xfId="0" applyFont="1" applyFill="1" applyBorder="1" applyAlignment="1" applyProtection="1">
      <alignment horizontal="center" vertical="top"/>
      <protection locked="0"/>
    </xf>
    <xf numFmtId="0" fontId="1" fillId="0" borderId="5" xfId="0" applyFont="1" applyBorder="1" applyAlignment="1" applyProtection="1">
      <alignment horizontal="left" vertical="top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left" vertical="center" wrapText="1"/>
      <protection locked="0"/>
    </xf>
    <xf numFmtId="0" fontId="1" fillId="2" borderId="9" xfId="0" applyFont="1" applyFill="1" applyBorder="1" applyAlignment="1" applyProtection="1">
      <alignment horizontal="left" vertical="center"/>
      <protection locked="0"/>
    </xf>
    <xf numFmtId="49" fontId="1" fillId="3" borderId="9" xfId="0" applyNumberFormat="1" applyFont="1" applyFill="1" applyBorder="1" applyAlignment="1" applyProtection="1">
      <alignment horizontal="center" vertical="center"/>
      <protection locked="0"/>
    </xf>
    <xf numFmtId="49" fontId="1" fillId="3" borderId="9" xfId="0" applyNumberFormat="1" applyFont="1" applyFill="1" applyBorder="1" applyAlignment="1" applyProtection="1">
      <alignment horizontal="left" vertical="center"/>
      <protection locked="0"/>
    </xf>
    <xf numFmtId="4" fontId="1" fillId="0" borderId="9" xfId="0" applyNumberFormat="1" applyFont="1" applyBorder="1" applyAlignment="1" applyProtection="1">
      <alignment horizontal="right" vertical="center"/>
      <protection locked="0"/>
    </xf>
    <xf numFmtId="0" fontId="1" fillId="0" borderId="6" xfId="0" applyFont="1" applyBorder="1" applyAlignment="1" applyProtection="1">
      <alignment horizontal="left" vertical="top"/>
      <protection locked="0"/>
    </xf>
    <xf numFmtId="0" fontId="8" fillId="0" borderId="10" xfId="0" applyFont="1" applyBorder="1" applyAlignment="1" applyProtection="1">
      <alignment horizontal="left" vertical="center" wrapText="1"/>
    </xf>
    <xf numFmtId="0" fontId="1" fillId="0" borderId="9" xfId="0" applyFont="1" applyBorder="1" applyAlignment="1" applyProtection="1">
      <alignment horizontal="left" vertical="center"/>
      <protection locked="0"/>
    </xf>
    <xf numFmtId="0" fontId="8" fillId="0" borderId="11" xfId="0" applyFont="1" applyBorder="1" applyAlignment="1" applyProtection="1">
      <alignment horizontal="center" vertical="center" wrapText="1"/>
    </xf>
    <xf numFmtId="0" fontId="9" fillId="0" borderId="10" xfId="0" applyFont="1" applyBorder="1" applyAlignment="1" applyProtection="1">
      <alignment horizontal="center" vertical="center" wrapText="1"/>
    </xf>
    <xf numFmtId="3" fontId="1" fillId="0" borderId="9" xfId="0" applyNumberFormat="1" applyFont="1" applyBorder="1" applyAlignment="1" applyProtection="1">
      <alignment horizontal="center" vertical="center"/>
      <protection locked="0"/>
    </xf>
    <xf numFmtId="0" fontId="10" fillId="4" borderId="9" xfId="0" applyFont="1" applyFill="1" applyBorder="1" applyAlignment="1" applyProtection="1">
      <alignment horizontal="center" vertical="center" wrapText="1"/>
      <protection locked="0"/>
    </xf>
    <xf numFmtId="4" fontId="1" fillId="0" borderId="8" xfId="0" applyNumberFormat="1" applyFont="1" applyBorder="1" applyAlignment="1">
      <alignment horizontal="center" vertical="center"/>
    </xf>
    <xf numFmtId="0" fontId="11" fillId="0" borderId="10" xfId="0" applyFont="1" applyBorder="1" applyAlignment="1" applyProtection="1">
      <alignment horizontal="left" vertical="center" wrapText="1"/>
    </xf>
    <xf numFmtId="0" fontId="10" fillId="0" borderId="10" xfId="0" applyFont="1" applyBorder="1" applyAlignment="1" applyProtection="1">
      <alignment horizontal="left" vertical="top" wrapText="1"/>
    </xf>
    <xf numFmtId="0" fontId="11" fillId="0" borderId="10" xfId="0" applyFont="1" applyBorder="1" applyAlignment="1" applyProtection="1">
      <alignment horizontal="left" vertical="top" wrapText="1"/>
    </xf>
    <xf numFmtId="4" fontId="1" fillId="0" borderId="9" xfId="0" applyNumberFormat="1" applyFont="1" applyBorder="1" applyAlignment="1" applyProtection="1">
      <alignment horizontal="center" vertical="center"/>
      <protection locked="0"/>
    </xf>
    <xf numFmtId="4" fontId="3" fillId="0" borderId="9" xfId="0" applyNumberFormat="1" applyFont="1" applyBorder="1" applyAlignment="1">
      <alignment horizontal="right" vertical="center"/>
    </xf>
    <xf numFmtId="0" fontId="3" fillId="0" borderId="8" xfId="0" applyFont="1" applyBorder="1" applyAlignment="1" applyProtection="1">
      <alignment horizontal="left" vertical="center"/>
      <protection locked="0"/>
    </xf>
    <xf numFmtId="0" fontId="3" fillId="0" borderId="13" xfId="0" applyFont="1" applyBorder="1" applyAlignment="1" applyProtection="1">
      <alignment horizontal="left" vertical="center"/>
      <protection locked="0"/>
    </xf>
    <xf numFmtId="4" fontId="3" fillId="0" borderId="9" xfId="0" applyNumberFormat="1" applyFont="1" applyBorder="1" applyAlignment="1" applyProtection="1">
      <alignment horizontal="right" vertical="center"/>
      <protection locked="0"/>
    </xf>
    <xf numFmtId="9" fontId="3" fillId="3" borderId="9" xfId="0" applyNumberFormat="1" applyFont="1" applyFill="1" applyBorder="1" applyAlignment="1">
      <alignment horizontal="center" vertical="center"/>
    </xf>
    <xf numFmtId="9" fontId="3" fillId="0" borderId="9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top"/>
    </xf>
    <xf numFmtId="0" fontId="1" fillId="3" borderId="7" xfId="0" applyFont="1" applyFill="1" applyBorder="1" applyAlignment="1" applyProtection="1">
      <alignment horizontal="center" vertical="top"/>
      <protection locked="0"/>
    </xf>
    <xf numFmtId="0" fontId="1" fillId="2" borderId="0" xfId="0" applyFont="1" applyFill="1" applyAlignment="1" applyProtection="1">
      <alignment horizontal="center" vertical="top"/>
      <protection locked="0"/>
    </xf>
    <xf numFmtId="0" fontId="13" fillId="0" borderId="14" xfId="0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21" fillId="0" borderId="0" xfId="0" applyFont="1"/>
    <xf numFmtId="0" fontId="1" fillId="0" borderId="0" xfId="0" applyFont="1" applyAlignment="1">
      <alignment horizontal="left" vertical="top" wrapText="1"/>
    </xf>
    <xf numFmtId="0" fontId="1" fillId="3" borderId="7" xfId="0" applyFont="1" applyFill="1" applyBorder="1" applyAlignment="1" applyProtection="1">
      <alignment horizontal="left" vertical="top"/>
      <protection locked="0"/>
    </xf>
    <xf numFmtId="0" fontId="13" fillId="0" borderId="14" xfId="0" applyFont="1" applyBorder="1" applyAlignment="1">
      <alignment horizontal="center" vertical="top"/>
    </xf>
    <xf numFmtId="0" fontId="12" fillId="2" borderId="0" xfId="0" applyFont="1" applyFill="1" applyBorder="1" applyAlignment="1" applyProtection="1">
      <alignment horizontal="left" vertical="top" wrapText="1"/>
      <protection locked="0"/>
    </xf>
    <xf numFmtId="0" fontId="2" fillId="5" borderId="0" xfId="0" applyFont="1" applyFill="1" applyBorder="1" applyAlignment="1">
      <alignment horizontal="left" vertical="top" wrapText="1"/>
    </xf>
    <xf numFmtId="0" fontId="3" fillId="0" borderId="9" xfId="0" applyFont="1" applyBorder="1" applyAlignment="1">
      <alignment horizontal="left" vertical="center"/>
    </xf>
    <xf numFmtId="0" fontId="3" fillId="0" borderId="12" xfId="0" applyFont="1" applyBorder="1" applyAlignment="1" applyProtection="1">
      <alignment horizontal="right" vertical="center"/>
      <protection locked="0"/>
    </xf>
    <xf numFmtId="0" fontId="12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top"/>
    </xf>
    <xf numFmtId="0" fontId="1" fillId="3" borderId="8" xfId="0" applyFont="1" applyFill="1" applyBorder="1" applyAlignment="1" applyProtection="1">
      <alignment horizontal="left" vertical="top"/>
      <protection locked="0"/>
    </xf>
    <xf numFmtId="0" fontId="3" fillId="0" borderId="9" xfId="0" applyFont="1" applyBorder="1" applyAlignment="1">
      <alignment horizontal="right" vertical="center"/>
    </xf>
    <xf numFmtId="0" fontId="2" fillId="2" borderId="0" xfId="0" applyFont="1" applyFill="1" applyBorder="1" applyAlignment="1" applyProtection="1">
      <alignment horizontal="left" vertical="top" wrapText="1"/>
      <protection locked="0"/>
    </xf>
    <xf numFmtId="0" fontId="2" fillId="2" borderId="0" xfId="0" applyFont="1" applyFill="1" applyBorder="1" applyAlignment="1" applyProtection="1">
      <alignment horizontal="center" vertical="top" wrapText="1"/>
      <protection locked="0"/>
    </xf>
    <xf numFmtId="0" fontId="3" fillId="0" borderId="0" xfId="0" applyFont="1" applyBorder="1" applyAlignment="1">
      <alignment horizontal="center" vertical="top"/>
    </xf>
    <xf numFmtId="0" fontId="1" fillId="2" borderId="9" xfId="0" applyFont="1" applyFill="1" applyBorder="1" applyAlignment="1" applyProtection="1">
      <alignment horizontal="center" vertical="center"/>
      <protection locked="0"/>
    </xf>
    <xf numFmtId="4" fontId="1" fillId="0" borderId="9" xfId="0" applyNumberFormat="1" applyFont="1" applyBorder="1" applyAlignment="1">
      <alignment horizontal="center" vertical="center"/>
    </xf>
    <xf numFmtId="4" fontId="1" fillId="3" borderId="9" xfId="0" applyNumberFormat="1" applyFont="1" applyFill="1" applyBorder="1" applyAlignment="1" applyProtection="1">
      <alignment horizontal="center" vertical="center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67171"/>
      <rgbColor rgb="FFA6A6A6"/>
      <rgbColor rgb="FF002060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A47"/>
  <sheetViews>
    <sheetView showGridLines="0" tabSelected="1" view="pageBreakPreview" topLeftCell="A10" zoomScale="55" zoomScaleNormal="70" zoomScaleSheetLayoutView="55" zoomScalePageLayoutView="83" workbookViewId="0">
      <selection activeCell="G20" sqref="G20"/>
    </sheetView>
  </sheetViews>
  <sheetFormatPr defaultColWidth="18.5703125" defaultRowHeight="15.75"/>
  <cols>
    <col min="1" max="2" width="4.5703125" style="1" customWidth="1"/>
    <col min="3" max="3" width="6.5703125" style="1" customWidth="1"/>
    <col min="4" max="4" width="46.85546875" style="1" customWidth="1"/>
    <col min="5" max="5" width="44.28515625" style="1" customWidth="1"/>
    <col min="6" max="7" width="14.5703125" style="1" customWidth="1"/>
    <col min="8" max="8" width="27.85546875" style="1" customWidth="1"/>
    <col min="9" max="9" width="40.5703125" style="1" customWidth="1"/>
    <col min="10" max="10" width="28.85546875" style="1" customWidth="1"/>
    <col min="11" max="13" width="18.5703125" style="1"/>
    <col min="14" max="16" width="4.5703125" style="1" customWidth="1"/>
    <col min="17" max="17" width="6.5703125" style="1" customWidth="1"/>
    <col min="18" max="18" width="46.28515625" style="1" customWidth="1"/>
    <col min="19" max="19" width="40.140625" style="1" customWidth="1"/>
    <col min="20" max="20" width="24.5703125" style="1" customWidth="1"/>
    <col min="21" max="21" width="13" style="1" customWidth="1"/>
    <col min="22" max="22" width="15.28515625" style="1" customWidth="1"/>
    <col min="23" max="23" width="39.28515625" style="1" customWidth="1"/>
    <col min="24" max="24" width="24.42578125" style="1" customWidth="1"/>
    <col min="25" max="26" width="20.5703125" style="1" customWidth="1"/>
    <col min="27" max="16384" width="18.5703125" style="1"/>
  </cols>
  <sheetData>
    <row r="1" spans="2:26" s="2" customFormat="1" ht="39.75" customHeight="1"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3"/>
      <c r="P1" s="3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2:26" ht="16.5" customHeight="1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Q2" s="5"/>
      <c r="R2" s="3"/>
      <c r="S2" s="5"/>
      <c r="T2" s="3"/>
      <c r="U2" s="3"/>
      <c r="V2" s="3"/>
      <c r="W2" s="3"/>
      <c r="X2" s="3"/>
      <c r="Y2" s="3"/>
      <c r="Z2" s="3"/>
    </row>
    <row r="3" spans="2:26" ht="47.25" customHeight="1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spans="2:26" ht="15.75" customHeight="1">
      <c r="B4" s="9"/>
      <c r="C4" s="10" t="s">
        <v>0</v>
      </c>
      <c r="D4" s="10"/>
      <c r="E4" s="10"/>
      <c r="F4" s="10"/>
      <c r="G4" s="10"/>
      <c r="H4" s="10"/>
      <c r="N4" s="11"/>
    </row>
    <row r="5" spans="2:26" ht="15.75" customHeight="1">
      <c r="B5" s="9"/>
      <c r="C5" s="12" t="s">
        <v>1</v>
      </c>
      <c r="D5" s="12"/>
      <c r="E5" s="12"/>
      <c r="F5" s="10"/>
      <c r="G5" s="10"/>
      <c r="H5" s="10"/>
      <c r="N5" s="11"/>
    </row>
    <row r="6" spans="2:26" ht="24" customHeight="1">
      <c r="B6" s="9"/>
      <c r="F6" s="10"/>
      <c r="G6" s="10"/>
      <c r="H6" s="10"/>
      <c r="N6" s="11"/>
      <c r="Q6" s="5"/>
      <c r="R6" s="5"/>
    </row>
    <row r="7" spans="2:26">
      <c r="B7" s="9"/>
      <c r="C7" s="67" t="s">
        <v>2</v>
      </c>
      <c r="D7" s="67"/>
      <c r="E7" s="67"/>
      <c r="F7" s="67"/>
      <c r="G7" s="67"/>
      <c r="H7" s="67"/>
      <c r="I7" s="67"/>
      <c r="J7" s="67"/>
      <c r="K7" s="67"/>
      <c r="L7" s="67"/>
      <c r="M7" s="67"/>
      <c r="N7" s="11"/>
      <c r="Q7" s="67" t="s">
        <v>3</v>
      </c>
      <c r="R7" s="67"/>
      <c r="S7" s="67"/>
      <c r="T7" s="67"/>
      <c r="U7" s="67"/>
      <c r="V7" s="67"/>
      <c r="W7" s="67"/>
      <c r="X7" s="67"/>
      <c r="Y7" s="67"/>
      <c r="Z7" s="67"/>
    </row>
    <row r="8" spans="2:26" ht="24" customHeight="1">
      <c r="B8" s="9"/>
      <c r="N8" s="11"/>
    </row>
    <row r="9" spans="2:26" ht="24" customHeight="1">
      <c r="B9" s="9"/>
      <c r="C9" s="62" t="s">
        <v>4</v>
      </c>
      <c r="D9" s="62"/>
      <c r="F9" s="55"/>
      <c r="G9" s="55"/>
      <c r="N9" s="11"/>
    </row>
    <row r="10" spans="2:26" ht="24" customHeight="1">
      <c r="B10" s="9"/>
      <c r="C10" s="62" t="s">
        <v>5</v>
      </c>
      <c r="D10" s="62"/>
      <c r="F10" s="63"/>
      <c r="G10" s="63"/>
      <c r="N10" s="11"/>
    </row>
    <row r="11" spans="2:26" ht="24" customHeight="1">
      <c r="B11" s="9"/>
      <c r="C11" s="62" t="s">
        <v>6</v>
      </c>
      <c r="D11" s="62"/>
      <c r="F11" s="63"/>
      <c r="G11" s="63"/>
      <c r="N11" s="11"/>
    </row>
    <row r="12" spans="2:26">
      <c r="B12" s="9"/>
      <c r="N12" s="11"/>
    </row>
    <row r="13" spans="2:26" ht="184.5" customHeight="1">
      <c r="B13" s="9"/>
      <c r="C13" s="13" t="s">
        <v>7</v>
      </c>
      <c r="D13" s="13" t="s">
        <v>8</v>
      </c>
      <c r="E13" s="13" t="s">
        <v>9</v>
      </c>
      <c r="F13" s="13" t="s">
        <v>10</v>
      </c>
      <c r="G13" s="13" t="s">
        <v>11</v>
      </c>
      <c r="H13" s="13" t="s">
        <v>12</v>
      </c>
      <c r="I13" s="13" t="s">
        <v>13</v>
      </c>
      <c r="J13" s="13" t="s">
        <v>14</v>
      </c>
      <c r="K13" s="13" t="s">
        <v>15</v>
      </c>
      <c r="L13" s="13" t="s">
        <v>16</v>
      </c>
      <c r="M13" s="13" t="s">
        <v>17</v>
      </c>
      <c r="N13" s="11"/>
      <c r="Q13" s="14" t="s">
        <v>7</v>
      </c>
      <c r="R13" s="14" t="s">
        <v>18</v>
      </c>
      <c r="S13" s="14" t="s">
        <v>19</v>
      </c>
      <c r="T13" s="14" t="s">
        <v>20</v>
      </c>
      <c r="U13" s="14" t="s">
        <v>10</v>
      </c>
      <c r="V13" s="14" t="s">
        <v>11</v>
      </c>
      <c r="W13" s="15" t="s">
        <v>21</v>
      </c>
      <c r="X13" s="15" t="s">
        <v>22</v>
      </c>
      <c r="Y13" s="14" t="s">
        <v>15</v>
      </c>
      <c r="Z13" s="14" t="s">
        <v>23</v>
      </c>
    </row>
    <row r="14" spans="2:26">
      <c r="B14" s="9"/>
      <c r="C14" s="16">
        <v>1</v>
      </c>
      <c r="D14" s="16">
        <v>2</v>
      </c>
      <c r="E14" s="16">
        <v>3</v>
      </c>
      <c r="F14" s="17">
        <v>4</v>
      </c>
      <c r="G14" s="16">
        <v>5</v>
      </c>
      <c r="H14" s="16">
        <v>6</v>
      </c>
      <c r="I14" s="16">
        <v>7</v>
      </c>
      <c r="J14" s="17">
        <v>8</v>
      </c>
      <c r="K14" s="16">
        <v>9</v>
      </c>
      <c r="L14" s="16">
        <v>10</v>
      </c>
      <c r="M14" s="16">
        <v>11</v>
      </c>
      <c r="N14" s="11"/>
      <c r="Q14" s="18">
        <v>1</v>
      </c>
      <c r="R14" s="18">
        <v>2</v>
      </c>
      <c r="S14" s="18">
        <v>3</v>
      </c>
      <c r="T14" s="18">
        <v>4</v>
      </c>
      <c r="U14" s="18">
        <v>5</v>
      </c>
      <c r="V14" s="18">
        <v>6</v>
      </c>
      <c r="W14" s="19">
        <v>7</v>
      </c>
      <c r="X14" s="19">
        <v>8</v>
      </c>
      <c r="Y14" s="18">
        <v>9</v>
      </c>
      <c r="Z14" s="18">
        <v>10</v>
      </c>
    </row>
    <row r="15" spans="2:26" s="2" customFormat="1" ht="72" customHeight="1">
      <c r="B15" s="20"/>
      <c r="C15" s="21" t="str">
        <f t="shared" ref="C15:C26" si="0">Q15</f>
        <v>1.</v>
      </c>
      <c r="D15" s="22" t="str">
        <f t="shared" ref="D15:D26" si="1">R15</f>
        <v>Трубы стальные бесшовные горячедеформированные, наружный диаметр 108 мм., толщина стенки 6 мм. (Ст. 20,) ГОСТ 8732-78</v>
      </c>
      <c r="E15" s="23" t="str">
        <f t="shared" ref="E15:E26" si="2">S15</f>
        <v>Национальный режим предоставляется</v>
      </c>
      <c r="F15" s="21" t="str">
        <f t="shared" ref="F15:F26" si="3">U15</f>
        <v>м</v>
      </c>
      <c r="G15" s="32">
        <f t="shared" ref="G15:G26" si="4">V15</f>
        <v>85</v>
      </c>
      <c r="H15" s="24" t="s">
        <v>24</v>
      </c>
      <c r="I15" s="25" t="s">
        <v>24</v>
      </c>
      <c r="J15" s="25"/>
      <c r="K15" s="69">
        <f t="shared" ref="K15:K26" si="5">Y15</f>
        <v>2260.65573769</v>
      </c>
      <c r="L15" s="70">
        <v>0</v>
      </c>
      <c r="M15" s="26">
        <f t="shared" ref="M15:M26" si="6">G15*L15</f>
        <v>0</v>
      </c>
      <c r="N15" s="27"/>
      <c r="Q15" s="21" t="s">
        <v>25</v>
      </c>
      <c r="R15" s="28" t="s">
        <v>26</v>
      </c>
      <c r="S15" s="29" t="s">
        <v>27</v>
      </c>
      <c r="T15" s="30" t="s">
        <v>28</v>
      </c>
      <c r="U15" s="31" t="s">
        <v>29</v>
      </c>
      <c r="V15" s="32">
        <v>85</v>
      </c>
      <c r="W15" s="33" t="s">
        <v>30</v>
      </c>
      <c r="X15" s="33" t="s">
        <v>31</v>
      </c>
      <c r="Y15" s="34">
        <v>2260.65573769</v>
      </c>
      <c r="Z15" s="26">
        <f t="shared" ref="Z15:Z26" si="7">V15*Y15</f>
        <v>192155.73770365</v>
      </c>
    </row>
    <row r="16" spans="2:26" s="2" customFormat="1" ht="72" customHeight="1">
      <c r="B16" s="20"/>
      <c r="C16" s="21" t="str">
        <f t="shared" si="0"/>
        <v>2.</v>
      </c>
      <c r="D16" s="22" t="str">
        <f t="shared" si="1"/>
        <v>Трубы стальные бесшовные горячедеформированные, наружный диаметр 219 мм., толщина стенки 8 мм. (Ст. 20), ГОСТ 8732-78</v>
      </c>
      <c r="E16" s="68" t="str">
        <f t="shared" si="2"/>
        <v>Национальный режим предоставляется</v>
      </c>
      <c r="F16" s="21" t="str">
        <f t="shared" si="3"/>
        <v>м</v>
      </c>
      <c r="G16" s="32">
        <f t="shared" si="4"/>
        <v>2</v>
      </c>
      <c r="H16" s="24" t="s">
        <v>24</v>
      </c>
      <c r="I16" s="25" t="s">
        <v>24</v>
      </c>
      <c r="J16" s="25"/>
      <c r="K16" s="69">
        <f t="shared" si="5"/>
        <v>30804.098360600001</v>
      </c>
      <c r="L16" s="70">
        <v>0</v>
      </c>
      <c r="M16" s="26">
        <f t="shared" si="6"/>
        <v>0</v>
      </c>
      <c r="N16" s="27"/>
      <c r="Q16" s="21" t="s">
        <v>32</v>
      </c>
      <c r="R16" s="35" t="s">
        <v>33</v>
      </c>
      <c r="S16" s="29" t="s">
        <v>27</v>
      </c>
      <c r="T16" s="30" t="s">
        <v>28</v>
      </c>
      <c r="U16" s="31" t="s">
        <v>29</v>
      </c>
      <c r="V16" s="32">
        <v>2</v>
      </c>
      <c r="W16" s="33" t="s">
        <v>30</v>
      </c>
      <c r="X16" s="33" t="s">
        <v>31</v>
      </c>
      <c r="Y16" s="34">
        <v>30804.098360600001</v>
      </c>
      <c r="Z16" s="26">
        <f t="shared" si="7"/>
        <v>61608.196721200002</v>
      </c>
    </row>
    <row r="17" spans="2:26" s="2" customFormat="1" ht="72" customHeight="1">
      <c r="B17" s="20"/>
      <c r="C17" s="21" t="str">
        <f t="shared" si="0"/>
        <v>3.</v>
      </c>
      <c r="D17" s="22" t="str">
        <f t="shared" si="1"/>
        <v>Трубы стальные бесшовные горячедеформированные, наружный диаметр 325 мм., толщина стенки 10 мм. (Ст. 20), ГОСТ 8732-78</v>
      </c>
      <c r="E17" s="68" t="str">
        <f t="shared" si="2"/>
        <v>Национальный режим предоставляется</v>
      </c>
      <c r="F17" s="21" t="str">
        <f t="shared" si="3"/>
        <v>м</v>
      </c>
      <c r="G17" s="32">
        <f t="shared" si="4"/>
        <v>95</v>
      </c>
      <c r="H17" s="24" t="s">
        <v>24</v>
      </c>
      <c r="I17" s="25" t="s">
        <v>24</v>
      </c>
      <c r="J17" s="25"/>
      <c r="K17" s="69">
        <f t="shared" si="5"/>
        <v>12694.262295</v>
      </c>
      <c r="L17" s="70">
        <v>0</v>
      </c>
      <c r="M17" s="26">
        <f t="shared" si="6"/>
        <v>0</v>
      </c>
      <c r="N17" s="27"/>
      <c r="Q17" s="21" t="s">
        <v>34</v>
      </c>
      <c r="R17" s="36" t="s">
        <v>35</v>
      </c>
      <c r="S17" s="29" t="s">
        <v>27</v>
      </c>
      <c r="T17" s="30" t="s">
        <v>28</v>
      </c>
      <c r="U17" s="31" t="s">
        <v>29</v>
      </c>
      <c r="V17" s="32">
        <v>95</v>
      </c>
      <c r="W17" s="33" t="s">
        <v>30</v>
      </c>
      <c r="X17" s="33" t="s">
        <v>31</v>
      </c>
      <c r="Y17" s="34">
        <v>12694.262295</v>
      </c>
      <c r="Z17" s="26">
        <f t="shared" si="7"/>
        <v>1205954.918025</v>
      </c>
    </row>
    <row r="18" spans="2:26" s="2" customFormat="1" ht="72" customHeight="1">
      <c r="B18" s="20"/>
      <c r="C18" s="21" t="str">
        <f t="shared" si="0"/>
        <v>4.</v>
      </c>
      <c r="D18" s="22" t="str">
        <f t="shared" si="1"/>
        <v>Трубы стальные бесшовные горячедеформированные, наружный диаметр 57 мм., толщина стенки 5 мм. (Ст. 20), ГОСТ 8732-78</v>
      </c>
      <c r="E18" s="68" t="str">
        <f t="shared" si="2"/>
        <v>Национальный режим предоставляется</v>
      </c>
      <c r="F18" s="21" t="str">
        <f t="shared" si="3"/>
        <v>м</v>
      </c>
      <c r="G18" s="32">
        <f t="shared" si="4"/>
        <v>50</v>
      </c>
      <c r="H18" s="24"/>
      <c r="I18" s="25"/>
      <c r="J18" s="25"/>
      <c r="K18" s="69">
        <f t="shared" si="5"/>
        <v>808.19672131000004</v>
      </c>
      <c r="L18" s="70">
        <v>0</v>
      </c>
      <c r="M18" s="26">
        <f t="shared" si="6"/>
        <v>0</v>
      </c>
      <c r="N18" s="27"/>
      <c r="Q18" s="21" t="s">
        <v>36</v>
      </c>
      <c r="R18" s="36" t="s">
        <v>37</v>
      </c>
      <c r="S18" s="29" t="s">
        <v>27</v>
      </c>
      <c r="T18" s="30" t="s">
        <v>28</v>
      </c>
      <c r="U18" s="31" t="s">
        <v>29</v>
      </c>
      <c r="V18" s="32">
        <v>50</v>
      </c>
      <c r="W18" s="33" t="s">
        <v>30</v>
      </c>
      <c r="X18" s="33" t="s">
        <v>31</v>
      </c>
      <c r="Y18" s="34">
        <v>808.19672131000004</v>
      </c>
      <c r="Z18" s="26">
        <f t="shared" si="7"/>
        <v>40409.8360655</v>
      </c>
    </row>
    <row r="19" spans="2:26" s="2" customFormat="1" ht="72" customHeight="1">
      <c r="B19" s="20"/>
      <c r="C19" s="21" t="str">
        <f t="shared" si="0"/>
        <v>5.</v>
      </c>
      <c r="D19" s="22" t="str">
        <f t="shared" si="1"/>
        <v>Трубы стальные бесшовные горячедеформированные, наружный диаметр 57 мм., толщина стенки 5 мм. (Ст. 20), ГОСТ 8732-78</v>
      </c>
      <c r="E19" s="68" t="str">
        <f t="shared" si="2"/>
        <v>Национальный режим предоставляется</v>
      </c>
      <c r="F19" s="21" t="str">
        <f t="shared" si="3"/>
        <v>м</v>
      </c>
      <c r="G19" s="38">
        <f>V19</f>
        <v>14.6</v>
      </c>
      <c r="H19" s="24"/>
      <c r="I19" s="25"/>
      <c r="J19" s="25"/>
      <c r="K19" s="69">
        <f t="shared" si="5"/>
        <v>1350.8196721300001</v>
      </c>
      <c r="L19" s="70">
        <v>0</v>
      </c>
      <c r="M19" s="26">
        <f t="shared" si="6"/>
        <v>0</v>
      </c>
      <c r="N19" s="27"/>
      <c r="Q19" s="21" t="s">
        <v>38</v>
      </c>
      <c r="R19" s="37" t="s">
        <v>37</v>
      </c>
      <c r="S19" s="29" t="s">
        <v>27</v>
      </c>
      <c r="T19" s="30" t="s">
        <v>28</v>
      </c>
      <c r="U19" s="31" t="s">
        <v>29</v>
      </c>
      <c r="V19" s="38">
        <v>14.6</v>
      </c>
      <c r="W19" s="33" t="s">
        <v>30</v>
      </c>
      <c r="X19" s="33" t="s">
        <v>31</v>
      </c>
      <c r="Y19" s="34">
        <v>1350.8196721300001</v>
      </c>
      <c r="Z19" s="26">
        <f t="shared" si="7"/>
        <v>19721.967213098</v>
      </c>
    </row>
    <row r="20" spans="2:26" s="2" customFormat="1" ht="72" customHeight="1">
      <c r="B20" s="20"/>
      <c r="C20" s="21" t="str">
        <f t="shared" si="0"/>
        <v>6.</v>
      </c>
      <c r="D20" s="22" t="str">
        <f t="shared" si="1"/>
        <v>Трубы стальные бесшовные горячедеформированные, наружный диаметр 57 мм., толщина стенки 6 мм. (Ст.. 20), ГОСТ 8732-78</v>
      </c>
      <c r="E20" s="68" t="str">
        <f t="shared" si="2"/>
        <v>Национальный режим предоставляется</v>
      </c>
      <c r="F20" s="21" t="str">
        <f t="shared" si="3"/>
        <v>м</v>
      </c>
      <c r="G20" s="32">
        <f t="shared" si="4"/>
        <v>10</v>
      </c>
      <c r="H20" s="24"/>
      <c r="I20" s="25"/>
      <c r="J20" s="25"/>
      <c r="K20" s="69">
        <f t="shared" si="5"/>
        <v>1154.91803278</v>
      </c>
      <c r="L20" s="70">
        <v>0</v>
      </c>
      <c r="M20" s="26">
        <f t="shared" si="6"/>
        <v>0</v>
      </c>
      <c r="N20" s="27"/>
      <c r="Q20" s="21" t="s">
        <v>39</v>
      </c>
      <c r="R20" s="36" t="s">
        <v>40</v>
      </c>
      <c r="S20" s="29" t="s">
        <v>27</v>
      </c>
      <c r="T20" s="30" t="s">
        <v>28</v>
      </c>
      <c r="U20" s="31" t="s">
        <v>29</v>
      </c>
      <c r="V20" s="32">
        <v>10</v>
      </c>
      <c r="W20" s="33" t="s">
        <v>30</v>
      </c>
      <c r="X20" s="33" t="s">
        <v>31</v>
      </c>
      <c r="Y20" s="34">
        <v>1154.91803278</v>
      </c>
      <c r="Z20" s="26">
        <f t="shared" si="7"/>
        <v>11549.180327800001</v>
      </c>
    </row>
    <row r="21" spans="2:26" s="2" customFormat="1" ht="72" customHeight="1">
      <c r="B21" s="20"/>
      <c r="C21" s="21" t="str">
        <f t="shared" si="0"/>
        <v>7.</v>
      </c>
      <c r="D21" s="22" t="str">
        <f t="shared" si="1"/>
        <v>Трубы стальные бесшовные горячедеформированные, наружный диаметр 76 мм., толщина стенки 4 мм. (Ст. 20), ГОСТ 8732-78</v>
      </c>
      <c r="E21" s="68" t="str">
        <f t="shared" si="2"/>
        <v>Национальный режим предоставляется</v>
      </c>
      <c r="F21" s="21" t="str">
        <f t="shared" si="3"/>
        <v>м</v>
      </c>
      <c r="G21" s="32">
        <f t="shared" si="4"/>
        <v>20</v>
      </c>
      <c r="H21" s="24"/>
      <c r="I21" s="25"/>
      <c r="J21" s="25"/>
      <c r="K21" s="69">
        <f t="shared" si="5"/>
        <v>1055.7375</v>
      </c>
      <c r="L21" s="70">
        <v>0</v>
      </c>
      <c r="M21" s="26">
        <f t="shared" si="6"/>
        <v>0</v>
      </c>
      <c r="N21" s="27"/>
      <c r="Q21" s="21" t="s">
        <v>41</v>
      </c>
      <c r="R21" s="36" t="s">
        <v>42</v>
      </c>
      <c r="S21" s="29" t="s">
        <v>27</v>
      </c>
      <c r="T21" s="30" t="s">
        <v>28</v>
      </c>
      <c r="U21" s="31" t="s">
        <v>29</v>
      </c>
      <c r="V21" s="32">
        <v>20</v>
      </c>
      <c r="W21" s="33" t="s">
        <v>30</v>
      </c>
      <c r="X21" s="33" t="s">
        <v>31</v>
      </c>
      <c r="Y21" s="34">
        <v>1055.7375</v>
      </c>
      <c r="Z21" s="26">
        <f t="shared" si="7"/>
        <v>21114.75</v>
      </c>
    </row>
    <row r="22" spans="2:26" s="2" customFormat="1" ht="72" customHeight="1">
      <c r="B22" s="20"/>
      <c r="C22" s="21" t="str">
        <f t="shared" si="0"/>
        <v>8.</v>
      </c>
      <c r="D22" s="22" t="str">
        <f t="shared" si="1"/>
        <v>Трубы стальные бесшовные горячедеформированные, наружный диаметр 89 мм., толщина стенки 5 мм.(Ст. 20), ГОСТ 8732-78</v>
      </c>
      <c r="E22" s="68" t="str">
        <f t="shared" si="2"/>
        <v>Национальный режим предоставляется</v>
      </c>
      <c r="F22" s="21" t="str">
        <f t="shared" si="3"/>
        <v>м</v>
      </c>
      <c r="G22" s="32">
        <f t="shared" si="4"/>
        <v>50</v>
      </c>
      <c r="H22" s="24"/>
      <c r="I22" s="25"/>
      <c r="J22" s="25"/>
      <c r="K22" s="69">
        <f t="shared" si="5"/>
        <v>1519.6721311399999</v>
      </c>
      <c r="L22" s="70">
        <v>0</v>
      </c>
      <c r="M22" s="26">
        <f t="shared" si="6"/>
        <v>0</v>
      </c>
      <c r="N22" s="27"/>
      <c r="Q22" s="21" t="s">
        <v>43</v>
      </c>
      <c r="R22" s="36" t="s">
        <v>44</v>
      </c>
      <c r="S22" s="29" t="s">
        <v>27</v>
      </c>
      <c r="T22" s="30" t="s">
        <v>28</v>
      </c>
      <c r="U22" s="31" t="s">
        <v>29</v>
      </c>
      <c r="V22" s="32">
        <v>50</v>
      </c>
      <c r="W22" s="33" t="s">
        <v>30</v>
      </c>
      <c r="X22" s="33" t="s">
        <v>31</v>
      </c>
      <c r="Y22" s="34">
        <v>1519.6721311399999</v>
      </c>
      <c r="Z22" s="26">
        <f t="shared" si="7"/>
        <v>75983.606556999992</v>
      </c>
    </row>
    <row r="23" spans="2:26" s="2" customFormat="1" ht="72" customHeight="1">
      <c r="B23" s="20"/>
      <c r="C23" s="21" t="str">
        <f t="shared" si="0"/>
        <v>9.</v>
      </c>
      <c r="D23" s="22" t="str">
        <f t="shared" si="1"/>
        <v>Трубы стальные бесшовные горячедеформированные, наружный диаметр 89 мм, толщина стенки 4 мм .(Ст. 20,) ,ГОСТ 8732-78</v>
      </c>
      <c r="E23" s="68" t="str">
        <f t="shared" si="2"/>
        <v>Национальный режим предоставляется</v>
      </c>
      <c r="F23" s="21" t="str">
        <f t="shared" si="3"/>
        <v>м</v>
      </c>
      <c r="G23" s="32">
        <f t="shared" si="4"/>
        <v>3</v>
      </c>
      <c r="H23" s="24"/>
      <c r="I23" s="25"/>
      <c r="J23" s="25"/>
      <c r="K23" s="69">
        <f t="shared" si="5"/>
        <v>4153.2786884999996</v>
      </c>
      <c r="L23" s="70">
        <v>0</v>
      </c>
      <c r="M23" s="26">
        <f t="shared" si="6"/>
        <v>0</v>
      </c>
      <c r="N23" s="27"/>
      <c r="Q23" s="21" t="s">
        <v>45</v>
      </c>
      <c r="R23" s="36" t="s">
        <v>46</v>
      </c>
      <c r="S23" s="29" t="s">
        <v>27</v>
      </c>
      <c r="T23" s="30" t="s">
        <v>28</v>
      </c>
      <c r="U23" s="31" t="s">
        <v>29</v>
      </c>
      <c r="V23" s="32">
        <v>3</v>
      </c>
      <c r="W23" s="33" t="s">
        <v>30</v>
      </c>
      <c r="X23" s="33" t="s">
        <v>31</v>
      </c>
      <c r="Y23" s="34">
        <v>4153.2786884999996</v>
      </c>
      <c r="Z23" s="26">
        <f t="shared" si="7"/>
        <v>12459.8360655</v>
      </c>
    </row>
    <row r="24" spans="2:26" s="2" customFormat="1" ht="72" customHeight="1">
      <c r="B24" s="20"/>
      <c r="C24" s="21" t="str">
        <f t="shared" si="0"/>
        <v>10.</v>
      </c>
      <c r="D24" s="22" t="str">
        <f t="shared" si="1"/>
        <v>Труба бесшовная горячедеформированная из углеродистой стали ГОСТ 8732-78, наружным диаметром:159 мм, толщина стенки 5,0 мм. Ст.20.</v>
      </c>
      <c r="E24" s="68" t="str">
        <f t="shared" si="2"/>
        <v>Национальный режим предоставляется</v>
      </c>
      <c r="F24" s="21" t="str">
        <f t="shared" si="3"/>
        <v>м</v>
      </c>
      <c r="G24" s="32">
        <f t="shared" si="4"/>
        <v>16</v>
      </c>
      <c r="H24" s="24"/>
      <c r="I24" s="25"/>
      <c r="J24" s="25"/>
      <c r="K24" s="69">
        <f t="shared" si="5"/>
        <v>3577.8688524499998</v>
      </c>
      <c r="L24" s="70">
        <v>0</v>
      </c>
      <c r="M24" s="26">
        <f t="shared" si="6"/>
        <v>0</v>
      </c>
      <c r="N24" s="27"/>
      <c r="Q24" s="21" t="s">
        <v>47</v>
      </c>
      <c r="R24" s="36" t="s">
        <v>48</v>
      </c>
      <c r="S24" s="29" t="s">
        <v>27</v>
      </c>
      <c r="T24" s="30" t="s">
        <v>28</v>
      </c>
      <c r="U24" s="31" t="s">
        <v>29</v>
      </c>
      <c r="V24" s="32">
        <v>16</v>
      </c>
      <c r="W24" s="33" t="s">
        <v>30</v>
      </c>
      <c r="X24" s="33" t="s">
        <v>31</v>
      </c>
      <c r="Y24" s="34">
        <v>3577.8688524499998</v>
      </c>
      <c r="Z24" s="26">
        <f t="shared" si="7"/>
        <v>57245.901639199998</v>
      </c>
    </row>
    <row r="25" spans="2:26" s="2" customFormat="1" ht="72" customHeight="1">
      <c r="B25" s="20"/>
      <c r="C25" s="21" t="str">
        <f t="shared" si="0"/>
        <v>11.</v>
      </c>
      <c r="D25" s="22" t="str">
        <f t="shared" si="1"/>
        <v>Труба бесшовная горячедеформированная из углеродистой стали ГОСТ 8732-78, наружным диаметром:57 мм, толщина стенки 3,0 мм. Ст.20.</v>
      </c>
      <c r="E25" s="68" t="str">
        <f t="shared" si="2"/>
        <v>Национальный режим предоставляется</v>
      </c>
      <c r="F25" s="21" t="str">
        <f t="shared" si="3"/>
        <v>м</v>
      </c>
      <c r="G25" s="32">
        <f t="shared" si="4"/>
        <v>2</v>
      </c>
      <c r="H25" s="24"/>
      <c r="I25" s="25"/>
      <c r="J25" s="25"/>
      <c r="K25" s="69">
        <f t="shared" si="5"/>
        <v>4105.7377049099996</v>
      </c>
      <c r="L25" s="70">
        <v>0</v>
      </c>
      <c r="M25" s="26">
        <f t="shared" si="6"/>
        <v>0</v>
      </c>
      <c r="N25" s="27"/>
      <c r="Q25" s="21" t="s">
        <v>49</v>
      </c>
      <c r="R25" s="36" t="s">
        <v>50</v>
      </c>
      <c r="S25" s="29" t="s">
        <v>27</v>
      </c>
      <c r="T25" s="30" t="s">
        <v>28</v>
      </c>
      <c r="U25" s="31" t="s">
        <v>29</v>
      </c>
      <c r="V25" s="32">
        <v>2</v>
      </c>
      <c r="W25" s="33" t="s">
        <v>30</v>
      </c>
      <c r="X25" s="33" t="s">
        <v>31</v>
      </c>
      <c r="Y25" s="34">
        <v>4105.7377049099996</v>
      </c>
      <c r="Z25" s="26">
        <f t="shared" si="7"/>
        <v>8211.4754098199992</v>
      </c>
    </row>
    <row r="26" spans="2:26" s="2" customFormat="1" ht="72" customHeight="1">
      <c r="B26" s="20"/>
      <c r="C26" s="21" t="str">
        <f t="shared" si="0"/>
        <v>12.</v>
      </c>
      <c r="D26" s="22" t="str">
        <f t="shared" si="1"/>
        <v>Труба бесшовная горячедеформированная из углеродистой стали ГОСТ 8732-78, наружным диаметром:89 мм, толщина стенки 3,5 мм. Ст.20.</v>
      </c>
      <c r="E26" s="68" t="str">
        <f t="shared" si="2"/>
        <v>Национальный режим предоставляется</v>
      </c>
      <c r="F26" s="21" t="str">
        <f t="shared" si="3"/>
        <v>м</v>
      </c>
      <c r="G26" s="32">
        <f t="shared" si="4"/>
        <v>12</v>
      </c>
      <c r="H26" s="24"/>
      <c r="I26" s="25"/>
      <c r="J26" s="25"/>
      <c r="K26" s="69">
        <f t="shared" si="5"/>
        <v>1854.9188999999999</v>
      </c>
      <c r="L26" s="70">
        <v>0</v>
      </c>
      <c r="M26" s="26">
        <f t="shared" si="6"/>
        <v>0</v>
      </c>
      <c r="N26" s="27"/>
      <c r="Q26" s="21" t="s">
        <v>51</v>
      </c>
      <c r="R26" s="36" t="s">
        <v>52</v>
      </c>
      <c r="S26" s="29" t="s">
        <v>27</v>
      </c>
      <c r="T26" s="30" t="s">
        <v>28</v>
      </c>
      <c r="U26" s="31" t="s">
        <v>29</v>
      </c>
      <c r="V26" s="32">
        <v>12</v>
      </c>
      <c r="W26" s="33" t="s">
        <v>30</v>
      </c>
      <c r="X26" s="33" t="s">
        <v>31</v>
      </c>
      <c r="Y26" s="34">
        <v>1854.9188999999999</v>
      </c>
      <c r="Z26" s="26">
        <f t="shared" si="7"/>
        <v>22259.0268</v>
      </c>
    </row>
    <row r="27" spans="2:26" ht="24" customHeight="1">
      <c r="B27" s="9"/>
      <c r="C27" s="64" t="s">
        <v>53</v>
      </c>
      <c r="D27" s="64"/>
      <c r="E27" s="64"/>
      <c r="F27" s="64"/>
      <c r="G27" s="64"/>
      <c r="H27" s="64"/>
      <c r="I27" s="64"/>
      <c r="J27" s="59" t="s">
        <v>54</v>
      </c>
      <c r="K27" s="59"/>
      <c r="L27" s="59"/>
      <c r="M27" s="39">
        <f>SUM(M15:M26)</f>
        <v>0</v>
      </c>
      <c r="N27" s="11"/>
      <c r="Q27" s="60" t="s">
        <v>55</v>
      </c>
      <c r="R27" s="60"/>
      <c r="S27" s="60"/>
      <c r="T27" s="60"/>
      <c r="U27" s="60"/>
      <c r="V27" s="60"/>
      <c r="W27" s="40" t="s">
        <v>54</v>
      </c>
      <c r="X27" s="40"/>
      <c r="Y27" s="41"/>
      <c r="Z27" s="42">
        <f>SUM(Z15:Z26)</f>
        <v>1728674.4325277682</v>
      </c>
    </row>
    <row r="28" spans="2:26" ht="24" customHeight="1">
      <c r="B28" s="9"/>
      <c r="C28" s="64"/>
      <c r="D28" s="64"/>
      <c r="E28" s="64"/>
      <c r="F28" s="64"/>
      <c r="G28" s="64"/>
      <c r="H28" s="64"/>
      <c r="I28" s="64"/>
      <c r="J28" s="59" t="s">
        <v>56</v>
      </c>
      <c r="K28" s="59"/>
      <c r="L28" s="43">
        <v>0.22</v>
      </c>
      <c r="M28" s="39">
        <f>L28*M27</f>
        <v>0</v>
      </c>
      <c r="N28" s="11"/>
      <c r="Q28" s="60"/>
      <c r="R28" s="60"/>
      <c r="S28" s="60"/>
      <c r="T28" s="60"/>
      <c r="U28" s="60"/>
      <c r="V28" s="60"/>
      <c r="W28" s="41" t="s">
        <v>56</v>
      </c>
      <c r="X28" s="41"/>
      <c r="Y28" s="44">
        <v>0.22</v>
      </c>
      <c r="Z28" s="42">
        <v>380308.37</v>
      </c>
    </row>
    <row r="29" spans="2:26" ht="24" customHeight="1">
      <c r="B29" s="9"/>
      <c r="C29" s="64"/>
      <c r="D29" s="64"/>
      <c r="E29" s="64"/>
      <c r="F29" s="64"/>
      <c r="G29" s="64"/>
      <c r="H29" s="64"/>
      <c r="I29" s="64"/>
      <c r="J29" s="59" t="s">
        <v>57</v>
      </c>
      <c r="K29" s="59"/>
      <c r="L29" s="59"/>
      <c r="M29" s="39">
        <f>SUM(M27:M28)</f>
        <v>0</v>
      </c>
      <c r="N29" s="11"/>
      <c r="Q29" s="60"/>
      <c r="R29" s="60"/>
      <c r="S29" s="60"/>
      <c r="T29" s="60"/>
      <c r="U29" s="60"/>
      <c r="V29" s="60"/>
      <c r="W29" s="40" t="s">
        <v>57</v>
      </c>
      <c r="X29" s="40"/>
      <c r="Y29" s="41"/>
      <c r="Z29" s="42">
        <f>SUM(Z27:Z28)</f>
        <v>2108982.8025277681</v>
      </c>
    </row>
    <row r="30" spans="2:26" ht="24" customHeight="1">
      <c r="B30" s="9"/>
      <c r="J30" s="5"/>
      <c r="K30" s="5"/>
      <c r="N30" s="11"/>
      <c r="Q30" s="61" t="s">
        <v>58</v>
      </c>
      <c r="R30" s="61"/>
      <c r="S30" s="61"/>
      <c r="T30" s="61"/>
      <c r="U30" s="61"/>
      <c r="V30" s="61"/>
      <c r="W30" s="61"/>
      <c r="X30" s="61"/>
      <c r="Y30" s="61"/>
      <c r="Z30" s="61"/>
    </row>
    <row r="31" spans="2:26" ht="15.75" customHeight="1">
      <c r="B31" s="9"/>
      <c r="C31" s="55"/>
      <c r="D31" s="55"/>
      <c r="E31" s="55"/>
      <c r="F31" s="45"/>
      <c r="G31" s="46"/>
      <c r="H31" s="45"/>
      <c r="I31" s="46"/>
      <c r="J31" s="47"/>
      <c r="K31" s="47"/>
      <c r="N31" s="1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spans="2:26">
      <c r="B32" s="9"/>
      <c r="C32" s="56" t="s">
        <v>59</v>
      </c>
      <c r="D32" s="56"/>
      <c r="E32" s="56"/>
      <c r="F32" s="45"/>
      <c r="G32" s="49" t="s">
        <v>60</v>
      </c>
      <c r="H32" s="45" t="s">
        <v>61</v>
      </c>
      <c r="I32" s="48" t="s">
        <v>62</v>
      </c>
      <c r="J32" s="49"/>
      <c r="K32" s="49"/>
      <c r="N32" s="1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spans="2:27" ht="16.5" customHeight="1">
      <c r="B33" s="50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2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spans="2:27" ht="15.75" customHeight="1"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spans="2:27" ht="84.75" customHeight="1">
      <c r="B35" s="58" t="s">
        <v>63</v>
      </c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spans="2:27" ht="24.75" customHeight="1"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2:27" ht="24.75" customHeight="1"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3"/>
    </row>
    <row r="38" spans="2:27" ht="24.75" customHeight="1"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3"/>
    </row>
    <row r="39" spans="2:27" ht="24.75" customHeight="1"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3"/>
    </row>
    <row r="40" spans="2:27" ht="24.75" customHeight="1"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3"/>
    </row>
    <row r="41" spans="2:27" ht="24.75" customHeight="1"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3"/>
    </row>
    <row r="42" spans="2:27" ht="24.75" customHeight="1"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3"/>
    </row>
    <row r="43" spans="2:27" ht="24.75" customHeight="1"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3"/>
    </row>
    <row r="44" spans="2:27" ht="24.75" customHeight="1"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3"/>
    </row>
    <row r="45" spans="2:27" ht="24.75" customHeight="1"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2:27" ht="24.75" customHeight="1"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spans="2:27" ht="24.75" customHeight="1">
      <c r="Q47" s="57"/>
      <c r="R47" s="57"/>
      <c r="S47" s="57"/>
      <c r="T47" s="57"/>
      <c r="U47" s="57"/>
      <c r="V47" s="57"/>
      <c r="W47" s="57"/>
      <c r="X47" s="57"/>
      <c r="Y47" s="57"/>
      <c r="Z47" s="57"/>
    </row>
  </sheetData>
  <mergeCells count="20">
    <mergeCell ref="B1:N1"/>
    <mergeCell ref="Q1:Z1"/>
    <mergeCell ref="C7:M7"/>
    <mergeCell ref="Q7:Z7"/>
    <mergeCell ref="C9:D9"/>
    <mergeCell ref="F9:G9"/>
    <mergeCell ref="C10:D10"/>
    <mergeCell ref="F10:G10"/>
    <mergeCell ref="C11:D11"/>
    <mergeCell ref="F11:G11"/>
    <mergeCell ref="C27:I29"/>
    <mergeCell ref="C31:E31"/>
    <mergeCell ref="C32:E32"/>
    <mergeCell ref="Q34:Z47"/>
    <mergeCell ref="B35:N40"/>
    <mergeCell ref="J27:L27"/>
    <mergeCell ref="Q27:V29"/>
    <mergeCell ref="J28:K28"/>
    <mergeCell ref="J29:L29"/>
    <mergeCell ref="Q30:Z33"/>
  </mergeCells>
  <pageMargins left="0.25" right="0.25" top="0.75" bottom="0.75" header="0.511811023622047" footer="0.511811023622047"/>
  <pageSetup scale="24"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Справочники!$A$1:$A$5</xm:f>
          </x14:formula1>
          <x14:formula2>
            <xm:f>0</xm:f>
          </x14:formula2>
          <xm:sqref>S15:S26</xm:sqref>
        </x14:dataValidation>
        <x14:dataValidation type="list" allowBlank="1" showInputMessage="1" showErrorMessage="1">
          <x14:formula1>
            <xm:f>Справочники!$A$7:$A$9</xm:f>
          </x14:formula1>
          <x14:formula2>
            <xm:f>0</xm:f>
          </x14:formula2>
          <xm:sqref>W15:W26</xm:sqref>
        </x14:dataValidation>
        <x14:dataValidation type="list" allowBlank="1" showInputMessage="1" showErrorMessage="1">
          <x14:formula1>
            <xm:f>Справочники!$A$12:$A$14</xm:f>
          </x14:formula1>
          <x14:formula2>
            <xm:f>0</xm:f>
          </x14:formula2>
          <xm:sqref>X15:X26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showGridLines="0" view="pageBreakPreview" zoomScale="83" zoomScaleNormal="100" zoomScalePageLayoutView="83" workbookViewId="0">
      <selection activeCell="A12" activeCellId="1" sqref="M17:M26 A12"/>
    </sheetView>
  </sheetViews>
  <sheetFormatPr defaultColWidth="9" defaultRowHeight="12.75"/>
  <cols>
    <col min="1" max="16384" width="9" style="53"/>
  </cols>
  <sheetData>
    <row r="1" spans="1:1" ht="15.75">
      <c r="A1" s="1" t="s">
        <v>27</v>
      </c>
    </row>
    <row r="2" spans="1:1" ht="15.75">
      <c r="A2" s="1" t="s">
        <v>64</v>
      </c>
    </row>
    <row r="3" spans="1:1" ht="15.75">
      <c r="A3" s="1" t="s">
        <v>65</v>
      </c>
    </row>
    <row r="4" spans="1:1" ht="15.75">
      <c r="A4" s="1" t="s">
        <v>66</v>
      </c>
    </row>
    <row r="5" spans="1:1" ht="15.75">
      <c r="A5" s="1" t="s">
        <v>67</v>
      </c>
    </row>
    <row r="7" spans="1:1" ht="15.75">
      <c r="A7" s="1" t="s">
        <v>68</v>
      </c>
    </row>
    <row r="8" spans="1:1" ht="44.25" customHeight="1">
      <c r="A8" s="54" t="s">
        <v>69</v>
      </c>
    </row>
    <row r="9" spans="1:1" ht="15.75">
      <c r="A9" s="1" t="s">
        <v>30</v>
      </c>
    </row>
    <row r="12" spans="1:1">
      <c r="A12" s="53" t="s">
        <v>70</v>
      </c>
    </row>
    <row r="13" spans="1:1">
      <c r="A13" s="53" t="s">
        <v>71</v>
      </c>
    </row>
    <row r="14" spans="1:1">
      <c r="A14" s="53" t="s">
        <v>31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Комм. предл. и Структура НМЦ</vt:lpstr>
      <vt:lpstr>Справочники</vt:lpstr>
      <vt:lpstr>'Комм. предл. и Структура НМЦ'!Область_печати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Владимир Щербаков</dc:creator>
  <dc:description/>
  <cp:lastModifiedBy>Шакиров Олег Юрьевич</cp:lastModifiedBy>
  <cp:revision>13</cp:revision>
  <cp:lastPrinted>2025-02-11T11:26:17Z</cp:lastPrinted>
  <dcterms:created xsi:type="dcterms:W3CDTF">2023-05-26T08:17:29Z</dcterms:created>
  <dcterms:modified xsi:type="dcterms:W3CDTF">2026-09-21T10:04:49Z</dcterms:modified>
  <dc:language>ru-RU</dc:language>
</cp:coreProperties>
</file>