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0" documentId="13_ncr:1_{690E5DD9-8597-4552-9AAF-BBBF822BB7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Print_Area" localSheetId="0">Лист1!$A$1:$N$47</definedName>
  </definedNames>
  <calcPr calcId="191029"/>
</workbook>
</file>

<file path=xl/calcChain.xml><?xml version="1.0" encoding="utf-8"?>
<calcChain xmlns="http://schemas.openxmlformats.org/spreadsheetml/2006/main">
  <c r="N35" i="1" l="1"/>
  <c r="N39" i="1"/>
  <c r="N38" i="1"/>
  <c r="N37" i="1"/>
  <c r="N36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12" i="1"/>
  <c r="L19" i="1" l="1"/>
  <c r="L27" i="1"/>
  <c r="L39" i="1"/>
  <c r="L31" i="1"/>
  <c r="L23" i="1"/>
  <c r="L15" i="1"/>
  <c r="L37" i="1"/>
  <c r="L29" i="1"/>
  <c r="L21" i="1"/>
  <c r="L13" i="1"/>
  <c r="L32" i="1"/>
  <c r="L24" i="1"/>
  <c r="L16" i="1"/>
  <c r="L35" i="1"/>
  <c r="L33" i="1"/>
  <c r="L25" i="1"/>
  <c r="L17" i="1"/>
  <c r="L38" i="1"/>
  <c r="L30" i="1"/>
  <c r="L22" i="1"/>
  <c r="L14" i="1"/>
  <c r="L36" i="1"/>
  <c r="L28" i="1"/>
  <c r="L20" i="1"/>
  <c r="L34" i="1"/>
  <c r="L26" i="1"/>
  <c r="L18" i="1"/>
  <c r="N40" i="1" l="1"/>
  <c r="L12" i="1"/>
</calcChain>
</file>

<file path=xl/sharedStrings.xml><?xml version="1.0" encoding="utf-8"?>
<sst xmlns="http://schemas.openxmlformats.org/spreadsheetml/2006/main" count="143" uniqueCount="62">
  <si>
    <t>Основные характеристики объекта закупки</t>
  </si>
  <si>
    <t>Метод сопоставимых рыночных цен (анализа рынка)</t>
  </si>
  <si>
    <t>№</t>
  </si>
  <si>
    <t>Оценка однородности совокупности значений</t>
  </si>
  <si>
    <t>Коэффициент вариации цен, V (%)</t>
  </si>
  <si>
    <t xml:space="preserve">                                                                                                                                </t>
  </si>
  <si>
    <t>в соответствии с техническим заданием</t>
  </si>
  <si>
    <t>Наименование предмета договора</t>
  </si>
  <si>
    <t xml:space="preserve">_______________           </t>
  </si>
  <si>
    <t>Коммерческое предложение      № 1</t>
  </si>
  <si>
    <t xml:space="preserve">Коммерческое предложение              № 2 </t>
  </si>
  <si>
    <t>Коммерческое предложение, за единицу (руб.)</t>
  </si>
  <si>
    <t xml:space="preserve">должность </t>
  </si>
  <si>
    <t xml:space="preserve">(подпись)
</t>
  </si>
  <si>
    <t>Источник финансирования: Средства МУП "УКХ" (собственные средства)</t>
  </si>
  <si>
    <t>/М.Ю. Мамонов /</t>
  </si>
  <si>
    <t>Султанова С.Ш.</t>
  </si>
  <si>
    <t>8 (35370 67-57-45</t>
  </si>
  <si>
    <t xml:space="preserve">Генеральный директор МУП "УКХ" </t>
  </si>
  <si>
    <t xml:space="preserve">       В качестве источника информации о цене продукции, являющихся предметом заказа, использовалась информация о ценах исполнителей (ценовые предложения компаний, осуществляющих деятельность на рынке товаров, работ, услуг, являющихся предметом торгов), путём запроса коммерческих предложений.</t>
  </si>
  <si>
    <t>Единица измерения</t>
  </si>
  <si>
    <t xml:space="preserve">Среднее квадратичное отклонение </t>
  </si>
  <si>
    <t>Средняя арифметическая цена за единицу измерения</t>
  </si>
  <si>
    <t>Количество, единиц</t>
  </si>
  <si>
    <t>Н(М)ЦЕТ, определяемая методом сопоставимых рыночных цен (анализа рынка)</t>
  </si>
  <si>
    <t>Используемый метод определения Н(М)ЦЕТ                        с обоснованием</t>
  </si>
  <si>
    <t>ОБОСНОВАНИЕ НАЧАЛЬНОЙ (МАКСИМАЛЬНОЙ) ЦЕНЫ ЕДИНИЦЫ ТОВАРА (РАБОТЫ, УСЛУГИ)</t>
  </si>
  <si>
    <t xml:space="preserve">                                                                                                                                                                            Итого сумма единиц товара (работы, услуги)</t>
  </si>
  <si>
    <t>Коммерческое предложение           № 3</t>
  </si>
  <si>
    <t xml:space="preserve"> Поставка трубы стальной</t>
  </si>
  <si>
    <t>труба стальная водогазопроводная Ду-15х2,8мм ГОСТ 3262-75</t>
  </si>
  <si>
    <t>труба стальная водогазопроводная Ду-20х2,8мм ГОСТ 3262-75</t>
  </si>
  <si>
    <t>труба стальная водогазопроводная Ду-25х2,8-3,2мм ГОСТ 3262-75</t>
  </si>
  <si>
    <t>труба стальная водогазопроводная Ду-32х2,8-3,2мм ГОСТ 3262-75</t>
  </si>
  <si>
    <t>труба стальная водогазопроводная Ду-40х3,0-3,5мм ГОСТ 3262-76</t>
  </si>
  <si>
    <t>труба стальная электросварная Ду-57х3,5мм ГОСТ 10705-80</t>
  </si>
  <si>
    <t>труба стальная электросварная Ду-76х3,5мм ГОСТ 10705-80</t>
  </si>
  <si>
    <t>труба стальная электросварная Ду-89х3,5мм ГОСТ 10705-80</t>
  </si>
  <si>
    <t>труба стальная электросварная Ду-108х3,5мм ГОСТ 10705-80</t>
  </si>
  <si>
    <t>труба стальная электросварная Ду-133х4,0мм ГОСТ 10705-80</t>
  </si>
  <si>
    <t>труба стальная электросварная Ду-159х4,5мм ГОСТ 10705-80</t>
  </si>
  <si>
    <t>труба стальная электросварная Ду-219х6,0мм ГОСТ 10705-80</t>
  </si>
  <si>
    <t>труба стальная бесшовная горячедеформированная Ду-57х5,0-7,0мм ГОСТ 8732-78 (марка стали 10-20)</t>
  </si>
  <si>
    <t>труба стальная бесшовная горячедеформированная Ду-76х5,0-7,0мм ГОСТ 8732-78 (марка стали 10-20)</t>
  </si>
  <si>
    <t>труба стальная бесшовная горячедеформированная Ду-89х5,0-7,0мм ГОСТ 8732-78 (марка стали 10-20)</t>
  </si>
  <si>
    <t>труба стальная бесшовная горячедеформированная Ду-108х5,0-7,0мм ГОСТ 8732-78 (марка стали 10-20)</t>
  </si>
  <si>
    <t>труба стальная бесшовная горячедеформированная Ду-114х5,0-7,0мм ГОСТ 8732-78 (марка стали 10-20)</t>
  </si>
  <si>
    <t>труба стальная бесшовная горячедеформированная Ду-133х5,0-7,0мм ГОСТ 8732-78 (марка стали 10-20)</t>
  </si>
  <si>
    <t>труба стальная бесшовная горячедеформированная Ду-159х5,0-7,0мм ГОСТ 8732-78 (марка стали 10-20)</t>
  </si>
  <si>
    <t>труба стальная бесшовная горячедеформированная Ду-219х8,0-10,0мм ГОСТ 8732-78 (марка стали 10-20)</t>
  </si>
  <si>
    <t>труба стальная бесшовная горячедеформированная Ду-273х8,0-10,0мм ГОСТ 8732-78 (марка стали 10-20)</t>
  </si>
  <si>
    <t>труба стальная бесшовная горячедеформированная Ду-325х8,0-10,0мм ГОСТ 8732-78 (марка стали 10-20)</t>
  </si>
  <si>
    <t>труба стальная бесшовная горячедеформированная Ду-377х8,0-10,0мм ГОСТ 8732-78 (марка стали 10-20)</t>
  </si>
  <si>
    <t>труба стальная бесшовная горячедеформированная Ду-426х8,0-10,0мм ГОСТ 8732-78 (марка стали 10-20)</t>
  </si>
  <si>
    <t>труба стальная электросварная прямошовная Ду-530*8-12мм  ГОСТ 10706-76/10705-80/10704-91 (марка стали 10-20)</t>
  </si>
  <si>
    <t>труба стальная электросварная прямошовная Ду-630*8-12мм  ГОСТ 10706-76/10705-80/10704-91 (марка стали 10-20)</t>
  </si>
  <si>
    <t>труба стальная электросварная прямошовная Ду-720*8-16мм  ГОСТ 10706-76/10705-80/10704-91 (марка стали 10-20)</t>
  </si>
  <si>
    <t>труба стальная электросварная прямошовная Ду-820*8-16мм  ГОСТ 10706-76/10705-80/10704-91 (марка стали 10-20)</t>
  </si>
  <si>
    <t>тонна</t>
  </si>
  <si>
    <t xml:space="preserve"> Дата подготовки обоснования Н(М)ЦД:  21 сентября 2026 года</t>
  </si>
  <si>
    <t>Н(М)ЦЕТ договора с учетом округления цены за единицу измерения с учетом 22% НДС</t>
  </si>
  <si>
    <t xml:space="preserve">Цена за единицу измерения с округлением с учетом 22 % НДС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</si>
</sst>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р_._-;\-* #,##0.00_р_._-;_-* &quot;-&quot;??_р_.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.75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1"/>
      <color theme="1"/>
      <name val="Calibri"/>
      <family val="2"/>
      <scheme val="minor"/>
    </font>
    <font>
      <sz val="8"/>
      <color theme="0" tint="-0.34998626667073579"/>
      <name val="Times New Roman"/>
      <family val="1"/>
      <charset val="204"/>
    </font>
    <font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b/>
      <sz val="10"/>
      <color theme="1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8"/>
      <name val="Calibri"/>
      <family val="2"/>
      <scheme val="minor"/>
    </font>
    <font>
      <sz val="10"/>
      <color rgb="FF000000"/>
      <name val="Times New Roman"/>
      <family val="1"/>
      <charset val="204"/>
    </font>
    <font>
      <sz val="1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164" fontId="15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</cellStyleXfs>
  <cellXfs count="57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0" xfId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vertical="top"/>
    </xf>
    <xf numFmtId="10" fontId="4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164" fontId="19" fillId="0" borderId="1" xfId="2" applyFont="1" applyBorder="1" applyAlignment="1">
      <alignment horizontal="right"/>
    </xf>
    <xf numFmtId="0" fontId="4" fillId="0" borderId="2" xfId="0" applyFont="1" applyBorder="1" applyAlignment="1">
      <alignment horizontal="center" vertical="center" wrapText="1"/>
    </xf>
    <xf numFmtId="0" fontId="7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left" vertical="top" wrapText="1"/>
    </xf>
    <xf numFmtId="4" fontId="2" fillId="0" borderId="0" xfId="0" applyNumberFormat="1" applyFont="1"/>
    <xf numFmtId="4" fontId="22" fillId="0" borderId="1" xfId="0" applyNumberFormat="1" applyFont="1" applyBorder="1" applyAlignment="1">
      <alignment horizontal="center" vertical="center"/>
    </xf>
    <xf numFmtId="4" fontId="23" fillId="0" borderId="1" xfId="0" applyNumberFormat="1" applyFont="1" applyBorder="1" applyAlignment="1">
      <alignment horizontal="center" vertical="center" wrapText="1"/>
    </xf>
    <xf numFmtId="4" fontId="23" fillId="4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0" fontId="2" fillId="0" borderId="2" xfId="0" applyFont="1" applyBorder="1"/>
    <xf numFmtId="0" fontId="9" fillId="0" borderId="3" xfId="0" applyFont="1" applyBorder="1"/>
    <xf numFmtId="0" fontId="9" fillId="0" borderId="4" xfId="0" applyFont="1" applyBorder="1"/>
    <xf numFmtId="0" fontId="9" fillId="0" borderId="2" xfId="0" applyFont="1" applyBorder="1"/>
    <xf numFmtId="0" fontId="20" fillId="3" borderId="3" xfId="5" applyFont="1" applyFill="1" applyBorder="1" applyAlignment="1">
      <alignment horizontal="center" vertical="center" wrapText="1"/>
    </xf>
    <xf numFmtId="0" fontId="20" fillId="3" borderId="4" xfId="5" applyFont="1" applyFill="1" applyBorder="1" applyAlignment="1">
      <alignment horizontal="center" vertical="center" wrapText="1"/>
    </xf>
    <xf numFmtId="0" fontId="20" fillId="3" borderId="2" xfId="5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top" wrapText="1"/>
    </xf>
    <xf numFmtId="0" fontId="6" fillId="2" borderId="0" xfId="0" applyFont="1" applyFill="1" applyAlignment="1">
      <alignment horizontal="center" vertical="top" wrapText="1"/>
    </xf>
    <xf numFmtId="0" fontId="7" fillId="2" borderId="0" xfId="0" applyFont="1" applyFill="1" applyAlignment="1">
      <alignment horizontal="center" wrapText="1"/>
    </xf>
    <xf numFmtId="0" fontId="0" fillId="0" borderId="0" xfId="0"/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distributed"/>
    </xf>
    <xf numFmtId="0" fontId="4" fillId="0" borderId="4" xfId="0" applyFont="1" applyBorder="1" applyAlignment="1">
      <alignment horizontal="center" vertical="distributed"/>
    </xf>
    <xf numFmtId="0" fontId="4" fillId="0" borderId="2" xfId="0" applyFont="1" applyBorder="1" applyAlignment="1">
      <alignment horizontal="center" vertical="distributed"/>
    </xf>
    <xf numFmtId="0" fontId="10" fillId="0" borderId="0" xfId="1" applyFont="1" applyAlignment="1">
      <alignment horizontal="center" vertical="center"/>
    </xf>
    <xf numFmtId="0" fontId="11" fillId="0" borderId="3" xfId="1" applyFont="1" applyBorder="1" applyAlignment="1">
      <alignment horizontal="left" vertical="distributed"/>
    </xf>
    <xf numFmtId="0" fontId="11" fillId="0" borderId="4" xfId="1" applyFont="1" applyBorder="1" applyAlignment="1">
      <alignment horizontal="left" vertical="distributed"/>
    </xf>
    <xf numFmtId="0" fontId="11" fillId="0" borderId="2" xfId="1" applyFont="1" applyBorder="1" applyAlignment="1">
      <alignment horizontal="left" vertical="distributed"/>
    </xf>
    <xf numFmtId="0" fontId="12" fillId="0" borderId="3" xfId="1" applyFont="1" applyBorder="1" applyAlignment="1">
      <alignment horizontal="center" vertical="distributed"/>
    </xf>
    <xf numFmtId="0" fontId="12" fillId="0" borderId="4" xfId="1" applyFont="1" applyBorder="1" applyAlignment="1">
      <alignment horizontal="center" vertical="distributed"/>
    </xf>
    <xf numFmtId="0" fontId="12" fillId="0" borderId="2" xfId="1" applyFont="1" applyBorder="1" applyAlignment="1">
      <alignment horizontal="center" vertical="distributed"/>
    </xf>
    <xf numFmtId="0" fontId="2" fillId="0" borderId="3" xfId="1" applyFont="1" applyBorder="1" applyAlignment="1">
      <alignment horizontal="center" vertical="top"/>
    </xf>
    <xf numFmtId="0" fontId="2" fillId="0" borderId="4" xfId="1" applyFont="1" applyBorder="1" applyAlignment="1">
      <alignment horizontal="center" vertical="top"/>
    </xf>
    <xf numFmtId="0" fontId="2" fillId="0" borderId="2" xfId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distributed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</cellXfs>
  <cellStyles count="6">
    <cellStyle name="Excel Built-in Normal" xfId="4" xr:uid="{735C4013-D09E-4F5C-9E48-7AE2A6AF6390}"/>
    <cellStyle name="Excel Built-in Normal 2" xfId="5" xr:uid="{061855E1-C534-431C-B3C7-2DF5DF1A5AD1}"/>
    <cellStyle name="Обычный" xfId="0" builtinId="0"/>
    <cellStyle name="Обычный 2" xfId="1" xr:uid="{00000000-0005-0000-0000-000001000000}"/>
    <cellStyle name="Обычный 3" xfId="3" xr:uid="{5EE4257B-AD40-4BD9-B362-6EE7F2E68EFC}"/>
    <cellStyle name="Финансовый" xfId="2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Другая 1">
      <a:majorFont>
        <a:latin typeface="Times New Roman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"/>
  <sheetViews>
    <sheetView tabSelected="1" topLeftCell="A37" zoomScaleNormal="100" zoomScalePageLayoutView="90" workbookViewId="0">
      <selection activeCell="M12" sqref="M12"/>
    </sheetView>
  </sheetViews>
  <sheetFormatPr defaultRowHeight="27.95" customHeight="1" x14ac:dyDescent="0.25"/>
  <cols>
    <col min="1" max="1" width="3.7109375" customWidth="1"/>
    <col min="3" max="3" width="7.42578125" customWidth="1"/>
    <col min="4" max="4" width="14.28515625" customWidth="1"/>
    <col min="5" max="5" width="9.5703125" customWidth="1"/>
    <col min="6" max="6" width="9.85546875" customWidth="1"/>
    <col min="7" max="7" width="14.85546875" customWidth="1"/>
    <col min="8" max="9" width="13.140625" customWidth="1"/>
    <col min="10" max="10" width="15.140625" customWidth="1"/>
    <col min="11" max="11" width="14.7109375" customWidth="1"/>
    <col min="12" max="12" width="13.5703125" customWidth="1"/>
    <col min="13" max="13" width="15" customWidth="1"/>
    <col min="14" max="14" width="17.28515625" customWidth="1"/>
    <col min="16" max="16" width="15.140625" customWidth="1"/>
  </cols>
  <sheetData>
    <row r="1" spans="1:16" ht="18" customHeight="1" x14ac:dyDescent="0.25">
      <c r="F1" s="32" t="s">
        <v>5</v>
      </c>
      <c r="G1" s="32"/>
      <c r="H1" s="32"/>
      <c r="I1" s="32"/>
      <c r="J1" s="32"/>
      <c r="K1" s="32"/>
      <c r="L1" s="32"/>
      <c r="M1" s="32"/>
      <c r="N1" s="32"/>
    </row>
    <row r="2" spans="1:16" s="2" customFormat="1" ht="16.5" customHeight="1" x14ac:dyDescent="0.25">
      <c r="A2" s="33" t="s">
        <v>26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3" spans="1:16" s="2" customFormat="1" ht="21" customHeight="1" x14ac:dyDescent="0.25">
      <c r="A3" s="41" t="s">
        <v>29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</row>
    <row r="4" spans="1:16" s="2" customFormat="1" ht="21" customHeight="1" x14ac:dyDescent="0.25">
      <c r="A4" s="6" t="s">
        <v>14</v>
      </c>
      <c r="B4" s="7"/>
      <c r="C4" s="7"/>
      <c r="D4" s="7"/>
      <c r="E4" s="7"/>
      <c r="F4" s="7"/>
      <c r="G4" s="7"/>
      <c r="H4" s="7"/>
      <c r="I4" s="7"/>
      <c r="J4" s="5"/>
      <c r="K4" s="5"/>
      <c r="L4" s="5"/>
      <c r="M4" s="5"/>
      <c r="N4" s="5"/>
    </row>
    <row r="5" spans="1:16" s="2" customFormat="1" ht="27.95" customHeight="1" x14ac:dyDescent="0.25">
      <c r="A5" s="42" t="s">
        <v>0</v>
      </c>
      <c r="B5" s="43"/>
      <c r="C5" s="43"/>
      <c r="D5" s="43"/>
      <c r="E5" s="43"/>
      <c r="F5" s="43"/>
      <c r="G5" s="44"/>
      <c r="H5" s="45" t="s">
        <v>6</v>
      </c>
      <c r="I5" s="46"/>
      <c r="J5" s="46"/>
      <c r="K5" s="46"/>
      <c r="L5" s="46"/>
      <c r="M5" s="46"/>
      <c r="N5" s="47"/>
    </row>
    <row r="6" spans="1:16" s="2" customFormat="1" ht="27.95" customHeight="1" x14ac:dyDescent="0.25">
      <c r="A6" s="42" t="s">
        <v>25</v>
      </c>
      <c r="B6" s="43"/>
      <c r="C6" s="43"/>
      <c r="D6" s="43"/>
      <c r="E6" s="43"/>
      <c r="F6" s="43"/>
      <c r="G6" s="44"/>
      <c r="H6" s="48" t="s">
        <v>1</v>
      </c>
      <c r="I6" s="49"/>
      <c r="J6" s="49"/>
      <c r="K6" s="49"/>
      <c r="L6" s="49"/>
      <c r="M6" s="49"/>
      <c r="N6" s="50"/>
    </row>
    <row r="7" spans="1:16" s="2" customFormat="1" ht="12.75" customHeight="1" x14ac:dyDescent="0.25"/>
    <row r="8" spans="1:16" s="2" customFormat="1" ht="27.95" customHeight="1" x14ac:dyDescent="0.25">
      <c r="A8" s="35" t="s">
        <v>19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</row>
    <row r="9" spans="1:16" ht="12.75" customHeight="1" x14ac:dyDescent="0.25"/>
    <row r="10" spans="1:16" ht="46.5" customHeight="1" x14ac:dyDescent="0.25">
      <c r="A10" s="51" t="s">
        <v>2</v>
      </c>
      <c r="B10" s="53" t="s">
        <v>7</v>
      </c>
      <c r="C10" s="53"/>
      <c r="D10" s="53"/>
      <c r="E10" s="55" t="s">
        <v>20</v>
      </c>
      <c r="F10" s="53" t="s">
        <v>23</v>
      </c>
      <c r="G10" s="36" t="s">
        <v>11</v>
      </c>
      <c r="H10" s="37"/>
      <c r="I10" s="37"/>
      <c r="J10" s="38" t="s">
        <v>3</v>
      </c>
      <c r="K10" s="39"/>
      <c r="L10" s="40"/>
      <c r="M10" s="39" t="s">
        <v>24</v>
      </c>
      <c r="N10" s="40"/>
    </row>
    <row r="11" spans="1:16" ht="66" customHeight="1" x14ac:dyDescent="0.25">
      <c r="A11" s="52"/>
      <c r="B11" s="54"/>
      <c r="C11" s="54"/>
      <c r="D11" s="54"/>
      <c r="E11" s="56"/>
      <c r="F11" s="53"/>
      <c r="G11" s="4" t="s">
        <v>9</v>
      </c>
      <c r="H11" s="4" t="s">
        <v>10</v>
      </c>
      <c r="I11" s="4" t="s">
        <v>28</v>
      </c>
      <c r="J11" s="4" t="s">
        <v>22</v>
      </c>
      <c r="K11" s="4" t="s">
        <v>21</v>
      </c>
      <c r="L11" s="4" t="s">
        <v>4</v>
      </c>
      <c r="M11" s="4" t="s">
        <v>61</v>
      </c>
      <c r="N11" s="4" t="s">
        <v>60</v>
      </c>
    </row>
    <row r="12" spans="1:16" s="2" customFormat="1" ht="27.95" customHeight="1" x14ac:dyDescent="0.25">
      <c r="A12" s="3">
        <v>1</v>
      </c>
      <c r="B12" s="26" t="s">
        <v>30</v>
      </c>
      <c r="C12" s="27"/>
      <c r="D12" s="28"/>
      <c r="E12" s="13" t="s">
        <v>58</v>
      </c>
      <c r="F12" s="3">
        <v>1</v>
      </c>
      <c r="G12" s="17">
        <v>150000</v>
      </c>
      <c r="H12" s="18">
        <v>140250</v>
      </c>
      <c r="I12" s="18">
        <v>103500</v>
      </c>
      <c r="J12" s="11">
        <f>(G12+H12+I12)/3</f>
        <v>131250</v>
      </c>
      <c r="K12" s="11">
        <f>_xlfn.STDEV.S(G12,H12,I12)</f>
        <v>24521.674086407722</v>
      </c>
      <c r="L12" s="10">
        <f t="shared" ref="L12:L39" si="0">K12/J12</f>
        <v>0.18683180256310644</v>
      </c>
      <c r="M12" s="11">
        <f>(G12+H12+I12)/3</f>
        <v>131250</v>
      </c>
      <c r="N12" s="11">
        <f>131250*F12</f>
        <v>131250</v>
      </c>
      <c r="P12" s="16"/>
    </row>
    <row r="13" spans="1:16" s="2" customFormat="1" ht="27.95" customHeight="1" x14ac:dyDescent="0.25">
      <c r="A13" s="3">
        <v>2</v>
      </c>
      <c r="B13" s="26" t="s">
        <v>31</v>
      </c>
      <c r="C13" s="27" t="s">
        <v>31</v>
      </c>
      <c r="D13" s="28" t="s">
        <v>31</v>
      </c>
      <c r="E13" s="13" t="s">
        <v>58</v>
      </c>
      <c r="F13" s="3">
        <v>1</v>
      </c>
      <c r="G13" s="17">
        <v>150000</v>
      </c>
      <c r="H13" s="18">
        <v>140250</v>
      </c>
      <c r="I13" s="18">
        <v>103500</v>
      </c>
      <c r="J13" s="11">
        <f t="shared" ref="J13:J39" si="1">(G13+H13+I13)/3</f>
        <v>131250</v>
      </c>
      <c r="K13" s="11">
        <f t="shared" ref="K13:K39" si="2">_xlfn.STDEV.S(G13,H13,I13)</f>
        <v>24521.674086407722</v>
      </c>
      <c r="L13" s="10">
        <f t="shared" si="0"/>
        <v>0.18683180256310644</v>
      </c>
      <c r="M13" s="11">
        <f t="shared" ref="M13:M39" si="3">(G13+H13+I13)/3</f>
        <v>131250</v>
      </c>
      <c r="N13" s="11">
        <f>131250*F13</f>
        <v>131250</v>
      </c>
      <c r="P13" s="16"/>
    </row>
    <row r="14" spans="1:16" s="2" customFormat="1" ht="27.95" customHeight="1" x14ac:dyDescent="0.25">
      <c r="A14" s="3">
        <v>3</v>
      </c>
      <c r="B14" s="26" t="s">
        <v>32</v>
      </c>
      <c r="C14" s="27" t="s">
        <v>32</v>
      </c>
      <c r="D14" s="28" t="s">
        <v>32</v>
      </c>
      <c r="E14" s="13" t="s">
        <v>58</v>
      </c>
      <c r="F14" s="3">
        <v>1</v>
      </c>
      <c r="G14" s="17">
        <v>150000</v>
      </c>
      <c r="H14" s="18">
        <v>136000</v>
      </c>
      <c r="I14" s="18">
        <v>100000</v>
      </c>
      <c r="J14" s="11">
        <f t="shared" si="1"/>
        <v>128666.66666666667</v>
      </c>
      <c r="K14" s="11">
        <f t="shared" si="2"/>
        <v>25794.05616287078</v>
      </c>
      <c r="L14" s="10">
        <f t="shared" si="0"/>
        <v>0.20047193908966926</v>
      </c>
      <c r="M14" s="11">
        <f t="shared" si="3"/>
        <v>128666.66666666667</v>
      </c>
      <c r="N14" s="11">
        <f>128666.67*F14</f>
        <v>128666.67</v>
      </c>
      <c r="P14" s="16"/>
    </row>
    <row r="15" spans="1:16" s="2" customFormat="1" ht="27.95" customHeight="1" x14ac:dyDescent="0.25">
      <c r="A15" s="3">
        <v>4</v>
      </c>
      <c r="B15" s="26" t="s">
        <v>33</v>
      </c>
      <c r="C15" s="27" t="s">
        <v>33</v>
      </c>
      <c r="D15" s="28" t="s">
        <v>33</v>
      </c>
      <c r="E15" s="13" t="s">
        <v>58</v>
      </c>
      <c r="F15" s="3">
        <v>1</v>
      </c>
      <c r="G15" s="17">
        <v>150000</v>
      </c>
      <c r="H15" s="18">
        <v>136000</v>
      </c>
      <c r="I15" s="18">
        <v>100000</v>
      </c>
      <c r="J15" s="11">
        <f t="shared" si="1"/>
        <v>128666.66666666667</v>
      </c>
      <c r="K15" s="11">
        <f t="shared" si="2"/>
        <v>25794.05616287078</v>
      </c>
      <c r="L15" s="10">
        <f t="shared" si="0"/>
        <v>0.20047193908966926</v>
      </c>
      <c r="M15" s="11">
        <f t="shared" si="3"/>
        <v>128666.66666666667</v>
      </c>
      <c r="N15" s="11">
        <f>128666.67*F15</f>
        <v>128666.67</v>
      </c>
      <c r="P15" s="16"/>
    </row>
    <row r="16" spans="1:16" s="2" customFormat="1" ht="27.95" customHeight="1" x14ac:dyDescent="0.25">
      <c r="A16" s="3">
        <v>5</v>
      </c>
      <c r="B16" s="26" t="s">
        <v>34</v>
      </c>
      <c r="C16" s="27" t="s">
        <v>34</v>
      </c>
      <c r="D16" s="28" t="s">
        <v>34</v>
      </c>
      <c r="E16" s="13" t="s">
        <v>58</v>
      </c>
      <c r="F16" s="3">
        <v>1</v>
      </c>
      <c r="G16" s="17">
        <v>150000</v>
      </c>
      <c r="H16" s="18">
        <v>136000</v>
      </c>
      <c r="I16" s="18">
        <v>100000</v>
      </c>
      <c r="J16" s="11">
        <f t="shared" si="1"/>
        <v>128666.66666666667</v>
      </c>
      <c r="K16" s="11">
        <f t="shared" si="2"/>
        <v>25794.05616287078</v>
      </c>
      <c r="L16" s="10">
        <f t="shared" si="0"/>
        <v>0.20047193908966926</v>
      </c>
      <c r="M16" s="11">
        <f t="shared" si="3"/>
        <v>128666.66666666667</v>
      </c>
      <c r="N16" s="11">
        <f>128666.67*F16</f>
        <v>128666.67</v>
      </c>
      <c r="P16" s="16"/>
    </row>
    <row r="17" spans="1:16" s="2" customFormat="1" ht="27.95" customHeight="1" x14ac:dyDescent="0.25">
      <c r="A17" s="3">
        <v>6</v>
      </c>
      <c r="B17" s="26" t="s">
        <v>35</v>
      </c>
      <c r="C17" s="27" t="s">
        <v>35</v>
      </c>
      <c r="D17" s="28" t="s">
        <v>35</v>
      </c>
      <c r="E17" s="13" t="s">
        <v>58</v>
      </c>
      <c r="F17" s="3">
        <v>1</v>
      </c>
      <c r="G17" s="17">
        <v>110000</v>
      </c>
      <c r="H17" s="18">
        <v>134500</v>
      </c>
      <c r="I17" s="18">
        <v>99000</v>
      </c>
      <c r="J17" s="11">
        <f t="shared" si="1"/>
        <v>114500</v>
      </c>
      <c r="K17" s="11">
        <f t="shared" si="2"/>
        <v>18172.781845386249</v>
      </c>
      <c r="L17" s="10">
        <f t="shared" si="0"/>
        <v>0.15871425192477073</v>
      </c>
      <c r="M17" s="11">
        <f t="shared" si="3"/>
        <v>114500</v>
      </c>
      <c r="N17" s="11">
        <f>114500*F17</f>
        <v>114500</v>
      </c>
      <c r="P17" s="16"/>
    </row>
    <row r="18" spans="1:16" s="2" customFormat="1" ht="27.95" customHeight="1" x14ac:dyDescent="0.25">
      <c r="A18" s="3">
        <v>7</v>
      </c>
      <c r="B18" s="26" t="s">
        <v>36</v>
      </c>
      <c r="C18" s="27" t="s">
        <v>36</v>
      </c>
      <c r="D18" s="28" t="s">
        <v>36</v>
      </c>
      <c r="E18" s="13" t="s">
        <v>58</v>
      </c>
      <c r="F18" s="3">
        <v>1</v>
      </c>
      <c r="G18" s="17">
        <v>110000</v>
      </c>
      <c r="H18" s="18">
        <v>134500</v>
      </c>
      <c r="I18" s="18">
        <v>99000</v>
      </c>
      <c r="J18" s="11">
        <f t="shared" si="1"/>
        <v>114500</v>
      </c>
      <c r="K18" s="11">
        <f t="shared" si="2"/>
        <v>18172.781845386249</v>
      </c>
      <c r="L18" s="10">
        <f t="shared" si="0"/>
        <v>0.15871425192477073</v>
      </c>
      <c r="M18" s="11">
        <f t="shared" si="3"/>
        <v>114500</v>
      </c>
      <c r="N18" s="11">
        <f>114500*F18</f>
        <v>114500</v>
      </c>
      <c r="P18" s="16"/>
    </row>
    <row r="19" spans="1:16" s="2" customFormat="1" ht="27.95" customHeight="1" x14ac:dyDescent="0.25">
      <c r="A19" s="3">
        <v>8</v>
      </c>
      <c r="B19" s="26" t="s">
        <v>37</v>
      </c>
      <c r="C19" s="27" t="s">
        <v>37</v>
      </c>
      <c r="D19" s="28" t="s">
        <v>37</v>
      </c>
      <c r="E19" s="13" t="s">
        <v>58</v>
      </c>
      <c r="F19" s="3">
        <v>1</v>
      </c>
      <c r="G19" s="17">
        <v>110000</v>
      </c>
      <c r="H19" s="18">
        <v>134500</v>
      </c>
      <c r="I19" s="18">
        <v>99000</v>
      </c>
      <c r="J19" s="11">
        <f t="shared" si="1"/>
        <v>114500</v>
      </c>
      <c r="K19" s="11">
        <f t="shared" si="2"/>
        <v>18172.781845386249</v>
      </c>
      <c r="L19" s="10">
        <f t="shared" si="0"/>
        <v>0.15871425192477073</v>
      </c>
      <c r="M19" s="11">
        <f t="shared" si="3"/>
        <v>114500</v>
      </c>
      <c r="N19" s="11">
        <f>114500*F19</f>
        <v>114500</v>
      </c>
      <c r="P19" s="16"/>
    </row>
    <row r="20" spans="1:16" s="2" customFormat="1" ht="27.95" customHeight="1" x14ac:dyDescent="0.25">
      <c r="A20" s="3">
        <v>9</v>
      </c>
      <c r="B20" s="26" t="s">
        <v>38</v>
      </c>
      <c r="C20" s="27" t="s">
        <v>38</v>
      </c>
      <c r="D20" s="28" t="s">
        <v>38</v>
      </c>
      <c r="E20" s="13" t="s">
        <v>58</v>
      </c>
      <c r="F20" s="3">
        <v>1</v>
      </c>
      <c r="G20" s="17">
        <v>110000</v>
      </c>
      <c r="H20" s="18">
        <v>134500</v>
      </c>
      <c r="I20" s="18">
        <v>99000</v>
      </c>
      <c r="J20" s="11">
        <f t="shared" si="1"/>
        <v>114500</v>
      </c>
      <c r="K20" s="11">
        <f t="shared" si="2"/>
        <v>18172.781845386249</v>
      </c>
      <c r="L20" s="10">
        <f t="shared" si="0"/>
        <v>0.15871425192477073</v>
      </c>
      <c r="M20" s="11">
        <f t="shared" si="3"/>
        <v>114500</v>
      </c>
      <c r="N20" s="11">
        <f>114500*F20</f>
        <v>114500</v>
      </c>
      <c r="P20" s="16"/>
    </row>
    <row r="21" spans="1:16" s="2" customFormat="1" ht="27.95" customHeight="1" x14ac:dyDescent="0.25">
      <c r="A21" s="3">
        <v>10</v>
      </c>
      <c r="B21" s="26" t="s">
        <v>39</v>
      </c>
      <c r="C21" s="27" t="s">
        <v>39</v>
      </c>
      <c r="D21" s="28" t="s">
        <v>39</v>
      </c>
      <c r="E21" s="13" t="s">
        <v>58</v>
      </c>
      <c r="F21" s="3">
        <v>1</v>
      </c>
      <c r="G21" s="17">
        <v>110000</v>
      </c>
      <c r="H21" s="18">
        <v>139500</v>
      </c>
      <c r="I21" s="18">
        <v>102500</v>
      </c>
      <c r="J21" s="11">
        <f t="shared" si="1"/>
        <v>117333.33333333333</v>
      </c>
      <c r="K21" s="11">
        <f t="shared" si="2"/>
        <v>19559.737557884873</v>
      </c>
      <c r="L21" s="10">
        <f t="shared" si="0"/>
        <v>0.16670230873197336</v>
      </c>
      <c r="M21" s="11">
        <f t="shared" si="3"/>
        <v>117333.33333333333</v>
      </c>
      <c r="N21" s="11">
        <f>117333.33*F21</f>
        <v>117333.33</v>
      </c>
      <c r="P21" s="16"/>
    </row>
    <row r="22" spans="1:16" s="2" customFormat="1" ht="27.95" customHeight="1" x14ac:dyDescent="0.25">
      <c r="A22" s="3">
        <v>11</v>
      </c>
      <c r="B22" s="26" t="s">
        <v>40</v>
      </c>
      <c r="C22" s="27" t="s">
        <v>40</v>
      </c>
      <c r="D22" s="28" t="s">
        <v>40</v>
      </c>
      <c r="E22" s="13" t="s">
        <v>58</v>
      </c>
      <c r="F22" s="3">
        <v>1</v>
      </c>
      <c r="G22" s="17">
        <v>110000</v>
      </c>
      <c r="H22" s="18">
        <v>135500</v>
      </c>
      <c r="I22" s="18">
        <v>102500</v>
      </c>
      <c r="J22" s="11">
        <f t="shared" si="1"/>
        <v>116000</v>
      </c>
      <c r="K22" s="11">
        <f t="shared" si="2"/>
        <v>17298.843892006193</v>
      </c>
      <c r="L22" s="10">
        <f t="shared" si="0"/>
        <v>0.14912796458626029</v>
      </c>
      <c r="M22" s="11">
        <f t="shared" si="3"/>
        <v>116000</v>
      </c>
      <c r="N22" s="11">
        <f>116000*F22</f>
        <v>116000</v>
      </c>
      <c r="P22" s="16"/>
    </row>
    <row r="23" spans="1:16" s="2" customFormat="1" ht="27.75" customHeight="1" x14ac:dyDescent="0.25">
      <c r="A23" s="3">
        <v>12</v>
      </c>
      <c r="B23" s="26" t="s">
        <v>41</v>
      </c>
      <c r="C23" s="27" t="s">
        <v>41</v>
      </c>
      <c r="D23" s="28" t="s">
        <v>41</v>
      </c>
      <c r="E23" s="13" t="s">
        <v>58</v>
      </c>
      <c r="F23" s="3">
        <v>1</v>
      </c>
      <c r="G23" s="17">
        <v>110000</v>
      </c>
      <c r="H23" s="18">
        <v>139500</v>
      </c>
      <c r="I23" s="18">
        <v>102500</v>
      </c>
      <c r="J23" s="11">
        <f t="shared" si="1"/>
        <v>117333.33333333333</v>
      </c>
      <c r="K23" s="11">
        <f t="shared" si="2"/>
        <v>19559.737557884873</v>
      </c>
      <c r="L23" s="10">
        <f t="shared" si="0"/>
        <v>0.16670230873197336</v>
      </c>
      <c r="M23" s="11">
        <f t="shared" si="3"/>
        <v>117333.33333333333</v>
      </c>
      <c r="N23" s="11">
        <f>117333.33*F23</f>
        <v>117333.33</v>
      </c>
      <c r="P23" s="16"/>
    </row>
    <row r="24" spans="1:16" s="2" customFormat="1" ht="48" customHeight="1" x14ac:dyDescent="0.25">
      <c r="A24" s="3">
        <v>13</v>
      </c>
      <c r="B24" s="26" t="s">
        <v>42</v>
      </c>
      <c r="C24" s="27" t="s">
        <v>42</v>
      </c>
      <c r="D24" s="28" t="s">
        <v>42</v>
      </c>
      <c r="E24" s="13" t="s">
        <v>58</v>
      </c>
      <c r="F24" s="3">
        <v>1</v>
      </c>
      <c r="G24" s="17">
        <v>198500</v>
      </c>
      <c r="H24" s="18">
        <v>285600</v>
      </c>
      <c r="I24" s="18">
        <v>210000</v>
      </c>
      <c r="J24" s="11">
        <f t="shared" si="1"/>
        <v>231366.66666666666</v>
      </c>
      <c r="K24" s="11">
        <f t="shared" si="2"/>
        <v>47318.107879894436</v>
      </c>
      <c r="L24" s="10">
        <f t="shared" si="0"/>
        <v>0.20451566581138642</v>
      </c>
      <c r="M24" s="11">
        <f t="shared" si="3"/>
        <v>231366.66666666666</v>
      </c>
      <c r="N24" s="11">
        <f t="shared" ref="N24:N35" si="4">231366.67*F24</f>
        <v>231366.67</v>
      </c>
      <c r="P24" s="16"/>
    </row>
    <row r="25" spans="1:16" s="2" customFormat="1" ht="47.25" customHeight="1" x14ac:dyDescent="0.25">
      <c r="A25" s="3">
        <v>14</v>
      </c>
      <c r="B25" s="26" t="s">
        <v>43</v>
      </c>
      <c r="C25" s="27" t="s">
        <v>43</v>
      </c>
      <c r="D25" s="28" t="s">
        <v>43</v>
      </c>
      <c r="E25" s="13" t="s">
        <v>58</v>
      </c>
      <c r="F25" s="3">
        <v>1</v>
      </c>
      <c r="G25" s="17">
        <v>198500</v>
      </c>
      <c r="H25" s="18">
        <v>285600</v>
      </c>
      <c r="I25" s="18">
        <v>210000</v>
      </c>
      <c r="J25" s="11">
        <f t="shared" si="1"/>
        <v>231366.66666666666</v>
      </c>
      <c r="K25" s="11">
        <f t="shared" si="2"/>
        <v>47318.107879894436</v>
      </c>
      <c r="L25" s="10">
        <f t="shared" si="0"/>
        <v>0.20451566581138642</v>
      </c>
      <c r="M25" s="11">
        <f t="shared" si="3"/>
        <v>231366.66666666666</v>
      </c>
      <c r="N25" s="11">
        <f t="shared" si="4"/>
        <v>231366.67</v>
      </c>
      <c r="P25" s="16"/>
    </row>
    <row r="26" spans="1:16" s="2" customFormat="1" ht="46.5" customHeight="1" x14ac:dyDescent="0.25">
      <c r="A26" s="3">
        <v>15</v>
      </c>
      <c r="B26" s="26" t="s">
        <v>44</v>
      </c>
      <c r="C26" s="27" t="s">
        <v>44</v>
      </c>
      <c r="D26" s="28" t="s">
        <v>44</v>
      </c>
      <c r="E26" s="13" t="s">
        <v>58</v>
      </c>
      <c r="F26" s="3">
        <v>1</v>
      </c>
      <c r="G26" s="17">
        <v>198500</v>
      </c>
      <c r="H26" s="18">
        <v>285600</v>
      </c>
      <c r="I26" s="18">
        <v>210000</v>
      </c>
      <c r="J26" s="11">
        <f t="shared" si="1"/>
        <v>231366.66666666666</v>
      </c>
      <c r="K26" s="11">
        <f t="shared" si="2"/>
        <v>47318.107879894436</v>
      </c>
      <c r="L26" s="10">
        <f t="shared" si="0"/>
        <v>0.20451566581138642</v>
      </c>
      <c r="M26" s="11">
        <f t="shared" si="3"/>
        <v>231366.66666666666</v>
      </c>
      <c r="N26" s="11">
        <f t="shared" si="4"/>
        <v>231366.67</v>
      </c>
      <c r="P26" s="16"/>
    </row>
    <row r="27" spans="1:16" s="2" customFormat="1" ht="45.75" customHeight="1" x14ac:dyDescent="0.25">
      <c r="A27" s="3">
        <v>16</v>
      </c>
      <c r="B27" s="26" t="s">
        <v>45</v>
      </c>
      <c r="C27" s="27" t="s">
        <v>45</v>
      </c>
      <c r="D27" s="28" t="s">
        <v>45</v>
      </c>
      <c r="E27" s="13" t="s">
        <v>58</v>
      </c>
      <c r="F27" s="3">
        <v>1</v>
      </c>
      <c r="G27" s="17">
        <v>198500</v>
      </c>
      <c r="H27" s="18">
        <v>285600</v>
      </c>
      <c r="I27" s="18">
        <v>210000</v>
      </c>
      <c r="J27" s="11">
        <f t="shared" si="1"/>
        <v>231366.66666666666</v>
      </c>
      <c r="K27" s="11">
        <f t="shared" si="2"/>
        <v>47318.107879894436</v>
      </c>
      <c r="L27" s="10">
        <f t="shared" si="0"/>
        <v>0.20451566581138642</v>
      </c>
      <c r="M27" s="11">
        <f t="shared" si="3"/>
        <v>231366.66666666666</v>
      </c>
      <c r="N27" s="11">
        <f t="shared" si="4"/>
        <v>231366.67</v>
      </c>
      <c r="P27" s="16"/>
    </row>
    <row r="28" spans="1:16" s="2" customFormat="1" ht="54" customHeight="1" x14ac:dyDescent="0.25">
      <c r="A28" s="3">
        <v>17</v>
      </c>
      <c r="B28" s="26" t="s">
        <v>46</v>
      </c>
      <c r="C28" s="27" t="s">
        <v>46</v>
      </c>
      <c r="D28" s="28" t="s">
        <v>46</v>
      </c>
      <c r="E28" s="13" t="s">
        <v>58</v>
      </c>
      <c r="F28" s="3">
        <v>1</v>
      </c>
      <c r="G28" s="17">
        <v>198500</v>
      </c>
      <c r="H28" s="18">
        <v>285600</v>
      </c>
      <c r="I28" s="18">
        <v>210000</v>
      </c>
      <c r="J28" s="11">
        <f t="shared" si="1"/>
        <v>231366.66666666666</v>
      </c>
      <c r="K28" s="11">
        <f t="shared" si="2"/>
        <v>47318.107879894436</v>
      </c>
      <c r="L28" s="10">
        <f t="shared" si="0"/>
        <v>0.20451566581138642</v>
      </c>
      <c r="M28" s="11">
        <f t="shared" si="3"/>
        <v>231366.66666666666</v>
      </c>
      <c r="N28" s="11">
        <f t="shared" si="4"/>
        <v>231366.67</v>
      </c>
      <c r="P28" s="16"/>
    </row>
    <row r="29" spans="1:16" s="2" customFormat="1" ht="52.5" customHeight="1" x14ac:dyDescent="0.25">
      <c r="A29" s="3">
        <v>18</v>
      </c>
      <c r="B29" s="26" t="s">
        <v>47</v>
      </c>
      <c r="C29" s="27" t="s">
        <v>47</v>
      </c>
      <c r="D29" s="28" t="s">
        <v>47</v>
      </c>
      <c r="E29" s="13" t="s">
        <v>58</v>
      </c>
      <c r="F29" s="3">
        <v>1</v>
      </c>
      <c r="G29" s="17">
        <v>198500</v>
      </c>
      <c r="H29" s="18">
        <v>285600</v>
      </c>
      <c r="I29" s="18">
        <v>210000</v>
      </c>
      <c r="J29" s="11">
        <f t="shared" si="1"/>
        <v>231366.66666666666</v>
      </c>
      <c r="K29" s="11">
        <f t="shared" si="2"/>
        <v>47318.107879894436</v>
      </c>
      <c r="L29" s="10">
        <f t="shared" si="0"/>
        <v>0.20451566581138642</v>
      </c>
      <c r="M29" s="11">
        <f t="shared" si="3"/>
        <v>231366.66666666666</v>
      </c>
      <c r="N29" s="11">
        <f t="shared" si="4"/>
        <v>231366.67</v>
      </c>
      <c r="P29" s="16"/>
    </row>
    <row r="30" spans="1:16" s="2" customFormat="1" ht="45" customHeight="1" x14ac:dyDescent="0.25">
      <c r="A30" s="3">
        <v>19</v>
      </c>
      <c r="B30" s="26" t="s">
        <v>48</v>
      </c>
      <c r="C30" s="27" t="s">
        <v>48</v>
      </c>
      <c r="D30" s="28" t="s">
        <v>48</v>
      </c>
      <c r="E30" s="13" t="s">
        <v>58</v>
      </c>
      <c r="F30" s="3">
        <v>1</v>
      </c>
      <c r="G30" s="17">
        <v>198500</v>
      </c>
      <c r="H30" s="18">
        <v>285600</v>
      </c>
      <c r="I30" s="18">
        <v>210000</v>
      </c>
      <c r="J30" s="11">
        <f t="shared" si="1"/>
        <v>231366.66666666666</v>
      </c>
      <c r="K30" s="11">
        <f t="shared" si="2"/>
        <v>47318.107879894436</v>
      </c>
      <c r="L30" s="10">
        <f t="shared" si="0"/>
        <v>0.20451566581138642</v>
      </c>
      <c r="M30" s="11">
        <f t="shared" si="3"/>
        <v>231366.66666666666</v>
      </c>
      <c r="N30" s="11">
        <f t="shared" si="4"/>
        <v>231366.67</v>
      </c>
      <c r="P30" s="16"/>
    </row>
    <row r="31" spans="1:16" s="2" customFormat="1" ht="52.5" customHeight="1" x14ac:dyDescent="0.25">
      <c r="A31" s="3">
        <v>20</v>
      </c>
      <c r="B31" s="26" t="s">
        <v>49</v>
      </c>
      <c r="C31" s="27" t="s">
        <v>49</v>
      </c>
      <c r="D31" s="28" t="s">
        <v>49</v>
      </c>
      <c r="E31" s="13" t="s">
        <v>58</v>
      </c>
      <c r="F31" s="3">
        <v>1</v>
      </c>
      <c r="G31" s="17">
        <v>198500</v>
      </c>
      <c r="H31" s="18">
        <v>285600</v>
      </c>
      <c r="I31" s="18">
        <v>210000</v>
      </c>
      <c r="J31" s="11">
        <f t="shared" si="1"/>
        <v>231366.66666666666</v>
      </c>
      <c r="K31" s="11">
        <f t="shared" si="2"/>
        <v>47318.107879894436</v>
      </c>
      <c r="L31" s="10">
        <f t="shared" si="0"/>
        <v>0.20451566581138642</v>
      </c>
      <c r="M31" s="11">
        <f t="shared" si="3"/>
        <v>231366.66666666666</v>
      </c>
      <c r="N31" s="11">
        <f t="shared" si="4"/>
        <v>231366.67</v>
      </c>
      <c r="P31" s="16"/>
    </row>
    <row r="32" spans="1:16" s="2" customFormat="1" ht="47.25" customHeight="1" x14ac:dyDescent="0.25">
      <c r="A32" s="3">
        <v>21</v>
      </c>
      <c r="B32" s="26" t="s">
        <v>50</v>
      </c>
      <c r="C32" s="27" t="s">
        <v>50</v>
      </c>
      <c r="D32" s="28" t="s">
        <v>50</v>
      </c>
      <c r="E32" s="13" t="s">
        <v>58</v>
      </c>
      <c r="F32" s="3">
        <v>1</v>
      </c>
      <c r="G32" s="17">
        <v>198500</v>
      </c>
      <c r="H32" s="18">
        <v>285600</v>
      </c>
      <c r="I32" s="18">
        <v>210000</v>
      </c>
      <c r="J32" s="11">
        <f t="shared" si="1"/>
        <v>231366.66666666666</v>
      </c>
      <c r="K32" s="11">
        <f t="shared" si="2"/>
        <v>47318.107879894436</v>
      </c>
      <c r="L32" s="10">
        <f t="shared" si="0"/>
        <v>0.20451566581138642</v>
      </c>
      <c r="M32" s="11">
        <f t="shared" si="3"/>
        <v>231366.66666666666</v>
      </c>
      <c r="N32" s="11">
        <f t="shared" si="4"/>
        <v>231366.67</v>
      </c>
      <c r="P32" s="16"/>
    </row>
    <row r="33" spans="1:16" s="2" customFormat="1" ht="51" customHeight="1" x14ac:dyDescent="0.25">
      <c r="A33" s="3">
        <v>22</v>
      </c>
      <c r="B33" s="26" t="s">
        <v>51</v>
      </c>
      <c r="C33" s="27" t="s">
        <v>51</v>
      </c>
      <c r="D33" s="28" t="s">
        <v>51</v>
      </c>
      <c r="E33" s="13" t="s">
        <v>58</v>
      </c>
      <c r="F33" s="3">
        <v>1</v>
      </c>
      <c r="G33" s="17">
        <v>198500</v>
      </c>
      <c r="H33" s="18">
        <v>285600</v>
      </c>
      <c r="I33" s="18">
        <v>210000</v>
      </c>
      <c r="J33" s="11">
        <f t="shared" si="1"/>
        <v>231366.66666666666</v>
      </c>
      <c r="K33" s="11">
        <f t="shared" si="2"/>
        <v>47318.107879894436</v>
      </c>
      <c r="L33" s="10">
        <f t="shared" si="0"/>
        <v>0.20451566581138642</v>
      </c>
      <c r="M33" s="11">
        <f t="shared" si="3"/>
        <v>231366.66666666666</v>
      </c>
      <c r="N33" s="11">
        <f t="shared" si="4"/>
        <v>231366.67</v>
      </c>
      <c r="P33" s="16"/>
    </row>
    <row r="34" spans="1:16" s="2" customFormat="1" ht="46.5" customHeight="1" x14ac:dyDescent="0.25">
      <c r="A34" s="3">
        <v>23</v>
      </c>
      <c r="B34" s="26" t="s">
        <v>52</v>
      </c>
      <c r="C34" s="27" t="s">
        <v>52</v>
      </c>
      <c r="D34" s="28" t="s">
        <v>52</v>
      </c>
      <c r="E34" s="13" t="s">
        <v>58</v>
      </c>
      <c r="F34" s="3">
        <v>1</v>
      </c>
      <c r="G34" s="17">
        <v>198500</v>
      </c>
      <c r="H34" s="18">
        <v>285600</v>
      </c>
      <c r="I34" s="18">
        <v>210000</v>
      </c>
      <c r="J34" s="11">
        <f t="shared" si="1"/>
        <v>231366.66666666666</v>
      </c>
      <c r="K34" s="11">
        <f t="shared" si="2"/>
        <v>47318.107879894436</v>
      </c>
      <c r="L34" s="10">
        <f t="shared" si="0"/>
        <v>0.20451566581138642</v>
      </c>
      <c r="M34" s="11">
        <f t="shared" si="3"/>
        <v>231366.66666666666</v>
      </c>
      <c r="N34" s="11">
        <f t="shared" si="4"/>
        <v>231366.67</v>
      </c>
      <c r="P34" s="16"/>
    </row>
    <row r="35" spans="1:16" s="2" customFormat="1" ht="42" customHeight="1" x14ac:dyDescent="0.25">
      <c r="A35" s="3">
        <v>24</v>
      </c>
      <c r="B35" s="26" t="s">
        <v>53</v>
      </c>
      <c r="C35" s="27" t="s">
        <v>53</v>
      </c>
      <c r="D35" s="28" t="s">
        <v>53</v>
      </c>
      <c r="E35" s="13" t="s">
        <v>58</v>
      </c>
      <c r="F35" s="3">
        <v>1</v>
      </c>
      <c r="G35" s="17">
        <v>198500</v>
      </c>
      <c r="H35" s="18">
        <v>285600</v>
      </c>
      <c r="I35" s="18">
        <v>210000</v>
      </c>
      <c r="J35" s="11">
        <f t="shared" si="1"/>
        <v>231366.66666666666</v>
      </c>
      <c r="K35" s="11">
        <f t="shared" si="2"/>
        <v>47318.107879894436</v>
      </c>
      <c r="L35" s="10">
        <f t="shared" si="0"/>
        <v>0.20451566581138642</v>
      </c>
      <c r="M35" s="11">
        <f t="shared" si="3"/>
        <v>231366.66666666666</v>
      </c>
      <c r="N35" s="11">
        <f t="shared" si="4"/>
        <v>231366.67</v>
      </c>
      <c r="P35" s="16"/>
    </row>
    <row r="36" spans="1:16" s="2" customFormat="1" ht="49.5" customHeight="1" x14ac:dyDescent="0.25">
      <c r="A36" s="3">
        <v>25</v>
      </c>
      <c r="B36" s="26" t="s">
        <v>54</v>
      </c>
      <c r="C36" s="27" t="s">
        <v>54</v>
      </c>
      <c r="D36" s="28" t="s">
        <v>54</v>
      </c>
      <c r="E36" s="13" t="s">
        <v>58</v>
      </c>
      <c r="F36" s="3">
        <v>1</v>
      </c>
      <c r="G36" s="17">
        <v>150000</v>
      </c>
      <c r="H36" s="19">
        <v>182000</v>
      </c>
      <c r="I36" s="18">
        <v>155000</v>
      </c>
      <c r="J36" s="11">
        <f t="shared" si="1"/>
        <v>162333.33333333334</v>
      </c>
      <c r="K36" s="11">
        <f t="shared" si="2"/>
        <v>17214.335111567143</v>
      </c>
      <c r="L36" s="10">
        <f t="shared" si="0"/>
        <v>0.10604313210410971</v>
      </c>
      <c r="M36" s="11">
        <f t="shared" si="3"/>
        <v>162333.33333333334</v>
      </c>
      <c r="N36" s="11">
        <f>162333.33*F36</f>
        <v>162333.32999999999</v>
      </c>
      <c r="P36" s="16"/>
    </row>
    <row r="37" spans="1:16" s="2" customFormat="1" ht="51" customHeight="1" x14ac:dyDescent="0.25">
      <c r="A37" s="3">
        <v>26</v>
      </c>
      <c r="B37" s="26" t="s">
        <v>55</v>
      </c>
      <c r="C37" s="27" t="s">
        <v>55</v>
      </c>
      <c r="D37" s="28" t="s">
        <v>55</v>
      </c>
      <c r="E37" s="13" t="s">
        <v>58</v>
      </c>
      <c r="F37" s="3">
        <v>1</v>
      </c>
      <c r="G37" s="17">
        <v>150000</v>
      </c>
      <c r="H37" s="19">
        <v>220000</v>
      </c>
      <c r="I37" s="18">
        <v>186500</v>
      </c>
      <c r="J37" s="11">
        <f t="shared" si="1"/>
        <v>185500</v>
      </c>
      <c r="K37" s="11">
        <f t="shared" si="2"/>
        <v>35010.712646274427</v>
      </c>
      <c r="L37" s="10">
        <f t="shared" si="0"/>
        <v>0.1887369953977058</v>
      </c>
      <c r="M37" s="11">
        <f t="shared" si="3"/>
        <v>185500</v>
      </c>
      <c r="N37" s="11">
        <f>185500*F37</f>
        <v>185500</v>
      </c>
      <c r="P37" s="16"/>
    </row>
    <row r="38" spans="1:16" s="2" customFormat="1" ht="51" customHeight="1" x14ac:dyDescent="0.25">
      <c r="A38" s="3">
        <v>27</v>
      </c>
      <c r="B38" s="26" t="s">
        <v>56</v>
      </c>
      <c r="C38" s="27" t="s">
        <v>56</v>
      </c>
      <c r="D38" s="28" t="s">
        <v>56</v>
      </c>
      <c r="E38" s="13" t="s">
        <v>58</v>
      </c>
      <c r="F38" s="3">
        <v>1</v>
      </c>
      <c r="G38" s="17">
        <v>150000</v>
      </c>
      <c r="H38" s="19">
        <v>221000</v>
      </c>
      <c r="I38" s="18">
        <v>191500</v>
      </c>
      <c r="J38" s="11">
        <f t="shared" si="1"/>
        <v>187500</v>
      </c>
      <c r="K38" s="11">
        <f t="shared" si="2"/>
        <v>35668.613654023618</v>
      </c>
      <c r="L38" s="10">
        <f t="shared" si="0"/>
        <v>0.19023260615479262</v>
      </c>
      <c r="M38" s="11">
        <f t="shared" si="3"/>
        <v>187500</v>
      </c>
      <c r="N38" s="11">
        <f>187500*F38</f>
        <v>187500</v>
      </c>
      <c r="P38" s="16"/>
    </row>
    <row r="39" spans="1:16" s="2" customFormat="1" ht="52.5" customHeight="1" x14ac:dyDescent="0.25">
      <c r="A39" s="3">
        <v>28</v>
      </c>
      <c r="B39" s="26" t="s">
        <v>57</v>
      </c>
      <c r="C39" s="27" t="s">
        <v>57</v>
      </c>
      <c r="D39" s="28" t="s">
        <v>57</v>
      </c>
      <c r="E39" s="13" t="s">
        <v>58</v>
      </c>
      <c r="F39" s="3">
        <v>1</v>
      </c>
      <c r="G39" s="17">
        <v>150000</v>
      </c>
      <c r="H39" s="19">
        <v>225000</v>
      </c>
      <c r="I39" s="18">
        <v>195000</v>
      </c>
      <c r="J39" s="11">
        <f t="shared" si="1"/>
        <v>190000</v>
      </c>
      <c r="K39" s="11">
        <f t="shared" si="2"/>
        <v>37749.17217635375</v>
      </c>
      <c r="L39" s="10">
        <f t="shared" si="0"/>
        <v>0.19867985355975659</v>
      </c>
      <c r="M39" s="11">
        <f t="shared" si="3"/>
        <v>190000</v>
      </c>
      <c r="N39" s="11">
        <f>190000*F39</f>
        <v>190000</v>
      </c>
      <c r="O39" s="14"/>
      <c r="P39" s="16"/>
    </row>
    <row r="40" spans="1:16" s="2" customFormat="1" ht="22.5" customHeight="1" x14ac:dyDescent="0.25">
      <c r="A40" s="23" t="s">
        <v>27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5"/>
      <c r="N40" s="12">
        <f>SUM(N12:N39)</f>
        <v>4958900.04</v>
      </c>
      <c r="P40" s="16"/>
    </row>
    <row r="41" spans="1:16" s="2" customFormat="1" ht="20.100000000000001" customHeight="1" x14ac:dyDescent="0.25">
      <c r="A41" s="20" t="s">
        <v>59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2"/>
    </row>
    <row r="42" spans="1:16" s="2" customFormat="1" ht="18.75" customHeight="1" x14ac:dyDescent="0.25"/>
    <row r="43" spans="1:16" s="2" customFormat="1" ht="28.5" hidden="1" customHeight="1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16" s="2" customFormat="1" ht="27" customHeight="1" x14ac:dyDescent="0.25">
      <c r="A44" s="31" t="s">
        <v>18</v>
      </c>
      <c r="B44" s="31"/>
      <c r="C44" s="31"/>
      <c r="D44" s="31"/>
      <c r="E44" s="31"/>
      <c r="F44" s="31"/>
      <c r="G44" s="31"/>
      <c r="H44" s="31"/>
      <c r="I44" s="31"/>
      <c r="J44" s="31" t="s">
        <v>8</v>
      </c>
      <c r="K44" s="31"/>
      <c r="L44" s="31" t="s">
        <v>15</v>
      </c>
      <c r="M44" s="31"/>
      <c r="N44" s="14"/>
    </row>
    <row r="45" spans="1:16" s="2" customFormat="1" ht="9.9499999999999993" customHeight="1" x14ac:dyDescent="0.25">
      <c r="A45" s="29" t="s">
        <v>12</v>
      </c>
      <c r="B45" s="29"/>
      <c r="C45" s="29"/>
      <c r="D45" s="29"/>
      <c r="E45" s="29"/>
      <c r="F45" s="29"/>
      <c r="G45" s="29"/>
      <c r="H45" s="29"/>
      <c r="I45" s="29"/>
      <c r="J45" s="29" t="s">
        <v>13</v>
      </c>
      <c r="K45" s="29"/>
      <c r="L45" s="30"/>
      <c r="M45" s="30"/>
      <c r="N45" s="15"/>
    </row>
    <row r="46" spans="1:16" ht="12.75" customHeight="1" x14ac:dyDescent="0.25">
      <c r="A46" s="2"/>
      <c r="B46" s="8" t="s">
        <v>16</v>
      </c>
      <c r="C46" s="8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6" ht="19.5" customHeight="1" x14ac:dyDescent="0.25">
      <c r="A47" s="2"/>
      <c r="B47" s="9" t="s">
        <v>17</v>
      </c>
      <c r="C47" s="8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</sheetData>
  <mergeCells count="51">
    <mergeCell ref="F1:N1"/>
    <mergeCell ref="B12:D12"/>
    <mergeCell ref="A2:N2"/>
    <mergeCell ref="A8:N8"/>
    <mergeCell ref="G10:I10"/>
    <mergeCell ref="J10:L10"/>
    <mergeCell ref="M10:N10"/>
    <mergeCell ref="A3:N3"/>
    <mergeCell ref="A5:G5"/>
    <mergeCell ref="H5:N5"/>
    <mergeCell ref="A6:G6"/>
    <mergeCell ref="H6:N6"/>
    <mergeCell ref="A10:A11"/>
    <mergeCell ref="B10:D11"/>
    <mergeCell ref="F10:F11"/>
    <mergeCell ref="E10:E11"/>
    <mergeCell ref="B13:D13"/>
    <mergeCell ref="B25:D25"/>
    <mergeCell ref="B26:D26"/>
    <mergeCell ref="B27:D27"/>
    <mergeCell ref="B28:D28"/>
    <mergeCell ref="B16:D16"/>
    <mergeCell ref="B15:D15"/>
    <mergeCell ref="B14:D14"/>
    <mergeCell ref="B30:D30"/>
    <mergeCell ref="B18:D18"/>
    <mergeCell ref="B19:D19"/>
    <mergeCell ref="B20:D20"/>
    <mergeCell ref="B17:D17"/>
    <mergeCell ref="B29:D29"/>
    <mergeCell ref="B21:D21"/>
    <mergeCell ref="B22:D22"/>
    <mergeCell ref="B23:D23"/>
    <mergeCell ref="B24:D24"/>
    <mergeCell ref="A45:I45"/>
    <mergeCell ref="J45:K45"/>
    <mergeCell ref="L45:M45"/>
    <mergeCell ref="A44:I44"/>
    <mergeCell ref="J44:K44"/>
    <mergeCell ref="L44:M44"/>
    <mergeCell ref="A41:N41"/>
    <mergeCell ref="A40:M4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</mergeCells>
  <phoneticPr fontId="21" type="noConversion"/>
  <pageMargins left="0.6692913385826772" right="0" top="0.11811023622047245" bottom="0" header="0.78740157480314965" footer="0"/>
  <pageSetup paperSize="9" scale="75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2026-09-21T09:46:39Z</dcterms:modified>
</cp:coreProperties>
</file>