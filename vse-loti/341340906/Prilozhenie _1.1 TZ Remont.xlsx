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O:\PRM\AD01\Departments\UZIL\ОТдел ТНМО\2026 ЗАКУПКИ\10. Октябрь\06.10 - 109-27 ОЗП (В2В) Котловые трубы (Цветкова)\05. Документация ОЗП 94-27\"/>
    </mc:Choice>
  </mc:AlternateContent>
  <bookViews>
    <workbookView xWindow="120" yWindow="75" windowWidth="19020" windowHeight="4335"/>
  </bookViews>
  <sheets>
    <sheet name="9368279" sheetId="2" r:id="rId1"/>
  </sheets>
  <definedNames>
    <definedName name="_xlnm._FilterDatabase" localSheetId="0" hidden="1">'9368279'!$A$8:$R$52</definedName>
    <definedName name="_xlnm.Print_Area" localSheetId="0">'9368279'!$A$1:$S$64</definedName>
  </definedNames>
  <calcPr calcId="162913"/>
</workbook>
</file>

<file path=xl/calcChain.xml><?xml version="1.0" encoding="utf-8"?>
<calcChain xmlns="http://schemas.openxmlformats.org/spreadsheetml/2006/main">
  <c r="J10" i="2" l="1"/>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9" i="2"/>
  <c r="L52" i="2" l="1"/>
  <c r="K48" i="2"/>
  <c r="L48" i="2" s="1"/>
  <c r="K44" i="2"/>
  <c r="L44" i="2" s="1"/>
  <c r="K40" i="2"/>
  <c r="L40" i="2" s="1"/>
  <c r="K36" i="2"/>
  <c r="L36" i="2" s="1"/>
  <c r="K32" i="2"/>
  <c r="L32" i="2" s="1"/>
  <c r="K28" i="2"/>
  <c r="L28" i="2" s="1"/>
  <c r="K24" i="2"/>
  <c r="L24" i="2" s="1"/>
  <c r="K20" i="2"/>
  <c r="L20" i="2" s="1"/>
  <c r="K16" i="2"/>
  <c r="L16" i="2" s="1"/>
  <c r="K12" i="2"/>
  <c r="L12" i="2" s="1"/>
  <c r="K11" i="2"/>
  <c r="L11" i="2" s="1"/>
  <c r="K10" i="2"/>
  <c r="L10" i="2" s="1"/>
  <c r="K13" i="2"/>
  <c r="L13" i="2" s="1"/>
  <c r="K14" i="2"/>
  <c r="L14" i="2" s="1"/>
  <c r="K15" i="2"/>
  <c r="L15" i="2" s="1"/>
  <c r="K17" i="2"/>
  <c r="L17" i="2" s="1"/>
  <c r="K18" i="2"/>
  <c r="L18" i="2" s="1"/>
  <c r="K19" i="2"/>
  <c r="L19" i="2" s="1"/>
  <c r="K21" i="2"/>
  <c r="L21" i="2" s="1"/>
  <c r="K22" i="2"/>
  <c r="L22" i="2" s="1"/>
  <c r="K23" i="2"/>
  <c r="L23" i="2" s="1"/>
  <c r="K25" i="2"/>
  <c r="L25" i="2" s="1"/>
  <c r="K26" i="2"/>
  <c r="L26" i="2" s="1"/>
  <c r="K27" i="2"/>
  <c r="L27" i="2" s="1"/>
  <c r="K29" i="2"/>
  <c r="L29" i="2" s="1"/>
  <c r="K30" i="2"/>
  <c r="L30" i="2" s="1"/>
  <c r="K31" i="2"/>
  <c r="L31" i="2" s="1"/>
  <c r="K33" i="2"/>
  <c r="L33" i="2" s="1"/>
  <c r="K34" i="2"/>
  <c r="L34" i="2" s="1"/>
  <c r="K35" i="2"/>
  <c r="L35" i="2" s="1"/>
  <c r="K37" i="2"/>
  <c r="L37" i="2" s="1"/>
  <c r="K38" i="2"/>
  <c r="L38" i="2" s="1"/>
  <c r="K39" i="2"/>
  <c r="L39" i="2" s="1"/>
  <c r="K41" i="2"/>
  <c r="L41" i="2" s="1"/>
  <c r="K42" i="2"/>
  <c r="L42" i="2" s="1"/>
  <c r="K43" i="2"/>
  <c r="L43" i="2" s="1"/>
  <c r="K45" i="2"/>
  <c r="L45" i="2" s="1"/>
  <c r="K46" i="2"/>
  <c r="L46" i="2" s="1"/>
  <c r="K47" i="2"/>
  <c r="L47" i="2" s="1"/>
  <c r="K49" i="2"/>
  <c r="L49" i="2" s="1"/>
  <c r="K50" i="2"/>
  <c r="L50" i="2" s="1"/>
  <c r="K51" i="2"/>
  <c r="L51" i="2" s="1"/>
  <c r="K9" i="2"/>
  <c r="L9" i="2" s="1"/>
  <c r="E52" i="2" l="1"/>
</calcChain>
</file>

<file path=xl/sharedStrings.xml><?xml version="1.0" encoding="utf-8"?>
<sst xmlns="http://schemas.openxmlformats.org/spreadsheetml/2006/main" count="300" uniqueCount="99">
  <si>
    <t>п/п</t>
  </si>
  <si>
    <t>№ п/п</t>
  </si>
  <si>
    <t>Ед. изм.</t>
  </si>
  <si>
    <t>Кол-во</t>
  </si>
  <si>
    <t>Сроки поставки</t>
  </si>
  <si>
    <t xml:space="preserve">Техническое задание </t>
  </si>
  <si>
    <t>Перечень и объемы закупаемой продукции.</t>
  </si>
  <si>
    <t>Показатель</t>
  </si>
  <si>
    <t>Описание</t>
  </si>
  <si>
    <t>Общие требования к условиям поставки</t>
  </si>
  <si>
    <t>Технические требования к продукции</t>
  </si>
  <si>
    <t>Подтверждение соответствия продукции предъявляемым требованиям</t>
  </si>
  <si>
    <t>Требования по порядку расчетов</t>
  </si>
  <si>
    <t>Таблица 1</t>
  </si>
  <si>
    <t>Наименование продукции</t>
  </si>
  <si>
    <t>Техн. Требования</t>
  </si>
  <si>
    <t>Получатель</t>
  </si>
  <si>
    <t>Код МТР SAP</t>
  </si>
  <si>
    <t>Грузополучатель, реквизиты</t>
  </si>
  <si>
    <t>п. 2 таблицы 2</t>
  </si>
  <si>
    <t>ИТОГО:</t>
  </si>
  <si>
    <t>т</t>
  </si>
  <si>
    <t>Цена единицы, руб. без НДС</t>
  </si>
  <si>
    <t>Таблица 2</t>
  </si>
  <si>
    <t>Т</t>
  </si>
  <si>
    <t/>
  </si>
  <si>
    <t>Цена единицы, руб. с НДС</t>
  </si>
  <si>
    <t>13 889 700,00</t>
  </si>
  <si>
    <t xml:space="preserve">3.1.  Качество предлагаемой продукции должно быть подтверждено декларацией или сертификатом соответствия требованиям технического регламента Таможенного союза 032/2013 предоставляется в момент поствки продукции;
3.2 Сертификат качества на продукцию (предусмотренный заводом изготовителем), заверенный печатью поставщика должен быть предоставлены Грузополучателю до  момента поставки продукции по факсу, либо по электронной почте, а затем в момент поставки продукции с синей печатью поставщика.
3.3 Покупатель вправе проверить подлинность сертификата на заводе - изготовителе.                                                                                                   </t>
  </si>
  <si>
    <t>КОД ОКПД2</t>
  </si>
  <si>
    <t>Преимущество/запрет/ограничение допуска товаров, происходящих из иностранного государства</t>
  </si>
  <si>
    <t>преимущество</t>
  </si>
  <si>
    <t>на поставку труб котловых</t>
  </si>
  <si>
    <t>24.20.13.120</t>
  </si>
  <si>
    <t>ТРУБА 102Х5 СТ20 ТУ14-3-190</t>
  </si>
  <si>
    <t>ТРУБА 108Х5 СТ20 ТУ14-3-190</t>
  </si>
  <si>
    <t>ТРУБА 108Х6 СТ20 ТУ14-3Р-55</t>
  </si>
  <si>
    <t>ТРУБА 168Х6 СТ20 ТУ14-3-190</t>
  </si>
  <si>
    <t>ТРУБА 28Х3 СТ20 ТУ14-3Р-55</t>
  </si>
  <si>
    <t>ТРУБА 28Х4 СТ20 ТУ14-3Р-55</t>
  </si>
  <si>
    <t>ТРУБА 28Х5 СТ12Х1МФ ТУ14-3Р-55</t>
  </si>
  <si>
    <t>ТРУБА 32Х3 СТ20 ТУ14-3Р-55</t>
  </si>
  <si>
    <t>ТРУБА 38Х3.5 СТ20 ТУ14-3-190</t>
  </si>
  <si>
    <t>ТРУБА 38Х4 СТ20 ТУ14-3-190</t>
  </si>
  <si>
    <t>ТРУБА 42Х5 СТ12Х1МФ ТУ14-3Р-55</t>
  </si>
  <si>
    <t>ТРУБА 51Х5 СТ20 ТУ14-3Р-55</t>
  </si>
  <si>
    <t>ТРУБА 60Х6 СТ20 ТУ14-3Р-55</t>
  </si>
  <si>
    <t>ТРУБА 76Х7.5 СТ20 ТУ14-3Р-55</t>
  </si>
  <si>
    <t>ТРУБА 83Х4 СТ20 ТУ14-3-190</t>
  </si>
  <si>
    <t>ТРУБА 83Х5 СТ20 ТУ14-3-190</t>
  </si>
  <si>
    <t>ТРУБА 89Х6 СТ20 ТУ14-3Р-55</t>
  </si>
  <si>
    <t>24586</t>
  </si>
  <si>
    <t>24600</t>
  </si>
  <si>
    <t>77164</t>
  </si>
  <si>
    <t>518301</t>
  </si>
  <si>
    <t>10381</t>
  </si>
  <si>
    <t>10243</t>
  </si>
  <si>
    <t>217933</t>
  </si>
  <si>
    <t>58950</t>
  </si>
  <si>
    <t>24844</t>
  </si>
  <si>
    <t>24849</t>
  </si>
  <si>
    <t>90638</t>
  </si>
  <si>
    <t>363574</t>
  </si>
  <si>
    <t>58972</t>
  </si>
  <si>
    <t>139374</t>
  </si>
  <si>
    <t>24987</t>
  </si>
  <si>
    <t>81378</t>
  </si>
  <si>
    <t>80994</t>
  </si>
  <si>
    <t>24.20.13.190</t>
  </si>
  <si>
    <t xml:space="preserve">Обособленное подразделение ПАО "Т Плюс" (Березниковская ТЭЦ-2). Адрес: 618421, РФ, Пермский край, г.Березники, ул. Загородная , ИНН 6315376946, КПП 591145001    </t>
  </si>
  <si>
    <t xml:space="preserve">Обособленное подразделение ПАО "Т Плюс" ( Закамская ТЭЦ-5). Адрес:  617060, РФ, Пермский край, г. Краснокамск, ул. Коммунистическая, 44, ИНН 6315376946, КПП 591645001  </t>
  </si>
  <si>
    <t xml:space="preserve">Обособленное подразделение ПАО "Т Плюс" (Чайковская ТЭЦ-18), адрес: 617742, РФ, Пермский край, г. Чайковский, Ольховское сельское поселение, Промплощадка.  ИНН/КПП 6315376946/592045001    </t>
  </si>
  <si>
    <t xml:space="preserve">Обособленное подразделение ПАО "Т Плюс" (Пермская ТЭЦ-13), адрес:  614112, РФ, Пермский край, г. Пермь, ул. Гайвинская, 109, ИНН 6315376946, КПП 590445001        </t>
  </si>
  <si>
    <t>Обособленное подразделение ПАО "Т Плюс" (Пермская ТЭЦ-6), Адрес: 614025, РФ, Пермский край, г. Пермь, ул. Героев Хасана, д.38, ИНН 6315376946, КПП 590445005</t>
  </si>
  <si>
    <t xml:space="preserve">Обособленное подразделение ПАО "Т Плюс" (Пермская ТЭЦ-9), адрес: 614065, РФ, Пермский край, г. Пермь, ул. Промышленная, 103, ИНН 6315376946, КПП 590445003     </t>
  </si>
  <si>
    <t>1.1.Продукция должна быть маркирована  и упакована в упаковку, обеспечивающую сохранность Продукции при перевозке, разгрузке и хранении, согласно ГОСТу, ТУ,   и другим нормативным документам. Маркировка должна быть на каждый тип и размер трубы в поставляемой партии.
1.2. Тара (упаковка) возврату не подлежит
1.3.Поставка осуществляетcя путем отгрузок Продукции  автомобильным транспортом силами и за счет Поставщика  до склада Грузополучателя.
1.4.Покупатель вправе уменьшить объем закупаемой продукции, указанный в тех.задании без увеличения стоимости со стороны Поставщика за единицу продукции.
1.5. Заказчик вправе отказаться от принятия Продукции по согласованной спецификации, если поставка по ней просрочена более, чем на десять календарных дней.                                                                                                                                                                                                                                                                                            
1.6. Допускается толеранс в поставке +10%/-5%  веса по договору или не менее/более  одной цельной трубы по каждой позиции.
1.7. Досрочная и укрупненная поставка может производиться по согласованию с Заказчиком.</t>
  </si>
  <si>
    <t>ТРУБА 60Х4 СТ20 ТУ14-3Р-55</t>
  </si>
  <si>
    <t>ТРУБА 83Х6 СТ20 ТУ14-3-190</t>
  </si>
  <si>
    <t>ТРУБА 60Х4 СТ20 ТУ14-3-190</t>
  </si>
  <si>
    <t>ТРУБА 16Х2.5 СТ12Х1МФ ТУ14-3Р-55</t>
  </si>
  <si>
    <t>ТРУБА 159Х5 20 ТУ14-3Р-55</t>
  </si>
  <si>
    <t>ТРУБА 60Х6 СТ12Х1МФ ТУ14-3Р-55</t>
  </si>
  <si>
    <t xml:space="preserve">Обособленное подразделение ПАО "Т Плюс" (Пермская ТЭЦ-14), адрес: 614113, РФ, Пермский край, г.Пермь, ул.Ласьвинская, 106. ИНН 6315376946, КПП 590445002 </t>
  </si>
  <si>
    <t>77343</t>
  </si>
  <si>
    <t>139602</t>
  </si>
  <si>
    <t>24942</t>
  </si>
  <si>
    <t>58947</t>
  </si>
  <si>
    <t>538770</t>
  </si>
  <si>
    <t>60682</t>
  </si>
  <si>
    <t>5.1. Оплата Партии Продукции, производится Покупателем в следующем порядке:
СМСП: Оплата Партии Продукции производится Покупателем в течение 7 (Семи) рабочих дней с даты поставки Продукции (даты подписания Покупателем накладной по форме ТОРГ-12/Акта приема-передачи Продукции/УПД (Универсальный передаточный документ)) на основании выставленного Поставщиком счета. Счет-фактура выставляется Поставщиком в сроки и в соответствии с требованиями НК РФ.
Не относящиеся к СМСП: Оплата Партии Продукции производится Покупателем с отсрочкой платежа не менее 30 и не более 60 календарных дней с даты поставки Продукции (даты подписания Сторонами ТОРГ-12)/УПД при условии предоставления Покупателю полного комплекта документов на оплату Партии Продукции:
Оригинала товарной накладной (форма ТОРГ-12)/УПД на Продукцию, подписанной Сторонами – 2 экз.; 
Оригинала счета-фактуры/УПД– 1 экз. Счет-фактура выставляется Поставщиком в сроки и в соответствии с требованиями НК РФ.    
Расчеты по Договору производятся путем перечисления денежных средств на расчетный счет Поставщика, указанный в статье 10 настоящего Договора, а также могут иметь иную форму расчетов, не противоречащую законодательству РФ</t>
  </si>
  <si>
    <t xml:space="preserve">Обособленное подразделение ПАО "Т Плюс" (Березниковская ТЭЦ-2). Адрес: 618421, РФ, Пермский край, г.Березники, ул. Загородная , ИНН 6315376946, КПП 591145001                                                                                                                                   Обособленное подразделение ПАО "Т Плюс" (Чайковская ТЭЦ-18), адрес: 617742, РФ, Пермский край, г. Чайковский, Ольховское сельское поселение, Промплощадка.  ИНН/КПП 6315376946/592045001                                                                                     Обособленное подразделение ПАО "Т Плюс" (Пермская ТЭЦ-9), адрес: 614065, РФ, Пермский край, г. Пермь, ул. Промышленная, 103, ИНН 6315376946, КПП 590445003                                                                                                                                   Обособленное подразделение ПАО "Т Плюс" (Пермская ТЭЦ-14), адрес: 614113, РФ, Пермский край, г.Пермь, ул.Ласьвинская, 106. ИНН 6315376946, КПП 590445002                                                                                                                                                     Обособленное подразделение ПАО "Т Плюс" ( Закамская ТЭЦ-5). Адрес:  617060, РФ, Пермский край, г. Краснокамск, ул. Коммунистическая, 44, ИНН 6315376946, КПП 591645001                                                                                                Обособленное подразделение ПАО "Т Плюс" (Пермская ТЭЦ-13), адрес:  614112, РФ, Пермский край, г. Пермь, ул. Гайвинская, 109, ИНН 6315376946, КПП 590445001        </t>
  </si>
  <si>
    <t>Приложение №1.1. к Документации ОЗП</t>
  </si>
  <si>
    <r>
      <t xml:space="preserve">для нужд Филиала "Пермский" ПАО "Т Плюс" </t>
    </r>
    <r>
      <rPr>
        <b/>
        <sz val="10"/>
        <color theme="1"/>
        <rFont val="Tahoma"/>
        <family val="2"/>
        <charset val="204"/>
      </rPr>
      <t xml:space="preserve">(№ 9368279 "Программа ремонтов") </t>
    </r>
    <r>
      <rPr>
        <sz val="10"/>
        <color theme="1"/>
        <rFont val="Tahoma"/>
        <family val="2"/>
        <charset val="204"/>
      </rPr>
      <t xml:space="preserve"> </t>
    </r>
  </si>
  <si>
    <t>Цена единицы, руб. с НДС 22%</t>
  </si>
  <si>
    <t>Стоимость, руб. без НДС</t>
  </si>
  <si>
    <t>Стоимость, руб. c НДС 22%</t>
  </si>
  <si>
    <t xml:space="preserve">2.1. Продукция должна соответствовать  ТУ14-3Р-55, ТУ14-3-190; Торцы труб должны иметь фаску в  соответсвии с  ТУ 14-3Р-55, ТУ14-3-190.
2.2. Продукция должна быть новой, не бывшей в употреблении (эксплуатации, консервации). Должна быть изготовлена не ранее 2025 года.
2.3. Продукция должна быть изготовлена в заводских условиях.
2.4. Гарантийный срок на Продукцию (далее – Гарантийный срок) составляет 24 (двадцать четыре) месяца с момента поставки Продукции Покупателю. Для Продукции, устанавливаемой на тепловых сетях - 10 (десять) лет с даты получения Покупателем Продукции.          
2.5. Возможность передачи работы по входному контролю качества Продукции  сервисным службам Филиала, независимым экспертным организациям или аттестованным лабораториям на основании Договора                                                                                                                                               2.6. Аналоги не рассматриваются и не принимаются (ст. 3 п. 6.1 223-ФЗ "О закупках товаров, работ, услуг отдельными видами юридических лиц")                      </t>
  </si>
  <si>
    <t>Начальная (максимальная) цена, руб. с НДС 22%</t>
  </si>
  <si>
    <t>2 249 229,98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</si>
</sst>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0.00\ _₽"/>
    <numFmt numFmtId="166" formatCode="_-* #,##0.000\ _₽_-;\-* #,##0.000\ _₽_-;_-* &quot;-&quot;???\ _₽_-;_-@_-"/>
    <numFmt numFmtId="167" formatCode="_-* #,##0.00\ _₽_-;\-* #,##0.00\ _₽_-;_-* &quot;-&quot;??\ _₽_-;_-@_-"/>
  </numFmts>
  <fonts count="15" x14ac:knownFonts="1">
    <font>
      <sz val="11"/>
      <color theme="1"/>
      <name val="Calibri"/>
      <family val="2"/>
      <charset val="204"/>
      <scheme val="minor"/>
    </font>
    <font>
      <sz val="11"/>
      <color indexed="8"/>
      <name val="Calibri"/>
      <family val="2"/>
      <charset val="204"/>
    </font>
    <font>
      <b/>
      <sz val="10"/>
      <color theme="1"/>
      <name val="Tahoma"/>
      <family val="2"/>
      <charset val="204"/>
    </font>
    <font>
      <sz val="10"/>
      <color theme="1"/>
      <name val="Tahoma"/>
      <family val="2"/>
      <charset val="204"/>
    </font>
    <font>
      <sz val="10"/>
      <color rgb="FF000000"/>
      <name val="Tahoma"/>
      <family val="2"/>
      <charset val="204"/>
    </font>
    <font>
      <sz val="10"/>
      <name val="Arial"/>
      <family val="2"/>
      <charset val="204"/>
    </font>
    <font>
      <b/>
      <sz val="9"/>
      <color theme="1"/>
      <name val="Tahoma"/>
      <family val="2"/>
      <charset val="204"/>
    </font>
    <font>
      <sz val="9"/>
      <color theme="1"/>
      <name val="Tahoma"/>
      <family val="2"/>
      <charset val="204"/>
    </font>
    <font>
      <sz val="8"/>
      <color rgb="FF000000"/>
      <name val="Tahoma"/>
      <family val="2"/>
      <charset val="204"/>
    </font>
    <font>
      <sz val="8"/>
      <color theme="1"/>
      <name val="Tahoma"/>
      <family val="2"/>
      <charset val="204"/>
    </font>
    <font>
      <sz val="9"/>
      <color rgb="FF000000"/>
      <name val="Tahoma"/>
      <family val="2"/>
      <charset val="204"/>
    </font>
    <font>
      <b/>
      <sz val="9"/>
      <color indexed="8"/>
      <name val="Tahoma"/>
      <family val="2"/>
      <charset val="204"/>
    </font>
    <font>
      <b/>
      <sz val="9"/>
      <color rgb="FF000000"/>
      <name val="Tahoma"/>
      <family val="2"/>
      <charset val="204"/>
    </font>
    <font>
      <sz val="10"/>
      <color theme="1"/>
      <name val="Times New Roman"/>
      <family val="1"/>
      <charset val="204"/>
    </font>
    <font>
      <i/>
      <sz val="10"/>
      <color theme="1"/>
      <name val="Tahoma"/>
      <family val="2"/>
      <charset val="204"/>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0" fontId="1" fillId="0" borderId="0"/>
    <xf numFmtId="0" fontId="5" fillId="0" borderId="0"/>
    <xf numFmtId="0" fontId="7" fillId="0" borderId="1" applyFill="0">
      <alignment vertical="top" wrapText="1"/>
    </xf>
  </cellStyleXfs>
  <cellXfs count="85">
    <xf numFmtId="0" fontId="0" fillId="0" borderId="0" xfId="0"/>
    <xf numFmtId="0" fontId="3" fillId="0" borderId="0" xfId="0" applyFont="1" applyFill="1"/>
    <xf numFmtId="0" fontId="2" fillId="2" borderId="0" xfId="0" applyFont="1" applyFill="1" applyAlignment="1"/>
    <xf numFmtId="0" fontId="2" fillId="2" borderId="0" xfId="0" applyFont="1" applyFill="1" applyAlignment="1">
      <alignment vertical="center"/>
    </xf>
    <xf numFmtId="0" fontId="2" fillId="2" borderId="0" xfId="0" applyFont="1" applyFill="1" applyAlignment="1">
      <alignment horizontal="center" vertical="center"/>
    </xf>
    <xf numFmtId="0" fontId="3" fillId="2" borderId="0" xfId="0" applyFont="1" applyFill="1"/>
    <xf numFmtId="0" fontId="3" fillId="2" borderId="0" xfId="0" applyFont="1" applyFill="1" applyAlignment="1">
      <alignment horizontal="center" vertical="center"/>
    </xf>
    <xf numFmtId="0" fontId="3" fillId="2" borderId="0" xfId="0" applyFont="1" applyFill="1" applyAlignment="1">
      <alignment vertical="center"/>
    </xf>
    <xf numFmtId="0" fontId="3" fillId="2" borderId="1" xfId="0" applyFont="1" applyFill="1" applyBorder="1" applyAlignment="1">
      <alignment horizontal="center" vertical="center"/>
    </xf>
    <xf numFmtId="0" fontId="3" fillId="2" borderId="0" xfId="0" applyFont="1" applyFill="1" applyBorder="1" applyAlignment="1">
      <alignment horizontal="center"/>
    </xf>
    <xf numFmtId="0" fontId="3" fillId="2" borderId="0" xfId="0" applyFont="1" applyFill="1" applyBorder="1" applyAlignment="1">
      <alignment horizontal="center" vertical="center" wrapText="1"/>
    </xf>
    <xf numFmtId="0" fontId="3" fillId="2" borderId="0" xfId="0" applyFont="1" applyFill="1" applyBorder="1" applyAlignment="1">
      <alignment wrapText="1"/>
    </xf>
    <xf numFmtId="0" fontId="6" fillId="2" borderId="0" xfId="0" applyFont="1" applyFill="1" applyAlignment="1">
      <alignment horizontal="center" wrapText="1"/>
    </xf>
    <xf numFmtId="0" fontId="7" fillId="2" borderId="0" xfId="0" applyFont="1" applyFill="1" applyAlignment="1">
      <alignment horizontal="center" wrapText="1"/>
    </xf>
    <xf numFmtId="0" fontId="7" fillId="2" borderId="0" xfId="0" applyFont="1" applyFill="1" applyBorder="1" applyAlignment="1">
      <alignment wrapText="1"/>
    </xf>
    <xf numFmtId="0" fontId="8" fillId="2" borderId="1" xfId="0" applyFont="1" applyFill="1" applyBorder="1" applyAlignment="1">
      <alignment horizontal="center" vertical="center" wrapText="1"/>
    </xf>
    <xf numFmtId="0" fontId="3" fillId="0" borderId="0" xfId="0" applyFont="1" applyFill="1" applyAlignment="1"/>
    <xf numFmtId="0" fontId="2" fillId="2" borderId="1" xfId="0" applyFont="1" applyFill="1" applyBorder="1" applyAlignment="1"/>
    <xf numFmtId="0" fontId="4" fillId="2" borderId="1"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0" fillId="2" borderId="0" xfId="0" applyFill="1" applyBorder="1" applyAlignment="1"/>
    <xf numFmtId="0" fontId="3" fillId="2" borderId="0" xfId="0" applyFont="1" applyFill="1" applyAlignment="1"/>
    <xf numFmtId="0" fontId="2" fillId="2" borderId="0" xfId="0" applyFont="1" applyFill="1" applyAlignment="1">
      <alignment horizontal="center"/>
    </xf>
    <xf numFmtId="0" fontId="3" fillId="2" borderId="0" xfId="0" applyFont="1" applyFill="1" applyAlignment="1">
      <alignment horizontal="center"/>
    </xf>
    <xf numFmtId="0" fontId="3" fillId="2" borderId="0" xfId="0" applyFont="1" applyFill="1" applyBorder="1" applyAlignment="1">
      <alignment horizontal="right"/>
    </xf>
    <xf numFmtId="0" fontId="7" fillId="2" borderId="1" xfId="0" applyFont="1" applyFill="1" applyBorder="1" applyAlignment="1">
      <alignment horizontal="center" vertical="center" wrapText="1"/>
    </xf>
    <xf numFmtId="4"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xf>
    <xf numFmtId="4" fontId="11" fillId="2" borderId="1" xfId="0" applyNumberFormat="1" applyFont="1" applyFill="1" applyBorder="1" applyAlignment="1">
      <alignment horizontal="center" vertical="center" wrapText="1"/>
    </xf>
    <xf numFmtId="165" fontId="12" fillId="2" borderId="1" xfId="0" applyNumberFormat="1" applyFont="1" applyFill="1" applyBorder="1" applyAlignment="1">
      <alignment horizontal="center" vertical="center" wrapText="1"/>
    </xf>
    <xf numFmtId="165" fontId="6" fillId="2" borderId="1" xfId="0" applyNumberFormat="1" applyFont="1" applyFill="1" applyBorder="1" applyAlignment="1">
      <alignment horizontal="center" vertical="center"/>
    </xf>
    <xf numFmtId="0" fontId="3" fillId="2" borderId="5"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wrapText="1"/>
    </xf>
    <xf numFmtId="0" fontId="9" fillId="2" borderId="1" xfId="0" applyFont="1" applyFill="1" applyBorder="1" applyAlignment="1">
      <alignment vertical="top" wrapText="1"/>
    </xf>
    <xf numFmtId="0" fontId="9" fillId="2" borderId="1" xfId="0" applyFont="1" applyFill="1" applyBorder="1" applyAlignment="1">
      <alignment vertical="center" wrapText="1"/>
    </xf>
    <xf numFmtId="166" fontId="11" fillId="2" borderId="1" xfId="0"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0" fillId="2" borderId="5" xfId="0" applyFont="1" applyFill="1" applyBorder="1" applyAlignment="1">
      <alignment vertical="center" wrapText="1"/>
    </xf>
    <xf numFmtId="0" fontId="0" fillId="0" borderId="1" xfId="0" applyBorder="1" applyAlignment="1">
      <alignment horizontal="center" vertical="center"/>
    </xf>
    <xf numFmtId="166" fontId="0" fillId="0" borderId="1" xfId="0" applyNumberFormat="1" applyBorder="1" applyAlignment="1">
      <alignment horizontal="center" vertical="center"/>
    </xf>
    <xf numFmtId="14" fontId="0" fillId="0" borderId="1" xfId="0" applyNumberFormat="1" applyBorder="1" applyAlignment="1">
      <alignment horizontal="center" vertical="center"/>
    </xf>
    <xf numFmtId="4" fontId="0" fillId="0" borderId="1" xfId="0" applyNumberFormat="1" applyBorder="1" applyAlignment="1">
      <alignment horizontal="center" vertical="center"/>
    </xf>
    <xf numFmtId="4" fontId="2" fillId="2" borderId="1" xfId="0" applyNumberFormat="1" applyFont="1" applyFill="1" applyBorder="1" applyAlignment="1">
      <alignment horizontal="center" vertical="center" wrapText="1"/>
    </xf>
    <xf numFmtId="167" fontId="0" fillId="0" borderId="1" xfId="0" applyNumberFormat="1" applyBorder="1" applyAlignment="1">
      <alignment vertical="top"/>
    </xf>
    <xf numFmtId="0" fontId="3" fillId="2" borderId="0" xfId="0" applyFont="1" applyFill="1" applyAlignment="1">
      <alignment horizontal="center"/>
    </xf>
    <xf numFmtId="0" fontId="3" fillId="2" borderId="0" xfId="0" applyFont="1" applyFill="1" applyAlignment="1"/>
    <xf numFmtId="0" fontId="2" fillId="2" borderId="0" xfId="0" applyFont="1" applyFill="1" applyAlignment="1">
      <alignment horizontal="center"/>
    </xf>
    <xf numFmtId="0" fontId="2" fillId="2" borderId="0" xfId="0" applyFont="1" applyFill="1" applyAlignment="1">
      <alignment horizontal="center" wrapText="1"/>
    </xf>
    <xf numFmtId="0" fontId="3"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alignment wrapText="1"/>
    </xf>
    <xf numFmtId="0" fontId="3" fillId="2" borderId="4" xfId="0" applyFont="1" applyFill="1" applyBorder="1" applyAlignment="1">
      <alignment horizontal="right"/>
    </xf>
    <xf numFmtId="4" fontId="3" fillId="2" borderId="1" xfId="0" applyNumberFormat="1" applyFont="1" applyFill="1" applyBorder="1" applyAlignment="1">
      <alignment horizontal="left" vertical="center" wrapText="1"/>
    </xf>
    <xf numFmtId="0" fontId="3" fillId="2" borderId="1" xfId="0" applyFont="1" applyFill="1" applyBorder="1" applyAlignment="1"/>
    <xf numFmtId="0" fontId="0" fillId="2" borderId="1" xfId="0" applyFill="1" applyBorder="1" applyAlignment="1"/>
    <xf numFmtId="0" fontId="3" fillId="2" borderId="0" xfId="0" applyFont="1" applyFill="1" applyBorder="1" applyAlignment="1">
      <alignment horizontal="right"/>
    </xf>
    <xf numFmtId="0" fontId="2" fillId="2" borderId="1" xfId="0" applyFont="1" applyFill="1" applyBorder="1" applyAlignment="1">
      <alignment horizontal="center"/>
    </xf>
    <xf numFmtId="0" fontId="2" fillId="2" borderId="1" xfId="0" applyFont="1" applyFill="1" applyBorder="1" applyAlignment="1">
      <alignment horizontal="left"/>
    </xf>
    <xf numFmtId="0" fontId="2" fillId="2" borderId="1" xfId="0" applyFont="1" applyFill="1" applyBorder="1" applyAlignment="1">
      <alignment horizontal="left"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xf>
    <xf numFmtId="0" fontId="0" fillId="2" borderId="1" xfId="0" applyFill="1" applyBorder="1" applyAlignment="1">
      <alignment vertical="center"/>
    </xf>
    <xf numFmtId="0" fontId="10"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0" fillId="2" borderId="1" xfId="0" applyFill="1" applyBorder="1" applyAlignment="1">
      <alignment horizontal="left" vertical="center"/>
    </xf>
    <xf numFmtId="0" fontId="3"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0" fontId="14" fillId="2" borderId="0" xfId="0" applyFont="1" applyFill="1" applyAlignment="1">
      <alignment horizontal="center" vertical="center"/>
    </xf>
    <xf numFmtId="0" fontId="3" fillId="2" borderId="4" xfId="0" applyFont="1" applyFill="1" applyBorder="1"/>
    <xf numFmtId="0" fontId="3" fillId="2" borderId="6" xfId="0" applyFont="1" applyFill="1" applyBorder="1"/>
    <xf numFmtId="167" fontId="13" fillId="0" borderId="6" xfId="0" applyNumberFormat="1" applyFont="1" applyBorder="1" applyAlignment="1">
      <alignment vertical="center" wrapText="1"/>
    </xf>
    <xf numFmtId="0" fontId="8" fillId="2" borderId="3" xfId="0" applyFont="1" applyFill="1" applyBorder="1" applyAlignment="1">
      <alignment horizontal="center" vertical="center" wrapText="1"/>
    </xf>
    <xf numFmtId="4" fontId="11" fillId="2" borderId="3" xfId="0" applyNumberFormat="1" applyFont="1" applyFill="1" applyBorder="1" applyAlignment="1">
      <alignment horizontal="center" vertical="center" wrapText="1"/>
    </xf>
    <xf numFmtId="0" fontId="3" fillId="2" borderId="7" xfId="0" applyFont="1" applyFill="1" applyBorder="1"/>
    <xf numFmtId="0" fontId="3" fillId="2" borderId="3" xfId="0" applyFont="1" applyFill="1" applyBorder="1"/>
    <xf numFmtId="167" fontId="13" fillId="0" borderId="3" xfId="0" applyNumberFormat="1" applyFont="1" applyBorder="1" applyAlignment="1">
      <alignment vertical="center" wrapText="1"/>
    </xf>
    <xf numFmtId="0" fontId="3" fillId="2" borderId="0" xfId="0" applyFont="1" applyFill="1" applyBorder="1"/>
    <xf numFmtId="0" fontId="3" fillId="2" borderId="8" xfId="0" applyFont="1" applyFill="1" applyBorder="1"/>
  </cellXfs>
  <cellStyles count="4">
    <cellStyle name="=C:\WINNT35\SYSTEM32\COMMAND.COM" xfId="1"/>
    <cellStyle name="Обычный" xfId="0" builtinId="0"/>
    <cellStyle name="Обычный 4" xfId="2"/>
    <cellStyle name="Стиль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4002</xdr:colOff>
      <xdr:row>51</xdr:row>
      <xdr:rowOff>0</xdr:rowOff>
    </xdr:from>
    <xdr:ext cx="85725" cy="906273"/>
    <xdr:pic>
      <xdr:nvPicPr>
        <xdr:cNvPr id="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51</xdr:row>
      <xdr:rowOff>0</xdr:rowOff>
    </xdr:from>
    <xdr:ext cx="85725" cy="906273"/>
    <xdr:pic>
      <xdr:nvPicPr>
        <xdr:cNvPr id="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51</xdr:row>
      <xdr:rowOff>0</xdr:rowOff>
    </xdr:from>
    <xdr:ext cx="85725" cy="906273"/>
    <xdr:pic>
      <xdr:nvPicPr>
        <xdr:cNvPr id="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51</xdr:row>
      <xdr:rowOff>0</xdr:rowOff>
    </xdr:from>
    <xdr:ext cx="85725" cy="906273"/>
    <xdr:pic>
      <xdr:nvPicPr>
        <xdr:cNvPr id="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11293"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0</xdr:colOff>
      <xdr:row>51</xdr:row>
      <xdr:rowOff>0</xdr:rowOff>
    </xdr:from>
    <xdr:to>
      <xdr:col>7</xdr:col>
      <xdr:colOff>64407</xdr:colOff>
      <xdr:row>53</xdr:row>
      <xdr:rowOff>43349</xdr:rowOff>
    </xdr:to>
    <xdr:sp macro="" textlink="">
      <xdr:nvSpPr>
        <xdr:cNvPr id="6"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8"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85725</xdr:colOff>
      <xdr:row>53</xdr:row>
      <xdr:rowOff>59223</xdr:rowOff>
    </xdr:to>
    <xdr:pic>
      <xdr:nvPicPr>
        <xdr:cNvPr id="1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66027</xdr:rowOff>
    </xdr:to>
    <xdr:pic>
      <xdr:nvPicPr>
        <xdr:cNvPr id="1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46977</xdr:rowOff>
    </xdr:to>
    <xdr:pic>
      <xdr:nvPicPr>
        <xdr:cNvPr id="1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94602</xdr:rowOff>
    </xdr:to>
    <xdr:pic>
      <xdr:nvPicPr>
        <xdr:cNvPr id="1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68749</xdr:rowOff>
    </xdr:to>
    <xdr:pic>
      <xdr:nvPicPr>
        <xdr:cNvPr id="1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59224</xdr:rowOff>
    </xdr:to>
    <xdr:pic>
      <xdr:nvPicPr>
        <xdr:cNvPr id="1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59223</xdr:rowOff>
    </xdr:to>
    <xdr:pic>
      <xdr:nvPicPr>
        <xdr:cNvPr id="1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59223</xdr:rowOff>
    </xdr:to>
    <xdr:pic>
      <xdr:nvPicPr>
        <xdr:cNvPr id="1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94601</xdr:rowOff>
    </xdr:to>
    <xdr:pic>
      <xdr:nvPicPr>
        <xdr:cNvPr id="1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68748</xdr:rowOff>
    </xdr:to>
    <xdr:pic>
      <xdr:nvPicPr>
        <xdr:cNvPr id="1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59223</xdr:rowOff>
    </xdr:to>
    <xdr:pic>
      <xdr:nvPicPr>
        <xdr:cNvPr id="2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82356</xdr:rowOff>
    </xdr:to>
    <xdr:pic>
      <xdr:nvPicPr>
        <xdr:cNvPr id="2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54</xdr:row>
      <xdr:rowOff>43047</xdr:rowOff>
    </xdr:to>
    <xdr:pic>
      <xdr:nvPicPr>
        <xdr:cNvPr id="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82356</xdr:rowOff>
    </xdr:to>
    <xdr:pic>
      <xdr:nvPicPr>
        <xdr:cNvPr id="2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82355</xdr:rowOff>
    </xdr:to>
    <xdr:pic>
      <xdr:nvPicPr>
        <xdr:cNvPr id="2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54</xdr:row>
      <xdr:rowOff>43047</xdr:rowOff>
    </xdr:to>
    <xdr:pic>
      <xdr:nvPicPr>
        <xdr:cNvPr id="2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82355</xdr:rowOff>
    </xdr:to>
    <xdr:pic>
      <xdr:nvPicPr>
        <xdr:cNvPr id="2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86437</xdr:rowOff>
    </xdr:to>
    <xdr:pic>
      <xdr:nvPicPr>
        <xdr:cNvPr id="2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75551</xdr:rowOff>
    </xdr:to>
    <xdr:pic>
      <xdr:nvPicPr>
        <xdr:cNvPr id="2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21577</xdr:rowOff>
    </xdr:to>
    <xdr:pic>
      <xdr:nvPicPr>
        <xdr:cNvPr id="2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66027</xdr:rowOff>
    </xdr:to>
    <xdr:pic>
      <xdr:nvPicPr>
        <xdr:cNvPr id="3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68748</xdr:rowOff>
    </xdr:to>
    <xdr:pic>
      <xdr:nvPicPr>
        <xdr:cNvPr id="3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64407</xdr:colOff>
      <xdr:row>53</xdr:row>
      <xdr:rowOff>43349</xdr:rowOff>
    </xdr:to>
    <xdr:sp macro="" textlink="">
      <xdr:nvSpPr>
        <xdr:cNvPr id="32"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33"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34"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3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85725</xdr:colOff>
      <xdr:row>53</xdr:row>
      <xdr:rowOff>59223</xdr:rowOff>
    </xdr:to>
    <xdr:pic>
      <xdr:nvPicPr>
        <xdr:cNvPr id="3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66027</xdr:rowOff>
    </xdr:to>
    <xdr:pic>
      <xdr:nvPicPr>
        <xdr:cNvPr id="3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46977</xdr:rowOff>
    </xdr:to>
    <xdr:pic>
      <xdr:nvPicPr>
        <xdr:cNvPr id="3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94602</xdr:rowOff>
    </xdr:to>
    <xdr:pic>
      <xdr:nvPicPr>
        <xdr:cNvPr id="3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68749</xdr:rowOff>
    </xdr:to>
    <xdr:pic>
      <xdr:nvPicPr>
        <xdr:cNvPr id="4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59224</xdr:rowOff>
    </xdr:to>
    <xdr:pic>
      <xdr:nvPicPr>
        <xdr:cNvPr id="4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59223</xdr:rowOff>
    </xdr:to>
    <xdr:pic>
      <xdr:nvPicPr>
        <xdr:cNvPr id="4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59223</xdr:rowOff>
    </xdr:to>
    <xdr:pic>
      <xdr:nvPicPr>
        <xdr:cNvPr id="4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94601</xdr:rowOff>
    </xdr:to>
    <xdr:pic>
      <xdr:nvPicPr>
        <xdr:cNvPr id="4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68748</xdr:rowOff>
    </xdr:to>
    <xdr:pic>
      <xdr:nvPicPr>
        <xdr:cNvPr id="4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59223</xdr:rowOff>
    </xdr:to>
    <xdr:pic>
      <xdr:nvPicPr>
        <xdr:cNvPr id="4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82356</xdr:rowOff>
    </xdr:to>
    <xdr:pic>
      <xdr:nvPicPr>
        <xdr:cNvPr id="4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54</xdr:row>
      <xdr:rowOff>43047</xdr:rowOff>
    </xdr:to>
    <xdr:pic>
      <xdr:nvPicPr>
        <xdr:cNvPr id="4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82356</xdr:rowOff>
    </xdr:to>
    <xdr:pic>
      <xdr:nvPicPr>
        <xdr:cNvPr id="4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82355</xdr:rowOff>
    </xdr:to>
    <xdr:pic>
      <xdr:nvPicPr>
        <xdr:cNvPr id="5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54</xdr:row>
      <xdr:rowOff>43047</xdr:rowOff>
    </xdr:to>
    <xdr:pic>
      <xdr:nvPicPr>
        <xdr:cNvPr id="5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82355</xdr:rowOff>
    </xdr:to>
    <xdr:pic>
      <xdr:nvPicPr>
        <xdr:cNvPr id="5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86437</xdr:rowOff>
    </xdr:to>
    <xdr:pic>
      <xdr:nvPicPr>
        <xdr:cNvPr id="5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75551</xdr:rowOff>
    </xdr:to>
    <xdr:pic>
      <xdr:nvPicPr>
        <xdr:cNvPr id="5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21577</xdr:rowOff>
    </xdr:to>
    <xdr:pic>
      <xdr:nvPicPr>
        <xdr:cNvPr id="5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66027</xdr:rowOff>
    </xdr:to>
    <xdr:pic>
      <xdr:nvPicPr>
        <xdr:cNvPr id="5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68748</xdr:rowOff>
    </xdr:to>
    <xdr:pic>
      <xdr:nvPicPr>
        <xdr:cNvPr id="5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64407</xdr:colOff>
      <xdr:row>53</xdr:row>
      <xdr:rowOff>43348</xdr:rowOff>
    </xdr:to>
    <xdr:sp macro="" textlink="">
      <xdr:nvSpPr>
        <xdr:cNvPr id="58"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5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60"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61"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85725</xdr:colOff>
      <xdr:row>53</xdr:row>
      <xdr:rowOff>59222</xdr:rowOff>
    </xdr:to>
    <xdr:pic>
      <xdr:nvPicPr>
        <xdr:cNvPr id="6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66026</xdr:rowOff>
    </xdr:to>
    <xdr:pic>
      <xdr:nvPicPr>
        <xdr:cNvPr id="6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46976</xdr:rowOff>
    </xdr:to>
    <xdr:pic>
      <xdr:nvPicPr>
        <xdr:cNvPr id="6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94601</xdr:rowOff>
    </xdr:to>
    <xdr:pic>
      <xdr:nvPicPr>
        <xdr:cNvPr id="6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68748</xdr:rowOff>
    </xdr:to>
    <xdr:pic>
      <xdr:nvPicPr>
        <xdr:cNvPr id="6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59223</xdr:rowOff>
    </xdr:to>
    <xdr:pic>
      <xdr:nvPicPr>
        <xdr:cNvPr id="6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59222</xdr:rowOff>
    </xdr:to>
    <xdr:pic>
      <xdr:nvPicPr>
        <xdr:cNvPr id="6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59222</xdr:rowOff>
    </xdr:to>
    <xdr:pic>
      <xdr:nvPicPr>
        <xdr:cNvPr id="6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94600</xdr:rowOff>
    </xdr:to>
    <xdr:pic>
      <xdr:nvPicPr>
        <xdr:cNvPr id="7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68747</xdr:rowOff>
    </xdr:to>
    <xdr:pic>
      <xdr:nvPicPr>
        <xdr:cNvPr id="7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59222</xdr:rowOff>
    </xdr:to>
    <xdr:pic>
      <xdr:nvPicPr>
        <xdr:cNvPr id="7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82355</xdr:rowOff>
    </xdr:to>
    <xdr:pic>
      <xdr:nvPicPr>
        <xdr:cNvPr id="7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54</xdr:row>
      <xdr:rowOff>43046</xdr:rowOff>
    </xdr:to>
    <xdr:pic>
      <xdr:nvPicPr>
        <xdr:cNvPr id="7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82355</xdr:rowOff>
    </xdr:to>
    <xdr:pic>
      <xdr:nvPicPr>
        <xdr:cNvPr id="7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82354</xdr:rowOff>
    </xdr:to>
    <xdr:pic>
      <xdr:nvPicPr>
        <xdr:cNvPr id="7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54</xdr:row>
      <xdr:rowOff>43046</xdr:rowOff>
    </xdr:to>
    <xdr:pic>
      <xdr:nvPicPr>
        <xdr:cNvPr id="7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82354</xdr:rowOff>
    </xdr:to>
    <xdr:pic>
      <xdr:nvPicPr>
        <xdr:cNvPr id="7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86436</xdr:rowOff>
    </xdr:to>
    <xdr:pic>
      <xdr:nvPicPr>
        <xdr:cNvPr id="7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75550</xdr:rowOff>
    </xdr:to>
    <xdr:pic>
      <xdr:nvPicPr>
        <xdr:cNvPr id="8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21576</xdr:rowOff>
    </xdr:to>
    <xdr:pic>
      <xdr:nvPicPr>
        <xdr:cNvPr id="8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66026</xdr:rowOff>
    </xdr:to>
    <xdr:pic>
      <xdr:nvPicPr>
        <xdr:cNvPr id="8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68747</xdr:rowOff>
    </xdr:to>
    <xdr:pic>
      <xdr:nvPicPr>
        <xdr:cNvPr id="83"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64407</xdr:colOff>
      <xdr:row>53</xdr:row>
      <xdr:rowOff>43348</xdr:rowOff>
    </xdr:to>
    <xdr:sp macro="" textlink="">
      <xdr:nvSpPr>
        <xdr:cNvPr id="84"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8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86"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64407</xdr:colOff>
      <xdr:row>53</xdr:row>
      <xdr:rowOff>31749</xdr:rowOff>
    </xdr:to>
    <xdr:sp macro="" textlink="">
      <xdr:nvSpPr>
        <xdr:cNvPr id="8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51</xdr:row>
      <xdr:rowOff>0</xdr:rowOff>
    </xdr:from>
    <xdr:to>
      <xdr:col>7</xdr:col>
      <xdr:colOff>85725</xdr:colOff>
      <xdr:row>53</xdr:row>
      <xdr:rowOff>59222</xdr:rowOff>
    </xdr:to>
    <xdr:pic>
      <xdr:nvPicPr>
        <xdr:cNvPr id="88"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66026</xdr:rowOff>
    </xdr:to>
    <xdr:pic>
      <xdr:nvPicPr>
        <xdr:cNvPr id="89"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46976</xdr:rowOff>
    </xdr:to>
    <xdr:pic>
      <xdr:nvPicPr>
        <xdr:cNvPr id="90"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94601</xdr:rowOff>
    </xdr:to>
    <xdr:pic>
      <xdr:nvPicPr>
        <xdr:cNvPr id="91"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68748</xdr:rowOff>
    </xdr:to>
    <xdr:pic>
      <xdr:nvPicPr>
        <xdr:cNvPr id="92"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59223</xdr:rowOff>
    </xdr:to>
    <xdr:pic>
      <xdr:nvPicPr>
        <xdr:cNvPr id="93"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59222</xdr:rowOff>
    </xdr:to>
    <xdr:pic>
      <xdr:nvPicPr>
        <xdr:cNvPr id="94"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59222</xdr:rowOff>
    </xdr:to>
    <xdr:pic>
      <xdr:nvPicPr>
        <xdr:cNvPr id="95"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94600</xdr:rowOff>
    </xdr:to>
    <xdr:pic>
      <xdr:nvPicPr>
        <xdr:cNvPr id="96"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68747</xdr:rowOff>
    </xdr:to>
    <xdr:pic>
      <xdr:nvPicPr>
        <xdr:cNvPr id="97"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59222</xdr:rowOff>
    </xdr:to>
    <xdr:pic>
      <xdr:nvPicPr>
        <xdr:cNvPr id="98"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82355</xdr:rowOff>
    </xdr:to>
    <xdr:pic>
      <xdr:nvPicPr>
        <xdr:cNvPr id="99"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54</xdr:row>
      <xdr:rowOff>43046</xdr:rowOff>
    </xdr:to>
    <xdr:pic>
      <xdr:nvPicPr>
        <xdr:cNvPr id="10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82355</xdr:rowOff>
    </xdr:to>
    <xdr:pic>
      <xdr:nvPicPr>
        <xdr:cNvPr id="101"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82354</xdr:rowOff>
    </xdr:to>
    <xdr:pic>
      <xdr:nvPicPr>
        <xdr:cNvPr id="102"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54</xdr:row>
      <xdr:rowOff>43046</xdr:rowOff>
    </xdr:to>
    <xdr:pic>
      <xdr:nvPicPr>
        <xdr:cNvPr id="103"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82354</xdr:rowOff>
    </xdr:to>
    <xdr:pic>
      <xdr:nvPicPr>
        <xdr:cNvPr id="104"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86436</xdr:rowOff>
    </xdr:to>
    <xdr:pic>
      <xdr:nvPicPr>
        <xdr:cNvPr id="105"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75550</xdr:rowOff>
    </xdr:to>
    <xdr:pic>
      <xdr:nvPicPr>
        <xdr:cNvPr id="106"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21576</xdr:rowOff>
    </xdr:to>
    <xdr:pic>
      <xdr:nvPicPr>
        <xdr:cNvPr id="107"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66026</xdr:rowOff>
    </xdr:to>
    <xdr:pic>
      <xdr:nvPicPr>
        <xdr:cNvPr id="108"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85725</xdr:colOff>
      <xdr:row>53</xdr:row>
      <xdr:rowOff>68747</xdr:rowOff>
    </xdr:to>
    <xdr:pic>
      <xdr:nvPicPr>
        <xdr:cNvPr id="109"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0</xdr:colOff>
      <xdr:row>51</xdr:row>
      <xdr:rowOff>0</xdr:rowOff>
    </xdr:from>
    <xdr:ext cx="64407" cy="663160"/>
    <xdr:sp macro="" textlink="">
      <xdr:nvSpPr>
        <xdr:cNvPr id="110"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51</xdr:row>
      <xdr:rowOff>0</xdr:rowOff>
    </xdr:from>
    <xdr:ext cx="64407" cy="660438"/>
    <xdr:sp macro="" textlink="">
      <xdr:nvSpPr>
        <xdr:cNvPr id="111"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64407" cy="660438"/>
    <xdr:sp macro="" textlink="">
      <xdr:nvSpPr>
        <xdr:cNvPr id="112"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64407" cy="660438"/>
    <xdr:sp macro="" textlink="">
      <xdr:nvSpPr>
        <xdr:cNvPr id="113"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85725" cy="679034"/>
    <xdr:pic>
      <xdr:nvPicPr>
        <xdr:cNvPr id="114"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8"/>
    <xdr:pic>
      <xdr:nvPicPr>
        <xdr:cNvPr id="115"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6788"/>
    <xdr:pic>
      <xdr:nvPicPr>
        <xdr:cNvPr id="116"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3"/>
    <xdr:pic>
      <xdr:nvPicPr>
        <xdr:cNvPr id="117"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60"/>
    <xdr:pic>
      <xdr:nvPicPr>
        <xdr:cNvPr id="118"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5"/>
    <xdr:pic>
      <xdr:nvPicPr>
        <xdr:cNvPr id="119"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120"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121"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2"/>
    <xdr:pic>
      <xdr:nvPicPr>
        <xdr:cNvPr id="122"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123"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124"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7"/>
    <xdr:pic>
      <xdr:nvPicPr>
        <xdr:cNvPr id="125"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4"/>
    <xdr:pic>
      <xdr:nvPicPr>
        <xdr:cNvPr id="1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7"/>
    <xdr:pic>
      <xdr:nvPicPr>
        <xdr:cNvPr id="127"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128"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4"/>
    <xdr:pic>
      <xdr:nvPicPr>
        <xdr:cNvPr id="129"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130"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6248"/>
    <xdr:pic>
      <xdr:nvPicPr>
        <xdr:cNvPr id="131"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5362"/>
    <xdr:pic>
      <xdr:nvPicPr>
        <xdr:cNvPr id="132"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41388"/>
    <xdr:pic>
      <xdr:nvPicPr>
        <xdr:cNvPr id="133"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8"/>
    <xdr:pic>
      <xdr:nvPicPr>
        <xdr:cNvPr id="134"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135"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3160"/>
    <xdr:sp macro="" textlink="">
      <xdr:nvSpPr>
        <xdr:cNvPr id="136"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51</xdr:row>
      <xdr:rowOff>0</xdr:rowOff>
    </xdr:from>
    <xdr:ext cx="64407" cy="660438"/>
    <xdr:sp macro="" textlink="">
      <xdr:nvSpPr>
        <xdr:cNvPr id="137"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64407" cy="660438"/>
    <xdr:sp macro="" textlink="">
      <xdr:nvSpPr>
        <xdr:cNvPr id="13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64407" cy="660438"/>
    <xdr:sp macro="" textlink="">
      <xdr:nvSpPr>
        <xdr:cNvPr id="13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85725" cy="679034"/>
    <xdr:pic>
      <xdr:nvPicPr>
        <xdr:cNvPr id="14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8"/>
    <xdr:pic>
      <xdr:nvPicPr>
        <xdr:cNvPr id="14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6788"/>
    <xdr:pic>
      <xdr:nvPicPr>
        <xdr:cNvPr id="14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3"/>
    <xdr:pic>
      <xdr:nvPicPr>
        <xdr:cNvPr id="14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60"/>
    <xdr:pic>
      <xdr:nvPicPr>
        <xdr:cNvPr id="14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5"/>
    <xdr:pic>
      <xdr:nvPicPr>
        <xdr:cNvPr id="14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14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14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2"/>
    <xdr:pic>
      <xdr:nvPicPr>
        <xdr:cNvPr id="14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14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15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7"/>
    <xdr:pic>
      <xdr:nvPicPr>
        <xdr:cNvPr id="15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4"/>
    <xdr:pic>
      <xdr:nvPicPr>
        <xdr:cNvPr id="15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7"/>
    <xdr:pic>
      <xdr:nvPicPr>
        <xdr:cNvPr id="15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15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4"/>
    <xdr:pic>
      <xdr:nvPicPr>
        <xdr:cNvPr id="15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15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6248"/>
    <xdr:pic>
      <xdr:nvPicPr>
        <xdr:cNvPr id="15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5362"/>
    <xdr:pic>
      <xdr:nvPicPr>
        <xdr:cNvPr id="15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41388"/>
    <xdr:pic>
      <xdr:nvPicPr>
        <xdr:cNvPr id="15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8"/>
    <xdr:pic>
      <xdr:nvPicPr>
        <xdr:cNvPr id="16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16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3159"/>
    <xdr:sp macro="" textlink="">
      <xdr:nvSpPr>
        <xdr:cNvPr id="162"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51</xdr:row>
      <xdr:rowOff>0</xdr:rowOff>
    </xdr:from>
    <xdr:ext cx="64407" cy="660437"/>
    <xdr:sp macro="" textlink="">
      <xdr:nvSpPr>
        <xdr:cNvPr id="163"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64407" cy="660437"/>
    <xdr:sp macro="" textlink="">
      <xdr:nvSpPr>
        <xdr:cNvPr id="164"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64407" cy="660437"/>
    <xdr:sp macro="" textlink="">
      <xdr:nvSpPr>
        <xdr:cNvPr id="165"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85725" cy="679033"/>
    <xdr:pic>
      <xdr:nvPicPr>
        <xdr:cNvPr id="16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7"/>
    <xdr:pic>
      <xdr:nvPicPr>
        <xdr:cNvPr id="16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6787"/>
    <xdr:pic>
      <xdr:nvPicPr>
        <xdr:cNvPr id="16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2"/>
    <xdr:pic>
      <xdr:nvPicPr>
        <xdr:cNvPr id="16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17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17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17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17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1"/>
    <xdr:pic>
      <xdr:nvPicPr>
        <xdr:cNvPr id="17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8"/>
    <xdr:pic>
      <xdr:nvPicPr>
        <xdr:cNvPr id="17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17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17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3"/>
    <xdr:pic>
      <xdr:nvPicPr>
        <xdr:cNvPr id="17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17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5"/>
    <xdr:pic>
      <xdr:nvPicPr>
        <xdr:cNvPr id="18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3"/>
    <xdr:pic>
      <xdr:nvPicPr>
        <xdr:cNvPr id="18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5"/>
    <xdr:pic>
      <xdr:nvPicPr>
        <xdr:cNvPr id="18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6247"/>
    <xdr:pic>
      <xdr:nvPicPr>
        <xdr:cNvPr id="18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5361"/>
    <xdr:pic>
      <xdr:nvPicPr>
        <xdr:cNvPr id="18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41387"/>
    <xdr:pic>
      <xdr:nvPicPr>
        <xdr:cNvPr id="18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7"/>
    <xdr:pic>
      <xdr:nvPicPr>
        <xdr:cNvPr id="18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8"/>
    <xdr:pic>
      <xdr:nvPicPr>
        <xdr:cNvPr id="18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3159"/>
    <xdr:sp macro="" textlink="">
      <xdr:nvSpPr>
        <xdr:cNvPr id="188"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51</xdr:row>
      <xdr:rowOff>0</xdr:rowOff>
    </xdr:from>
    <xdr:ext cx="64407" cy="660437"/>
    <xdr:sp macro="" textlink="">
      <xdr:nvSpPr>
        <xdr:cNvPr id="189"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64407" cy="660437"/>
    <xdr:sp macro="" textlink="">
      <xdr:nvSpPr>
        <xdr:cNvPr id="19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64407" cy="660437"/>
    <xdr:sp macro="" textlink="">
      <xdr:nvSpPr>
        <xdr:cNvPr id="19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85725" cy="679033"/>
    <xdr:pic>
      <xdr:nvPicPr>
        <xdr:cNvPr id="19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7"/>
    <xdr:pic>
      <xdr:nvPicPr>
        <xdr:cNvPr id="19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6787"/>
    <xdr:pic>
      <xdr:nvPicPr>
        <xdr:cNvPr id="19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2"/>
    <xdr:pic>
      <xdr:nvPicPr>
        <xdr:cNvPr id="19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19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19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19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19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1"/>
    <xdr:pic>
      <xdr:nvPicPr>
        <xdr:cNvPr id="20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8"/>
    <xdr:pic>
      <xdr:nvPicPr>
        <xdr:cNvPr id="20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20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20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3"/>
    <xdr:pic>
      <xdr:nvPicPr>
        <xdr:cNvPr id="20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20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5"/>
    <xdr:pic>
      <xdr:nvPicPr>
        <xdr:cNvPr id="20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3"/>
    <xdr:pic>
      <xdr:nvPicPr>
        <xdr:cNvPr id="20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5"/>
    <xdr:pic>
      <xdr:nvPicPr>
        <xdr:cNvPr id="20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6247"/>
    <xdr:pic>
      <xdr:nvPicPr>
        <xdr:cNvPr id="20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5361"/>
    <xdr:pic>
      <xdr:nvPicPr>
        <xdr:cNvPr id="21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41387"/>
    <xdr:pic>
      <xdr:nvPicPr>
        <xdr:cNvPr id="21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7"/>
    <xdr:pic>
      <xdr:nvPicPr>
        <xdr:cNvPr id="21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0358"/>
    <xdr:sp macro="" textlink="">
      <xdr:nvSpPr>
        <xdr:cNvPr id="213"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7</xdr:col>
      <xdr:colOff>0</xdr:colOff>
      <xdr:row>51</xdr:row>
      <xdr:rowOff>0</xdr:rowOff>
    </xdr:from>
    <xdr:ext cx="64407" cy="657636"/>
    <xdr:sp macro="" textlink="">
      <xdr:nvSpPr>
        <xdr:cNvPr id="214"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51</xdr:row>
      <xdr:rowOff>0</xdr:rowOff>
    </xdr:from>
    <xdr:ext cx="64407" cy="657636"/>
    <xdr:sp macro="" textlink="">
      <xdr:nvSpPr>
        <xdr:cNvPr id="215"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51</xdr:row>
      <xdr:rowOff>0</xdr:rowOff>
    </xdr:from>
    <xdr:ext cx="64407" cy="657636"/>
    <xdr:sp macro="" textlink="">
      <xdr:nvSpPr>
        <xdr:cNvPr id="216"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51</xdr:row>
      <xdr:rowOff>0</xdr:rowOff>
    </xdr:from>
    <xdr:ext cx="85725" cy="676232"/>
    <xdr:pic>
      <xdr:nvPicPr>
        <xdr:cNvPr id="21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3036"/>
    <xdr:pic>
      <xdr:nvPicPr>
        <xdr:cNvPr id="21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3986"/>
    <xdr:pic>
      <xdr:nvPicPr>
        <xdr:cNvPr id="21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1611"/>
    <xdr:pic>
      <xdr:nvPicPr>
        <xdr:cNvPr id="22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8"/>
    <xdr:pic>
      <xdr:nvPicPr>
        <xdr:cNvPr id="22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3"/>
    <xdr:pic>
      <xdr:nvPicPr>
        <xdr:cNvPr id="22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2"/>
    <xdr:pic>
      <xdr:nvPicPr>
        <xdr:cNvPr id="22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2"/>
    <xdr:pic>
      <xdr:nvPicPr>
        <xdr:cNvPr id="22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1610"/>
    <xdr:pic>
      <xdr:nvPicPr>
        <xdr:cNvPr id="22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7"/>
    <xdr:pic>
      <xdr:nvPicPr>
        <xdr:cNvPr id="22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2"/>
    <xdr:pic>
      <xdr:nvPicPr>
        <xdr:cNvPr id="22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5"/>
    <xdr:pic>
      <xdr:nvPicPr>
        <xdr:cNvPr id="22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3472"/>
    <xdr:pic>
      <xdr:nvPicPr>
        <xdr:cNvPr id="2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5"/>
    <xdr:pic>
      <xdr:nvPicPr>
        <xdr:cNvPr id="23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4"/>
    <xdr:pic>
      <xdr:nvPicPr>
        <xdr:cNvPr id="23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3472"/>
    <xdr:pic>
      <xdr:nvPicPr>
        <xdr:cNvPr id="23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4"/>
    <xdr:pic>
      <xdr:nvPicPr>
        <xdr:cNvPr id="23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3446"/>
    <xdr:pic>
      <xdr:nvPicPr>
        <xdr:cNvPr id="23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2560"/>
    <xdr:pic>
      <xdr:nvPicPr>
        <xdr:cNvPr id="23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38586"/>
    <xdr:pic>
      <xdr:nvPicPr>
        <xdr:cNvPr id="23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3036"/>
    <xdr:pic>
      <xdr:nvPicPr>
        <xdr:cNvPr id="23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7"/>
    <xdr:pic>
      <xdr:nvPicPr>
        <xdr:cNvPr id="23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0358"/>
    <xdr:sp macro="" textlink="">
      <xdr:nvSpPr>
        <xdr:cNvPr id="239"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7</xdr:col>
      <xdr:colOff>0</xdr:colOff>
      <xdr:row>51</xdr:row>
      <xdr:rowOff>0</xdr:rowOff>
    </xdr:from>
    <xdr:ext cx="64407" cy="657636"/>
    <xdr:sp macro="" textlink="">
      <xdr:nvSpPr>
        <xdr:cNvPr id="240"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51</xdr:row>
      <xdr:rowOff>0</xdr:rowOff>
    </xdr:from>
    <xdr:ext cx="64407" cy="657636"/>
    <xdr:sp macro="" textlink="">
      <xdr:nvSpPr>
        <xdr:cNvPr id="241"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51</xdr:row>
      <xdr:rowOff>0</xdr:rowOff>
    </xdr:from>
    <xdr:ext cx="64407" cy="657636"/>
    <xdr:sp macro="" textlink="">
      <xdr:nvSpPr>
        <xdr:cNvPr id="242"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51</xdr:row>
      <xdr:rowOff>0</xdr:rowOff>
    </xdr:from>
    <xdr:ext cx="85725" cy="676232"/>
    <xdr:pic>
      <xdr:nvPicPr>
        <xdr:cNvPr id="24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3036"/>
    <xdr:pic>
      <xdr:nvPicPr>
        <xdr:cNvPr id="24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3986"/>
    <xdr:pic>
      <xdr:nvPicPr>
        <xdr:cNvPr id="24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1611"/>
    <xdr:pic>
      <xdr:nvPicPr>
        <xdr:cNvPr id="24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8"/>
    <xdr:pic>
      <xdr:nvPicPr>
        <xdr:cNvPr id="24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3"/>
    <xdr:pic>
      <xdr:nvPicPr>
        <xdr:cNvPr id="24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2"/>
    <xdr:pic>
      <xdr:nvPicPr>
        <xdr:cNvPr id="24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2"/>
    <xdr:pic>
      <xdr:nvPicPr>
        <xdr:cNvPr id="25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1610"/>
    <xdr:pic>
      <xdr:nvPicPr>
        <xdr:cNvPr id="25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7"/>
    <xdr:pic>
      <xdr:nvPicPr>
        <xdr:cNvPr id="25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2"/>
    <xdr:pic>
      <xdr:nvPicPr>
        <xdr:cNvPr id="25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5"/>
    <xdr:pic>
      <xdr:nvPicPr>
        <xdr:cNvPr id="25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3472"/>
    <xdr:pic>
      <xdr:nvPicPr>
        <xdr:cNvPr id="25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5"/>
    <xdr:pic>
      <xdr:nvPicPr>
        <xdr:cNvPr id="25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4"/>
    <xdr:pic>
      <xdr:nvPicPr>
        <xdr:cNvPr id="25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3472"/>
    <xdr:pic>
      <xdr:nvPicPr>
        <xdr:cNvPr id="25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4"/>
    <xdr:pic>
      <xdr:nvPicPr>
        <xdr:cNvPr id="25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3446"/>
    <xdr:pic>
      <xdr:nvPicPr>
        <xdr:cNvPr id="26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2560"/>
    <xdr:pic>
      <xdr:nvPicPr>
        <xdr:cNvPr id="26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38586"/>
    <xdr:pic>
      <xdr:nvPicPr>
        <xdr:cNvPr id="26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3036"/>
    <xdr:pic>
      <xdr:nvPicPr>
        <xdr:cNvPr id="26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7"/>
    <xdr:pic>
      <xdr:nvPicPr>
        <xdr:cNvPr id="26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0357"/>
    <xdr:sp macro="" textlink="">
      <xdr:nvSpPr>
        <xdr:cNvPr id="265"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7</xdr:col>
      <xdr:colOff>0</xdr:colOff>
      <xdr:row>51</xdr:row>
      <xdr:rowOff>0</xdr:rowOff>
    </xdr:from>
    <xdr:ext cx="64407" cy="657635"/>
    <xdr:sp macro="" textlink="">
      <xdr:nvSpPr>
        <xdr:cNvPr id="266"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51</xdr:row>
      <xdr:rowOff>0</xdr:rowOff>
    </xdr:from>
    <xdr:ext cx="64407" cy="657635"/>
    <xdr:sp macro="" textlink="">
      <xdr:nvSpPr>
        <xdr:cNvPr id="267"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51</xdr:row>
      <xdr:rowOff>0</xdr:rowOff>
    </xdr:from>
    <xdr:ext cx="64407" cy="657635"/>
    <xdr:sp macro="" textlink="">
      <xdr:nvSpPr>
        <xdr:cNvPr id="268"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51</xdr:row>
      <xdr:rowOff>0</xdr:rowOff>
    </xdr:from>
    <xdr:ext cx="85725" cy="676231"/>
    <xdr:pic>
      <xdr:nvPicPr>
        <xdr:cNvPr id="26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3035"/>
    <xdr:pic>
      <xdr:nvPicPr>
        <xdr:cNvPr id="27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3985"/>
    <xdr:pic>
      <xdr:nvPicPr>
        <xdr:cNvPr id="27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1610"/>
    <xdr:pic>
      <xdr:nvPicPr>
        <xdr:cNvPr id="27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7"/>
    <xdr:pic>
      <xdr:nvPicPr>
        <xdr:cNvPr id="27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2"/>
    <xdr:pic>
      <xdr:nvPicPr>
        <xdr:cNvPr id="27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1"/>
    <xdr:pic>
      <xdr:nvPicPr>
        <xdr:cNvPr id="27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1"/>
    <xdr:pic>
      <xdr:nvPicPr>
        <xdr:cNvPr id="27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1609"/>
    <xdr:pic>
      <xdr:nvPicPr>
        <xdr:cNvPr id="27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6"/>
    <xdr:pic>
      <xdr:nvPicPr>
        <xdr:cNvPr id="27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1"/>
    <xdr:pic>
      <xdr:nvPicPr>
        <xdr:cNvPr id="27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4"/>
    <xdr:pic>
      <xdr:nvPicPr>
        <xdr:cNvPr id="28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3471"/>
    <xdr:pic>
      <xdr:nvPicPr>
        <xdr:cNvPr id="28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4"/>
    <xdr:pic>
      <xdr:nvPicPr>
        <xdr:cNvPr id="28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3"/>
    <xdr:pic>
      <xdr:nvPicPr>
        <xdr:cNvPr id="28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3471"/>
    <xdr:pic>
      <xdr:nvPicPr>
        <xdr:cNvPr id="28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3"/>
    <xdr:pic>
      <xdr:nvPicPr>
        <xdr:cNvPr id="28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3445"/>
    <xdr:pic>
      <xdr:nvPicPr>
        <xdr:cNvPr id="28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2559"/>
    <xdr:pic>
      <xdr:nvPicPr>
        <xdr:cNvPr id="28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38585"/>
    <xdr:pic>
      <xdr:nvPicPr>
        <xdr:cNvPr id="28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3035"/>
    <xdr:pic>
      <xdr:nvPicPr>
        <xdr:cNvPr id="28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6"/>
    <xdr:pic>
      <xdr:nvPicPr>
        <xdr:cNvPr id="29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0357"/>
    <xdr:sp macro="" textlink="">
      <xdr:nvSpPr>
        <xdr:cNvPr id="291"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7</xdr:col>
      <xdr:colOff>0</xdr:colOff>
      <xdr:row>51</xdr:row>
      <xdr:rowOff>0</xdr:rowOff>
    </xdr:from>
    <xdr:ext cx="64407" cy="657635"/>
    <xdr:sp macro="" textlink="">
      <xdr:nvSpPr>
        <xdr:cNvPr id="292"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51</xdr:row>
      <xdr:rowOff>0</xdr:rowOff>
    </xdr:from>
    <xdr:ext cx="64407" cy="657635"/>
    <xdr:sp macro="" textlink="">
      <xdr:nvSpPr>
        <xdr:cNvPr id="293"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51</xdr:row>
      <xdr:rowOff>0</xdr:rowOff>
    </xdr:from>
    <xdr:ext cx="64407" cy="657635"/>
    <xdr:sp macro="" textlink="">
      <xdr:nvSpPr>
        <xdr:cNvPr id="294"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51</xdr:row>
      <xdr:rowOff>0</xdr:rowOff>
    </xdr:from>
    <xdr:ext cx="85725" cy="676231"/>
    <xdr:pic>
      <xdr:nvPicPr>
        <xdr:cNvPr id="295"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3035"/>
    <xdr:pic>
      <xdr:nvPicPr>
        <xdr:cNvPr id="296"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3985"/>
    <xdr:pic>
      <xdr:nvPicPr>
        <xdr:cNvPr id="297"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1610"/>
    <xdr:pic>
      <xdr:nvPicPr>
        <xdr:cNvPr id="298"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7"/>
    <xdr:pic>
      <xdr:nvPicPr>
        <xdr:cNvPr id="299"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2"/>
    <xdr:pic>
      <xdr:nvPicPr>
        <xdr:cNvPr id="300"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1"/>
    <xdr:pic>
      <xdr:nvPicPr>
        <xdr:cNvPr id="301"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1"/>
    <xdr:pic>
      <xdr:nvPicPr>
        <xdr:cNvPr id="302"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1609"/>
    <xdr:pic>
      <xdr:nvPicPr>
        <xdr:cNvPr id="303"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6"/>
    <xdr:pic>
      <xdr:nvPicPr>
        <xdr:cNvPr id="304"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6231"/>
    <xdr:pic>
      <xdr:nvPicPr>
        <xdr:cNvPr id="305"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4"/>
    <xdr:pic>
      <xdr:nvPicPr>
        <xdr:cNvPr id="306"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3471"/>
    <xdr:pic>
      <xdr:nvPicPr>
        <xdr:cNvPr id="30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4"/>
    <xdr:pic>
      <xdr:nvPicPr>
        <xdr:cNvPr id="308"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3"/>
    <xdr:pic>
      <xdr:nvPicPr>
        <xdr:cNvPr id="309"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3471"/>
    <xdr:pic>
      <xdr:nvPicPr>
        <xdr:cNvPr id="310"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9363"/>
    <xdr:pic>
      <xdr:nvPicPr>
        <xdr:cNvPr id="311"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3445"/>
    <xdr:pic>
      <xdr:nvPicPr>
        <xdr:cNvPr id="312"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2559"/>
    <xdr:pic>
      <xdr:nvPicPr>
        <xdr:cNvPr id="313"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38585"/>
    <xdr:pic>
      <xdr:nvPicPr>
        <xdr:cNvPr id="314"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3035"/>
    <xdr:pic>
      <xdr:nvPicPr>
        <xdr:cNvPr id="315"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756"/>
    <xdr:pic>
      <xdr:nvPicPr>
        <xdr:cNvPr id="316"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3160"/>
    <xdr:sp macro="" textlink="">
      <xdr:nvSpPr>
        <xdr:cNvPr id="317"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51</xdr:row>
      <xdr:rowOff>0</xdr:rowOff>
    </xdr:from>
    <xdr:ext cx="64407" cy="660438"/>
    <xdr:sp macro="" textlink="">
      <xdr:nvSpPr>
        <xdr:cNvPr id="31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64407" cy="660438"/>
    <xdr:sp macro="" textlink="">
      <xdr:nvSpPr>
        <xdr:cNvPr id="31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64407" cy="660438"/>
    <xdr:sp macro="" textlink="">
      <xdr:nvSpPr>
        <xdr:cNvPr id="320"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85725" cy="679034"/>
    <xdr:pic>
      <xdr:nvPicPr>
        <xdr:cNvPr id="321"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8"/>
    <xdr:pic>
      <xdr:nvPicPr>
        <xdr:cNvPr id="322"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6788"/>
    <xdr:pic>
      <xdr:nvPicPr>
        <xdr:cNvPr id="323"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3"/>
    <xdr:pic>
      <xdr:nvPicPr>
        <xdr:cNvPr id="324"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60"/>
    <xdr:pic>
      <xdr:nvPicPr>
        <xdr:cNvPr id="325"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5"/>
    <xdr:pic>
      <xdr:nvPicPr>
        <xdr:cNvPr id="326"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327"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328"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2"/>
    <xdr:pic>
      <xdr:nvPicPr>
        <xdr:cNvPr id="329"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330"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331"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7"/>
    <xdr:pic>
      <xdr:nvPicPr>
        <xdr:cNvPr id="332"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4"/>
    <xdr:pic>
      <xdr:nvPicPr>
        <xdr:cNvPr id="3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7"/>
    <xdr:pic>
      <xdr:nvPicPr>
        <xdr:cNvPr id="334"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335"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4"/>
    <xdr:pic>
      <xdr:nvPicPr>
        <xdr:cNvPr id="336"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337"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6248"/>
    <xdr:pic>
      <xdr:nvPicPr>
        <xdr:cNvPr id="338"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5362"/>
    <xdr:pic>
      <xdr:nvPicPr>
        <xdr:cNvPr id="339"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41388"/>
    <xdr:pic>
      <xdr:nvPicPr>
        <xdr:cNvPr id="340"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8"/>
    <xdr:pic>
      <xdr:nvPicPr>
        <xdr:cNvPr id="341"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342"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3160"/>
    <xdr:sp macro="" textlink="">
      <xdr:nvSpPr>
        <xdr:cNvPr id="343"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51</xdr:row>
      <xdr:rowOff>0</xdr:rowOff>
    </xdr:from>
    <xdr:ext cx="64407" cy="660438"/>
    <xdr:sp macro="" textlink="">
      <xdr:nvSpPr>
        <xdr:cNvPr id="344"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64407" cy="660438"/>
    <xdr:sp macro="" textlink="">
      <xdr:nvSpPr>
        <xdr:cNvPr id="345"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64407" cy="660438"/>
    <xdr:sp macro="" textlink="">
      <xdr:nvSpPr>
        <xdr:cNvPr id="346"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51</xdr:row>
      <xdr:rowOff>0</xdr:rowOff>
    </xdr:from>
    <xdr:ext cx="85725" cy="679034"/>
    <xdr:pic>
      <xdr:nvPicPr>
        <xdr:cNvPr id="34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8"/>
    <xdr:pic>
      <xdr:nvPicPr>
        <xdr:cNvPr id="34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6788"/>
    <xdr:pic>
      <xdr:nvPicPr>
        <xdr:cNvPr id="34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3"/>
    <xdr:pic>
      <xdr:nvPicPr>
        <xdr:cNvPr id="35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60"/>
    <xdr:pic>
      <xdr:nvPicPr>
        <xdr:cNvPr id="35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5"/>
    <xdr:pic>
      <xdr:nvPicPr>
        <xdr:cNvPr id="35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35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35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2"/>
    <xdr:pic>
      <xdr:nvPicPr>
        <xdr:cNvPr id="35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35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35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7"/>
    <xdr:pic>
      <xdr:nvPicPr>
        <xdr:cNvPr id="35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4"/>
    <xdr:pic>
      <xdr:nvPicPr>
        <xdr:cNvPr id="35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7"/>
    <xdr:pic>
      <xdr:nvPicPr>
        <xdr:cNvPr id="36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36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4"/>
    <xdr:pic>
      <xdr:nvPicPr>
        <xdr:cNvPr id="36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36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6248"/>
    <xdr:pic>
      <xdr:nvPicPr>
        <xdr:cNvPr id="36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5362"/>
    <xdr:pic>
      <xdr:nvPicPr>
        <xdr:cNvPr id="36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41388"/>
    <xdr:pic>
      <xdr:nvPicPr>
        <xdr:cNvPr id="36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8"/>
    <xdr:pic>
      <xdr:nvPicPr>
        <xdr:cNvPr id="36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36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3159"/>
    <xdr:sp macro="" textlink="">
      <xdr:nvSpPr>
        <xdr:cNvPr id="369"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51</xdr:row>
      <xdr:rowOff>0</xdr:rowOff>
    </xdr:from>
    <xdr:ext cx="64407" cy="660437"/>
    <xdr:sp macro="" textlink="">
      <xdr:nvSpPr>
        <xdr:cNvPr id="37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64407" cy="660437"/>
    <xdr:sp macro="" textlink="">
      <xdr:nvSpPr>
        <xdr:cNvPr id="37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64407" cy="660437"/>
    <xdr:sp macro="" textlink="">
      <xdr:nvSpPr>
        <xdr:cNvPr id="372"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85725" cy="679033"/>
    <xdr:pic>
      <xdr:nvPicPr>
        <xdr:cNvPr id="37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7"/>
    <xdr:pic>
      <xdr:nvPicPr>
        <xdr:cNvPr id="37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6787"/>
    <xdr:pic>
      <xdr:nvPicPr>
        <xdr:cNvPr id="37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2"/>
    <xdr:pic>
      <xdr:nvPicPr>
        <xdr:cNvPr id="37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37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37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37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38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1"/>
    <xdr:pic>
      <xdr:nvPicPr>
        <xdr:cNvPr id="38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8"/>
    <xdr:pic>
      <xdr:nvPicPr>
        <xdr:cNvPr id="38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38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38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3"/>
    <xdr:pic>
      <xdr:nvPicPr>
        <xdr:cNvPr id="38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38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5"/>
    <xdr:pic>
      <xdr:nvPicPr>
        <xdr:cNvPr id="38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3"/>
    <xdr:pic>
      <xdr:nvPicPr>
        <xdr:cNvPr id="38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5"/>
    <xdr:pic>
      <xdr:nvPicPr>
        <xdr:cNvPr id="38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6247"/>
    <xdr:pic>
      <xdr:nvPicPr>
        <xdr:cNvPr id="39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5361"/>
    <xdr:pic>
      <xdr:nvPicPr>
        <xdr:cNvPr id="39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41387"/>
    <xdr:pic>
      <xdr:nvPicPr>
        <xdr:cNvPr id="39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7"/>
    <xdr:pic>
      <xdr:nvPicPr>
        <xdr:cNvPr id="39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8"/>
    <xdr:pic>
      <xdr:nvPicPr>
        <xdr:cNvPr id="39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64407" cy="663159"/>
    <xdr:sp macro="" textlink="">
      <xdr:nvSpPr>
        <xdr:cNvPr id="395"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51</xdr:row>
      <xdr:rowOff>0</xdr:rowOff>
    </xdr:from>
    <xdr:ext cx="64407" cy="660437"/>
    <xdr:sp macro="" textlink="">
      <xdr:nvSpPr>
        <xdr:cNvPr id="396"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64407" cy="660437"/>
    <xdr:sp macro="" textlink="">
      <xdr:nvSpPr>
        <xdr:cNvPr id="397"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64407" cy="660437"/>
    <xdr:sp macro="" textlink="">
      <xdr:nvSpPr>
        <xdr:cNvPr id="398"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51</xdr:row>
      <xdr:rowOff>0</xdr:rowOff>
    </xdr:from>
    <xdr:ext cx="85725" cy="679033"/>
    <xdr:pic>
      <xdr:nvPicPr>
        <xdr:cNvPr id="39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7"/>
    <xdr:pic>
      <xdr:nvPicPr>
        <xdr:cNvPr id="40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66787"/>
    <xdr:pic>
      <xdr:nvPicPr>
        <xdr:cNvPr id="40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2"/>
    <xdr:pic>
      <xdr:nvPicPr>
        <xdr:cNvPr id="40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9"/>
    <xdr:pic>
      <xdr:nvPicPr>
        <xdr:cNvPr id="40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4"/>
    <xdr:pic>
      <xdr:nvPicPr>
        <xdr:cNvPr id="40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40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40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14411"/>
    <xdr:pic>
      <xdr:nvPicPr>
        <xdr:cNvPr id="40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8"/>
    <xdr:pic>
      <xdr:nvPicPr>
        <xdr:cNvPr id="40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79033"/>
    <xdr:pic>
      <xdr:nvPicPr>
        <xdr:cNvPr id="40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41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3"/>
    <xdr:pic>
      <xdr:nvPicPr>
        <xdr:cNvPr id="41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6"/>
    <xdr:pic>
      <xdr:nvPicPr>
        <xdr:cNvPr id="41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5"/>
    <xdr:pic>
      <xdr:nvPicPr>
        <xdr:cNvPr id="41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906273"/>
    <xdr:pic>
      <xdr:nvPicPr>
        <xdr:cNvPr id="41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2165"/>
    <xdr:pic>
      <xdr:nvPicPr>
        <xdr:cNvPr id="41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706247"/>
    <xdr:pic>
      <xdr:nvPicPr>
        <xdr:cNvPr id="41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95361"/>
    <xdr:pic>
      <xdr:nvPicPr>
        <xdr:cNvPr id="41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41387"/>
    <xdr:pic>
      <xdr:nvPicPr>
        <xdr:cNvPr id="41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5837"/>
    <xdr:pic>
      <xdr:nvPicPr>
        <xdr:cNvPr id="41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51</xdr:row>
      <xdr:rowOff>0</xdr:rowOff>
    </xdr:from>
    <xdr:ext cx="85725" cy="688558"/>
    <xdr:pic>
      <xdr:nvPicPr>
        <xdr:cNvPr id="42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300336</xdr:colOff>
      <xdr:row>51</xdr:row>
      <xdr:rowOff>0</xdr:rowOff>
    </xdr:from>
    <xdr:ext cx="85725" cy="906273"/>
    <xdr:pic>
      <xdr:nvPicPr>
        <xdr:cNvPr id="42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336"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2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2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279168</xdr:colOff>
      <xdr:row>51</xdr:row>
      <xdr:rowOff>0</xdr:rowOff>
    </xdr:from>
    <xdr:ext cx="85725" cy="906273"/>
    <xdr:pic>
      <xdr:nvPicPr>
        <xdr:cNvPr id="42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9168"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321502</xdr:colOff>
      <xdr:row>51</xdr:row>
      <xdr:rowOff>0</xdr:rowOff>
    </xdr:from>
    <xdr:ext cx="85725" cy="906273"/>
    <xdr:pic>
      <xdr:nvPicPr>
        <xdr:cNvPr id="4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50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2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2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3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3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3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3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3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51</xdr:row>
      <xdr:rowOff>0</xdr:rowOff>
    </xdr:from>
    <xdr:ext cx="85725" cy="906273"/>
    <xdr:pic>
      <xdr:nvPicPr>
        <xdr:cNvPr id="43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51</xdr:row>
      <xdr:rowOff>0</xdr:rowOff>
    </xdr:from>
    <xdr:ext cx="85725" cy="906273"/>
    <xdr:pic>
      <xdr:nvPicPr>
        <xdr:cNvPr id="43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79471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5"/>
  <sheetViews>
    <sheetView tabSelected="1" view="pageBreakPreview" topLeftCell="A55" zoomScale="90" zoomScaleNormal="70" zoomScaleSheetLayoutView="90" workbookViewId="0">
      <selection activeCell="Q60" sqref="Q60"/>
    </sheetView>
  </sheetViews>
  <sheetFormatPr defaultRowHeight="12.75" x14ac:dyDescent="0.2"/>
  <cols>
    <col min="1" max="1" width="5" style="23" customWidth="1"/>
    <col min="2" max="2" width="33.28515625" style="6" customWidth="1"/>
    <col min="3" max="3" width="14.85546875" style="6" bestFit="1" customWidth="1"/>
    <col min="4" max="4" width="4.140625" style="6" customWidth="1"/>
    <col min="5" max="5" width="10.140625" style="5" customWidth="1"/>
    <col min="6" max="6" width="43.7109375" style="13" customWidth="1"/>
    <col min="7" max="7" width="15.28515625" style="5" customWidth="1"/>
    <col min="8" max="8" width="8.28515625" style="23" customWidth="1"/>
    <col min="9" max="9" width="13.7109375" style="81" customWidth="1"/>
    <col min="10" max="10" width="13.7109375" style="76" customWidth="1"/>
    <col min="11" max="11" width="16" style="6" customWidth="1"/>
    <col min="12" max="12" width="16.140625" style="6" customWidth="1"/>
    <col min="13" max="16" width="16.140625" style="5" hidden="1" customWidth="1"/>
    <col min="17" max="17" width="16.140625" style="5" customWidth="1"/>
    <col min="18" max="18" width="18.28515625" style="5" customWidth="1"/>
    <col min="19" max="16384" width="9.140625" style="1"/>
  </cols>
  <sheetData>
    <row r="1" spans="1:19" x14ac:dyDescent="0.2">
      <c r="A1" s="46"/>
      <c r="H1" s="46"/>
      <c r="I1" s="83"/>
      <c r="J1" s="83"/>
      <c r="L1" s="74" t="s">
        <v>91</v>
      </c>
      <c r="M1" s="74"/>
      <c r="N1" s="74"/>
      <c r="O1" s="74"/>
      <c r="P1" s="74"/>
      <c r="Q1" s="74"/>
      <c r="R1" s="74"/>
      <c r="S1" s="74"/>
    </row>
    <row r="2" spans="1:19" ht="22.5" customHeight="1" x14ac:dyDescent="0.2">
      <c r="A2" s="48" t="s">
        <v>5</v>
      </c>
      <c r="B2" s="48"/>
      <c r="C2" s="48"/>
      <c r="D2" s="48"/>
      <c r="E2" s="48"/>
      <c r="F2" s="49"/>
      <c r="G2" s="48"/>
      <c r="H2" s="48"/>
      <c r="I2" s="48"/>
      <c r="J2" s="48"/>
      <c r="K2" s="48"/>
      <c r="L2" s="48"/>
      <c r="M2" s="22"/>
      <c r="N2" s="22"/>
      <c r="O2" s="22"/>
      <c r="P2" s="22"/>
      <c r="Q2" s="22"/>
    </row>
    <row r="3" spans="1:19" ht="24.75" customHeight="1" x14ac:dyDescent="0.2">
      <c r="A3" s="50" t="s">
        <v>32</v>
      </c>
      <c r="B3" s="50"/>
      <c r="C3" s="50"/>
      <c r="D3" s="50"/>
      <c r="E3" s="50"/>
      <c r="F3" s="51"/>
      <c r="G3" s="50"/>
      <c r="H3" s="50"/>
      <c r="I3" s="50"/>
      <c r="J3" s="50"/>
      <c r="K3" s="50"/>
      <c r="L3" s="50"/>
      <c r="M3" s="23"/>
      <c r="N3" s="23"/>
      <c r="O3" s="23"/>
      <c r="P3" s="23"/>
      <c r="Q3" s="23"/>
    </row>
    <row r="4" spans="1:19" ht="30" customHeight="1" x14ac:dyDescent="0.2">
      <c r="A4" s="50" t="s">
        <v>92</v>
      </c>
      <c r="B4" s="50"/>
      <c r="C4" s="50"/>
      <c r="D4" s="50"/>
      <c r="E4" s="50"/>
      <c r="F4" s="51"/>
      <c r="G4" s="50"/>
      <c r="H4" s="50"/>
      <c r="I4" s="50"/>
      <c r="J4" s="50"/>
      <c r="K4" s="50"/>
      <c r="L4" s="50"/>
      <c r="M4" s="23"/>
      <c r="N4" s="23"/>
      <c r="O4" s="23"/>
      <c r="P4" s="23"/>
      <c r="Q4" s="23"/>
    </row>
    <row r="5" spans="1:19" x14ac:dyDescent="0.2">
      <c r="A5" s="2"/>
      <c r="B5" s="4"/>
      <c r="C5" s="4"/>
      <c r="D5" s="3"/>
      <c r="E5" s="2"/>
      <c r="F5" s="12"/>
      <c r="I5" s="83"/>
      <c r="J5" s="83"/>
    </row>
    <row r="6" spans="1:19" x14ac:dyDescent="0.2">
      <c r="A6" s="47" t="s">
        <v>6</v>
      </c>
      <c r="B6" s="47"/>
      <c r="C6" s="47"/>
      <c r="D6" s="47"/>
      <c r="E6" s="47"/>
      <c r="F6" s="52"/>
      <c r="I6" s="83"/>
      <c r="J6" s="83"/>
    </row>
    <row r="7" spans="1:19" ht="13.5" customHeight="1" x14ac:dyDescent="0.2">
      <c r="D7" s="7"/>
      <c r="E7" s="21"/>
      <c r="I7" s="83"/>
      <c r="J7" s="83"/>
      <c r="K7" s="53" t="s">
        <v>13</v>
      </c>
      <c r="L7" s="53"/>
      <c r="M7" s="24"/>
      <c r="N7" s="24"/>
      <c r="O7" s="24"/>
      <c r="P7" s="24"/>
      <c r="Q7" s="24"/>
    </row>
    <row r="8" spans="1:19" ht="102.75" customHeight="1" x14ac:dyDescent="0.2">
      <c r="A8" s="15" t="s">
        <v>1</v>
      </c>
      <c r="B8" s="37" t="s">
        <v>14</v>
      </c>
      <c r="C8" s="37" t="s">
        <v>15</v>
      </c>
      <c r="D8" s="37" t="s">
        <v>2</v>
      </c>
      <c r="E8" s="37" t="s">
        <v>3</v>
      </c>
      <c r="F8" s="37" t="s">
        <v>16</v>
      </c>
      <c r="G8" s="37" t="s">
        <v>4</v>
      </c>
      <c r="H8" s="38" t="s">
        <v>17</v>
      </c>
      <c r="I8" s="15" t="s">
        <v>22</v>
      </c>
      <c r="J8" s="78" t="s">
        <v>93</v>
      </c>
      <c r="K8" s="37" t="s">
        <v>94</v>
      </c>
      <c r="L8" s="37" t="s">
        <v>95</v>
      </c>
      <c r="M8" s="19"/>
      <c r="N8" s="19" t="s">
        <v>26</v>
      </c>
      <c r="O8" s="19"/>
      <c r="P8" s="19"/>
      <c r="Q8" s="37" t="s">
        <v>29</v>
      </c>
      <c r="R8" s="39" t="s">
        <v>30</v>
      </c>
    </row>
    <row r="9" spans="1:19" ht="32.25" customHeight="1" x14ac:dyDescent="0.2">
      <c r="A9" s="15">
        <v>1</v>
      </c>
      <c r="B9" s="40" t="s">
        <v>49</v>
      </c>
      <c r="C9" s="25" t="s">
        <v>19</v>
      </c>
      <c r="D9" s="25" t="s">
        <v>24</v>
      </c>
      <c r="E9" s="41">
        <v>0.2</v>
      </c>
      <c r="F9" s="33" t="s">
        <v>69</v>
      </c>
      <c r="G9" s="42">
        <v>46433</v>
      </c>
      <c r="H9" s="40" t="s">
        <v>66</v>
      </c>
      <c r="I9" s="82">
        <v>211082.78688524591</v>
      </c>
      <c r="J9" s="77">
        <f>I9*1.22</f>
        <v>257521</v>
      </c>
      <c r="K9" s="43">
        <f>I9*E9</f>
        <v>42216.557377049183</v>
      </c>
      <c r="L9" s="45">
        <f>K9*1.22</f>
        <v>51504.200000000004</v>
      </c>
      <c r="M9" s="32"/>
      <c r="N9" s="32"/>
      <c r="O9" s="32"/>
      <c r="P9" s="32"/>
      <c r="Q9" s="40" t="s">
        <v>68</v>
      </c>
      <c r="R9" s="65" t="s">
        <v>31</v>
      </c>
    </row>
    <row r="10" spans="1:19" ht="32.25" customHeight="1" x14ac:dyDescent="0.2">
      <c r="A10" s="15">
        <v>2</v>
      </c>
      <c r="B10" s="40" t="s">
        <v>43</v>
      </c>
      <c r="C10" s="25" t="s">
        <v>19</v>
      </c>
      <c r="D10" s="25" t="s">
        <v>24</v>
      </c>
      <c r="E10" s="41">
        <v>0.15</v>
      </c>
      <c r="F10" s="33" t="s">
        <v>69</v>
      </c>
      <c r="G10" s="42">
        <v>46620</v>
      </c>
      <c r="H10" s="40" t="s">
        <v>60</v>
      </c>
      <c r="I10" s="82">
        <v>255538.52459016393</v>
      </c>
      <c r="J10" s="77">
        <f t="shared" ref="J10:J51" si="0">I10*1.22</f>
        <v>311757</v>
      </c>
      <c r="K10" s="43">
        <f t="shared" ref="K10:K51" si="1">I10*E10</f>
        <v>38330.778688524588</v>
      </c>
      <c r="L10" s="45">
        <f t="shared" ref="L10:L51" si="2">K10*1.22</f>
        <v>46763.549999999996</v>
      </c>
      <c r="M10" s="32"/>
      <c r="N10" s="32"/>
      <c r="O10" s="32"/>
      <c r="P10" s="32"/>
      <c r="Q10" s="40" t="s">
        <v>68</v>
      </c>
      <c r="R10" s="65"/>
    </row>
    <row r="11" spans="1:19" ht="32.25" customHeight="1" x14ac:dyDescent="0.2">
      <c r="A11" s="15">
        <v>3</v>
      </c>
      <c r="B11" s="40" t="s">
        <v>45</v>
      </c>
      <c r="C11" s="25" t="s">
        <v>19</v>
      </c>
      <c r="D11" s="25" t="s">
        <v>24</v>
      </c>
      <c r="E11" s="41">
        <v>0.1</v>
      </c>
      <c r="F11" s="33" t="s">
        <v>69</v>
      </c>
      <c r="G11" s="42">
        <v>46620</v>
      </c>
      <c r="H11" s="40" t="s">
        <v>62</v>
      </c>
      <c r="I11" s="82">
        <v>255538.52459016393</v>
      </c>
      <c r="J11" s="77">
        <f t="shared" si="0"/>
        <v>311757</v>
      </c>
      <c r="K11" s="43">
        <f t="shared" si="1"/>
        <v>25553.852459016394</v>
      </c>
      <c r="L11" s="45">
        <f t="shared" si="2"/>
        <v>31175.7</v>
      </c>
      <c r="M11" s="32"/>
      <c r="N11" s="32"/>
      <c r="O11" s="32"/>
      <c r="P11" s="32"/>
      <c r="Q11" s="40" t="s">
        <v>33</v>
      </c>
      <c r="R11" s="65"/>
    </row>
    <row r="12" spans="1:19" ht="32.25" customHeight="1" x14ac:dyDescent="0.2">
      <c r="A12" s="15">
        <v>4</v>
      </c>
      <c r="B12" s="40" t="s">
        <v>35</v>
      </c>
      <c r="C12" s="25" t="s">
        <v>19</v>
      </c>
      <c r="D12" s="25" t="s">
        <v>24</v>
      </c>
      <c r="E12" s="41">
        <v>0.2</v>
      </c>
      <c r="F12" s="33" t="s">
        <v>69</v>
      </c>
      <c r="G12" s="42">
        <v>46620</v>
      </c>
      <c r="H12" s="40" t="s">
        <v>52</v>
      </c>
      <c r="I12" s="82">
        <v>193984.42622950822</v>
      </c>
      <c r="J12" s="77">
        <f t="shared" si="0"/>
        <v>236661.00000000003</v>
      </c>
      <c r="K12" s="43">
        <f t="shared" si="1"/>
        <v>38796.885245901642</v>
      </c>
      <c r="L12" s="45">
        <f t="shared" si="2"/>
        <v>47332.200000000004</v>
      </c>
      <c r="M12" s="32"/>
      <c r="N12" s="32"/>
      <c r="O12" s="32"/>
      <c r="P12" s="32"/>
      <c r="Q12" s="40" t="s">
        <v>68</v>
      </c>
      <c r="R12" s="65"/>
    </row>
    <row r="13" spans="1:19" ht="32.25" customHeight="1" x14ac:dyDescent="0.2">
      <c r="A13" s="15">
        <v>5</v>
      </c>
      <c r="B13" s="40" t="s">
        <v>49</v>
      </c>
      <c r="C13" s="25" t="s">
        <v>19</v>
      </c>
      <c r="D13" s="25" t="s">
        <v>24</v>
      </c>
      <c r="E13" s="41">
        <v>0.15</v>
      </c>
      <c r="F13" s="33" t="s">
        <v>69</v>
      </c>
      <c r="G13" s="42">
        <v>46560</v>
      </c>
      <c r="H13" s="40" t="s">
        <v>66</v>
      </c>
      <c r="I13" s="82">
        <v>211082.78688524591</v>
      </c>
      <c r="J13" s="77">
        <f t="shared" si="0"/>
        <v>257521</v>
      </c>
      <c r="K13" s="43">
        <f t="shared" si="1"/>
        <v>31662.418032786885</v>
      </c>
      <c r="L13" s="45">
        <f t="shared" si="2"/>
        <v>38628.15</v>
      </c>
      <c r="M13" s="32"/>
      <c r="N13" s="32"/>
      <c r="O13" s="32"/>
      <c r="P13" s="32"/>
      <c r="Q13" s="40" t="s">
        <v>68</v>
      </c>
      <c r="R13" s="65"/>
    </row>
    <row r="14" spans="1:19" ht="32.25" customHeight="1" x14ac:dyDescent="0.2">
      <c r="A14" s="15">
        <v>6</v>
      </c>
      <c r="B14" s="40" t="s">
        <v>34</v>
      </c>
      <c r="C14" s="25" t="s">
        <v>19</v>
      </c>
      <c r="D14" s="25" t="s">
        <v>24</v>
      </c>
      <c r="E14" s="41">
        <v>0.3</v>
      </c>
      <c r="F14" s="33" t="s">
        <v>69</v>
      </c>
      <c r="G14" s="42">
        <v>46448</v>
      </c>
      <c r="H14" s="40" t="s">
        <v>51</v>
      </c>
      <c r="I14" s="82">
        <v>206808.19672131148</v>
      </c>
      <c r="J14" s="77">
        <f t="shared" si="0"/>
        <v>252306</v>
      </c>
      <c r="K14" s="43">
        <f t="shared" si="1"/>
        <v>62042.459016393441</v>
      </c>
      <c r="L14" s="45">
        <f t="shared" si="2"/>
        <v>75691.8</v>
      </c>
      <c r="M14" s="32"/>
      <c r="N14" s="32"/>
      <c r="O14" s="32"/>
      <c r="P14" s="32"/>
      <c r="Q14" s="40" t="s">
        <v>68</v>
      </c>
      <c r="R14" s="65"/>
    </row>
    <row r="15" spans="1:19" ht="32.25" customHeight="1" x14ac:dyDescent="0.2">
      <c r="A15" s="15">
        <v>7</v>
      </c>
      <c r="B15" s="40" t="s">
        <v>43</v>
      </c>
      <c r="C15" s="25" t="s">
        <v>19</v>
      </c>
      <c r="D15" s="25" t="s">
        <v>24</v>
      </c>
      <c r="E15" s="41">
        <v>8.7999999999999995E-2</v>
      </c>
      <c r="F15" s="33" t="s">
        <v>69</v>
      </c>
      <c r="G15" s="42">
        <v>46478</v>
      </c>
      <c r="H15" s="40" t="s">
        <v>60</v>
      </c>
      <c r="I15" s="82">
        <v>255538.52459016393</v>
      </c>
      <c r="J15" s="77">
        <f t="shared" si="0"/>
        <v>311757</v>
      </c>
      <c r="K15" s="43">
        <f t="shared" si="1"/>
        <v>22487.390163934426</v>
      </c>
      <c r="L15" s="45">
        <f t="shared" si="2"/>
        <v>27434.615999999998</v>
      </c>
      <c r="M15" s="32"/>
      <c r="N15" s="32"/>
      <c r="O15" s="32"/>
      <c r="P15" s="32"/>
      <c r="Q15" s="40" t="s">
        <v>68</v>
      </c>
      <c r="R15" s="65"/>
    </row>
    <row r="16" spans="1:19" ht="32.25" customHeight="1" x14ac:dyDescent="0.2">
      <c r="A16" s="15">
        <v>8</v>
      </c>
      <c r="B16" s="40" t="s">
        <v>76</v>
      </c>
      <c r="C16" s="25" t="s">
        <v>19</v>
      </c>
      <c r="D16" s="25" t="s">
        <v>24</v>
      </c>
      <c r="E16" s="41">
        <v>0.5</v>
      </c>
      <c r="F16" s="33" t="s">
        <v>69</v>
      </c>
      <c r="G16" s="42">
        <v>46509</v>
      </c>
      <c r="H16" s="40" t="s">
        <v>83</v>
      </c>
      <c r="I16" s="82">
        <v>211082.78688524591</v>
      </c>
      <c r="J16" s="77">
        <f t="shared" si="0"/>
        <v>257521</v>
      </c>
      <c r="K16" s="43">
        <f t="shared" si="1"/>
        <v>105541.39344262295</v>
      </c>
      <c r="L16" s="45">
        <f t="shared" si="2"/>
        <v>128760.5</v>
      </c>
      <c r="M16" s="32"/>
      <c r="N16" s="32"/>
      <c r="O16" s="32"/>
      <c r="P16" s="32"/>
      <c r="Q16" s="40" t="s">
        <v>33</v>
      </c>
      <c r="R16" s="65"/>
    </row>
    <row r="17" spans="1:18" ht="32.25" customHeight="1" x14ac:dyDescent="0.2">
      <c r="A17" s="15">
        <v>9</v>
      </c>
      <c r="B17" s="40" t="s">
        <v>76</v>
      </c>
      <c r="C17" s="25" t="s">
        <v>19</v>
      </c>
      <c r="D17" s="25" t="s">
        <v>24</v>
      </c>
      <c r="E17" s="41">
        <v>0.3</v>
      </c>
      <c r="F17" s="33" t="s">
        <v>69</v>
      </c>
      <c r="G17" s="42">
        <v>46571</v>
      </c>
      <c r="H17" s="40" t="s">
        <v>83</v>
      </c>
      <c r="I17" s="82">
        <v>211082.78688524591</v>
      </c>
      <c r="J17" s="77">
        <f t="shared" si="0"/>
        <v>257521</v>
      </c>
      <c r="K17" s="43">
        <f t="shared" si="1"/>
        <v>63324.836065573771</v>
      </c>
      <c r="L17" s="45">
        <f t="shared" si="2"/>
        <v>77256.3</v>
      </c>
      <c r="M17" s="32"/>
      <c r="N17" s="32"/>
      <c r="O17" s="32"/>
      <c r="P17" s="32"/>
      <c r="Q17" s="40" t="s">
        <v>33</v>
      </c>
      <c r="R17" s="65"/>
    </row>
    <row r="18" spans="1:18" ht="32.25" customHeight="1" x14ac:dyDescent="0.2">
      <c r="A18" s="15">
        <v>10</v>
      </c>
      <c r="B18" s="40" t="s">
        <v>76</v>
      </c>
      <c r="C18" s="25" t="s">
        <v>19</v>
      </c>
      <c r="D18" s="25" t="s">
        <v>24</v>
      </c>
      <c r="E18" s="41">
        <v>0.1</v>
      </c>
      <c r="F18" s="33" t="s">
        <v>72</v>
      </c>
      <c r="G18" s="42">
        <v>46546</v>
      </c>
      <c r="H18" s="40" t="s">
        <v>83</v>
      </c>
      <c r="I18" s="82">
        <v>211082.78688524591</v>
      </c>
      <c r="J18" s="77">
        <f t="shared" si="0"/>
        <v>257521</v>
      </c>
      <c r="K18" s="43">
        <f t="shared" si="1"/>
        <v>21108.278688524591</v>
      </c>
      <c r="L18" s="45">
        <f t="shared" si="2"/>
        <v>25752.100000000002</v>
      </c>
      <c r="M18" s="32"/>
      <c r="N18" s="32"/>
      <c r="O18" s="32"/>
      <c r="P18" s="32"/>
      <c r="Q18" s="40" t="s">
        <v>33</v>
      </c>
      <c r="R18" s="65"/>
    </row>
    <row r="19" spans="1:18" ht="32.25" customHeight="1" x14ac:dyDescent="0.2">
      <c r="A19" s="15">
        <v>11</v>
      </c>
      <c r="B19" s="40" t="s">
        <v>41</v>
      </c>
      <c r="C19" s="25" t="s">
        <v>19</v>
      </c>
      <c r="D19" s="25" t="s">
        <v>24</v>
      </c>
      <c r="E19" s="41">
        <v>0.05</v>
      </c>
      <c r="F19" s="33" t="s">
        <v>72</v>
      </c>
      <c r="G19" s="42">
        <v>46546</v>
      </c>
      <c r="H19" s="40" t="s">
        <v>58</v>
      </c>
      <c r="I19" s="82">
        <v>292300</v>
      </c>
      <c r="J19" s="77">
        <f t="shared" si="0"/>
        <v>356606</v>
      </c>
      <c r="K19" s="43">
        <f t="shared" si="1"/>
        <v>14615</v>
      </c>
      <c r="L19" s="45">
        <f t="shared" si="2"/>
        <v>17830.3</v>
      </c>
      <c r="M19" s="32"/>
      <c r="N19" s="32"/>
      <c r="O19" s="32"/>
      <c r="P19" s="32"/>
      <c r="Q19" s="40" t="s">
        <v>33</v>
      </c>
      <c r="R19" s="65"/>
    </row>
    <row r="20" spans="1:18" ht="32.25" customHeight="1" x14ac:dyDescent="0.2">
      <c r="A20" s="15">
        <v>12</v>
      </c>
      <c r="B20" s="40" t="s">
        <v>38</v>
      </c>
      <c r="C20" s="25" t="s">
        <v>19</v>
      </c>
      <c r="D20" s="25" t="s">
        <v>24</v>
      </c>
      <c r="E20" s="41">
        <v>0.05</v>
      </c>
      <c r="F20" s="33" t="s">
        <v>72</v>
      </c>
      <c r="G20" s="42">
        <v>46546</v>
      </c>
      <c r="H20" s="40" t="s">
        <v>55</v>
      </c>
      <c r="I20" s="82">
        <v>292300</v>
      </c>
      <c r="J20" s="77">
        <f t="shared" si="0"/>
        <v>356606</v>
      </c>
      <c r="K20" s="43">
        <f t="shared" si="1"/>
        <v>14615</v>
      </c>
      <c r="L20" s="45">
        <f t="shared" si="2"/>
        <v>17830.3</v>
      </c>
      <c r="M20" s="32"/>
      <c r="N20" s="32"/>
      <c r="O20" s="32"/>
      <c r="P20" s="32"/>
      <c r="Q20" s="40" t="s">
        <v>33</v>
      </c>
      <c r="R20" s="65"/>
    </row>
    <row r="21" spans="1:18" ht="32.25" customHeight="1" x14ac:dyDescent="0.2">
      <c r="A21" s="15">
        <v>13</v>
      </c>
      <c r="B21" s="40" t="s">
        <v>50</v>
      </c>
      <c r="C21" s="25" t="s">
        <v>19</v>
      </c>
      <c r="D21" s="25" t="s">
        <v>24</v>
      </c>
      <c r="E21" s="41">
        <v>0.1</v>
      </c>
      <c r="F21" s="33" t="s">
        <v>72</v>
      </c>
      <c r="G21" s="42">
        <v>46546</v>
      </c>
      <c r="H21" s="40" t="s">
        <v>67</v>
      </c>
      <c r="I21" s="82">
        <v>206808.19672131148</v>
      </c>
      <c r="J21" s="77">
        <f t="shared" si="0"/>
        <v>252306</v>
      </c>
      <c r="K21" s="43">
        <f t="shared" si="1"/>
        <v>20680.819672131151</v>
      </c>
      <c r="L21" s="45">
        <f t="shared" si="2"/>
        <v>25230.600000000002</v>
      </c>
      <c r="M21" s="32"/>
      <c r="N21" s="32"/>
      <c r="O21" s="32"/>
      <c r="P21" s="32"/>
      <c r="Q21" s="40" t="s">
        <v>33</v>
      </c>
      <c r="R21" s="65"/>
    </row>
    <row r="22" spans="1:18" ht="32.25" customHeight="1" x14ac:dyDescent="0.2">
      <c r="A22" s="15">
        <v>14</v>
      </c>
      <c r="B22" s="40" t="s">
        <v>77</v>
      </c>
      <c r="C22" s="25" t="s">
        <v>19</v>
      </c>
      <c r="D22" s="25" t="s">
        <v>24</v>
      </c>
      <c r="E22" s="41">
        <v>0.1</v>
      </c>
      <c r="F22" s="33" t="s">
        <v>72</v>
      </c>
      <c r="G22" s="42">
        <v>46546</v>
      </c>
      <c r="H22" s="40" t="s">
        <v>84</v>
      </c>
      <c r="I22" s="82">
        <v>211082.78688524591</v>
      </c>
      <c r="J22" s="77">
        <f t="shared" si="0"/>
        <v>257521</v>
      </c>
      <c r="K22" s="43">
        <f t="shared" si="1"/>
        <v>21108.278688524591</v>
      </c>
      <c r="L22" s="45">
        <f t="shared" si="2"/>
        <v>25752.100000000002</v>
      </c>
      <c r="M22" s="32"/>
      <c r="N22" s="32"/>
      <c r="O22" s="32"/>
      <c r="P22" s="32"/>
      <c r="Q22" s="40" t="s">
        <v>68</v>
      </c>
      <c r="R22" s="65"/>
    </row>
    <row r="23" spans="1:18" ht="32.25" customHeight="1" x14ac:dyDescent="0.2">
      <c r="A23" s="15">
        <v>15</v>
      </c>
      <c r="B23" s="40" t="s">
        <v>50</v>
      </c>
      <c r="C23" s="25" t="s">
        <v>19</v>
      </c>
      <c r="D23" s="25" t="s">
        <v>24</v>
      </c>
      <c r="E23" s="41">
        <v>0.2</v>
      </c>
      <c r="F23" s="33" t="s">
        <v>72</v>
      </c>
      <c r="G23" s="42">
        <v>46478</v>
      </c>
      <c r="H23" s="40" t="s">
        <v>67</v>
      </c>
      <c r="I23" s="82">
        <v>206808.19672131148</v>
      </c>
      <c r="J23" s="77">
        <f t="shared" si="0"/>
        <v>252306</v>
      </c>
      <c r="K23" s="43">
        <f t="shared" si="1"/>
        <v>41361.639344262301</v>
      </c>
      <c r="L23" s="45">
        <f t="shared" si="2"/>
        <v>50461.200000000004</v>
      </c>
      <c r="M23" s="32"/>
      <c r="N23" s="32"/>
      <c r="O23" s="32"/>
      <c r="P23" s="32"/>
      <c r="Q23" s="40" t="s">
        <v>33</v>
      </c>
      <c r="R23" s="65"/>
    </row>
    <row r="24" spans="1:18" ht="32.25" customHeight="1" x14ac:dyDescent="0.2">
      <c r="A24" s="15">
        <v>16</v>
      </c>
      <c r="B24" s="40" t="s">
        <v>76</v>
      </c>
      <c r="C24" s="25" t="s">
        <v>19</v>
      </c>
      <c r="D24" s="25" t="s">
        <v>24</v>
      </c>
      <c r="E24" s="41">
        <v>0.1</v>
      </c>
      <c r="F24" s="33" t="s">
        <v>72</v>
      </c>
      <c r="G24" s="42">
        <v>46478</v>
      </c>
      <c r="H24" s="40" t="s">
        <v>83</v>
      </c>
      <c r="I24" s="82">
        <v>211082.78688524591</v>
      </c>
      <c r="J24" s="77">
        <f t="shared" si="0"/>
        <v>257521</v>
      </c>
      <c r="K24" s="43">
        <f t="shared" si="1"/>
        <v>21108.278688524591</v>
      </c>
      <c r="L24" s="45">
        <f t="shared" si="2"/>
        <v>25752.100000000002</v>
      </c>
      <c r="M24" s="32"/>
      <c r="N24" s="32"/>
      <c r="O24" s="32"/>
      <c r="P24" s="32"/>
      <c r="Q24" s="40" t="s">
        <v>33</v>
      </c>
      <c r="R24" s="65"/>
    </row>
    <row r="25" spans="1:18" ht="32.25" customHeight="1" x14ac:dyDescent="0.2">
      <c r="A25" s="15">
        <v>17</v>
      </c>
      <c r="B25" s="40" t="s">
        <v>41</v>
      </c>
      <c r="C25" s="25" t="s">
        <v>19</v>
      </c>
      <c r="D25" s="25" t="s">
        <v>24</v>
      </c>
      <c r="E25" s="41">
        <v>0.05</v>
      </c>
      <c r="F25" s="33" t="s">
        <v>72</v>
      </c>
      <c r="G25" s="42">
        <v>46478</v>
      </c>
      <c r="H25" s="40" t="s">
        <v>58</v>
      </c>
      <c r="I25" s="82">
        <v>292300</v>
      </c>
      <c r="J25" s="77">
        <f t="shared" si="0"/>
        <v>356606</v>
      </c>
      <c r="K25" s="43">
        <f t="shared" si="1"/>
        <v>14615</v>
      </c>
      <c r="L25" s="45">
        <f t="shared" si="2"/>
        <v>17830.3</v>
      </c>
      <c r="M25" s="32"/>
      <c r="N25" s="32"/>
      <c r="O25" s="32"/>
      <c r="P25" s="32"/>
      <c r="Q25" s="40" t="s">
        <v>33</v>
      </c>
      <c r="R25" s="65"/>
    </row>
    <row r="26" spans="1:18" ht="32.25" customHeight="1" x14ac:dyDescent="0.2">
      <c r="A26" s="15">
        <v>18</v>
      </c>
      <c r="B26" s="40" t="s">
        <v>38</v>
      </c>
      <c r="C26" s="25" t="s">
        <v>19</v>
      </c>
      <c r="D26" s="25" t="s">
        <v>24</v>
      </c>
      <c r="E26" s="41">
        <v>0.05</v>
      </c>
      <c r="F26" s="33" t="s">
        <v>72</v>
      </c>
      <c r="G26" s="42">
        <v>46478</v>
      </c>
      <c r="H26" s="40" t="s">
        <v>55</v>
      </c>
      <c r="I26" s="82">
        <v>292300</v>
      </c>
      <c r="J26" s="77">
        <f t="shared" si="0"/>
        <v>356606</v>
      </c>
      <c r="K26" s="43">
        <f t="shared" si="1"/>
        <v>14615</v>
      </c>
      <c r="L26" s="45">
        <f t="shared" si="2"/>
        <v>17830.3</v>
      </c>
      <c r="M26" s="32"/>
      <c r="N26" s="32"/>
      <c r="O26" s="32"/>
      <c r="P26" s="32"/>
      <c r="Q26" s="40" t="s">
        <v>33</v>
      </c>
      <c r="R26" s="65"/>
    </row>
    <row r="27" spans="1:18" ht="32.25" customHeight="1" x14ac:dyDescent="0.2">
      <c r="A27" s="15">
        <v>19</v>
      </c>
      <c r="B27" s="40" t="s">
        <v>36</v>
      </c>
      <c r="C27" s="25" t="s">
        <v>19</v>
      </c>
      <c r="D27" s="25" t="s">
        <v>24</v>
      </c>
      <c r="E27" s="41">
        <v>0.1</v>
      </c>
      <c r="F27" s="33" t="s">
        <v>72</v>
      </c>
      <c r="G27" s="42">
        <v>46466</v>
      </c>
      <c r="H27" s="40" t="s">
        <v>53</v>
      </c>
      <c r="I27" s="82">
        <v>193984.42622950822</v>
      </c>
      <c r="J27" s="77">
        <f t="shared" si="0"/>
        <v>236661.00000000003</v>
      </c>
      <c r="K27" s="43">
        <f t="shared" si="1"/>
        <v>19398.442622950821</v>
      </c>
      <c r="L27" s="45">
        <f t="shared" si="2"/>
        <v>23666.100000000002</v>
      </c>
      <c r="M27" s="32"/>
      <c r="N27" s="32"/>
      <c r="O27" s="32"/>
      <c r="P27" s="32"/>
      <c r="Q27" s="40" t="s">
        <v>33</v>
      </c>
      <c r="R27" s="65"/>
    </row>
    <row r="28" spans="1:18" ht="32.25" customHeight="1" x14ac:dyDescent="0.2">
      <c r="A28" s="15">
        <v>20</v>
      </c>
      <c r="B28" s="40" t="s">
        <v>37</v>
      </c>
      <c r="C28" s="25" t="s">
        <v>19</v>
      </c>
      <c r="D28" s="25" t="s">
        <v>24</v>
      </c>
      <c r="E28" s="41">
        <v>0.15</v>
      </c>
      <c r="F28" s="34" t="s">
        <v>73</v>
      </c>
      <c r="G28" s="42">
        <v>46631</v>
      </c>
      <c r="H28" s="40" t="s">
        <v>54</v>
      </c>
      <c r="I28" s="82">
        <v>189709.83606557376</v>
      </c>
      <c r="J28" s="77">
        <f t="shared" si="0"/>
        <v>231446</v>
      </c>
      <c r="K28" s="43">
        <f t="shared" si="1"/>
        <v>28456.475409836065</v>
      </c>
      <c r="L28" s="45">
        <f t="shared" si="2"/>
        <v>34716.9</v>
      </c>
      <c r="M28" s="32"/>
      <c r="N28" s="32"/>
      <c r="O28" s="32"/>
      <c r="P28" s="32"/>
      <c r="Q28" s="40" t="s">
        <v>68</v>
      </c>
      <c r="R28" s="65"/>
    </row>
    <row r="29" spans="1:18" ht="32.25" customHeight="1" x14ac:dyDescent="0.2">
      <c r="A29" s="15">
        <v>21</v>
      </c>
      <c r="B29" s="40" t="s">
        <v>37</v>
      </c>
      <c r="C29" s="25" t="s">
        <v>19</v>
      </c>
      <c r="D29" s="25" t="s">
        <v>24</v>
      </c>
      <c r="E29" s="41">
        <v>0.15</v>
      </c>
      <c r="F29" s="34" t="s">
        <v>73</v>
      </c>
      <c r="G29" s="42">
        <v>46631</v>
      </c>
      <c r="H29" s="40" t="s">
        <v>54</v>
      </c>
      <c r="I29" s="82">
        <v>189709.83606557376</v>
      </c>
      <c r="J29" s="77">
        <f t="shared" si="0"/>
        <v>231446</v>
      </c>
      <c r="K29" s="43">
        <f t="shared" si="1"/>
        <v>28456.475409836065</v>
      </c>
      <c r="L29" s="45">
        <f t="shared" si="2"/>
        <v>34716.9</v>
      </c>
      <c r="M29" s="32"/>
      <c r="N29" s="32"/>
      <c r="O29" s="32"/>
      <c r="P29" s="32"/>
      <c r="Q29" s="40" t="s">
        <v>68</v>
      </c>
      <c r="R29" s="65"/>
    </row>
    <row r="30" spans="1:18" ht="32.25" customHeight="1" x14ac:dyDescent="0.2">
      <c r="A30" s="15">
        <v>22</v>
      </c>
      <c r="B30" s="40" t="s">
        <v>78</v>
      </c>
      <c r="C30" s="25" t="s">
        <v>19</v>
      </c>
      <c r="D30" s="25" t="s">
        <v>24</v>
      </c>
      <c r="E30" s="41">
        <v>0.08</v>
      </c>
      <c r="F30" s="34" t="s">
        <v>73</v>
      </c>
      <c r="G30" s="42">
        <v>46509</v>
      </c>
      <c r="H30" s="40" t="s">
        <v>85</v>
      </c>
      <c r="I30" s="82">
        <v>211082.78688524591</v>
      </c>
      <c r="J30" s="77">
        <f t="shared" si="0"/>
        <v>257521</v>
      </c>
      <c r="K30" s="43">
        <f t="shared" si="1"/>
        <v>16886.622950819674</v>
      </c>
      <c r="L30" s="45">
        <f t="shared" si="2"/>
        <v>20601.68</v>
      </c>
      <c r="M30" s="32"/>
      <c r="N30" s="32"/>
      <c r="O30" s="32"/>
      <c r="P30" s="32"/>
      <c r="Q30" s="40" t="s">
        <v>68</v>
      </c>
      <c r="R30" s="65"/>
    </row>
    <row r="31" spans="1:18" ht="32.25" customHeight="1" x14ac:dyDescent="0.2">
      <c r="A31" s="15">
        <v>23</v>
      </c>
      <c r="B31" s="40" t="s">
        <v>37</v>
      </c>
      <c r="C31" s="25" t="s">
        <v>19</v>
      </c>
      <c r="D31" s="25" t="s">
        <v>24</v>
      </c>
      <c r="E31" s="41">
        <v>0.2</v>
      </c>
      <c r="F31" s="34" t="s">
        <v>73</v>
      </c>
      <c r="G31" s="42">
        <v>46509</v>
      </c>
      <c r="H31" s="40" t="s">
        <v>54</v>
      </c>
      <c r="I31" s="82">
        <v>189709.83606557376</v>
      </c>
      <c r="J31" s="77">
        <f t="shared" si="0"/>
        <v>231446</v>
      </c>
      <c r="K31" s="43">
        <f t="shared" si="1"/>
        <v>37941.967213114753</v>
      </c>
      <c r="L31" s="45">
        <f t="shared" si="2"/>
        <v>46289.2</v>
      </c>
      <c r="M31" s="32"/>
      <c r="N31" s="32"/>
      <c r="O31" s="32"/>
      <c r="P31" s="32"/>
      <c r="Q31" s="40" t="s">
        <v>68</v>
      </c>
      <c r="R31" s="65"/>
    </row>
    <row r="32" spans="1:18" ht="32.25" customHeight="1" x14ac:dyDescent="0.2">
      <c r="A32" s="15">
        <v>24</v>
      </c>
      <c r="B32" s="40" t="s">
        <v>37</v>
      </c>
      <c r="C32" s="25" t="s">
        <v>19</v>
      </c>
      <c r="D32" s="25" t="s">
        <v>24</v>
      </c>
      <c r="E32" s="41">
        <v>0.28000000000000003</v>
      </c>
      <c r="F32" s="34" t="s">
        <v>73</v>
      </c>
      <c r="G32" s="42">
        <v>46509</v>
      </c>
      <c r="H32" s="40" t="s">
        <v>54</v>
      </c>
      <c r="I32" s="82">
        <v>189709.83606557376</v>
      </c>
      <c r="J32" s="77">
        <f t="shared" si="0"/>
        <v>231446</v>
      </c>
      <c r="K32" s="43">
        <f t="shared" si="1"/>
        <v>53118.75409836066</v>
      </c>
      <c r="L32" s="45">
        <f t="shared" si="2"/>
        <v>64804.880000000005</v>
      </c>
      <c r="M32" s="32"/>
      <c r="N32" s="32"/>
      <c r="O32" s="32"/>
      <c r="P32" s="32"/>
      <c r="Q32" s="40" t="s">
        <v>68</v>
      </c>
      <c r="R32" s="65"/>
    </row>
    <row r="33" spans="1:18" ht="32.25" customHeight="1" x14ac:dyDescent="0.2">
      <c r="A33" s="15">
        <v>25</v>
      </c>
      <c r="B33" s="40" t="s">
        <v>78</v>
      </c>
      <c r="C33" s="25" t="s">
        <v>19</v>
      </c>
      <c r="D33" s="25" t="s">
        <v>24</v>
      </c>
      <c r="E33" s="41">
        <v>0.04</v>
      </c>
      <c r="F33" s="34" t="s">
        <v>73</v>
      </c>
      <c r="G33" s="42">
        <v>46509</v>
      </c>
      <c r="H33" s="40" t="s">
        <v>85</v>
      </c>
      <c r="I33" s="82">
        <v>211082.78688524591</v>
      </c>
      <c r="J33" s="77">
        <f t="shared" si="0"/>
        <v>257521</v>
      </c>
      <c r="K33" s="43">
        <f t="shared" si="1"/>
        <v>8443.3114754098369</v>
      </c>
      <c r="L33" s="45">
        <f t="shared" si="2"/>
        <v>10300.84</v>
      </c>
      <c r="M33" s="32"/>
      <c r="N33" s="32"/>
      <c r="O33" s="32"/>
      <c r="P33" s="32"/>
      <c r="Q33" s="40" t="s">
        <v>68</v>
      </c>
      <c r="R33" s="65"/>
    </row>
    <row r="34" spans="1:18" ht="32.25" customHeight="1" x14ac:dyDescent="0.2">
      <c r="A34" s="15">
        <v>26</v>
      </c>
      <c r="B34" s="40" t="s">
        <v>48</v>
      </c>
      <c r="C34" s="25" t="s">
        <v>19</v>
      </c>
      <c r="D34" s="25" t="s">
        <v>24</v>
      </c>
      <c r="E34" s="41">
        <v>0.1</v>
      </c>
      <c r="F34" s="35" t="s">
        <v>70</v>
      </c>
      <c r="G34" s="42">
        <v>46448</v>
      </c>
      <c r="H34" s="40" t="s">
        <v>65</v>
      </c>
      <c r="I34" s="82">
        <v>211082.78688524591</v>
      </c>
      <c r="J34" s="77">
        <f t="shared" si="0"/>
        <v>257521</v>
      </c>
      <c r="K34" s="43">
        <f t="shared" si="1"/>
        <v>21108.278688524591</v>
      </c>
      <c r="L34" s="45">
        <f t="shared" si="2"/>
        <v>25752.100000000002</v>
      </c>
      <c r="M34" s="32"/>
      <c r="N34" s="32"/>
      <c r="O34" s="32"/>
      <c r="P34" s="32"/>
      <c r="Q34" s="40" t="s">
        <v>68</v>
      </c>
      <c r="R34" s="65"/>
    </row>
    <row r="35" spans="1:18" ht="32.25" customHeight="1" x14ac:dyDescent="0.2">
      <c r="A35" s="15">
        <v>27</v>
      </c>
      <c r="B35" s="40" t="s">
        <v>42</v>
      </c>
      <c r="C35" s="25" t="s">
        <v>19</v>
      </c>
      <c r="D35" s="25" t="s">
        <v>24</v>
      </c>
      <c r="E35" s="41">
        <v>0.1</v>
      </c>
      <c r="F35" s="35" t="s">
        <v>70</v>
      </c>
      <c r="G35" s="42">
        <v>46448</v>
      </c>
      <c r="H35" s="40" t="s">
        <v>59</v>
      </c>
      <c r="I35" s="82">
        <v>255538.52459016393</v>
      </c>
      <c r="J35" s="77">
        <f t="shared" si="0"/>
        <v>311757</v>
      </c>
      <c r="K35" s="43">
        <f t="shared" si="1"/>
        <v>25553.852459016394</v>
      </c>
      <c r="L35" s="45">
        <f t="shared" si="2"/>
        <v>31175.7</v>
      </c>
      <c r="M35" s="32"/>
      <c r="N35" s="32"/>
      <c r="O35" s="32"/>
      <c r="P35" s="32"/>
      <c r="Q35" s="40" t="s">
        <v>68</v>
      </c>
      <c r="R35" s="65"/>
    </row>
    <row r="36" spans="1:18" ht="32.25" customHeight="1" x14ac:dyDescent="0.2">
      <c r="A36" s="15">
        <v>28</v>
      </c>
      <c r="B36" s="40" t="s">
        <v>48</v>
      </c>
      <c r="C36" s="25" t="s">
        <v>19</v>
      </c>
      <c r="D36" s="25" t="s">
        <v>24</v>
      </c>
      <c r="E36" s="41">
        <v>0.1</v>
      </c>
      <c r="F36" s="35" t="s">
        <v>70</v>
      </c>
      <c r="G36" s="42">
        <v>46509</v>
      </c>
      <c r="H36" s="40" t="s">
        <v>65</v>
      </c>
      <c r="I36" s="82">
        <v>211082.78688524591</v>
      </c>
      <c r="J36" s="77">
        <f t="shared" si="0"/>
        <v>257521</v>
      </c>
      <c r="K36" s="43">
        <f t="shared" si="1"/>
        <v>21108.278688524591</v>
      </c>
      <c r="L36" s="45">
        <f t="shared" si="2"/>
        <v>25752.100000000002</v>
      </c>
      <c r="M36" s="32"/>
      <c r="N36" s="32"/>
      <c r="O36" s="32"/>
      <c r="P36" s="32"/>
      <c r="Q36" s="40" t="s">
        <v>68</v>
      </c>
      <c r="R36" s="65"/>
    </row>
    <row r="37" spans="1:18" ht="32.25" customHeight="1" x14ac:dyDescent="0.2">
      <c r="A37" s="15">
        <v>29</v>
      </c>
      <c r="B37" s="40" t="s">
        <v>48</v>
      </c>
      <c r="C37" s="25" t="s">
        <v>19</v>
      </c>
      <c r="D37" s="25" t="s">
        <v>24</v>
      </c>
      <c r="E37" s="41">
        <v>0.1</v>
      </c>
      <c r="F37" s="35" t="s">
        <v>70</v>
      </c>
      <c r="G37" s="42">
        <v>46478</v>
      </c>
      <c r="H37" s="40" t="s">
        <v>65</v>
      </c>
      <c r="I37" s="82">
        <v>211082.78688524591</v>
      </c>
      <c r="J37" s="77">
        <f t="shared" si="0"/>
        <v>257521</v>
      </c>
      <c r="K37" s="43">
        <f t="shared" si="1"/>
        <v>21108.278688524591</v>
      </c>
      <c r="L37" s="45">
        <f t="shared" si="2"/>
        <v>25752.100000000002</v>
      </c>
      <c r="M37" s="32"/>
      <c r="N37" s="32"/>
      <c r="O37" s="32"/>
      <c r="P37" s="32"/>
      <c r="Q37" s="40" t="s">
        <v>68</v>
      </c>
      <c r="R37" s="65"/>
    </row>
    <row r="38" spans="1:18" ht="32.25" customHeight="1" x14ac:dyDescent="0.2">
      <c r="A38" s="15">
        <v>30</v>
      </c>
      <c r="B38" s="40" t="s">
        <v>42</v>
      </c>
      <c r="C38" s="25" t="s">
        <v>19</v>
      </c>
      <c r="D38" s="25" t="s">
        <v>24</v>
      </c>
      <c r="E38" s="41">
        <v>0.1</v>
      </c>
      <c r="F38" s="35" t="s">
        <v>70</v>
      </c>
      <c r="G38" s="42">
        <v>46478</v>
      </c>
      <c r="H38" s="40" t="s">
        <v>59</v>
      </c>
      <c r="I38" s="82">
        <v>255538.52459016393</v>
      </c>
      <c r="J38" s="77">
        <f t="shared" si="0"/>
        <v>311757</v>
      </c>
      <c r="K38" s="43">
        <f t="shared" si="1"/>
        <v>25553.852459016394</v>
      </c>
      <c r="L38" s="45">
        <f t="shared" si="2"/>
        <v>31175.7</v>
      </c>
      <c r="M38" s="32"/>
      <c r="N38" s="32"/>
      <c r="O38" s="32"/>
      <c r="P38" s="32"/>
      <c r="Q38" s="40" t="s">
        <v>68</v>
      </c>
      <c r="R38" s="65"/>
    </row>
    <row r="39" spans="1:18" ht="32.25" customHeight="1" x14ac:dyDescent="0.2">
      <c r="A39" s="15">
        <v>31</v>
      </c>
      <c r="B39" s="40" t="s">
        <v>46</v>
      </c>
      <c r="C39" s="25" t="s">
        <v>19</v>
      </c>
      <c r="D39" s="25" t="s">
        <v>24</v>
      </c>
      <c r="E39" s="41">
        <v>0.1</v>
      </c>
      <c r="F39" s="34" t="s">
        <v>82</v>
      </c>
      <c r="G39" s="42">
        <v>46570</v>
      </c>
      <c r="H39" s="40" t="s">
        <v>63</v>
      </c>
      <c r="I39" s="82">
        <v>211082.78688524591</v>
      </c>
      <c r="J39" s="77">
        <f t="shared" si="0"/>
        <v>257521</v>
      </c>
      <c r="K39" s="43">
        <f t="shared" si="1"/>
        <v>21108.278688524591</v>
      </c>
      <c r="L39" s="45">
        <f t="shared" si="2"/>
        <v>25752.100000000002</v>
      </c>
      <c r="M39" s="32"/>
      <c r="N39" s="32"/>
      <c r="O39" s="32"/>
      <c r="P39" s="32"/>
      <c r="Q39" s="40" t="s">
        <v>33</v>
      </c>
      <c r="R39" s="65"/>
    </row>
    <row r="40" spans="1:18" ht="32.25" customHeight="1" x14ac:dyDescent="0.2">
      <c r="A40" s="15">
        <v>32</v>
      </c>
      <c r="B40" s="40" t="s">
        <v>79</v>
      </c>
      <c r="C40" s="25" t="s">
        <v>19</v>
      </c>
      <c r="D40" s="25" t="s">
        <v>24</v>
      </c>
      <c r="E40" s="41">
        <v>4.2000000000000003E-2</v>
      </c>
      <c r="F40" s="34" t="s">
        <v>82</v>
      </c>
      <c r="G40" s="42">
        <v>46509</v>
      </c>
      <c r="H40" s="40" t="s">
        <v>86</v>
      </c>
      <c r="I40" s="82">
        <v>598360.65573770495</v>
      </c>
      <c r="J40" s="77">
        <f t="shared" si="0"/>
        <v>730000</v>
      </c>
      <c r="K40" s="43">
        <f t="shared" si="1"/>
        <v>25131.147540983609</v>
      </c>
      <c r="L40" s="45">
        <f t="shared" si="2"/>
        <v>30660.000000000004</v>
      </c>
      <c r="M40" s="32"/>
      <c r="N40" s="32"/>
      <c r="O40" s="32"/>
      <c r="P40" s="32"/>
      <c r="Q40" s="40" t="s">
        <v>33</v>
      </c>
      <c r="R40" s="65"/>
    </row>
    <row r="41" spans="1:18" ht="32.25" customHeight="1" x14ac:dyDescent="0.2">
      <c r="A41" s="15">
        <v>33</v>
      </c>
      <c r="B41" s="40" t="s">
        <v>79</v>
      </c>
      <c r="C41" s="25" t="s">
        <v>19</v>
      </c>
      <c r="D41" s="25" t="s">
        <v>24</v>
      </c>
      <c r="E41" s="41">
        <v>4.2000000000000003E-2</v>
      </c>
      <c r="F41" s="34" t="s">
        <v>82</v>
      </c>
      <c r="G41" s="42">
        <v>46601</v>
      </c>
      <c r="H41" s="40" t="s">
        <v>86</v>
      </c>
      <c r="I41" s="82">
        <v>598360.65573770495</v>
      </c>
      <c r="J41" s="77">
        <f t="shared" si="0"/>
        <v>730000</v>
      </c>
      <c r="K41" s="43">
        <f t="shared" si="1"/>
        <v>25131.147540983609</v>
      </c>
      <c r="L41" s="45">
        <f t="shared" si="2"/>
        <v>30660.000000000004</v>
      </c>
      <c r="M41" s="32"/>
      <c r="N41" s="32"/>
      <c r="O41" s="32"/>
      <c r="P41" s="32"/>
      <c r="Q41" s="40" t="s">
        <v>33</v>
      </c>
      <c r="R41" s="65"/>
    </row>
    <row r="42" spans="1:18" ht="32.25" customHeight="1" x14ac:dyDescent="0.2">
      <c r="A42" s="15">
        <v>34</v>
      </c>
      <c r="B42" s="40" t="s">
        <v>80</v>
      </c>
      <c r="C42" s="25" t="s">
        <v>19</v>
      </c>
      <c r="D42" s="25" t="s">
        <v>24</v>
      </c>
      <c r="E42" s="41">
        <v>3</v>
      </c>
      <c r="F42" s="34" t="s">
        <v>74</v>
      </c>
      <c r="G42" s="42">
        <v>46417</v>
      </c>
      <c r="H42" s="40" t="s">
        <v>87</v>
      </c>
      <c r="I42" s="82">
        <v>189709.83606557376</v>
      </c>
      <c r="J42" s="77">
        <f t="shared" si="0"/>
        <v>231446</v>
      </c>
      <c r="K42" s="43">
        <f t="shared" si="1"/>
        <v>569129.50819672132</v>
      </c>
      <c r="L42" s="45">
        <f t="shared" si="2"/>
        <v>694338</v>
      </c>
      <c r="M42" s="32"/>
      <c r="N42" s="32"/>
      <c r="O42" s="32"/>
      <c r="P42" s="32"/>
      <c r="Q42" s="40" t="s">
        <v>33</v>
      </c>
      <c r="R42" s="65"/>
    </row>
    <row r="43" spans="1:18" ht="32.25" customHeight="1" x14ac:dyDescent="0.2">
      <c r="A43" s="15">
        <v>35</v>
      </c>
      <c r="B43" s="40" t="s">
        <v>79</v>
      </c>
      <c r="C43" s="25" t="s">
        <v>19</v>
      </c>
      <c r="D43" s="25" t="s">
        <v>24</v>
      </c>
      <c r="E43" s="41">
        <v>0.05</v>
      </c>
      <c r="F43" s="34" t="s">
        <v>74</v>
      </c>
      <c r="G43" s="42">
        <v>46389</v>
      </c>
      <c r="H43" s="40" t="s">
        <v>86</v>
      </c>
      <c r="I43" s="82">
        <v>598360.65573770495</v>
      </c>
      <c r="J43" s="77">
        <f t="shared" si="0"/>
        <v>730000</v>
      </c>
      <c r="K43" s="43">
        <f t="shared" si="1"/>
        <v>29918.032786885247</v>
      </c>
      <c r="L43" s="45">
        <f t="shared" si="2"/>
        <v>36500</v>
      </c>
      <c r="M43" s="32"/>
      <c r="N43" s="32"/>
      <c r="O43" s="32"/>
      <c r="P43" s="32"/>
      <c r="Q43" s="40" t="s">
        <v>33</v>
      </c>
      <c r="R43" s="65"/>
    </row>
    <row r="44" spans="1:18" ht="32.25" customHeight="1" x14ac:dyDescent="0.2">
      <c r="A44" s="15">
        <v>36</v>
      </c>
      <c r="B44" s="40" t="s">
        <v>39</v>
      </c>
      <c r="C44" s="25" t="s">
        <v>19</v>
      </c>
      <c r="D44" s="25" t="s">
        <v>24</v>
      </c>
      <c r="E44" s="41">
        <v>0.1</v>
      </c>
      <c r="F44" s="34" t="s">
        <v>74</v>
      </c>
      <c r="G44" s="42">
        <v>46570</v>
      </c>
      <c r="H44" s="40" t="s">
        <v>56</v>
      </c>
      <c r="I44" s="82">
        <v>292300</v>
      </c>
      <c r="J44" s="77">
        <f t="shared" si="0"/>
        <v>356606</v>
      </c>
      <c r="K44" s="43">
        <f t="shared" si="1"/>
        <v>29230</v>
      </c>
      <c r="L44" s="45">
        <f t="shared" si="2"/>
        <v>35660.6</v>
      </c>
      <c r="M44" s="32"/>
      <c r="N44" s="32"/>
      <c r="O44" s="32"/>
      <c r="P44" s="32"/>
      <c r="Q44" s="40" t="s">
        <v>33</v>
      </c>
      <c r="R44" s="65"/>
    </row>
    <row r="45" spans="1:18" ht="32.25" customHeight="1" x14ac:dyDescent="0.2">
      <c r="A45" s="15">
        <v>37</v>
      </c>
      <c r="B45" s="40" t="s">
        <v>40</v>
      </c>
      <c r="C45" s="25" t="s">
        <v>19</v>
      </c>
      <c r="D45" s="25" t="s">
        <v>24</v>
      </c>
      <c r="E45" s="41">
        <v>0.1</v>
      </c>
      <c r="F45" s="34" t="s">
        <v>74</v>
      </c>
      <c r="G45" s="42">
        <v>46570</v>
      </c>
      <c r="H45" s="40" t="s">
        <v>57</v>
      </c>
      <c r="I45" s="82">
        <v>478672.13114754099</v>
      </c>
      <c r="J45" s="77">
        <f t="shared" si="0"/>
        <v>583980</v>
      </c>
      <c r="K45" s="43">
        <f t="shared" si="1"/>
        <v>47867.2131147541</v>
      </c>
      <c r="L45" s="45">
        <f t="shared" si="2"/>
        <v>58398</v>
      </c>
      <c r="M45" s="32"/>
      <c r="N45" s="32"/>
      <c r="O45" s="32"/>
      <c r="P45" s="32"/>
      <c r="Q45" s="40" t="s">
        <v>33</v>
      </c>
      <c r="R45" s="65"/>
    </row>
    <row r="46" spans="1:18" ht="32.25" customHeight="1" x14ac:dyDescent="0.2">
      <c r="A46" s="15">
        <v>38</v>
      </c>
      <c r="B46" s="40" t="s">
        <v>44</v>
      </c>
      <c r="C46" s="25" t="s">
        <v>19</v>
      </c>
      <c r="D46" s="25" t="s">
        <v>24</v>
      </c>
      <c r="E46" s="41">
        <v>2E-3</v>
      </c>
      <c r="F46" s="34" t="s">
        <v>74</v>
      </c>
      <c r="G46" s="42">
        <v>46570</v>
      </c>
      <c r="H46" s="40" t="s">
        <v>61</v>
      </c>
      <c r="I46" s="82">
        <v>393180.33606557379</v>
      </c>
      <c r="J46" s="77">
        <f t="shared" si="0"/>
        <v>479680.01</v>
      </c>
      <c r="K46" s="43">
        <f t="shared" si="1"/>
        <v>786.36067213114757</v>
      </c>
      <c r="L46" s="45">
        <f t="shared" si="2"/>
        <v>959.36001999999996</v>
      </c>
      <c r="M46" s="32"/>
      <c r="N46" s="32"/>
      <c r="O46" s="32"/>
      <c r="P46" s="32"/>
      <c r="Q46" s="40" t="s">
        <v>33</v>
      </c>
      <c r="R46" s="65"/>
    </row>
    <row r="47" spans="1:18" ht="32.25" customHeight="1" x14ac:dyDescent="0.2">
      <c r="A47" s="15">
        <v>39</v>
      </c>
      <c r="B47" s="40" t="s">
        <v>76</v>
      </c>
      <c r="C47" s="25" t="s">
        <v>19</v>
      </c>
      <c r="D47" s="25" t="s">
        <v>24</v>
      </c>
      <c r="E47" s="41">
        <v>0.1</v>
      </c>
      <c r="F47" s="34" t="s">
        <v>74</v>
      </c>
      <c r="G47" s="42">
        <v>46570</v>
      </c>
      <c r="H47" s="40" t="s">
        <v>83</v>
      </c>
      <c r="I47" s="82">
        <v>211082.78688524591</v>
      </c>
      <c r="J47" s="77">
        <f t="shared" si="0"/>
        <v>257521</v>
      </c>
      <c r="K47" s="43">
        <f t="shared" si="1"/>
        <v>21108.278688524591</v>
      </c>
      <c r="L47" s="45">
        <f t="shared" si="2"/>
        <v>25752.100000000002</v>
      </c>
      <c r="M47" s="32"/>
      <c r="N47" s="32"/>
      <c r="O47" s="32"/>
      <c r="P47" s="32"/>
      <c r="Q47" s="40" t="s">
        <v>33</v>
      </c>
      <c r="R47" s="65"/>
    </row>
    <row r="48" spans="1:18" ht="32.25" customHeight="1" x14ac:dyDescent="0.2">
      <c r="A48" s="15">
        <v>40</v>
      </c>
      <c r="B48" s="40" t="s">
        <v>46</v>
      </c>
      <c r="C48" s="25" t="s">
        <v>19</v>
      </c>
      <c r="D48" s="25" t="s">
        <v>24</v>
      </c>
      <c r="E48" s="41">
        <v>0.1</v>
      </c>
      <c r="F48" s="34" t="s">
        <v>74</v>
      </c>
      <c r="G48" s="42">
        <v>46570</v>
      </c>
      <c r="H48" s="40" t="s">
        <v>63</v>
      </c>
      <c r="I48" s="82">
        <v>211082.78688524591</v>
      </c>
      <c r="J48" s="77">
        <f t="shared" si="0"/>
        <v>257521</v>
      </c>
      <c r="K48" s="43">
        <f t="shared" si="1"/>
        <v>21108.278688524591</v>
      </c>
      <c r="L48" s="45">
        <f t="shared" si="2"/>
        <v>25752.100000000002</v>
      </c>
      <c r="M48" s="32"/>
      <c r="N48" s="32"/>
      <c r="O48" s="32"/>
      <c r="P48" s="32"/>
      <c r="Q48" s="40" t="s">
        <v>33</v>
      </c>
      <c r="R48" s="65"/>
    </row>
    <row r="49" spans="1:18" ht="32.25" customHeight="1" x14ac:dyDescent="0.2">
      <c r="A49" s="15">
        <v>41</v>
      </c>
      <c r="B49" s="40" t="s">
        <v>81</v>
      </c>
      <c r="C49" s="25" t="s">
        <v>19</v>
      </c>
      <c r="D49" s="25" t="s">
        <v>24</v>
      </c>
      <c r="E49" s="41">
        <v>0.1</v>
      </c>
      <c r="F49" s="34" t="s">
        <v>74</v>
      </c>
      <c r="G49" s="42">
        <v>46570</v>
      </c>
      <c r="H49" s="40" t="s">
        <v>88</v>
      </c>
      <c r="I49" s="82">
        <v>393180.33606557379</v>
      </c>
      <c r="J49" s="77">
        <f t="shared" si="0"/>
        <v>479680.01</v>
      </c>
      <c r="K49" s="43">
        <f t="shared" si="1"/>
        <v>39318.033606557379</v>
      </c>
      <c r="L49" s="45">
        <f t="shared" si="2"/>
        <v>47968.001000000004</v>
      </c>
      <c r="M49" s="32"/>
      <c r="N49" s="32"/>
      <c r="O49" s="32"/>
      <c r="P49" s="32"/>
      <c r="Q49" s="40" t="s">
        <v>33</v>
      </c>
      <c r="R49" s="65"/>
    </row>
    <row r="50" spans="1:18" ht="32.25" customHeight="1" x14ac:dyDescent="0.2">
      <c r="A50" s="15">
        <v>42</v>
      </c>
      <c r="B50" s="40" t="s">
        <v>47</v>
      </c>
      <c r="C50" s="25" t="s">
        <v>19</v>
      </c>
      <c r="D50" s="25" t="s">
        <v>24</v>
      </c>
      <c r="E50" s="41">
        <v>0.2</v>
      </c>
      <c r="F50" s="34" t="s">
        <v>74</v>
      </c>
      <c r="G50" s="42">
        <v>46570</v>
      </c>
      <c r="H50" s="40" t="s">
        <v>64</v>
      </c>
      <c r="I50" s="82">
        <v>211082.78688524591</v>
      </c>
      <c r="J50" s="77">
        <f t="shared" si="0"/>
        <v>257521</v>
      </c>
      <c r="K50" s="43">
        <f t="shared" si="1"/>
        <v>42216.557377049183</v>
      </c>
      <c r="L50" s="45">
        <f t="shared" si="2"/>
        <v>51504.200000000004</v>
      </c>
      <c r="M50" s="32"/>
      <c r="N50" s="32"/>
      <c r="O50" s="32"/>
      <c r="P50" s="32"/>
      <c r="Q50" s="40" t="s">
        <v>33</v>
      </c>
      <c r="R50" s="65"/>
    </row>
    <row r="51" spans="1:18" ht="32.25" customHeight="1" x14ac:dyDescent="0.2">
      <c r="A51" s="15">
        <v>43</v>
      </c>
      <c r="B51" s="40" t="s">
        <v>46</v>
      </c>
      <c r="C51" s="25" t="s">
        <v>19</v>
      </c>
      <c r="D51" s="25" t="s">
        <v>24</v>
      </c>
      <c r="E51" s="41">
        <v>0.24</v>
      </c>
      <c r="F51" s="34" t="s">
        <v>71</v>
      </c>
      <c r="G51" s="42">
        <v>46448</v>
      </c>
      <c r="H51" s="40" t="s">
        <v>63</v>
      </c>
      <c r="I51" s="82">
        <v>211082.78688524591</v>
      </c>
      <c r="J51" s="77">
        <f t="shared" si="0"/>
        <v>257521</v>
      </c>
      <c r="K51" s="43">
        <f t="shared" si="1"/>
        <v>50659.868852459018</v>
      </c>
      <c r="L51" s="45">
        <f t="shared" si="2"/>
        <v>61805.04</v>
      </c>
      <c r="M51" s="32"/>
      <c r="N51" s="32"/>
      <c r="O51" s="32"/>
      <c r="P51" s="32"/>
      <c r="Q51" s="40" t="s">
        <v>33</v>
      </c>
      <c r="R51" s="65"/>
    </row>
    <row r="52" spans="1:18" s="16" customFormat="1" ht="22.5" customHeight="1" x14ac:dyDescent="0.2">
      <c r="A52" s="8"/>
      <c r="B52" s="8"/>
      <c r="C52" s="27" t="s">
        <v>20</v>
      </c>
      <c r="D52" s="27" t="s">
        <v>21</v>
      </c>
      <c r="E52" s="36">
        <f>SUM(E9:E51)</f>
        <v>8.4639999999999969</v>
      </c>
      <c r="F52" s="26"/>
      <c r="G52" s="26"/>
      <c r="H52" s="26" t="s">
        <v>25</v>
      </c>
      <c r="I52" s="28"/>
      <c r="J52" s="79"/>
      <c r="K52" s="30">
        <v>1843631.13</v>
      </c>
      <c r="L52" s="29">
        <f>K52*1.22</f>
        <v>2249229.9786</v>
      </c>
      <c r="M52" s="44"/>
      <c r="N52" s="44" t="s">
        <v>27</v>
      </c>
      <c r="O52" s="44"/>
      <c r="P52" s="44"/>
      <c r="Q52" s="18"/>
      <c r="R52" s="8"/>
    </row>
    <row r="53" spans="1:18" s="16" customFormat="1" ht="25.5" customHeight="1" x14ac:dyDescent="0.2">
      <c r="A53" s="23"/>
      <c r="B53" s="23"/>
      <c r="C53" s="23"/>
      <c r="D53" s="23"/>
      <c r="E53" s="21"/>
      <c r="F53" s="13"/>
      <c r="G53" s="21"/>
      <c r="H53" s="9"/>
      <c r="I53" s="57" t="s">
        <v>23</v>
      </c>
      <c r="J53" s="57"/>
      <c r="K53" s="57"/>
      <c r="L53" s="23"/>
      <c r="M53" s="21"/>
      <c r="N53" s="21"/>
      <c r="O53" s="21"/>
      <c r="P53" s="21"/>
      <c r="Q53" s="21"/>
      <c r="R53" s="21"/>
    </row>
    <row r="54" spans="1:18" s="16" customFormat="1" ht="19.5" customHeight="1" x14ac:dyDescent="0.25">
      <c r="A54" s="17" t="s">
        <v>0</v>
      </c>
      <c r="B54" s="58" t="s">
        <v>7</v>
      </c>
      <c r="C54" s="58"/>
      <c r="D54" s="59" t="s">
        <v>8</v>
      </c>
      <c r="E54" s="59"/>
      <c r="F54" s="60"/>
      <c r="G54" s="59"/>
      <c r="H54" s="59"/>
      <c r="I54" s="59"/>
      <c r="J54" s="59"/>
      <c r="K54" s="55"/>
      <c r="L54" s="56"/>
      <c r="M54" s="20"/>
      <c r="N54" s="20"/>
      <c r="O54" s="20"/>
      <c r="P54" s="20"/>
      <c r="Q54" s="20"/>
      <c r="R54" s="21"/>
    </row>
    <row r="55" spans="1:18" s="16" customFormat="1" ht="188.25" customHeight="1" x14ac:dyDescent="0.25">
      <c r="A55" s="8">
        <v>1</v>
      </c>
      <c r="B55" s="61" t="s">
        <v>9</v>
      </c>
      <c r="C55" s="61"/>
      <c r="D55" s="62" t="s">
        <v>75</v>
      </c>
      <c r="E55" s="62"/>
      <c r="F55" s="62"/>
      <c r="G55" s="62"/>
      <c r="H55" s="62"/>
      <c r="I55" s="62"/>
      <c r="J55" s="62"/>
      <c r="K55" s="63"/>
      <c r="L55" s="64"/>
      <c r="M55" s="20"/>
      <c r="N55" s="20"/>
      <c r="O55" s="20"/>
      <c r="P55" s="20"/>
      <c r="Q55" s="20"/>
      <c r="R55" s="21"/>
    </row>
    <row r="56" spans="1:18" ht="156" customHeight="1" x14ac:dyDescent="0.25">
      <c r="A56" s="8">
        <v>2</v>
      </c>
      <c r="B56" s="68" t="s">
        <v>10</v>
      </c>
      <c r="C56" s="70"/>
      <c r="D56" s="71" t="s">
        <v>96</v>
      </c>
      <c r="E56" s="72"/>
      <c r="F56" s="72"/>
      <c r="G56" s="72"/>
      <c r="H56" s="72"/>
      <c r="I56" s="72"/>
      <c r="J56" s="72"/>
      <c r="K56" s="72"/>
      <c r="L56" s="73"/>
      <c r="M56" s="20"/>
      <c r="N56" s="20"/>
      <c r="O56" s="20"/>
      <c r="P56" s="20"/>
      <c r="Q56" s="20"/>
    </row>
    <row r="57" spans="1:18" ht="84.75" customHeight="1" x14ac:dyDescent="0.25">
      <c r="A57" s="8">
        <v>3</v>
      </c>
      <c r="B57" s="68" t="s">
        <v>11</v>
      </c>
      <c r="C57" s="70"/>
      <c r="D57" s="62" t="s">
        <v>28</v>
      </c>
      <c r="E57" s="62"/>
      <c r="F57" s="62"/>
      <c r="G57" s="62"/>
      <c r="H57" s="62"/>
      <c r="I57" s="62"/>
      <c r="J57" s="62"/>
      <c r="K57" s="55"/>
      <c r="L57" s="56"/>
      <c r="M57" s="20"/>
      <c r="N57" s="20"/>
      <c r="O57" s="20"/>
      <c r="P57" s="20"/>
      <c r="Q57" s="20"/>
    </row>
    <row r="58" spans="1:18" ht="24.75" customHeight="1" x14ac:dyDescent="0.25">
      <c r="A58" s="8">
        <v>4</v>
      </c>
      <c r="B58" s="68" t="s">
        <v>97</v>
      </c>
      <c r="C58" s="70"/>
      <c r="D58" s="54" t="s">
        <v>98</v>
      </c>
      <c r="E58" s="54"/>
      <c r="F58" s="54"/>
      <c r="G58" s="54"/>
      <c r="H58" s="54"/>
      <c r="I58" s="54"/>
      <c r="J58" s="54"/>
      <c r="K58" s="55"/>
      <c r="L58" s="56"/>
      <c r="M58" s="20"/>
      <c r="N58" s="20"/>
      <c r="O58" s="20"/>
      <c r="P58" s="20"/>
      <c r="Q58" s="20"/>
    </row>
    <row r="59" spans="1:18" ht="174.75" customHeight="1" x14ac:dyDescent="0.25">
      <c r="A59" s="8">
        <v>5</v>
      </c>
      <c r="B59" s="61" t="s">
        <v>12</v>
      </c>
      <c r="C59" s="61"/>
      <c r="D59" s="62" t="s">
        <v>89</v>
      </c>
      <c r="E59" s="62"/>
      <c r="F59" s="62"/>
      <c r="G59" s="62"/>
      <c r="H59" s="62"/>
      <c r="I59" s="62"/>
      <c r="J59" s="62"/>
      <c r="K59" s="66"/>
      <c r="L59" s="67"/>
      <c r="M59" s="20"/>
      <c r="N59" s="20"/>
      <c r="O59" s="20"/>
      <c r="P59" s="20"/>
      <c r="Q59" s="20"/>
    </row>
    <row r="60" spans="1:18" ht="158.25" customHeight="1" x14ac:dyDescent="0.25">
      <c r="A60" s="31">
        <v>6</v>
      </c>
      <c r="B60" s="68" t="s">
        <v>18</v>
      </c>
      <c r="C60" s="69"/>
      <c r="D60" s="62" t="s">
        <v>90</v>
      </c>
      <c r="E60" s="62"/>
      <c r="F60" s="62"/>
      <c r="G60" s="62"/>
      <c r="H60" s="62"/>
      <c r="I60" s="62"/>
      <c r="J60" s="62"/>
      <c r="K60" s="62"/>
      <c r="L60" s="64"/>
      <c r="M60" s="20"/>
      <c r="N60" s="20"/>
      <c r="O60" s="20"/>
      <c r="P60" s="20"/>
      <c r="Q60" s="20"/>
    </row>
    <row r="61" spans="1:18" x14ac:dyDescent="0.2">
      <c r="B61" s="10"/>
      <c r="C61" s="10"/>
      <c r="D61" s="10"/>
      <c r="E61" s="11"/>
      <c r="F61" s="14"/>
      <c r="I61" s="84"/>
      <c r="J61" s="84"/>
    </row>
    <row r="62" spans="1:18" x14ac:dyDescent="0.2">
      <c r="I62" s="83"/>
      <c r="J62" s="83"/>
    </row>
    <row r="63" spans="1:18" x14ac:dyDescent="0.2">
      <c r="I63" s="83"/>
      <c r="J63" s="83"/>
    </row>
    <row r="64" spans="1:18" x14ac:dyDescent="0.2">
      <c r="I64" s="83"/>
      <c r="J64" s="83"/>
    </row>
    <row r="65" spans="9:10" x14ac:dyDescent="0.2">
      <c r="I65" s="80"/>
      <c r="J65" s="75"/>
    </row>
  </sheetData>
  <autoFilter ref="A8:R52">
    <sortState ref="A20:M205">
      <sortCondition ref="F7:F256"/>
    </sortState>
  </autoFilter>
  <mergeCells count="22">
    <mergeCell ref="L1:S1"/>
    <mergeCell ref="R9:R51"/>
    <mergeCell ref="B59:C59"/>
    <mergeCell ref="D59:L59"/>
    <mergeCell ref="B60:C60"/>
    <mergeCell ref="D60:L60"/>
    <mergeCell ref="B56:C56"/>
    <mergeCell ref="D56:L56"/>
    <mergeCell ref="B57:C57"/>
    <mergeCell ref="D57:L57"/>
    <mergeCell ref="B58:C58"/>
    <mergeCell ref="D58:L58"/>
    <mergeCell ref="I53:K53"/>
    <mergeCell ref="B54:C54"/>
    <mergeCell ref="D54:L54"/>
    <mergeCell ref="B55:C55"/>
    <mergeCell ref="D55:L55"/>
    <mergeCell ref="A2:L2"/>
    <mergeCell ref="A3:L3"/>
    <mergeCell ref="A4:L4"/>
    <mergeCell ref="A6:F6"/>
    <mergeCell ref="K7:L7"/>
  </mergeCells>
  <pageMargins left="0.25" right="0.25" top="0.75" bottom="0.75" header="0.3" footer="0.3"/>
  <pageSetup paperSize="9" scale="59" fitToHeight="0" orientation="landscape" r:id="rId1"/>
  <headerFooter>
    <oddFooter>&amp;CСтраница  &amp;P из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9368279</vt:lpstr>
      <vt:lpstr>'9368279'!Область_печати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plusnin_ip</dc:creator>
  <cp:lastModifiedBy>Администратор</cp:lastModifiedBy>
  <cp:lastPrinted>2025-09-11T09:57:37Z</cp:lastPrinted>
  <dcterms:created xsi:type="dcterms:W3CDTF">2011-03-24T09:14:27Z</dcterms:created>
  <dcterms:modified xsi:type="dcterms:W3CDTF">2026-09-21T05:00:39Z</dcterms:modified>
</cp:coreProperties>
</file>