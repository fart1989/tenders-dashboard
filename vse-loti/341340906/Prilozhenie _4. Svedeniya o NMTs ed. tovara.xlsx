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O:\PRM\AD01\Departments\UZIL\ОТдел ТНМО\2026 ЗАКУПКИ\10. Октябрь\06.10 - 109-27 ОЗП (В2В) Котловые трубы (Цветкова)\05. Документация ОЗП 94-27\"/>
    </mc:Choice>
  </mc:AlternateContent>
  <bookViews>
    <workbookView xWindow="120" yWindow="75" windowWidth="19020" windowHeight="4335"/>
  </bookViews>
  <sheets>
    <sheet name="9368279" sheetId="2" r:id="rId1"/>
    <sheet name="9368181" sheetId="3" r:id="rId2"/>
  </sheets>
  <definedNames>
    <definedName name="_xlnm._FilterDatabase" localSheetId="0" hidden="1">'9368279'!$A$3:$L$47</definedName>
    <definedName name="_xlnm.Print_Area" localSheetId="1">'9368181'!$A$1:$H$5</definedName>
    <definedName name="_xlnm.Print_Area" localSheetId="0">'9368279'!$A$1:$L$47</definedName>
  </definedNames>
  <calcPr calcId="162913"/>
</workbook>
</file>

<file path=xl/calcChain.xml><?xml version="1.0" encoding="utf-8"?>
<calcChain xmlns="http://schemas.openxmlformats.org/spreadsheetml/2006/main">
  <c r="G5" i="3" l="1"/>
  <c r="D5" i="3"/>
  <c r="F4" i="3"/>
  <c r="F5" i="2" l="1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" i="2"/>
  <c r="H47" i="2" l="1"/>
  <c r="G43" i="2"/>
  <c r="H43" i="2" s="1"/>
  <c r="G39" i="2"/>
  <c r="H39" i="2" s="1"/>
  <c r="G35" i="2"/>
  <c r="H35" i="2" s="1"/>
  <c r="G31" i="2"/>
  <c r="H31" i="2" s="1"/>
  <c r="G27" i="2"/>
  <c r="H27" i="2" s="1"/>
  <c r="G23" i="2"/>
  <c r="H23" i="2" s="1"/>
  <c r="G19" i="2"/>
  <c r="H19" i="2" s="1"/>
  <c r="G15" i="2"/>
  <c r="H15" i="2" s="1"/>
  <c r="G11" i="2"/>
  <c r="H11" i="2" s="1"/>
  <c r="G7" i="2"/>
  <c r="H7" i="2" s="1"/>
  <c r="G6" i="2"/>
  <c r="H6" i="2" s="1"/>
  <c r="G5" i="2"/>
  <c r="H5" i="2" s="1"/>
  <c r="G8" i="2"/>
  <c r="H8" i="2" s="1"/>
  <c r="G9" i="2"/>
  <c r="H9" i="2" s="1"/>
  <c r="G10" i="2"/>
  <c r="H10" i="2" s="1"/>
  <c r="G12" i="2"/>
  <c r="H12" i="2" s="1"/>
  <c r="G13" i="2"/>
  <c r="H13" i="2" s="1"/>
  <c r="G14" i="2"/>
  <c r="H14" i="2" s="1"/>
  <c r="G16" i="2"/>
  <c r="H16" i="2" s="1"/>
  <c r="G17" i="2"/>
  <c r="H17" i="2" s="1"/>
  <c r="G18" i="2"/>
  <c r="H18" i="2" s="1"/>
  <c r="G20" i="2"/>
  <c r="H20" i="2" s="1"/>
  <c r="G21" i="2"/>
  <c r="H21" i="2" s="1"/>
  <c r="G22" i="2"/>
  <c r="H22" i="2" s="1"/>
  <c r="G24" i="2"/>
  <c r="H24" i="2" s="1"/>
  <c r="G25" i="2"/>
  <c r="H25" i="2" s="1"/>
  <c r="G26" i="2"/>
  <c r="H26" i="2" s="1"/>
  <c r="G28" i="2"/>
  <c r="H28" i="2" s="1"/>
  <c r="G29" i="2"/>
  <c r="H29" i="2" s="1"/>
  <c r="G30" i="2"/>
  <c r="H30" i="2" s="1"/>
  <c r="G32" i="2"/>
  <c r="H32" i="2" s="1"/>
  <c r="G33" i="2"/>
  <c r="H33" i="2" s="1"/>
  <c r="G34" i="2"/>
  <c r="H34" i="2" s="1"/>
  <c r="G36" i="2"/>
  <c r="H36" i="2" s="1"/>
  <c r="G37" i="2"/>
  <c r="H37" i="2" s="1"/>
  <c r="G38" i="2"/>
  <c r="H38" i="2" s="1"/>
  <c r="G40" i="2"/>
  <c r="H40" i="2" s="1"/>
  <c r="G41" i="2"/>
  <c r="H41" i="2" s="1"/>
  <c r="G42" i="2"/>
  <c r="H42" i="2" s="1"/>
  <c r="G44" i="2"/>
  <c r="H44" i="2" s="1"/>
  <c r="G45" i="2"/>
  <c r="H45" i="2" s="1"/>
  <c r="G46" i="2"/>
  <c r="H46" i="2" s="1"/>
  <c r="G4" i="2"/>
  <c r="H4" i="2" s="1"/>
  <c r="D47" i="2" l="1"/>
</calcChain>
</file>

<file path=xl/sharedStrings.xml><?xml version="1.0" encoding="utf-8"?>
<sst xmlns="http://schemas.openxmlformats.org/spreadsheetml/2006/main" count="116" uniqueCount="44">
  <si>
    <t>№ п/п</t>
  </si>
  <si>
    <t>Ед. изм.</t>
  </si>
  <si>
    <t>Кол-во</t>
  </si>
  <si>
    <t>Наименование продукции</t>
  </si>
  <si>
    <t>т</t>
  </si>
  <si>
    <t>Цена единицы, руб. без НДС</t>
  </si>
  <si>
    <t>Т</t>
  </si>
  <si>
    <t>Цена единицы, руб. с НДС</t>
  </si>
  <si>
    <t>13 889 700,00</t>
  </si>
  <si>
    <t>ТРУБА 102Х5 СТ20 ТУ14-3-190</t>
  </si>
  <si>
    <t>ТРУБА 108Х5 СТ20 ТУ14-3-190</t>
  </si>
  <si>
    <t>ТРУБА 108Х6 СТ20 ТУ14-3Р-55</t>
  </si>
  <si>
    <t>ТРУБА 168Х6 СТ20 ТУ14-3-190</t>
  </si>
  <si>
    <t>ТРУБА 28Х3 СТ20 ТУ14-3Р-55</t>
  </si>
  <si>
    <t>ТРУБА 28Х4 СТ20 ТУ14-3Р-55</t>
  </si>
  <si>
    <t>ТРУБА 28Х5 СТ12Х1МФ ТУ14-3Р-55</t>
  </si>
  <si>
    <t>ТРУБА 32Х3 СТ20 ТУ14-3Р-55</t>
  </si>
  <si>
    <t>ТРУБА 38Х3.5 СТ20 ТУ14-3-190</t>
  </si>
  <si>
    <t>ТРУБА 38Х4 СТ20 ТУ14-3-190</t>
  </si>
  <si>
    <t>ТРУБА 42Х5 СТ12Х1МФ ТУ14-3Р-55</t>
  </si>
  <si>
    <t>ТРУБА 51Х5 СТ20 ТУ14-3Р-55</t>
  </si>
  <si>
    <t>ТРУБА 60Х6 СТ20 ТУ14-3Р-55</t>
  </si>
  <si>
    <t>ТРУБА 76Х7.5 СТ20 ТУ14-3Р-55</t>
  </si>
  <si>
    <t>ТРУБА 83Х4 СТ20 ТУ14-3-190</t>
  </si>
  <si>
    <t>ТРУБА 83Х5 СТ20 ТУ14-3-190</t>
  </si>
  <si>
    <t>ТРУБА 89Х6 СТ20 ТУ14-3Р-55</t>
  </si>
  <si>
    <t>ТРУБА 60Х4 СТ20 ТУ14-3Р-55</t>
  </si>
  <si>
    <t>ТРУБА 83Х6 СТ20 ТУ14-3-190</t>
  </si>
  <si>
    <t>ТРУБА 60Х4 СТ20 ТУ14-3-190</t>
  </si>
  <si>
    <t>ТРУБА 16Х2.5 СТ12Х1МФ ТУ14-3Р-55</t>
  </si>
  <si>
    <t>ТРУБА 159Х5 20 ТУ14-3Р-55</t>
  </si>
  <si>
    <t>ТРУБА 60Х6 СТ12Х1МФ ТУ14-3Р-55</t>
  </si>
  <si>
    <t>Цена единицы, руб. с НДС 22%</t>
  </si>
  <si>
    <t>Стоимость, руб. без НДС</t>
  </si>
  <si>
    <t>Стоимость, руб. c НДС 22%</t>
  </si>
  <si>
    <t>Сведения о начальной (максимальной) цене единицы каждого товара, являющихся предметом закупки</t>
  </si>
  <si>
    <t>Приложение №4.1 к Документации ОЗП</t>
  </si>
  <si>
    <t>Сумма, руб. без НДС</t>
  </si>
  <si>
    <t>Завод</t>
  </si>
  <si>
    <t>наименование работ</t>
  </si>
  <si>
    <t>дата  поставки</t>
  </si>
  <si>
    <t>ТРУБА 219Х9 СТ20 ТУ14-3Р-55</t>
  </si>
  <si>
    <t>7U21</t>
  </si>
  <si>
    <t>Приложение №4.2 к Документации ОЗП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</si>
</sst>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\ _₽"/>
    <numFmt numFmtId="165" formatCode="_-* #,##0.000\ _₽_-;\-* #,##0.000\ _₽_-;_-* &quot;-&quot;???\ _₽_-;_-@_-"/>
    <numFmt numFmtId="166" formatCode="_-* #,##0.00\ _₽_-;\-* #,##0.00\ _₽_-;_-* &quot;-&quot;??\ _₽_-;_-@_-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b/>
      <sz val="10"/>
      <color theme="1"/>
      <name val="Tahoma"/>
      <family val="2"/>
      <charset val="204"/>
    </font>
    <font>
      <sz val="10"/>
      <color theme="1"/>
      <name val="Tahoma"/>
      <family val="2"/>
      <charset val="204"/>
    </font>
    <font>
      <sz val="10"/>
      <color rgb="FF000000"/>
      <name val="Tahoma"/>
      <family val="2"/>
      <charset val="204"/>
    </font>
    <font>
      <sz val="10"/>
      <name val="Arial"/>
      <family val="2"/>
      <charset val="204"/>
    </font>
    <font>
      <b/>
      <sz val="9"/>
      <color theme="1"/>
      <name val="Tahoma"/>
      <family val="2"/>
      <charset val="204"/>
    </font>
    <font>
      <sz val="9"/>
      <color theme="1"/>
      <name val="Tahoma"/>
      <family val="2"/>
      <charset val="204"/>
    </font>
    <font>
      <sz val="8"/>
      <color rgb="FF000000"/>
      <name val="Tahoma"/>
      <family val="2"/>
      <charset val="204"/>
    </font>
    <font>
      <sz val="9"/>
      <color rgb="FF000000"/>
      <name val="Tahoma"/>
      <family val="2"/>
      <charset val="204"/>
    </font>
    <font>
      <b/>
      <sz val="9"/>
      <color indexed="8"/>
      <name val="Tahoma"/>
      <family val="2"/>
      <charset val="204"/>
    </font>
    <font>
      <b/>
      <sz val="9"/>
      <color rgb="FF000000"/>
      <name val="Tahoma"/>
      <family val="2"/>
      <charset val="204"/>
    </font>
    <font>
      <sz val="10"/>
      <color theme="1"/>
      <name val="Times New Roman"/>
      <family val="1"/>
      <charset val="204"/>
    </font>
    <font>
      <i/>
      <sz val="10"/>
      <color theme="1"/>
      <name val="Tahoma"/>
      <family val="2"/>
      <charset val="204"/>
    </font>
    <font>
      <sz val="10"/>
      <color indexed="8"/>
      <name val="Arial"/>
    </font>
    <font>
      <sz val="9"/>
      <color indexed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4">
    <xf numFmtId="0" fontId="0" fillId="0" borderId="0"/>
    <xf numFmtId="0" fontId="1" fillId="0" borderId="0"/>
    <xf numFmtId="0" fontId="5" fillId="0" borderId="0"/>
    <xf numFmtId="0" fontId="7" fillId="0" borderId="1" applyFill="0">
      <alignment vertical="top" wrapText="1"/>
    </xf>
  </cellStyleXfs>
  <cellXfs count="42">
    <xf numFmtId="0" fontId="0" fillId="0" borderId="0" xfId="0"/>
    <xf numFmtId="0" fontId="3" fillId="0" borderId="0" xfId="0" applyFont="1" applyFill="1"/>
    <xf numFmtId="0" fontId="3" fillId="2" borderId="0" xfId="0" applyFont="1" applyFill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3" fillId="0" borderId="0" xfId="0" applyFont="1" applyFill="1" applyAlignment="1"/>
    <xf numFmtId="0" fontId="4" fillId="2" borderId="0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4" fontId="10" fillId="2" borderId="1" xfId="0" applyNumberFormat="1" applyFont="1" applyFill="1" applyBorder="1" applyAlignment="1">
      <alignment horizontal="center" vertical="center" wrapText="1"/>
    </xf>
    <xf numFmtId="164" fontId="11" fillId="2" borderId="1" xfId="0" applyNumberFormat="1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165" fontId="10" fillId="2" borderId="1" xfId="0" applyNumberFormat="1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" fontId="2" fillId="2" borderId="1" xfId="0" applyNumberFormat="1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vertical="top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/>
    <xf numFmtId="0" fontId="3" fillId="2" borderId="0" xfId="0" applyFont="1" applyFill="1" applyAlignment="1">
      <alignment horizontal="center"/>
    </xf>
    <xf numFmtId="0" fontId="3" fillId="2" borderId="4" xfId="0" applyFont="1" applyFill="1" applyBorder="1"/>
    <xf numFmtId="166" fontId="12" fillId="0" borderId="4" xfId="0" applyNumberFormat="1" applyFont="1" applyBorder="1" applyAlignment="1">
      <alignment vertical="center" wrapText="1"/>
    </xf>
    <xf numFmtId="0" fontId="8" fillId="2" borderId="2" xfId="0" applyFont="1" applyFill="1" applyBorder="1" applyAlignment="1">
      <alignment horizontal="center" vertical="center" wrapText="1"/>
    </xf>
    <xf numFmtId="4" fontId="10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/>
    <xf numFmtId="166" fontId="12" fillId="0" borderId="2" xfId="0" applyNumberFormat="1" applyFont="1" applyBorder="1" applyAlignment="1">
      <alignment vertical="center" wrapText="1"/>
    </xf>
    <xf numFmtId="0" fontId="3" fillId="2" borderId="0" xfId="0" applyFont="1" applyFill="1" applyBorder="1"/>
    <xf numFmtId="0" fontId="1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49" fontId="14" fillId="2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4" fontId="14" fillId="2" borderId="1" xfId="0" applyNumberFormat="1" applyFont="1" applyFill="1" applyBorder="1" applyAlignment="1">
      <alignment horizontal="center" vertical="center"/>
    </xf>
    <xf numFmtId="4" fontId="0" fillId="2" borderId="1" xfId="0" applyNumberFormat="1" applyFill="1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49" fontId="15" fillId="2" borderId="5" xfId="0" applyNumberFormat="1" applyFont="1" applyFill="1" applyBorder="1"/>
    <xf numFmtId="166" fontId="11" fillId="2" borderId="1" xfId="0" applyNumberFormat="1" applyFont="1" applyFill="1" applyBorder="1" applyAlignment="1">
      <alignment horizontal="center" vertical="center" wrapText="1"/>
    </xf>
  </cellXfs>
  <cellStyles count="4">
    <cellStyle name="=C:\WINNT35\SYSTEM32\COMMAND.COM" xfId="1"/>
    <cellStyle name="Обычный" xfId="0" builtinId="0"/>
    <cellStyle name="Обычный 4" xfId="2"/>
    <cellStyle name="Стиль 1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4002</xdr:colOff>
      <xdr:row>46</xdr:row>
      <xdr:rowOff>0</xdr:rowOff>
    </xdr:from>
    <xdr:ext cx="85725" cy="906273"/>
    <xdr:pic>
      <xdr:nvPicPr>
        <xdr:cNvPr id="2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377" y="132464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4002</xdr:colOff>
      <xdr:row>46</xdr:row>
      <xdr:rowOff>0</xdr:rowOff>
    </xdr:from>
    <xdr:ext cx="85725" cy="906273"/>
    <xdr:pic>
      <xdr:nvPicPr>
        <xdr:cNvPr id="3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377" y="132464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4002</xdr:colOff>
      <xdr:row>46</xdr:row>
      <xdr:rowOff>0</xdr:rowOff>
    </xdr:from>
    <xdr:ext cx="85725" cy="906273"/>
    <xdr:pic>
      <xdr:nvPicPr>
        <xdr:cNvPr id="4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377" y="132464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46</xdr:row>
      <xdr:rowOff>0</xdr:rowOff>
    </xdr:from>
    <xdr:ext cx="85725" cy="906273"/>
    <xdr:pic>
      <xdr:nvPicPr>
        <xdr:cNvPr id="5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1293" y="132464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4</xdr:col>
      <xdr:colOff>0</xdr:colOff>
      <xdr:row>46</xdr:row>
      <xdr:rowOff>0</xdr:rowOff>
    </xdr:from>
    <xdr:to>
      <xdr:col>4</xdr:col>
      <xdr:colOff>64407</xdr:colOff>
      <xdr:row>49</xdr:row>
      <xdr:rowOff>53933</xdr:rowOff>
    </xdr:to>
    <xdr:sp macro="" textlink="">
      <xdr:nvSpPr>
        <xdr:cNvPr id="6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882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64407</xdr:colOff>
      <xdr:row>49</xdr:row>
      <xdr:rowOff>42333</xdr:rowOff>
    </xdr:to>
    <xdr:sp macro="" textlink="">
      <xdr:nvSpPr>
        <xdr:cNvPr id="7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5404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64407</xdr:colOff>
      <xdr:row>49</xdr:row>
      <xdr:rowOff>42333</xdr:rowOff>
    </xdr:to>
    <xdr:sp macro="" textlink="">
      <xdr:nvSpPr>
        <xdr:cNvPr id="8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5404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64407</xdr:colOff>
      <xdr:row>49</xdr:row>
      <xdr:rowOff>42333</xdr:rowOff>
    </xdr:to>
    <xdr:sp macro="" textlink="">
      <xdr:nvSpPr>
        <xdr:cNvPr id="9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5404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69807</xdr:rowOff>
    </xdr:to>
    <xdr:pic>
      <xdr:nvPicPr>
        <xdr:cNvPr id="10" name="AutoShape 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4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76611</xdr:rowOff>
    </xdr:to>
    <xdr:pic>
      <xdr:nvPicPr>
        <xdr:cNvPr id="11" name="Picture 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15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57561</xdr:rowOff>
    </xdr:to>
    <xdr:pic>
      <xdr:nvPicPr>
        <xdr:cNvPr id="12" name="Picture 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24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105186</xdr:rowOff>
    </xdr:to>
    <xdr:pic>
      <xdr:nvPicPr>
        <xdr:cNvPr id="13" name="Picture 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200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79333</xdr:rowOff>
    </xdr:to>
    <xdr:pic>
      <xdr:nvPicPr>
        <xdr:cNvPr id="14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4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69808</xdr:rowOff>
    </xdr:to>
    <xdr:pic>
      <xdr:nvPicPr>
        <xdr:cNvPr id="15" name="Picture 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46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69807</xdr:rowOff>
    </xdr:to>
    <xdr:pic>
      <xdr:nvPicPr>
        <xdr:cNvPr id="16" name="Picture 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4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69807</xdr:rowOff>
    </xdr:to>
    <xdr:pic>
      <xdr:nvPicPr>
        <xdr:cNvPr id="17" name="Picture 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4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105185</xdr:rowOff>
    </xdr:to>
    <xdr:pic>
      <xdr:nvPicPr>
        <xdr:cNvPr id="18" name="Picture 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200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79332</xdr:rowOff>
    </xdr:to>
    <xdr:pic>
      <xdr:nvPicPr>
        <xdr:cNvPr id="19" name="Picture 1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42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69807</xdr:rowOff>
    </xdr:to>
    <xdr:pic>
      <xdr:nvPicPr>
        <xdr:cNvPr id="20" name="Picture 1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4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92940</xdr:rowOff>
    </xdr:to>
    <xdr:pic>
      <xdr:nvPicPr>
        <xdr:cNvPr id="21" name="Picture 1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78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50</xdr:row>
      <xdr:rowOff>138297</xdr:rowOff>
    </xdr:to>
    <xdr:pic>
      <xdr:nvPicPr>
        <xdr:cNvPr id="22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915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92940</xdr:rowOff>
    </xdr:to>
    <xdr:pic>
      <xdr:nvPicPr>
        <xdr:cNvPr id="23" name="Picture 1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78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92939</xdr:rowOff>
    </xdr:to>
    <xdr:pic>
      <xdr:nvPicPr>
        <xdr:cNvPr id="24" name="Picture 1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78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50</xdr:row>
      <xdr:rowOff>138297</xdr:rowOff>
    </xdr:to>
    <xdr:pic>
      <xdr:nvPicPr>
        <xdr:cNvPr id="25" name="Picture 1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915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92939</xdr:rowOff>
    </xdr:to>
    <xdr:pic>
      <xdr:nvPicPr>
        <xdr:cNvPr id="26" name="Picture 1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78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97021</xdr:rowOff>
    </xdr:to>
    <xdr:pic>
      <xdr:nvPicPr>
        <xdr:cNvPr id="27" name="Picture 1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11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86135</xdr:rowOff>
    </xdr:to>
    <xdr:pic>
      <xdr:nvPicPr>
        <xdr:cNvPr id="28" name="Picture 1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10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32161</xdr:rowOff>
    </xdr:to>
    <xdr:pic>
      <xdr:nvPicPr>
        <xdr:cNvPr id="29" name="Picture 2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438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76611</xdr:rowOff>
    </xdr:to>
    <xdr:pic>
      <xdr:nvPicPr>
        <xdr:cNvPr id="30" name="Picture 2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15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79332</xdr:rowOff>
    </xdr:to>
    <xdr:pic>
      <xdr:nvPicPr>
        <xdr:cNvPr id="31" name="Picture 2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42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64407</xdr:colOff>
      <xdr:row>49</xdr:row>
      <xdr:rowOff>53933</xdr:rowOff>
    </xdr:to>
    <xdr:sp macro="" textlink="">
      <xdr:nvSpPr>
        <xdr:cNvPr id="32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882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64407</xdr:colOff>
      <xdr:row>49</xdr:row>
      <xdr:rowOff>42333</xdr:rowOff>
    </xdr:to>
    <xdr:sp macro="" textlink="">
      <xdr:nvSpPr>
        <xdr:cNvPr id="33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5404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64407</xdr:colOff>
      <xdr:row>49</xdr:row>
      <xdr:rowOff>42333</xdr:rowOff>
    </xdr:to>
    <xdr:sp macro="" textlink="">
      <xdr:nvSpPr>
        <xdr:cNvPr id="34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5404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64407</xdr:colOff>
      <xdr:row>49</xdr:row>
      <xdr:rowOff>42333</xdr:rowOff>
    </xdr:to>
    <xdr:sp macro="" textlink="">
      <xdr:nvSpPr>
        <xdr:cNvPr id="35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5404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69807</xdr:rowOff>
    </xdr:to>
    <xdr:pic>
      <xdr:nvPicPr>
        <xdr:cNvPr id="36" name="AutoShape 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4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76611</xdr:rowOff>
    </xdr:to>
    <xdr:pic>
      <xdr:nvPicPr>
        <xdr:cNvPr id="37" name="Picture 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15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57561</xdr:rowOff>
    </xdr:to>
    <xdr:pic>
      <xdr:nvPicPr>
        <xdr:cNvPr id="38" name="Picture 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24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105186</xdr:rowOff>
    </xdr:to>
    <xdr:pic>
      <xdr:nvPicPr>
        <xdr:cNvPr id="39" name="Picture 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200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79333</xdr:rowOff>
    </xdr:to>
    <xdr:pic>
      <xdr:nvPicPr>
        <xdr:cNvPr id="40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4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69808</xdr:rowOff>
    </xdr:to>
    <xdr:pic>
      <xdr:nvPicPr>
        <xdr:cNvPr id="41" name="Picture 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46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69807</xdr:rowOff>
    </xdr:to>
    <xdr:pic>
      <xdr:nvPicPr>
        <xdr:cNvPr id="42" name="Picture 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4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69807</xdr:rowOff>
    </xdr:to>
    <xdr:pic>
      <xdr:nvPicPr>
        <xdr:cNvPr id="43" name="Picture 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4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105185</xdr:rowOff>
    </xdr:to>
    <xdr:pic>
      <xdr:nvPicPr>
        <xdr:cNvPr id="44" name="Picture 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200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79332</xdr:rowOff>
    </xdr:to>
    <xdr:pic>
      <xdr:nvPicPr>
        <xdr:cNvPr id="45" name="Picture 1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42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69807</xdr:rowOff>
    </xdr:to>
    <xdr:pic>
      <xdr:nvPicPr>
        <xdr:cNvPr id="46" name="Picture 1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4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92940</xdr:rowOff>
    </xdr:to>
    <xdr:pic>
      <xdr:nvPicPr>
        <xdr:cNvPr id="47" name="Picture 1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78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50</xdr:row>
      <xdr:rowOff>138297</xdr:rowOff>
    </xdr:to>
    <xdr:pic>
      <xdr:nvPicPr>
        <xdr:cNvPr id="48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915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92940</xdr:rowOff>
    </xdr:to>
    <xdr:pic>
      <xdr:nvPicPr>
        <xdr:cNvPr id="49" name="Picture 1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78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92939</xdr:rowOff>
    </xdr:to>
    <xdr:pic>
      <xdr:nvPicPr>
        <xdr:cNvPr id="50" name="Picture 1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78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50</xdr:row>
      <xdr:rowOff>138297</xdr:rowOff>
    </xdr:to>
    <xdr:pic>
      <xdr:nvPicPr>
        <xdr:cNvPr id="51" name="Picture 1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915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92939</xdr:rowOff>
    </xdr:to>
    <xdr:pic>
      <xdr:nvPicPr>
        <xdr:cNvPr id="52" name="Picture 1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78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97021</xdr:rowOff>
    </xdr:to>
    <xdr:pic>
      <xdr:nvPicPr>
        <xdr:cNvPr id="53" name="Picture 1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11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86135</xdr:rowOff>
    </xdr:to>
    <xdr:pic>
      <xdr:nvPicPr>
        <xdr:cNvPr id="54" name="Picture 1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10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32161</xdr:rowOff>
    </xdr:to>
    <xdr:pic>
      <xdr:nvPicPr>
        <xdr:cNvPr id="55" name="Picture 2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438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76611</xdr:rowOff>
    </xdr:to>
    <xdr:pic>
      <xdr:nvPicPr>
        <xdr:cNvPr id="56" name="Picture 2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15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79332</xdr:rowOff>
    </xdr:to>
    <xdr:pic>
      <xdr:nvPicPr>
        <xdr:cNvPr id="57" name="Picture 2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42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64407</xdr:colOff>
      <xdr:row>49</xdr:row>
      <xdr:rowOff>53932</xdr:rowOff>
    </xdr:to>
    <xdr:sp macro="" textlink="">
      <xdr:nvSpPr>
        <xdr:cNvPr id="58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882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64407</xdr:colOff>
      <xdr:row>49</xdr:row>
      <xdr:rowOff>42333</xdr:rowOff>
    </xdr:to>
    <xdr:sp macro="" textlink="">
      <xdr:nvSpPr>
        <xdr:cNvPr id="59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5404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64407</xdr:colOff>
      <xdr:row>49</xdr:row>
      <xdr:rowOff>42333</xdr:rowOff>
    </xdr:to>
    <xdr:sp macro="" textlink="">
      <xdr:nvSpPr>
        <xdr:cNvPr id="60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5404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64407</xdr:colOff>
      <xdr:row>49</xdr:row>
      <xdr:rowOff>42333</xdr:rowOff>
    </xdr:to>
    <xdr:sp macro="" textlink="">
      <xdr:nvSpPr>
        <xdr:cNvPr id="61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5404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69806</xdr:rowOff>
    </xdr:to>
    <xdr:pic>
      <xdr:nvPicPr>
        <xdr:cNvPr id="62" name="AutoShape 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4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76610</xdr:rowOff>
    </xdr:to>
    <xdr:pic>
      <xdr:nvPicPr>
        <xdr:cNvPr id="63" name="Picture 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15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57560</xdr:rowOff>
    </xdr:to>
    <xdr:pic>
      <xdr:nvPicPr>
        <xdr:cNvPr id="64" name="Picture 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24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105185</xdr:rowOff>
    </xdr:to>
    <xdr:pic>
      <xdr:nvPicPr>
        <xdr:cNvPr id="65" name="Picture 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200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79332</xdr:rowOff>
    </xdr:to>
    <xdr:pic>
      <xdr:nvPicPr>
        <xdr:cNvPr id="66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42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69807</xdr:rowOff>
    </xdr:to>
    <xdr:pic>
      <xdr:nvPicPr>
        <xdr:cNvPr id="67" name="Picture 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4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69806</xdr:rowOff>
    </xdr:to>
    <xdr:pic>
      <xdr:nvPicPr>
        <xdr:cNvPr id="68" name="Picture 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4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69806</xdr:rowOff>
    </xdr:to>
    <xdr:pic>
      <xdr:nvPicPr>
        <xdr:cNvPr id="69" name="Picture 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4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105184</xdr:rowOff>
    </xdr:to>
    <xdr:pic>
      <xdr:nvPicPr>
        <xdr:cNvPr id="70" name="Picture 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2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79331</xdr:rowOff>
    </xdr:to>
    <xdr:pic>
      <xdr:nvPicPr>
        <xdr:cNvPr id="71" name="Picture 1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42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69806</xdr:rowOff>
    </xdr:to>
    <xdr:pic>
      <xdr:nvPicPr>
        <xdr:cNvPr id="72" name="Picture 1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4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92939</xdr:rowOff>
    </xdr:to>
    <xdr:pic>
      <xdr:nvPicPr>
        <xdr:cNvPr id="73" name="Picture 1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78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50</xdr:row>
      <xdr:rowOff>138296</xdr:rowOff>
    </xdr:to>
    <xdr:pic>
      <xdr:nvPicPr>
        <xdr:cNvPr id="74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915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92939</xdr:rowOff>
    </xdr:to>
    <xdr:pic>
      <xdr:nvPicPr>
        <xdr:cNvPr id="75" name="Picture 1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78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92938</xdr:rowOff>
    </xdr:to>
    <xdr:pic>
      <xdr:nvPicPr>
        <xdr:cNvPr id="76" name="Picture 1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78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50</xdr:row>
      <xdr:rowOff>138296</xdr:rowOff>
    </xdr:to>
    <xdr:pic>
      <xdr:nvPicPr>
        <xdr:cNvPr id="77" name="Picture 1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915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92938</xdr:rowOff>
    </xdr:to>
    <xdr:pic>
      <xdr:nvPicPr>
        <xdr:cNvPr id="78" name="Picture 1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78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97020</xdr:rowOff>
    </xdr:to>
    <xdr:pic>
      <xdr:nvPicPr>
        <xdr:cNvPr id="79" name="Picture 1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119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86134</xdr:rowOff>
    </xdr:to>
    <xdr:pic>
      <xdr:nvPicPr>
        <xdr:cNvPr id="80" name="Picture 1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32160</xdr:rowOff>
    </xdr:to>
    <xdr:pic>
      <xdr:nvPicPr>
        <xdr:cNvPr id="81" name="Picture 2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43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76610</xdr:rowOff>
    </xdr:to>
    <xdr:pic>
      <xdr:nvPicPr>
        <xdr:cNvPr id="82" name="Picture 2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15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79331</xdr:rowOff>
    </xdr:to>
    <xdr:pic>
      <xdr:nvPicPr>
        <xdr:cNvPr id="83" name="Picture 2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42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64407</xdr:colOff>
      <xdr:row>49</xdr:row>
      <xdr:rowOff>53932</xdr:rowOff>
    </xdr:to>
    <xdr:sp macro="" textlink="">
      <xdr:nvSpPr>
        <xdr:cNvPr id="84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882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64407</xdr:colOff>
      <xdr:row>49</xdr:row>
      <xdr:rowOff>42333</xdr:rowOff>
    </xdr:to>
    <xdr:sp macro="" textlink="">
      <xdr:nvSpPr>
        <xdr:cNvPr id="85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5404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64407</xdr:colOff>
      <xdr:row>49</xdr:row>
      <xdr:rowOff>42333</xdr:rowOff>
    </xdr:to>
    <xdr:sp macro="" textlink="">
      <xdr:nvSpPr>
        <xdr:cNvPr id="86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5404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64407</xdr:colOff>
      <xdr:row>49</xdr:row>
      <xdr:rowOff>42333</xdr:rowOff>
    </xdr:to>
    <xdr:sp macro="" textlink="">
      <xdr:nvSpPr>
        <xdr:cNvPr id="87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5404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69806</xdr:rowOff>
    </xdr:to>
    <xdr:pic>
      <xdr:nvPicPr>
        <xdr:cNvPr id="88" name="AutoShape 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4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76610</xdr:rowOff>
    </xdr:to>
    <xdr:pic>
      <xdr:nvPicPr>
        <xdr:cNvPr id="89" name="Picture 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15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57560</xdr:rowOff>
    </xdr:to>
    <xdr:pic>
      <xdr:nvPicPr>
        <xdr:cNvPr id="90" name="Picture 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24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105185</xdr:rowOff>
    </xdr:to>
    <xdr:pic>
      <xdr:nvPicPr>
        <xdr:cNvPr id="91" name="Picture 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200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79332</xdr:rowOff>
    </xdr:to>
    <xdr:pic>
      <xdr:nvPicPr>
        <xdr:cNvPr id="92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42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69807</xdr:rowOff>
    </xdr:to>
    <xdr:pic>
      <xdr:nvPicPr>
        <xdr:cNvPr id="93" name="Picture 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4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69806</xdr:rowOff>
    </xdr:to>
    <xdr:pic>
      <xdr:nvPicPr>
        <xdr:cNvPr id="94" name="Picture 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4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69806</xdr:rowOff>
    </xdr:to>
    <xdr:pic>
      <xdr:nvPicPr>
        <xdr:cNvPr id="95" name="Picture 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4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105184</xdr:rowOff>
    </xdr:to>
    <xdr:pic>
      <xdr:nvPicPr>
        <xdr:cNvPr id="96" name="Picture 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2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79331</xdr:rowOff>
    </xdr:to>
    <xdr:pic>
      <xdr:nvPicPr>
        <xdr:cNvPr id="97" name="Picture 1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42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69806</xdr:rowOff>
    </xdr:to>
    <xdr:pic>
      <xdr:nvPicPr>
        <xdr:cNvPr id="98" name="Picture 1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4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92939</xdr:rowOff>
    </xdr:to>
    <xdr:pic>
      <xdr:nvPicPr>
        <xdr:cNvPr id="99" name="Picture 1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78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50</xdr:row>
      <xdr:rowOff>138296</xdr:rowOff>
    </xdr:to>
    <xdr:pic>
      <xdr:nvPicPr>
        <xdr:cNvPr id="100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915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92939</xdr:rowOff>
    </xdr:to>
    <xdr:pic>
      <xdr:nvPicPr>
        <xdr:cNvPr id="101" name="Picture 1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78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92938</xdr:rowOff>
    </xdr:to>
    <xdr:pic>
      <xdr:nvPicPr>
        <xdr:cNvPr id="102" name="Picture 1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78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50</xdr:row>
      <xdr:rowOff>138296</xdr:rowOff>
    </xdr:to>
    <xdr:pic>
      <xdr:nvPicPr>
        <xdr:cNvPr id="103" name="Picture 1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915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92938</xdr:rowOff>
    </xdr:to>
    <xdr:pic>
      <xdr:nvPicPr>
        <xdr:cNvPr id="104" name="Picture 1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78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97020</xdr:rowOff>
    </xdr:to>
    <xdr:pic>
      <xdr:nvPicPr>
        <xdr:cNvPr id="105" name="Picture 1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119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86134</xdr:rowOff>
    </xdr:to>
    <xdr:pic>
      <xdr:nvPicPr>
        <xdr:cNvPr id="106" name="Picture 1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32160</xdr:rowOff>
    </xdr:to>
    <xdr:pic>
      <xdr:nvPicPr>
        <xdr:cNvPr id="107" name="Picture 2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43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76610</xdr:rowOff>
    </xdr:to>
    <xdr:pic>
      <xdr:nvPicPr>
        <xdr:cNvPr id="108" name="Picture 2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15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85725</xdr:colOff>
      <xdr:row>49</xdr:row>
      <xdr:rowOff>79331</xdr:rowOff>
    </xdr:to>
    <xdr:pic>
      <xdr:nvPicPr>
        <xdr:cNvPr id="109" name="Picture 2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42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0</xdr:colOff>
      <xdr:row>46</xdr:row>
      <xdr:rowOff>0</xdr:rowOff>
    </xdr:from>
    <xdr:ext cx="64407" cy="663160"/>
    <xdr:sp macro="" textlink="">
      <xdr:nvSpPr>
        <xdr:cNvPr id="110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316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46</xdr:row>
      <xdr:rowOff>0</xdr:rowOff>
    </xdr:from>
    <xdr:ext cx="64407" cy="660438"/>
    <xdr:sp macro="" textlink="">
      <xdr:nvSpPr>
        <xdr:cNvPr id="111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04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46</xdr:row>
      <xdr:rowOff>0</xdr:rowOff>
    </xdr:from>
    <xdr:ext cx="64407" cy="660438"/>
    <xdr:sp macro="" textlink="">
      <xdr:nvSpPr>
        <xdr:cNvPr id="112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04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46</xdr:row>
      <xdr:rowOff>0</xdr:rowOff>
    </xdr:from>
    <xdr:ext cx="64407" cy="660438"/>
    <xdr:sp macro="" textlink="">
      <xdr:nvSpPr>
        <xdr:cNvPr id="113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04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46</xdr:row>
      <xdr:rowOff>0</xdr:rowOff>
    </xdr:from>
    <xdr:ext cx="85725" cy="679034"/>
    <xdr:pic>
      <xdr:nvPicPr>
        <xdr:cNvPr id="114" name="AutoShape 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85838"/>
    <xdr:pic>
      <xdr:nvPicPr>
        <xdr:cNvPr id="115" name="Picture 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58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66788"/>
    <xdr:pic>
      <xdr:nvPicPr>
        <xdr:cNvPr id="116" name="Picture 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667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714413"/>
    <xdr:pic>
      <xdr:nvPicPr>
        <xdr:cNvPr id="117" name="Picture 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144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88560"/>
    <xdr:pic>
      <xdr:nvPicPr>
        <xdr:cNvPr id="118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8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79035"/>
    <xdr:pic>
      <xdr:nvPicPr>
        <xdr:cNvPr id="119" name="Picture 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79034"/>
    <xdr:pic>
      <xdr:nvPicPr>
        <xdr:cNvPr id="120" name="Picture 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79034"/>
    <xdr:pic>
      <xdr:nvPicPr>
        <xdr:cNvPr id="121" name="Picture 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714412"/>
    <xdr:pic>
      <xdr:nvPicPr>
        <xdr:cNvPr id="122" name="Picture 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144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88559"/>
    <xdr:pic>
      <xdr:nvPicPr>
        <xdr:cNvPr id="123" name="Picture 1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8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79034"/>
    <xdr:pic>
      <xdr:nvPicPr>
        <xdr:cNvPr id="124" name="Picture 1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702167"/>
    <xdr:pic>
      <xdr:nvPicPr>
        <xdr:cNvPr id="125" name="Picture 1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21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906274"/>
    <xdr:pic>
      <xdr:nvPicPr>
        <xdr:cNvPr id="126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906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702167"/>
    <xdr:pic>
      <xdr:nvPicPr>
        <xdr:cNvPr id="127" name="Picture 1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21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702166"/>
    <xdr:pic>
      <xdr:nvPicPr>
        <xdr:cNvPr id="128" name="Picture 1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2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906274"/>
    <xdr:pic>
      <xdr:nvPicPr>
        <xdr:cNvPr id="129" name="Picture 1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906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702166"/>
    <xdr:pic>
      <xdr:nvPicPr>
        <xdr:cNvPr id="130" name="Picture 1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2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706248"/>
    <xdr:pic>
      <xdr:nvPicPr>
        <xdr:cNvPr id="131" name="Picture 1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62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95362"/>
    <xdr:pic>
      <xdr:nvPicPr>
        <xdr:cNvPr id="132" name="Picture 1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53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41388"/>
    <xdr:pic>
      <xdr:nvPicPr>
        <xdr:cNvPr id="133" name="Picture 2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413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85838"/>
    <xdr:pic>
      <xdr:nvPicPr>
        <xdr:cNvPr id="134" name="Picture 2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58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88559"/>
    <xdr:pic>
      <xdr:nvPicPr>
        <xdr:cNvPr id="135" name="Picture 2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8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64407" cy="663160"/>
    <xdr:sp macro="" textlink="">
      <xdr:nvSpPr>
        <xdr:cNvPr id="136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316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46</xdr:row>
      <xdr:rowOff>0</xdr:rowOff>
    </xdr:from>
    <xdr:ext cx="64407" cy="660438"/>
    <xdr:sp macro="" textlink="">
      <xdr:nvSpPr>
        <xdr:cNvPr id="137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04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46</xdr:row>
      <xdr:rowOff>0</xdr:rowOff>
    </xdr:from>
    <xdr:ext cx="64407" cy="660438"/>
    <xdr:sp macro="" textlink="">
      <xdr:nvSpPr>
        <xdr:cNvPr id="138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04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46</xdr:row>
      <xdr:rowOff>0</xdr:rowOff>
    </xdr:from>
    <xdr:ext cx="64407" cy="660438"/>
    <xdr:sp macro="" textlink="">
      <xdr:nvSpPr>
        <xdr:cNvPr id="139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04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46</xdr:row>
      <xdr:rowOff>0</xdr:rowOff>
    </xdr:from>
    <xdr:ext cx="85725" cy="679034"/>
    <xdr:pic>
      <xdr:nvPicPr>
        <xdr:cNvPr id="140" name="AutoShape 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85838"/>
    <xdr:pic>
      <xdr:nvPicPr>
        <xdr:cNvPr id="141" name="Picture 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58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66788"/>
    <xdr:pic>
      <xdr:nvPicPr>
        <xdr:cNvPr id="142" name="Picture 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667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714413"/>
    <xdr:pic>
      <xdr:nvPicPr>
        <xdr:cNvPr id="143" name="Picture 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144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88560"/>
    <xdr:pic>
      <xdr:nvPicPr>
        <xdr:cNvPr id="144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8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79035"/>
    <xdr:pic>
      <xdr:nvPicPr>
        <xdr:cNvPr id="145" name="Picture 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79034"/>
    <xdr:pic>
      <xdr:nvPicPr>
        <xdr:cNvPr id="146" name="Picture 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79034"/>
    <xdr:pic>
      <xdr:nvPicPr>
        <xdr:cNvPr id="147" name="Picture 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714412"/>
    <xdr:pic>
      <xdr:nvPicPr>
        <xdr:cNvPr id="148" name="Picture 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144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88559"/>
    <xdr:pic>
      <xdr:nvPicPr>
        <xdr:cNvPr id="149" name="Picture 1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8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79034"/>
    <xdr:pic>
      <xdr:nvPicPr>
        <xdr:cNvPr id="150" name="Picture 1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702167"/>
    <xdr:pic>
      <xdr:nvPicPr>
        <xdr:cNvPr id="151" name="Picture 1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21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906274"/>
    <xdr:pic>
      <xdr:nvPicPr>
        <xdr:cNvPr id="152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906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702167"/>
    <xdr:pic>
      <xdr:nvPicPr>
        <xdr:cNvPr id="153" name="Picture 1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21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702166"/>
    <xdr:pic>
      <xdr:nvPicPr>
        <xdr:cNvPr id="154" name="Picture 1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2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906274"/>
    <xdr:pic>
      <xdr:nvPicPr>
        <xdr:cNvPr id="155" name="Picture 1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906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702166"/>
    <xdr:pic>
      <xdr:nvPicPr>
        <xdr:cNvPr id="156" name="Picture 1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2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706248"/>
    <xdr:pic>
      <xdr:nvPicPr>
        <xdr:cNvPr id="157" name="Picture 1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62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95362"/>
    <xdr:pic>
      <xdr:nvPicPr>
        <xdr:cNvPr id="158" name="Picture 1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53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41388"/>
    <xdr:pic>
      <xdr:nvPicPr>
        <xdr:cNvPr id="159" name="Picture 2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413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85838"/>
    <xdr:pic>
      <xdr:nvPicPr>
        <xdr:cNvPr id="160" name="Picture 2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58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88559"/>
    <xdr:pic>
      <xdr:nvPicPr>
        <xdr:cNvPr id="161" name="Picture 2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8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64407" cy="663159"/>
    <xdr:sp macro="" textlink="">
      <xdr:nvSpPr>
        <xdr:cNvPr id="162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31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46</xdr:row>
      <xdr:rowOff>0</xdr:rowOff>
    </xdr:from>
    <xdr:ext cx="64407" cy="660437"/>
    <xdr:sp macro="" textlink="">
      <xdr:nvSpPr>
        <xdr:cNvPr id="163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0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46</xdr:row>
      <xdr:rowOff>0</xdr:rowOff>
    </xdr:from>
    <xdr:ext cx="64407" cy="660437"/>
    <xdr:sp macro="" textlink="">
      <xdr:nvSpPr>
        <xdr:cNvPr id="164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0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46</xdr:row>
      <xdr:rowOff>0</xdr:rowOff>
    </xdr:from>
    <xdr:ext cx="64407" cy="660437"/>
    <xdr:sp macro="" textlink="">
      <xdr:nvSpPr>
        <xdr:cNvPr id="165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0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46</xdr:row>
      <xdr:rowOff>0</xdr:rowOff>
    </xdr:from>
    <xdr:ext cx="85725" cy="679033"/>
    <xdr:pic>
      <xdr:nvPicPr>
        <xdr:cNvPr id="166" name="AutoShape 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85837"/>
    <xdr:pic>
      <xdr:nvPicPr>
        <xdr:cNvPr id="167" name="Picture 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58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66787"/>
    <xdr:pic>
      <xdr:nvPicPr>
        <xdr:cNvPr id="168" name="Picture 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667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714412"/>
    <xdr:pic>
      <xdr:nvPicPr>
        <xdr:cNvPr id="169" name="Picture 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144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88559"/>
    <xdr:pic>
      <xdr:nvPicPr>
        <xdr:cNvPr id="170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8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79034"/>
    <xdr:pic>
      <xdr:nvPicPr>
        <xdr:cNvPr id="171" name="Picture 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79033"/>
    <xdr:pic>
      <xdr:nvPicPr>
        <xdr:cNvPr id="172" name="Picture 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79033"/>
    <xdr:pic>
      <xdr:nvPicPr>
        <xdr:cNvPr id="173" name="Picture 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714411"/>
    <xdr:pic>
      <xdr:nvPicPr>
        <xdr:cNvPr id="174" name="Picture 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144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88558"/>
    <xdr:pic>
      <xdr:nvPicPr>
        <xdr:cNvPr id="175" name="Picture 1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85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79033"/>
    <xdr:pic>
      <xdr:nvPicPr>
        <xdr:cNvPr id="176" name="Picture 1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702166"/>
    <xdr:pic>
      <xdr:nvPicPr>
        <xdr:cNvPr id="177" name="Picture 1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2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906273"/>
    <xdr:pic>
      <xdr:nvPicPr>
        <xdr:cNvPr id="178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702166"/>
    <xdr:pic>
      <xdr:nvPicPr>
        <xdr:cNvPr id="179" name="Picture 1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2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702165"/>
    <xdr:pic>
      <xdr:nvPicPr>
        <xdr:cNvPr id="180" name="Picture 1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2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906273"/>
    <xdr:pic>
      <xdr:nvPicPr>
        <xdr:cNvPr id="181" name="Picture 1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702165"/>
    <xdr:pic>
      <xdr:nvPicPr>
        <xdr:cNvPr id="182" name="Picture 1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2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706247"/>
    <xdr:pic>
      <xdr:nvPicPr>
        <xdr:cNvPr id="183" name="Picture 1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6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95361"/>
    <xdr:pic>
      <xdr:nvPicPr>
        <xdr:cNvPr id="184" name="Picture 1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53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41387"/>
    <xdr:pic>
      <xdr:nvPicPr>
        <xdr:cNvPr id="185" name="Picture 2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413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85837"/>
    <xdr:pic>
      <xdr:nvPicPr>
        <xdr:cNvPr id="186" name="Picture 2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58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88558"/>
    <xdr:pic>
      <xdr:nvPicPr>
        <xdr:cNvPr id="187" name="Picture 2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85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64407" cy="663159"/>
    <xdr:sp macro="" textlink="">
      <xdr:nvSpPr>
        <xdr:cNvPr id="188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31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46</xdr:row>
      <xdr:rowOff>0</xdr:rowOff>
    </xdr:from>
    <xdr:ext cx="64407" cy="660437"/>
    <xdr:sp macro="" textlink="">
      <xdr:nvSpPr>
        <xdr:cNvPr id="189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0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46</xdr:row>
      <xdr:rowOff>0</xdr:rowOff>
    </xdr:from>
    <xdr:ext cx="64407" cy="660437"/>
    <xdr:sp macro="" textlink="">
      <xdr:nvSpPr>
        <xdr:cNvPr id="190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0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46</xdr:row>
      <xdr:rowOff>0</xdr:rowOff>
    </xdr:from>
    <xdr:ext cx="64407" cy="660437"/>
    <xdr:sp macro="" textlink="">
      <xdr:nvSpPr>
        <xdr:cNvPr id="191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0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46</xdr:row>
      <xdr:rowOff>0</xdr:rowOff>
    </xdr:from>
    <xdr:ext cx="85725" cy="679033"/>
    <xdr:pic>
      <xdr:nvPicPr>
        <xdr:cNvPr id="192" name="AutoShape 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85837"/>
    <xdr:pic>
      <xdr:nvPicPr>
        <xdr:cNvPr id="193" name="Picture 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58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66787"/>
    <xdr:pic>
      <xdr:nvPicPr>
        <xdr:cNvPr id="194" name="Picture 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667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714412"/>
    <xdr:pic>
      <xdr:nvPicPr>
        <xdr:cNvPr id="195" name="Picture 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144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88559"/>
    <xdr:pic>
      <xdr:nvPicPr>
        <xdr:cNvPr id="196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8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79034"/>
    <xdr:pic>
      <xdr:nvPicPr>
        <xdr:cNvPr id="197" name="Picture 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79033"/>
    <xdr:pic>
      <xdr:nvPicPr>
        <xdr:cNvPr id="198" name="Picture 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79033"/>
    <xdr:pic>
      <xdr:nvPicPr>
        <xdr:cNvPr id="199" name="Picture 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714411"/>
    <xdr:pic>
      <xdr:nvPicPr>
        <xdr:cNvPr id="200" name="Picture 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144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88558"/>
    <xdr:pic>
      <xdr:nvPicPr>
        <xdr:cNvPr id="201" name="Picture 1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85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79033"/>
    <xdr:pic>
      <xdr:nvPicPr>
        <xdr:cNvPr id="202" name="Picture 1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702166"/>
    <xdr:pic>
      <xdr:nvPicPr>
        <xdr:cNvPr id="203" name="Picture 1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2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906273"/>
    <xdr:pic>
      <xdr:nvPicPr>
        <xdr:cNvPr id="204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702166"/>
    <xdr:pic>
      <xdr:nvPicPr>
        <xdr:cNvPr id="205" name="Picture 1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2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702165"/>
    <xdr:pic>
      <xdr:nvPicPr>
        <xdr:cNvPr id="206" name="Picture 1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2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906273"/>
    <xdr:pic>
      <xdr:nvPicPr>
        <xdr:cNvPr id="207" name="Picture 1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702165"/>
    <xdr:pic>
      <xdr:nvPicPr>
        <xdr:cNvPr id="208" name="Picture 1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2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706247"/>
    <xdr:pic>
      <xdr:nvPicPr>
        <xdr:cNvPr id="209" name="Picture 1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6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95361"/>
    <xdr:pic>
      <xdr:nvPicPr>
        <xdr:cNvPr id="210" name="Picture 1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53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41387"/>
    <xdr:pic>
      <xdr:nvPicPr>
        <xdr:cNvPr id="211" name="Picture 2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413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85837"/>
    <xdr:pic>
      <xdr:nvPicPr>
        <xdr:cNvPr id="212" name="Picture 2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58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64407" cy="660358"/>
    <xdr:sp macro="" textlink="">
      <xdr:nvSpPr>
        <xdr:cNvPr id="213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035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46</xdr:row>
      <xdr:rowOff>0</xdr:rowOff>
    </xdr:from>
    <xdr:ext cx="64407" cy="657636"/>
    <xdr:sp macro="" textlink="">
      <xdr:nvSpPr>
        <xdr:cNvPr id="214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576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46</xdr:row>
      <xdr:rowOff>0</xdr:rowOff>
    </xdr:from>
    <xdr:ext cx="64407" cy="657636"/>
    <xdr:sp macro="" textlink="">
      <xdr:nvSpPr>
        <xdr:cNvPr id="215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576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46</xdr:row>
      <xdr:rowOff>0</xdr:rowOff>
    </xdr:from>
    <xdr:ext cx="64407" cy="657636"/>
    <xdr:sp macro="" textlink="">
      <xdr:nvSpPr>
        <xdr:cNvPr id="216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576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46</xdr:row>
      <xdr:rowOff>0</xdr:rowOff>
    </xdr:from>
    <xdr:ext cx="85725" cy="676232"/>
    <xdr:pic>
      <xdr:nvPicPr>
        <xdr:cNvPr id="217" name="AutoShape 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6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83036"/>
    <xdr:pic>
      <xdr:nvPicPr>
        <xdr:cNvPr id="218" name="Picture 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3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63986"/>
    <xdr:pic>
      <xdr:nvPicPr>
        <xdr:cNvPr id="219" name="Picture 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63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711611"/>
    <xdr:pic>
      <xdr:nvPicPr>
        <xdr:cNvPr id="220" name="Picture 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116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85758"/>
    <xdr:pic>
      <xdr:nvPicPr>
        <xdr:cNvPr id="221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5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76233"/>
    <xdr:pic>
      <xdr:nvPicPr>
        <xdr:cNvPr id="222" name="Picture 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62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76232"/>
    <xdr:pic>
      <xdr:nvPicPr>
        <xdr:cNvPr id="223" name="Picture 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6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76232"/>
    <xdr:pic>
      <xdr:nvPicPr>
        <xdr:cNvPr id="224" name="Picture 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6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711610"/>
    <xdr:pic>
      <xdr:nvPicPr>
        <xdr:cNvPr id="225" name="Picture 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11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85757"/>
    <xdr:pic>
      <xdr:nvPicPr>
        <xdr:cNvPr id="226" name="Picture 1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5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76232"/>
    <xdr:pic>
      <xdr:nvPicPr>
        <xdr:cNvPr id="227" name="Picture 1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6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99365"/>
    <xdr:pic>
      <xdr:nvPicPr>
        <xdr:cNvPr id="228" name="Picture 1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9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903472"/>
    <xdr:pic>
      <xdr:nvPicPr>
        <xdr:cNvPr id="229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9034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99365"/>
    <xdr:pic>
      <xdr:nvPicPr>
        <xdr:cNvPr id="230" name="Picture 1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9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99364"/>
    <xdr:pic>
      <xdr:nvPicPr>
        <xdr:cNvPr id="231" name="Picture 1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9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903472"/>
    <xdr:pic>
      <xdr:nvPicPr>
        <xdr:cNvPr id="232" name="Picture 1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9034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99364"/>
    <xdr:pic>
      <xdr:nvPicPr>
        <xdr:cNvPr id="233" name="Picture 1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9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703446"/>
    <xdr:pic>
      <xdr:nvPicPr>
        <xdr:cNvPr id="234" name="Picture 1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34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92560"/>
    <xdr:pic>
      <xdr:nvPicPr>
        <xdr:cNvPr id="235" name="Picture 1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2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38586"/>
    <xdr:pic>
      <xdr:nvPicPr>
        <xdr:cNvPr id="236" name="Picture 2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38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83036"/>
    <xdr:pic>
      <xdr:nvPicPr>
        <xdr:cNvPr id="237" name="Picture 2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3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85757"/>
    <xdr:pic>
      <xdr:nvPicPr>
        <xdr:cNvPr id="238" name="Picture 2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5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64407" cy="660358"/>
    <xdr:sp macro="" textlink="">
      <xdr:nvSpPr>
        <xdr:cNvPr id="239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035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46</xdr:row>
      <xdr:rowOff>0</xdr:rowOff>
    </xdr:from>
    <xdr:ext cx="64407" cy="657636"/>
    <xdr:sp macro="" textlink="">
      <xdr:nvSpPr>
        <xdr:cNvPr id="240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576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46</xdr:row>
      <xdr:rowOff>0</xdr:rowOff>
    </xdr:from>
    <xdr:ext cx="64407" cy="657636"/>
    <xdr:sp macro="" textlink="">
      <xdr:nvSpPr>
        <xdr:cNvPr id="241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576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46</xdr:row>
      <xdr:rowOff>0</xdr:rowOff>
    </xdr:from>
    <xdr:ext cx="64407" cy="657636"/>
    <xdr:sp macro="" textlink="">
      <xdr:nvSpPr>
        <xdr:cNvPr id="242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576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46</xdr:row>
      <xdr:rowOff>0</xdr:rowOff>
    </xdr:from>
    <xdr:ext cx="85725" cy="676232"/>
    <xdr:pic>
      <xdr:nvPicPr>
        <xdr:cNvPr id="243" name="AutoShape 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6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83036"/>
    <xdr:pic>
      <xdr:nvPicPr>
        <xdr:cNvPr id="244" name="Picture 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3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63986"/>
    <xdr:pic>
      <xdr:nvPicPr>
        <xdr:cNvPr id="245" name="Picture 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63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711611"/>
    <xdr:pic>
      <xdr:nvPicPr>
        <xdr:cNvPr id="246" name="Picture 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116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85758"/>
    <xdr:pic>
      <xdr:nvPicPr>
        <xdr:cNvPr id="247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5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76233"/>
    <xdr:pic>
      <xdr:nvPicPr>
        <xdr:cNvPr id="248" name="Picture 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62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76232"/>
    <xdr:pic>
      <xdr:nvPicPr>
        <xdr:cNvPr id="249" name="Picture 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6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76232"/>
    <xdr:pic>
      <xdr:nvPicPr>
        <xdr:cNvPr id="250" name="Picture 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6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711610"/>
    <xdr:pic>
      <xdr:nvPicPr>
        <xdr:cNvPr id="251" name="Picture 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11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85757"/>
    <xdr:pic>
      <xdr:nvPicPr>
        <xdr:cNvPr id="252" name="Picture 1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5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76232"/>
    <xdr:pic>
      <xdr:nvPicPr>
        <xdr:cNvPr id="253" name="Picture 1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6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99365"/>
    <xdr:pic>
      <xdr:nvPicPr>
        <xdr:cNvPr id="254" name="Picture 1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9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903472"/>
    <xdr:pic>
      <xdr:nvPicPr>
        <xdr:cNvPr id="255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9034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99365"/>
    <xdr:pic>
      <xdr:nvPicPr>
        <xdr:cNvPr id="256" name="Picture 1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9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99364"/>
    <xdr:pic>
      <xdr:nvPicPr>
        <xdr:cNvPr id="257" name="Picture 1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9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903472"/>
    <xdr:pic>
      <xdr:nvPicPr>
        <xdr:cNvPr id="258" name="Picture 1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9034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99364"/>
    <xdr:pic>
      <xdr:nvPicPr>
        <xdr:cNvPr id="259" name="Picture 1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9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703446"/>
    <xdr:pic>
      <xdr:nvPicPr>
        <xdr:cNvPr id="260" name="Picture 1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34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92560"/>
    <xdr:pic>
      <xdr:nvPicPr>
        <xdr:cNvPr id="261" name="Picture 1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2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38586"/>
    <xdr:pic>
      <xdr:nvPicPr>
        <xdr:cNvPr id="262" name="Picture 2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38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83036"/>
    <xdr:pic>
      <xdr:nvPicPr>
        <xdr:cNvPr id="263" name="Picture 2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3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85757"/>
    <xdr:pic>
      <xdr:nvPicPr>
        <xdr:cNvPr id="264" name="Picture 2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5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64407" cy="660357"/>
    <xdr:sp macro="" textlink="">
      <xdr:nvSpPr>
        <xdr:cNvPr id="265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035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46</xdr:row>
      <xdr:rowOff>0</xdr:rowOff>
    </xdr:from>
    <xdr:ext cx="64407" cy="657635"/>
    <xdr:sp macro="" textlink="">
      <xdr:nvSpPr>
        <xdr:cNvPr id="266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576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46</xdr:row>
      <xdr:rowOff>0</xdr:rowOff>
    </xdr:from>
    <xdr:ext cx="64407" cy="657635"/>
    <xdr:sp macro="" textlink="">
      <xdr:nvSpPr>
        <xdr:cNvPr id="267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576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46</xdr:row>
      <xdr:rowOff>0</xdr:rowOff>
    </xdr:from>
    <xdr:ext cx="64407" cy="657635"/>
    <xdr:sp macro="" textlink="">
      <xdr:nvSpPr>
        <xdr:cNvPr id="268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576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46</xdr:row>
      <xdr:rowOff>0</xdr:rowOff>
    </xdr:from>
    <xdr:ext cx="85725" cy="676231"/>
    <xdr:pic>
      <xdr:nvPicPr>
        <xdr:cNvPr id="269" name="AutoShape 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62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83035"/>
    <xdr:pic>
      <xdr:nvPicPr>
        <xdr:cNvPr id="270" name="Picture 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3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63985"/>
    <xdr:pic>
      <xdr:nvPicPr>
        <xdr:cNvPr id="271" name="Picture 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63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711610"/>
    <xdr:pic>
      <xdr:nvPicPr>
        <xdr:cNvPr id="272" name="Picture 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11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85757"/>
    <xdr:pic>
      <xdr:nvPicPr>
        <xdr:cNvPr id="273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5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76232"/>
    <xdr:pic>
      <xdr:nvPicPr>
        <xdr:cNvPr id="274" name="Picture 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6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76231"/>
    <xdr:pic>
      <xdr:nvPicPr>
        <xdr:cNvPr id="275" name="Picture 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62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76231"/>
    <xdr:pic>
      <xdr:nvPicPr>
        <xdr:cNvPr id="276" name="Picture 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62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711609"/>
    <xdr:pic>
      <xdr:nvPicPr>
        <xdr:cNvPr id="277" name="Picture 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116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85756"/>
    <xdr:pic>
      <xdr:nvPicPr>
        <xdr:cNvPr id="278" name="Picture 1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5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76231"/>
    <xdr:pic>
      <xdr:nvPicPr>
        <xdr:cNvPr id="279" name="Picture 1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62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99364"/>
    <xdr:pic>
      <xdr:nvPicPr>
        <xdr:cNvPr id="280" name="Picture 1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9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903471"/>
    <xdr:pic>
      <xdr:nvPicPr>
        <xdr:cNvPr id="281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903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99364"/>
    <xdr:pic>
      <xdr:nvPicPr>
        <xdr:cNvPr id="282" name="Picture 1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9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99363"/>
    <xdr:pic>
      <xdr:nvPicPr>
        <xdr:cNvPr id="283" name="Picture 1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93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903471"/>
    <xdr:pic>
      <xdr:nvPicPr>
        <xdr:cNvPr id="284" name="Picture 1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903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99363"/>
    <xdr:pic>
      <xdr:nvPicPr>
        <xdr:cNvPr id="285" name="Picture 1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93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703445"/>
    <xdr:pic>
      <xdr:nvPicPr>
        <xdr:cNvPr id="286" name="Picture 1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34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92559"/>
    <xdr:pic>
      <xdr:nvPicPr>
        <xdr:cNvPr id="287" name="Picture 1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2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38585"/>
    <xdr:pic>
      <xdr:nvPicPr>
        <xdr:cNvPr id="288" name="Picture 2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38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83035"/>
    <xdr:pic>
      <xdr:nvPicPr>
        <xdr:cNvPr id="289" name="Picture 2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3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85756"/>
    <xdr:pic>
      <xdr:nvPicPr>
        <xdr:cNvPr id="290" name="Picture 2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5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64407" cy="660357"/>
    <xdr:sp macro="" textlink="">
      <xdr:nvSpPr>
        <xdr:cNvPr id="291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035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46</xdr:row>
      <xdr:rowOff>0</xdr:rowOff>
    </xdr:from>
    <xdr:ext cx="64407" cy="657635"/>
    <xdr:sp macro="" textlink="">
      <xdr:nvSpPr>
        <xdr:cNvPr id="292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576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46</xdr:row>
      <xdr:rowOff>0</xdr:rowOff>
    </xdr:from>
    <xdr:ext cx="64407" cy="657635"/>
    <xdr:sp macro="" textlink="">
      <xdr:nvSpPr>
        <xdr:cNvPr id="293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576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46</xdr:row>
      <xdr:rowOff>0</xdr:rowOff>
    </xdr:from>
    <xdr:ext cx="64407" cy="657635"/>
    <xdr:sp macro="" textlink="">
      <xdr:nvSpPr>
        <xdr:cNvPr id="294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576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46</xdr:row>
      <xdr:rowOff>0</xdr:rowOff>
    </xdr:from>
    <xdr:ext cx="85725" cy="676231"/>
    <xdr:pic>
      <xdr:nvPicPr>
        <xdr:cNvPr id="295" name="AutoShape 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62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83035"/>
    <xdr:pic>
      <xdr:nvPicPr>
        <xdr:cNvPr id="296" name="Picture 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3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63985"/>
    <xdr:pic>
      <xdr:nvPicPr>
        <xdr:cNvPr id="297" name="Picture 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63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711610"/>
    <xdr:pic>
      <xdr:nvPicPr>
        <xdr:cNvPr id="298" name="Picture 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11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85757"/>
    <xdr:pic>
      <xdr:nvPicPr>
        <xdr:cNvPr id="299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5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76232"/>
    <xdr:pic>
      <xdr:nvPicPr>
        <xdr:cNvPr id="300" name="Picture 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6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76231"/>
    <xdr:pic>
      <xdr:nvPicPr>
        <xdr:cNvPr id="301" name="Picture 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62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76231"/>
    <xdr:pic>
      <xdr:nvPicPr>
        <xdr:cNvPr id="302" name="Picture 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62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711609"/>
    <xdr:pic>
      <xdr:nvPicPr>
        <xdr:cNvPr id="303" name="Picture 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116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85756"/>
    <xdr:pic>
      <xdr:nvPicPr>
        <xdr:cNvPr id="304" name="Picture 1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5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76231"/>
    <xdr:pic>
      <xdr:nvPicPr>
        <xdr:cNvPr id="305" name="Picture 1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62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99364"/>
    <xdr:pic>
      <xdr:nvPicPr>
        <xdr:cNvPr id="306" name="Picture 1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9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903471"/>
    <xdr:pic>
      <xdr:nvPicPr>
        <xdr:cNvPr id="307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903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99364"/>
    <xdr:pic>
      <xdr:nvPicPr>
        <xdr:cNvPr id="308" name="Picture 1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9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99363"/>
    <xdr:pic>
      <xdr:nvPicPr>
        <xdr:cNvPr id="309" name="Picture 1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93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903471"/>
    <xdr:pic>
      <xdr:nvPicPr>
        <xdr:cNvPr id="310" name="Picture 1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903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99363"/>
    <xdr:pic>
      <xdr:nvPicPr>
        <xdr:cNvPr id="311" name="Picture 1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93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703445"/>
    <xdr:pic>
      <xdr:nvPicPr>
        <xdr:cNvPr id="312" name="Picture 1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34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92559"/>
    <xdr:pic>
      <xdr:nvPicPr>
        <xdr:cNvPr id="313" name="Picture 1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2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38585"/>
    <xdr:pic>
      <xdr:nvPicPr>
        <xdr:cNvPr id="314" name="Picture 2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38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83035"/>
    <xdr:pic>
      <xdr:nvPicPr>
        <xdr:cNvPr id="315" name="Picture 2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3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85756"/>
    <xdr:pic>
      <xdr:nvPicPr>
        <xdr:cNvPr id="316" name="Picture 2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5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64407" cy="663160"/>
    <xdr:sp macro="" textlink="">
      <xdr:nvSpPr>
        <xdr:cNvPr id="317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316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46</xdr:row>
      <xdr:rowOff>0</xdr:rowOff>
    </xdr:from>
    <xdr:ext cx="64407" cy="660438"/>
    <xdr:sp macro="" textlink="">
      <xdr:nvSpPr>
        <xdr:cNvPr id="318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04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46</xdr:row>
      <xdr:rowOff>0</xdr:rowOff>
    </xdr:from>
    <xdr:ext cx="64407" cy="660438"/>
    <xdr:sp macro="" textlink="">
      <xdr:nvSpPr>
        <xdr:cNvPr id="319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04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46</xdr:row>
      <xdr:rowOff>0</xdr:rowOff>
    </xdr:from>
    <xdr:ext cx="64407" cy="660438"/>
    <xdr:sp macro="" textlink="">
      <xdr:nvSpPr>
        <xdr:cNvPr id="320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04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46</xdr:row>
      <xdr:rowOff>0</xdr:rowOff>
    </xdr:from>
    <xdr:ext cx="85725" cy="679034"/>
    <xdr:pic>
      <xdr:nvPicPr>
        <xdr:cNvPr id="321" name="AutoShape 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85838"/>
    <xdr:pic>
      <xdr:nvPicPr>
        <xdr:cNvPr id="322" name="Picture 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58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66788"/>
    <xdr:pic>
      <xdr:nvPicPr>
        <xdr:cNvPr id="323" name="Picture 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667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714413"/>
    <xdr:pic>
      <xdr:nvPicPr>
        <xdr:cNvPr id="324" name="Picture 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144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88560"/>
    <xdr:pic>
      <xdr:nvPicPr>
        <xdr:cNvPr id="325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8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79035"/>
    <xdr:pic>
      <xdr:nvPicPr>
        <xdr:cNvPr id="326" name="Picture 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79034"/>
    <xdr:pic>
      <xdr:nvPicPr>
        <xdr:cNvPr id="327" name="Picture 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79034"/>
    <xdr:pic>
      <xdr:nvPicPr>
        <xdr:cNvPr id="328" name="Picture 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714412"/>
    <xdr:pic>
      <xdr:nvPicPr>
        <xdr:cNvPr id="329" name="Picture 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144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88559"/>
    <xdr:pic>
      <xdr:nvPicPr>
        <xdr:cNvPr id="330" name="Picture 1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8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79034"/>
    <xdr:pic>
      <xdr:nvPicPr>
        <xdr:cNvPr id="331" name="Picture 1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702167"/>
    <xdr:pic>
      <xdr:nvPicPr>
        <xdr:cNvPr id="332" name="Picture 1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21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906274"/>
    <xdr:pic>
      <xdr:nvPicPr>
        <xdr:cNvPr id="333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906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702167"/>
    <xdr:pic>
      <xdr:nvPicPr>
        <xdr:cNvPr id="334" name="Picture 1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21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702166"/>
    <xdr:pic>
      <xdr:nvPicPr>
        <xdr:cNvPr id="335" name="Picture 1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2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906274"/>
    <xdr:pic>
      <xdr:nvPicPr>
        <xdr:cNvPr id="336" name="Picture 1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906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702166"/>
    <xdr:pic>
      <xdr:nvPicPr>
        <xdr:cNvPr id="337" name="Picture 1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2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706248"/>
    <xdr:pic>
      <xdr:nvPicPr>
        <xdr:cNvPr id="338" name="Picture 1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62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95362"/>
    <xdr:pic>
      <xdr:nvPicPr>
        <xdr:cNvPr id="339" name="Picture 1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53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41388"/>
    <xdr:pic>
      <xdr:nvPicPr>
        <xdr:cNvPr id="340" name="Picture 2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413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85838"/>
    <xdr:pic>
      <xdr:nvPicPr>
        <xdr:cNvPr id="341" name="Picture 2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58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88559"/>
    <xdr:pic>
      <xdr:nvPicPr>
        <xdr:cNvPr id="342" name="Picture 2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8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64407" cy="663160"/>
    <xdr:sp macro="" textlink="">
      <xdr:nvSpPr>
        <xdr:cNvPr id="343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316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46</xdr:row>
      <xdr:rowOff>0</xdr:rowOff>
    </xdr:from>
    <xdr:ext cx="64407" cy="660438"/>
    <xdr:sp macro="" textlink="">
      <xdr:nvSpPr>
        <xdr:cNvPr id="344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04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46</xdr:row>
      <xdr:rowOff>0</xdr:rowOff>
    </xdr:from>
    <xdr:ext cx="64407" cy="660438"/>
    <xdr:sp macro="" textlink="">
      <xdr:nvSpPr>
        <xdr:cNvPr id="345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04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46</xdr:row>
      <xdr:rowOff>0</xdr:rowOff>
    </xdr:from>
    <xdr:ext cx="64407" cy="660438"/>
    <xdr:sp macro="" textlink="">
      <xdr:nvSpPr>
        <xdr:cNvPr id="346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04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46</xdr:row>
      <xdr:rowOff>0</xdr:rowOff>
    </xdr:from>
    <xdr:ext cx="85725" cy="679034"/>
    <xdr:pic>
      <xdr:nvPicPr>
        <xdr:cNvPr id="347" name="AutoShape 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85838"/>
    <xdr:pic>
      <xdr:nvPicPr>
        <xdr:cNvPr id="348" name="Picture 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58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66788"/>
    <xdr:pic>
      <xdr:nvPicPr>
        <xdr:cNvPr id="349" name="Picture 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667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714413"/>
    <xdr:pic>
      <xdr:nvPicPr>
        <xdr:cNvPr id="350" name="Picture 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144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88560"/>
    <xdr:pic>
      <xdr:nvPicPr>
        <xdr:cNvPr id="351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8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79035"/>
    <xdr:pic>
      <xdr:nvPicPr>
        <xdr:cNvPr id="352" name="Picture 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79034"/>
    <xdr:pic>
      <xdr:nvPicPr>
        <xdr:cNvPr id="353" name="Picture 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79034"/>
    <xdr:pic>
      <xdr:nvPicPr>
        <xdr:cNvPr id="354" name="Picture 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714412"/>
    <xdr:pic>
      <xdr:nvPicPr>
        <xdr:cNvPr id="355" name="Picture 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144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88559"/>
    <xdr:pic>
      <xdr:nvPicPr>
        <xdr:cNvPr id="356" name="Picture 1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8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79034"/>
    <xdr:pic>
      <xdr:nvPicPr>
        <xdr:cNvPr id="357" name="Picture 1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702167"/>
    <xdr:pic>
      <xdr:nvPicPr>
        <xdr:cNvPr id="358" name="Picture 1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21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906274"/>
    <xdr:pic>
      <xdr:nvPicPr>
        <xdr:cNvPr id="359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906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702167"/>
    <xdr:pic>
      <xdr:nvPicPr>
        <xdr:cNvPr id="360" name="Picture 1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21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702166"/>
    <xdr:pic>
      <xdr:nvPicPr>
        <xdr:cNvPr id="361" name="Picture 1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2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906274"/>
    <xdr:pic>
      <xdr:nvPicPr>
        <xdr:cNvPr id="362" name="Picture 1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906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702166"/>
    <xdr:pic>
      <xdr:nvPicPr>
        <xdr:cNvPr id="363" name="Picture 1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2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706248"/>
    <xdr:pic>
      <xdr:nvPicPr>
        <xdr:cNvPr id="364" name="Picture 1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62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95362"/>
    <xdr:pic>
      <xdr:nvPicPr>
        <xdr:cNvPr id="365" name="Picture 1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53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41388"/>
    <xdr:pic>
      <xdr:nvPicPr>
        <xdr:cNvPr id="366" name="Picture 2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413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85838"/>
    <xdr:pic>
      <xdr:nvPicPr>
        <xdr:cNvPr id="367" name="Picture 2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58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88559"/>
    <xdr:pic>
      <xdr:nvPicPr>
        <xdr:cNvPr id="368" name="Picture 2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8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64407" cy="663159"/>
    <xdr:sp macro="" textlink="">
      <xdr:nvSpPr>
        <xdr:cNvPr id="369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31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46</xdr:row>
      <xdr:rowOff>0</xdr:rowOff>
    </xdr:from>
    <xdr:ext cx="64407" cy="660437"/>
    <xdr:sp macro="" textlink="">
      <xdr:nvSpPr>
        <xdr:cNvPr id="370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0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46</xdr:row>
      <xdr:rowOff>0</xdr:rowOff>
    </xdr:from>
    <xdr:ext cx="64407" cy="660437"/>
    <xdr:sp macro="" textlink="">
      <xdr:nvSpPr>
        <xdr:cNvPr id="371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0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46</xdr:row>
      <xdr:rowOff>0</xdr:rowOff>
    </xdr:from>
    <xdr:ext cx="64407" cy="660437"/>
    <xdr:sp macro="" textlink="">
      <xdr:nvSpPr>
        <xdr:cNvPr id="372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0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46</xdr:row>
      <xdr:rowOff>0</xdr:rowOff>
    </xdr:from>
    <xdr:ext cx="85725" cy="679033"/>
    <xdr:pic>
      <xdr:nvPicPr>
        <xdr:cNvPr id="373" name="AutoShape 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85837"/>
    <xdr:pic>
      <xdr:nvPicPr>
        <xdr:cNvPr id="374" name="Picture 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58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66787"/>
    <xdr:pic>
      <xdr:nvPicPr>
        <xdr:cNvPr id="375" name="Picture 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667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714412"/>
    <xdr:pic>
      <xdr:nvPicPr>
        <xdr:cNvPr id="376" name="Picture 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144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88559"/>
    <xdr:pic>
      <xdr:nvPicPr>
        <xdr:cNvPr id="377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8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79034"/>
    <xdr:pic>
      <xdr:nvPicPr>
        <xdr:cNvPr id="378" name="Picture 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79033"/>
    <xdr:pic>
      <xdr:nvPicPr>
        <xdr:cNvPr id="379" name="Picture 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79033"/>
    <xdr:pic>
      <xdr:nvPicPr>
        <xdr:cNvPr id="380" name="Picture 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714411"/>
    <xdr:pic>
      <xdr:nvPicPr>
        <xdr:cNvPr id="381" name="Picture 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144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88558"/>
    <xdr:pic>
      <xdr:nvPicPr>
        <xdr:cNvPr id="382" name="Picture 1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85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79033"/>
    <xdr:pic>
      <xdr:nvPicPr>
        <xdr:cNvPr id="383" name="Picture 1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702166"/>
    <xdr:pic>
      <xdr:nvPicPr>
        <xdr:cNvPr id="384" name="Picture 1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2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906273"/>
    <xdr:pic>
      <xdr:nvPicPr>
        <xdr:cNvPr id="385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702166"/>
    <xdr:pic>
      <xdr:nvPicPr>
        <xdr:cNvPr id="386" name="Picture 1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2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702165"/>
    <xdr:pic>
      <xdr:nvPicPr>
        <xdr:cNvPr id="387" name="Picture 1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2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906273"/>
    <xdr:pic>
      <xdr:nvPicPr>
        <xdr:cNvPr id="388" name="Picture 1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702165"/>
    <xdr:pic>
      <xdr:nvPicPr>
        <xdr:cNvPr id="389" name="Picture 1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2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706247"/>
    <xdr:pic>
      <xdr:nvPicPr>
        <xdr:cNvPr id="390" name="Picture 1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6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95361"/>
    <xdr:pic>
      <xdr:nvPicPr>
        <xdr:cNvPr id="391" name="Picture 1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53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41387"/>
    <xdr:pic>
      <xdr:nvPicPr>
        <xdr:cNvPr id="392" name="Picture 2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413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85837"/>
    <xdr:pic>
      <xdr:nvPicPr>
        <xdr:cNvPr id="393" name="Picture 2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58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88558"/>
    <xdr:pic>
      <xdr:nvPicPr>
        <xdr:cNvPr id="394" name="Picture 2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85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64407" cy="663159"/>
    <xdr:sp macro="" textlink="">
      <xdr:nvSpPr>
        <xdr:cNvPr id="395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31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46</xdr:row>
      <xdr:rowOff>0</xdr:rowOff>
    </xdr:from>
    <xdr:ext cx="64407" cy="660437"/>
    <xdr:sp macro="" textlink="">
      <xdr:nvSpPr>
        <xdr:cNvPr id="396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0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46</xdr:row>
      <xdr:rowOff>0</xdr:rowOff>
    </xdr:from>
    <xdr:ext cx="64407" cy="660437"/>
    <xdr:sp macro="" textlink="">
      <xdr:nvSpPr>
        <xdr:cNvPr id="397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0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46</xdr:row>
      <xdr:rowOff>0</xdr:rowOff>
    </xdr:from>
    <xdr:ext cx="64407" cy="660437"/>
    <xdr:sp macro="" textlink="">
      <xdr:nvSpPr>
        <xdr:cNvPr id="398" name="AutoShape 1" descr="image001"/>
        <xdr:cNvSpPr>
          <a:spLocks noChangeAspect="1" noChangeArrowheads="1"/>
        </xdr:cNvSpPr>
      </xdr:nvSpPr>
      <xdr:spPr bwMode="auto">
        <a:xfrm>
          <a:off x="7886700" y="132464175"/>
          <a:ext cx="64407" cy="660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46</xdr:row>
      <xdr:rowOff>0</xdr:rowOff>
    </xdr:from>
    <xdr:ext cx="85725" cy="679033"/>
    <xdr:pic>
      <xdr:nvPicPr>
        <xdr:cNvPr id="399" name="AutoShape 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85837"/>
    <xdr:pic>
      <xdr:nvPicPr>
        <xdr:cNvPr id="400" name="Picture 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58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66787"/>
    <xdr:pic>
      <xdr:nvPicPr>
        <xdr:cNvPr id="401" name="Picture 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667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714412"/>
    <xdr:pic>
      <xdr:nvPicPr>
        <xdr:cNvPr id="402" name="Picture 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144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88559"/>
    <xdr:pic>
      <xdr:nvPicPr>
        <xdr:cNvPr id="403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8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79034"/>
    <xdr:pic>
      <xdr:nvPicPr>
        <xdr:cNvPr id="404" name="Picture 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79033"/>
    <xdr:pic>
      <xdr:nvPicPr>
        <xdr:cNvPr id="405" name="Picture 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79033"/>
    <xdr:pic>
      <xdr:nvPicPr>
        <xdr:cNvPr id="406" name="Picture 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714411"/>
    <xdr:pic>
      <xdr:nvPicPr>
        <xdr:cNvPr id="407" name="Picture 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144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88558"/>
    <xdr:pic>
      <xdr:nvPicPr>
        <xdr:cNvPr id="408" name="Picture 1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85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79033"/>
    <xdr:pic>
      <xdr:nvPicPr>
        <xdr:cNvPr id="409" name="Picture 1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7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702166"/>
    <xdr:pic>
      <xdr:nvPicPr>
        <xdr:cNvPr id="410" name="Picture 1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2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906273"/>
    <xdr:pic>
      <xdr:nvPicPr>
        <xdr:cNvPr id="411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702166"/>
    <xdr:pic>
      <xdr:nvPicPr>
        <xdr:cNvPr id="412" name="Picture 1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2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702165"/>
    <xdr:pic>
      <xdr:nvPicPr>
        <xdr:cNvPr id="413" name="Picture 1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2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906273"/>
    <xdr:pic>
      <xdr:nvPicPr>
        <xdr:cNvPr id="414" name="Picture 1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702165"/>
    <xdr:pic>
      <xdr:nvPicPr>
        <xdr:cNvPr id="415" name="Picture 1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2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706247"/>
    <xdr:pic>
      <xdr:nvPicPr>
        <xdr:cNvPr id="416" name="Picture 1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706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95361"/>
    <xdr:pic>
      <xdr:nvPicPr>
        <xdr:cNvPr id="417" name="Picture 1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953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41387"/>
    <xdr:pic>
      <xdr:nvPicPr>
        <xdr:cNvPr id="418" name="Picture 2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413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85837"/>
    <xdr:pic>
      <xdr:nvPicPr>
        <xdr:cNvPr id="419" name="Picture 2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58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85725" cy="688558"/>
    <xdr:pic>
      <xdr:nvPicPr>
        <xdr:cNvPr id="420" name="Picture 2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32464175"/>
          <a:ext cx="85725" cy="6885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300336</xdr:colOff>
      <xdr:row>46</xdr:row>
      <xdr:rowOff>0</xdr:rowOff>
    </xdr:from>
    <xdr:ext cx="85725" cy="906273"/>
    <xdr:pic>
      <xdr:nvPicPr>
        <xdr:cNvPr id="421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336" y="132464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289752</xdr:colOff>
      <xdr:row>46</xdr:row>
      <xdr:rowOff>0</xdr:rowOff>
    </xdr:from>
    <xdr:ext cx="85725" cy="906273"/>
    <xdr:pic>
      <xdr:nvPicPr>
        <xdr:cNvPr id="422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752" y="132464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289752</xdr:colOff>
      <xdr:row>46</xdr:row>
      <xdr:rowOff>0</xdr:rowOff>
    </xdr:from>
    <xdr:ext cx="85725" cy="906273"/>
    <xdr:pic>
      <xdr:nvPicPr>
        <xdr:cNvPr id="423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752" y="132464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289752</xdr:colOff>
      <xdr:row>46</xdr:row>
      <xdr:rowOff>0</xdr:rowOff>
    </xdr:from>
    <xdr:ext cx="85725" cy="906273"/>
    <xdr:pic>
      <xdr:nvPicPr>
        <xdr:cNvPr id="424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752" y="132464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279168</xdr:colOff>
      <xdr:row>46</xdr:row>
      <xdr:rowOff>0</xdr:rowOff>
    </xdr:from>
    <xdr:ext cx="85725" cy="906273"/>
    <xdr:pic>
      <xdr:nvPicPr>
        <xdr:cNvPr id="425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168" y="132464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321502</xdr:colOff>
      <xdr:row>46</xdr:row>
      <xdr:rowOff>0</xdr:rowOff>
    </xdr:from>
    <xdr:ext cx="85725" cy="906273"/>
    <xdr:pic>
      <xdr:nvPicPr>
        <xdr:cNvPr id="426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502" y="132464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289752</xdr:colOff>
      <xdr:row>46</xdr:row>
      <xdr:rowOff>0</xdr:rowOff>
    </xdr:from>
    <xdr:ext cx="85725" cy="906273"/>
    <xdr:pic>
      <xdr:nvPicPr>
        <xdr:cNvPr id="427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752" y="132464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289752</xdr:colOff>
      <xdr:row>46</xdr:row>
      <xdr:rowOff>0</xdr:rowOff>
    </xdr:from>
    <xdr:ext cx="85725" cy="906273"/>
    <xdr:pic>
      <xdr:nvPicPr>
        <xdr:cNvPr id="428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752" y="132464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289752</xdr:colOff>
      <xdr:row>46</xdr:row>
      <xdr:rowOff>0</xdr:rowOff>
    </xdr:from>
    <xdr:ext cx="85725" cy="906273"/>
    <xdr:pic>
      <xdr:nvPicPr>
        <xdr:cNvPr id="429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752" y="132464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289752</xdr:colOff>
      <xdr:row>46</xdr:row>
      <xdr:rowOff>0</xdr:rowOff>
    </xdr:from>
    <xdr:ext cx="85725" cy="906273"/>
    <xdr:pic>
      <xdr:nvPicPr>
        <xdr:cNvPr id="430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752" y="132464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289752</xdr:colOff>
      <xdr:row>46</xdr:row>
      <xdr:rowOff>0</xdr:rowOff>
    </xdr:from>
    <xdr:ext cx="85725" cy="906273"/>
    <xdr:pic>
      <xdr:nvPicPr>
        <xdr:cNvPr id="431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752" y="132464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289752</xdr:colOff>
      <xdr:row>46</xdr:row>
      <xdr:rowOff>0</xdr:rowOff>
    </xdr:from>
    <xdr:ext cx="85725" cy="906273"/>
    <xdr:pic>
      <xdr:nvPicPr>
        <xdr:cNvPr id="432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752" y="132464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289752</xdr:colOff>
      <xdr:row>46</xdr:row>
      <xdr:rowOff>0</xdr:rowOff>
    </xdr:from>
    <xdr:ext cx="85725" cy="906273"/>
    <xdr:pic>
      <xdr:nvPicPr>
        <xdr:cNvPr id="433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752" y="132464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289752</xdr:colOff>
      <xdr:row>46</xdr:row>
      <xdr:rowOff>0</xdr:rowOff>
    </xdr:from>
    <xdr:ext cx="85725" cy="906273"/>
    <xdr:pic>
      <xdr:nvPicPr>
        <xdr:cNvPr id="434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752" y="132464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289752</xdr:colOff>
      <xdr:row>46</xdr:row>
      <xdr:rowOff>0</xdr:rowOff>
    </xdr:from>
    <xdr:ext cx="85725" cy="906273"/>
    <xdr:pic>
      <xdr:nvPicPr>
        <xdr:cNvPr id="435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752" y="132464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289752</xdr:colOff>
      <xdr:row>46</xdr:row>
      <xdr:rowOff>0</xdr:rowOff>
    </xdr:from>
    <xdr:ext cx="85725" cy="906273"/>
    <xdr:pic>
      <xdr:nvPicPr>
        <xdr:cNvPr id="436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752" y="132464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46</xdr:row>
      <xdr:rowOff>0</xdr:rowOff>
    </xdr:from>
    <xdr:ext cx="85725" cy="906273"/>
    <xdr:pic>
      <xdr:nvPicPr>
        <xdr:cNvPr id="437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94710" y="132464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4002</xdr:colOff>
      <xdr:row>4</xdr:row>
      <xdr:rowOff>0</xdr:rowOff>
    </xdr:from>
    <xdr:ext cx="85725" cy="906273"/>
    <xdr:pic>
      <xdr:nvPicPr>
        <xdr:cNvPr id="2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377" y="2162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4002</xdr:colOff>
      <xdr:row>4</xdr:row>
      <xdr:rowOff>0</xdr:rowOff>
    </xdr:from>
    <xdr:ext cx="85725" cy="906273"/>
    <xdr:pic>
      <xdr:nvPicPr>
        <xdr:cNvPr id="3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377" y="2162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4002</xdr:colOff>
      <xdr:row>4</xdr:row>
      <xdr:rowOff>0</xdr:rowOff>
    </xdr:from>
    <xdr:ext cx="85725" cy="906273"/>
    <xdr:pic>
      <xdr:nvPicPr>
        <xdr:cNvPr id="4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377" y="2162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437918</xdr:colOff>
      <xdr:row>4</xdr:row>
      <xdr:rowOff>0</xdr:rowOff>
    </xdr:from>
    <xdr:ext cx="85725" cy="906273"/>
    <xdr:pic>
      <xdr:nvPicPr>
        <xdr:cNvPr id="5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2162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4</xdr:col>
      <xdr:colOff>0</xdr:colOff>
      <xdr:row>4</xdr:row>
      <xdr:rowOff>0</xdr:rowOff>
    </xdr:from>
    <xdr:to>
      <xdr:col>4</xdr:col>
      <xdr:colOff>64407</xdr:colOff>
      <xdr:row>7</xdr:row>
      <xdr:rowOff>158708</xdr:rowOff>
    </xdr:to>
    <xdr:sp macro="" textlink="">
      <xdr:nvSpPr>
        <xdr:cNvPr id="6" name="AutoShape 1" descr="image001"/>
        <xdr:cNvSpPr>
          <a:spLocks noChangeAspect="1" noChangeArrowheads="1"/>
        </xdr:cNvSpPr>
      </xdr:nvSpPr>
      <xdr:spPr bwMode="auto">
        <a:xfrm>
          <a:off x="3505200" y="2162175"/>
          <a:ext cx="64407" cy="66353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64407</xdr:colOff>
      <xdr:row>8</xdr:row>
      <xdr:rowOff>4233</xdr:rowOff>
    </xdr:to>
    <xdr:sp macro="" textlink="">
      <xdr:nvSpPr>
        <xdr:cNvPr id="7" name="AutoShape 1" descr="image001"/>
        <xdr:cNvSpPr>
          <a:spLocks noChangeAspect="1" noChangeArrowheads="1"/>
        </xdr:cNvSpPr>
      </xdr:nvSpPr>
      <xdr:spPr bwMode="auto">
        <a:xfrm>
          <a:off x="3505200" y="2162175"/>
          <a:ext cx="64407" cy="65193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64407</xdr:colOff>
      <xdr:row>8</xdr:row>
      <xdr:rowOff>4233</xdr:rowOff>
    </xdr:to>
    <xdr:sp macro="" textlink="">
      <xdr:nvSpPr>
        <xdr:cNvPr id="8" name="AutoShape 1" descr="image001"/>
        <xdr:cNvSpPr>
          <a:spLocks noChangeAspect="1" noChangeArrowheads="1"/>
        </xdr:cNvSpPr>
      </xdr:nvSpPr>
      <xdr:spPr bwMode="auto">
        <a:xfrm>
          <a:off x="3505200" y="2162175"/>
          <a:ext cx="64407" cy="65193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64407</xdr:colOff>
      <xdr:row>8</xdr:row>
      <xdr:rowOff>4233</xdr:rowOff>
    </xdr:to>
    <xdr:sp macro="" textlink="">
      <xdr:nvSpPr>
        <xdr:cNvPr id="9" name="AutoShape 1" descr="image001"/>
        <xdr:cNvSpPr>
          <a:spLocks noChangeAspect="1" noChangeArrowheads="1"/>
        </xdr:cNvSpPr>
      </xdr:nvSpPr>
      <xdr:spPr bwMode="auto">
        <a:xfrm>
          <a:off x="3505200" y="2162175"/>
          <a:ext cx="64407" cy="65193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31707</xdr:rowOff>
    </xdr:to>
    <xdr:pic>
      <xdr:nvPicPr>
        <xdr:cNvPr id="10" name="AutoShape 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9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38511</xdr:rowOff>
    </xdr:to>
    <xdr:pic>
      <xdr:nvPicPr>
        <xdr:cNvPr id="11" name="Picture 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62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411</xdr:rowOff>
    </xdr:to>
    <xdr:pic>
      <xdr:nvPicPr>
        <xdr:cNvPr id="12" name="Picture 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67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67086</xdr:rowOff>
    </xdr:to>
    <xdr:pic>
      <xdr:nvPicPr>
        <xdr:cNvPr id="13" name="Picture 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147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41233</xdr:rowOff>
    </xdr:to>
    <xdr:pic>
      <xdr:nvPicPr>
        <xdr:cNvPr id="14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89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31708</xdr:rowOff>
    </xdr:to>
    <xdr:pic>
      <xdr:nvPicPr>
        <xdr:cNvPr id="15" name="Picture 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9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31707</xdr:rowOff>
    </xdr:to>
    <xdr:pic>
      <xdr:nvPicPr>
        <xdr:cNvPr id="16" name="Picture 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9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31707</xdr:rowOff>
    </xdr:to>
    <xdr:pic>
      <xdr:nvPicPr>
        <xdr:cNvPr id="17" name="Picture 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9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67085</xdr:rowOff>
    </xdr:to>
    <xdr:pic>
      <xdr:nvPicPr>
        <xdr:cNvPr id="18" name="Picture 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14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41232</xdr:rowOff>
    </xdr:to>
    <xdr:pic>
      <xdr:nvPicPr>
        <xdr:cNvPr id="19" name="Picture 1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89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31707</xdr:rowOff>
    </xdr:to>
    <xdr:pic>
      <xdr:nvPicPr>
        <xdr:cNvPr id="20" name="Picture 1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9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54840</xdr:rowOff>
    </xdr:to>
    <xdr:pic>
      <xdr:nvPicPr>
        <xdr:cNvPr id="21" name="Picture 1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02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9</xdr:row>
      <xdr:rowOff>100197</xdr:rowOff>
    </xdr:to>
    <xdr:pic>
      <xdr:nvPicPr>
        <xdr:cNvPr id="22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9098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54840</xdr:rowOff>
    </xdr:to>
    <xdr:pic>
      <xdr:nvPicPr>
        <xdr:cNvPr id="23" name="Picture 1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02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54839</xdr:rowOff>
    </xdr:to>
    <xdr:pic>
      <xdr:nvPicPr>
        <xdr:cNvPr id="24" name="Picture 1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025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9</xdr:row>
      <xdr:rowOff>100197</xdr:rowOff>
    </xdr:to>
    <xdr:pic>
      <xdr:nvPicPr>
        <xdr:cNvPr id="25" name="Picture 1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9098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54839</xdr:rowOff>
    </xdr:to>
    <xdr:pic>
      <xdr:nvPicPr>
        <xdr:cNvPr id="26" name="Picture 1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025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58921</xdr:rowOff>
    </xdr:to>
    <xdr:pic>
      <xdr:nvPicPr>
        <xdr:cNvPr id="27" name="Picture 1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066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48035</xdr:rowOff>
    </xdr:to>
    <xdr:pic>
      <xdr:nvPicPr>
        <xdr:cNvPr id="28" name="Picture 1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957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7</xdr:row>
      <xdr:rowOff>155986</xdr:rowOff>
    </xdr:to>
    <xdr:pic>
      <xdr:nvPicPr>
        <xdr:cNvPr id="29" name="Picture 2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417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38511</xdr:rowOff>
    </xdr:to>
    <xdr:pic>
      <xdr:nvPicPr>
        <xdr:cNvPr id="30" name="Picture 2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62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41232</xdr:rowOff>
    </xdr:to>
    <xdr:pic>
      <xdr:nvPicPr>
        <xdr:cNvPr id="31" name="Picture 2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89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64407</xdr:colOff>
      <xdr:row>7</xdr:row>
      <xdr:rowOff>158708</xdr:rowOff>
    </xdr:to>
    <xdr:sp macro="" textlink="">
      <xdr:nvSpPr>
        <xdr:cNvPr id="32" name="AutoShape 1" descr="image001"/>
        <xdr:cNvSpPr>
          <a:spLocks noChangeAspect="1" noChangeArrowheads="1"/>
        </xdr:cNvSpPr>
      </xdr:nvSpPr>
      <xdr:spPr bwMode="auto">
        <a:xfrm>
          <a:off x="3505200" y="2162175"/>
          <a:ext cx="64407" cy="66353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64407</xdr:colOff>
      <xdr:row>8</xdr:row>
      <xdr:rowOff>4233</xdr:rowOff>
    </xdr:to>
    <xdr:sp macro="" textlink="">
      <xdr:nvSpPr>
        <xdr:cNvPr id="33" name="AutoShape 1" descr="image001"/>
        <xdr:cNvSpPr>
          <a:spLocks noChangeAspect="1" noChangeArrowheads="1"/>
        </xdr:cNvSpPr>
      </xdr:nvSpPr>
      <xdr:spPr bwMode="auto">
        <a:xfrm>
          <a:off x="3505200" y="2162175"/>
          <a:ext cx="64407" cy="65193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64407</xdr:colOff>
      <xdr:row>8</xdr:row>
      <xdr:rowOff>4233</xdr:rowOff>
    </xdr:to>
    <xdr:sp macro="" textlink="">
      <xdr:nvSpPr>
        <xdr:cNvPr id="34" name="AutoShape 1" descr="image001"/>
        <xdr:cNvSpPr>
          <a:spLocks noChangeAspect="1" noChangeArrowheads="1"/>
        </xdr:cNvSpPr>
      </xdr:nvSpPr>
      <xdr:spPr bwMode="auto">
        <a:xfrm>
          <a:off x="3505200" y="2162175"/>
          <a:ext cx="64407" cy="65193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64407</xdr:colOff>
      <xdr:row>8</xdr:row>
      <xdr:rowOff>4233</xdr:rowOff>
    </xdr:to>
    <xdr:sp macro="" textlink="">
      <xdr:nvSpPr>
        <xdr:cNvPr id="35" name="AutoShape 1" descr="image001"/>
        <xdr:cNvSpPr>
          <a:spLocks noChangeAspect="1" noChangeArrowheads="1"/>
        </xdr:cNvSpPr>
      </xdr:nvSpPr>
      <xdr:spPr bwMode="auto">
        <a:xfrm>
          <a:off x="3505200" y="2162175"/>
          <a:ext cx="64407" cy="65193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31707</xdr:rowOff>
    </xdr:to>
    <xdr:pic>
      <xdr:nvPicPr>
        <xdr:cNvPr id="36" name="AutoShape 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9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38511</xdr:rowOff>
    </xdr:to>
    <xdr:pic>
      <xdr:nvPicPr>
        <xdr:cNvPr id="37" name="Picture 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62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411</xdr:rowOff>
    </xdr:to>
    <xdr:pic>
      <xdr:nvPicPr>
        <xdr:cNvPr id="38" name="Picture 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67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67086</xdr:rowOff>
    </xdr:to>
    <xdr:pic>
      <xdr:nvPicPr>
        <xdr:cNvPr id="39" name="Picture 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147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41233</xdr:rowOff>
    </xdr:to>
    <xdr:pic>
      <xdr:nvPicPr>
        <xdr:cNvPr id="40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89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31708</xdr:rowOff>
    </xdr:to>
    <xdr:pic>
      <xdr:nvPicPr>
        <xdr:cNvPr id="41" name="Picture 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9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31707</xdr:rowOff>
    </xdr:to>
    <xdr:pic>
      <xdr:nvPicPr>
        <xdr:cNvPr id="42" name="Picture 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9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31707</xdr:rowOff>
    </xdr:to>
    <xdr:pic>
      <xdr:nvPicPr>
        <xdr:cNvPr id="43" name="Picture 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9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67085</xdr:rowOff>
    </xdr:to>
    <xdr:pic>
      <xdr:nvPicPr>
        <xdr:cNvPr id="44" name="Picture 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14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41232</xdr:rowOff>
    </xdr:to>
    <xdr:pic>
      <xdr:nvPicPr>
        <xdr:cNvPr id="45" name="Picture 1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89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31707</xdr:rowOff>
    </xdr:to>
    <xdr:pic>
      <xdr:nvPicPr>
        <xdr:cNvPr id="46" name="Picture 1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9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54840</xdr:rowOff>
    </xdr:to>
    <xdr:pic>
      <xdr:nvPicPr>
        <xdr:cNvPr id="47" name="Picture 1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02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9</xdr:row>
      <xdr:rowOff>100197</xdr:rowOff>
    </xdr:to>
    <xdr:pic>
      <xdr:nvPicPr>
        <xdr:cNvPr id="48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9098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54840</xdr:rowOff>
    </xdr:to>
    <xdr:pic>
      <xdr:nvPicPr>
        <xdr:cNvPr id="49" name="Picture 1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02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54839</xdr:rowOff>
    </xdr:to>
    <xdr:pic>
      <xdr:nvPicPr>
        <xdr:cNvPr id="50" name="Picture 1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025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9</xdr:row>
      <xdr:rowOff>100197</xdr:rowOff>
    </xdr:to>
    <xdr:pic>
      <xdr:nvPicPr>
        <xdr:cNvPr id="51" name="Picture 1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9098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54839</xdr:rowOff>
    </xdr:to>
    <xdr:pic>
      <xdr:nvPicPr>
        <xdr:cNvPr id="52" name="Picture 1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025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58921</xdr:rowOff>
    </xdr:to>
    <xdr:pic>
      <xdr:nvPicPr>
        <xdr:cNvPr id="53" name="Picture 1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066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48035</xdr:rowOff>
    </xdr:to>
    <xdr:pic>
      <xdr:nvPicPr>
        <xdr:cNvPr id="54" name="Picture 1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957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7</xdr:row>
      <xdr:rowOff>155986</xdr:rowOff>
    </xdr:to>
    <xdr:pic>
      <xdr:nvPicPr>
        <xdr:cNvPr id="55" name="Picture 2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417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38511</xdr:rowOff>
    </xdr:to>
    <xdr:pic>
      <xdr:nvPicPr>
        <xdr:cNvPr id="56" name="Picture 2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62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41232</xdr:rowOff>
    </xdr:to>
    <xdr:pic>
      <xdr:nvPicPr>
        <xdr:cNvPr id="57" name="Picture 2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89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64407</xdr:colOff>
      <xdr:row>7</xdr:row>
      <xdr:rowOff>158707</xdr:rowOff>
    </xdr:to>
    <xdr:sp macro="" textlink="">
      <xdr:nvSpPr>
        <xdr:cNvPr id="58" name="AutoShape 1" descr="image001"/>
        <xdr:cNvSpPr>
          <a:spLocks noChangeAspect="1" noChangeArrowheads="1"/>
        </xdr:cNvSpPr>
      </xdr:nvSpPr>
      <xdr:spPr bwMode="auto">
        <a:xfrm>
          <a:off x="3505200" y="2162175"/>
          <a:ext cx="64407" cy="66353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64407</xdr:colOff>
      <xdr:row>8</xdr:row>
      <xdr:rowOff>4233</xdr:rowOff>
    </xdr:to>
    <xdr:sp macro="" textlink="">
      <xdr:nvSpPr>
        <xdr:cNvPr id="59" name="AutoShape 1" descr="image001"/>
        <xdr:cNvSpPr>
          <a:spLocks noChangeAspect="1" noChangeArrowheads="1"/>
        </xdr:cNvSpPr>
      </xdr:nvSpPr>
      <xdr:spPr bwMode="auto">
        <a:xfrm>
          <a:off x="3505200" y="2162175"/>
          <a:ext cx="64407" cy="65193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64407</xdr:colOff>
      <xdr:row>8</xdr:row>
      <xdr:rowOff>4233</xdr:rowOff>
    </xdr:to>
    <xdr:sp macro="" textlink="">
      <xdr:nvSpPr>
        <xdr:cNvPr id="60" name="AutoShape 1" descr="image001"/>
        <xdr:cNvSpPr>
          <a:spLocks noChangeAspect="1" noChangeArrowheads="1"/>
        </xdr:cNvSpPr>
      </xdr:nvSpPr>
      <xdr:spPr bwMode="auto">
        <a:xfrm>
          <a:off x="3505200" y="2162175"/>
          <a:ext cx="64407" cy="65193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64407</xdr:colOff>
      <xdr:row>8</xdr:row>
      <xdr:rowOff>4233</xdr:rowOff>
    </xdr:to>
    <xdr:sp macro="" textlink="">
      <xdr:nvSpPr>
        <xdr:cNvPr id="61" name="AutoShape 1" descr="image001"/>
        <xdr:cNvSpPr>
          <a:spLocks noChangeAspect="1" noChangeArrowheads="1"/>
        </xdr:cNvSpPr>
      </xdr:nvSpPr>
      <xdr:spPr bwMode="auto">
        <a:xfrm>
          <a:off x="3505200" y="2162175"/>
          <a:ext cx="64407" cy="65193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31706</xdr:rowOff>
    </xdr:to>
    <xdr:pic>
      <xdr:nvPicPr>
        <xdr:cNvPr id="62" name="AutoShape 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9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38510</xdr:rowOff>
    </xdr:to>
    <xdr:pic>
      <xdr:nvPicPr>
        <xdr:cNvPr id="63" name="Picture 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62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410</xdr:rowOff>
    </xdr:to>
    <xdr:pic>
      <xdr:nvPicPr>
        <xdr:cNvPr id="64" name="Picture 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6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67085</xdr:rowOff>
    </xdr:to>
    <xdr:pic>
      <xdr:nvPicPr>
        <xdr:cNvPr id="65" name="Picture 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14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41232</xdr:rowOff>
    </xdr:to>
    <xdr:pic>
      <xdr:nvPicPr>
        <xdr:cNvPr id="66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89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31707</xdr:rowOff>
    </xdr:to>
    <xdr:pic>
      <xdr:nvPicPr>
        <xdr:cNvPr id="67" name="Picture 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9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31706</xdr:rowOff>
    </xdr:to>
    <xdr:pic>
      <xdr:nvPicPr>
        <xdr:cNvPr id="68" name="Picture 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9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31706</xdr:rowOff>
    </xdr:to>
    <xdr:pic>
      <xdr:nvPicPr>
        <xdr:cNvPr id="69" name="Picture 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9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67084</xdr:rowOff>
    </xdr:to>
    <xdr:pic>
      <xdr:nvPicPr>
        <xdr:cNvPr id="70" name="Picture 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147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41231</xdr:rowOff>
    </xdr:to>
    <xdr:pic>
      <xdr:nvPicPr>
        <xdr:cNvPr id="71" name="Picture 1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89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31706</xdr:rowOff>
    </xdr:to>
    <xdr:pic>
      <xdr:nvPicPr>
        <xdr:cNvPr id="72" name="Picture 1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9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54839</xdr:rowOff>
    </xdr:to>
    <xdr:pic>
      <xdr:nvPicPr>
        <xdr:cNvPr id="73" name="Picture 1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025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9</xdr:row>
      <xdr:rowOff>100196</xdr:rowOff>
    </xdr:to>
    <xdr:pic>
      <xdr:nvPicPr>
        <xdr:cNvPr id="74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909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54839</xdr:rowOff>
    </xdr:to>
    <xdr:pic>
      <xdr:nvPicPr>
        <xdr:cNvPr id="75" name="Picture 1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025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54838</xdr:rowOff>
    </xdr:to>
    <xdr:pic>
      <xdr:nvPicPr>
        <xdr:cNvPr id="76" name="Picture 1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02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9</xdr:row>
      <xdr:rowOff>100196</xdr:rowOff>
    </xdr:to>
    <xdr:pic>
      <xdr:nvPicPr>
        <xdr:cNvPr id="77" name="Picture 1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909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54838</xdr:rowOff>
    </xdr:to>
    <xdr:pic>
      <xdr:nvPicPr>
        <xdr:cNvPr id="78" name="Picture 1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02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58920</xdr:rowOff>
    </xdr:to>
    <xdr:pic>
      <xdr:nvPicPr>
        <xdr:cNvPr id="79" name="Picture 1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06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48034</xdr:rowOff>
    </xdr:to>
    <xdr:pic>
      <xdr:nvPicPr>
        <xdr:cNvPr id="80" name="Picture 1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957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7</xdr:row>
      <xdr:rowOff>155985</xdr:rowOff>
    </xdr:to>
    <xdr:pic>
      <xdr:nvPicPr>
        <xdr:cNvPr id="81" name="Picture 2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41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38510</xdr:rowOff>
    </xdr:to>
    <xdr:pic>
      <xdr:nvPicPr>
        <xdr:cNvPr id="82" name="Picture 2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62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41231</xdr:rowOff>
    </xdr:to>
    <xdr:pic>
      <xdr:nvPicPr>
        <xdr:cNvPr id="83" name="Picture 2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89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64407</xdr:colOff>
      <xdr:row>7</xdr:row>
      <xdr:rowOff>158707</xdr:rowOff>
    </xdr:to>
    <xdr:sp macro="" textlink="">
      <xdr:nvSpPr>
        <xdr:cNvPr id="84" name="AutoShape 1" descr="image001"/>
        <xdr:cNvSpPr>
          <a:spLocks noChangeAspect="1" noChangeArrowheads="1"/>
        </xdr:cNvSpPr>
      </xdr:nvSpPr>
      <xdr:spPr bwMode="auto">
        <a:xfrm>
          <a:off x="3505200" y="2162175"/>
          <a:ext cx="64407" cy="66353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64407</xdr:colOff>
      <xdr:row>8</xdr:row>
      <xdr:rowOff>4233</xdr:rowOff>
    </xdr:to>
    <xdr:sp macro="" textlink="">
      <xdr:nvSpPr>
        <xdr:cNvPr id="85" name="AutoShape 1" descr="image001"/>
        <xdr:cNvSpPr>
          <a:spLocks noChangeAspect="1" noChangeArrowheads="1"/>
        </xdr:cNvSpPr>
      </xdr:nvSpPr>
      <xdr:spPr bwMode="auto">
        <a:xfrm>
          <a:off x="3505200" y="2162175"/>
          <a:ext cx="64407" cy="65193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64407</xdr:colOff>
      <xdr:row>8</xdr:row>
      <xdr:rowOff>4233</xdr:rowOff>
    </xdr:to>
    <xdr:sp macro="" textlink="">
      <xdr:nvSpPr>
        <xdr:cNvPr id="86" name="AutoShape 1" descr="image001"/>
        <xdr:cNvSpPr>
          <a:spLocks noChangeAspect="1" noChangeArrowheads="1"/>
        </xdr:cNvSpPr>
      </xdr:nvSpPr>
      <xdr:spPr bwMode="auto">
        <a:xfrm>
          <a:off x="3505200" y="2162175"/>
          <a:ext cx="64407" cy="65193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64407</xdr:colOff>
      <xdr:row>8</xdr:row>
      <xdr:rowOff>4233</xdr:rowOff>
    </xdr:to>
    <xdr:sp macro="" textlink="">
      <xdr:nvSpPr>
        <xdr:cNvPr id="87" name="AutoShape 1" descr="image001"/>
        <xdr:cNvSpPr>
          <a:spLocks noChangeAspect="1" noChangeArrowheads="1"/>
        </xdr:cNvSpPr>
      </xdr:nvSpPr>
      <xdr:spPr bwMode="auto">
        <a:xfrm>
          <a:off x="3505200" y="2162175"/>
          <a:ext cx="64407" cy="65193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31706</xdr:rowOff>
    </xdr:to>
    <xdr:pic>
      <xdr:nvPicPr>
        <xdr:cNvPr id="88" name="AutoShape 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9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38510</xdr:rowOff>
    </xdr:to>
    <xdr:pic>
      <xdr:nvPicPr>
        <xdr:cNvPr id="89" name="Picture 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62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410</xdr:rowOff>
    </xdr:to>
    <xdr:pic>
      <xdr:nvPicPr>
        <xdr:cNvPr id="90" name="Picture 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6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67085</xdr:rowOff>
    </xdr:to>
    <xdr:pic>
      <xdr:nvPicPr>
        <xdr:cNvPr id="91" name="Picture 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14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41232</xdr:rowOff>
    </xdr:to>
    <xdr:pic>
      <xdr:nvPicPr>
        <xdr:cNvPr id="92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89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31707</xdr:rowOff>
    </xdr:to>
    <xdr:pic>
      <xdr:nvPicPr>
        <xdr:cNvPr id="93" name="Picture 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9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31706</xdr:rowOff>
    </xdr:to>
    <xdr:pic>
      <xdr:nvPicPr>
        <xdr:cNvPr id="94" name="Picture 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9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31706</xdr:rowOff>
    </xdr:to>
    <xdr:pic>
      <xdr:nvPicPr>
        <xdr:cNvPr id="95" name="Picture 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9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67084</xdr:rowOff>
    </xdr:to>
    <xdr:pic>
      <xdr:nvPicPr>
        <xdr:cNvPr id="96" name="Picture 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147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41231</xdr:rowOff>
    </xdr:to>
    <xdr:pic>
      <xdr:nvPicPr>
        <xdr:cNvPr id="97" name="Picture 1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89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31706</xdr:rowOff>
    </xdr:to>
    <xdr:pic>
      <xdr:nvPicPr>
        <xdr:cNvPr id="98" name="Picture 1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9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54839</xdr:rowOff>
    </xdr:to>
    <xdr:pic>
      <xdr:nvPicPr>
        <xdr:cNvPr id="99" name="Picture 1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025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9</xdr:row>
      <xdr:rowOff>100196</xdr:rowOff>
    </xdr:to>
    <xdr:pic>
      <xdr:nvPicPr>
        <xdr:cNvPr id="100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909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54839</xdr:rowOff>
    </xdr:to>
    <xdr:pic>
      <xdr:nvPicPr>
        <xdr:cNvPr id="101" name="Picture 1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025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54838</xdr:rowOff>
    </xdr:to>
    <xdr:pic>
      <xdr:nvPicPr>
        <xdr:cNvPr id="102" name="Picture 1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02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9</xdr:row>
      <xdr:rowOff>100196</xdr:rowOff>
    </xdr:to>
    <xdr:pic>
      <xdr:nvPicPr>
        <xdr:cNvPr id="103" name="Picture 1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909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54838</xdr:rowOff>
    </xdr:to>
    <xdr:pic>
      <xdr:nvPicPr>
        <xdr:cNvPr id="104" name="Picture 1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02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58920</xdr:rowOff>
    </xdr:to>
    <xdr:pic>
      <xdr:nvPicPr>
        <xdr:cNvPr id="105" name="Picture 1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06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48034</xdr:rowOff>
    </xdr:to>
    <xdr:pic>
      <xdr:nvPicPr>
        <xdr:cNvPr id="106" name="Picture 1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957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7</xdr:row>
      <xdr:rowOff>155985</xdr:rowOff>
    </xdr:to>
    <xdr:pic>
      <xdr:nvPicPr>
        <xdr:cNvPr id="107" name="Picture 2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41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38510</xdr:rowOff>
    </xdr:to>
    <xdr:pic>
      <xdr:nvPicPr>
        <xdr:cNvPr id="108" name="Picture 2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62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85725</xdr:colOff>
      <xdr:row>8</xdr:row>
      <xdr:rowOff>41231</xdr:rowOff>
    </xdr:to>
    <xdr:pic>
      <xdr:nvPicPr>
        <xdr:cNvPr id="109" name="Picture 2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89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0</xdr:colOff>
      <xdr:row>4</xdr:row>
      <xdr:rowOff>0</xdr:rowOff>
    </xdr:from>
    <xdr:ext cx="64407" cy="663160"/>
    <xdr:sp macro="" textlink="">
      <xdr:nvSpPr>
        <xdr:cNvPr id="110" name="AutoShape 1" descr="image001"/>
        <xdr:cNvSpPr>
          <a:spLocks noChangeAspect="1" noChangeArrowheads="1"/>
        </xdr:cNvSpPr>
      </xdr:nvSpPr>
      <xdr:spPr bwMode="auto">
        <a:xfrm>
          <a:off x="3505200" y="2162175"/>
          <a:ext cx="64407" cy="66316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</xdr:row>
      <xdr:rowOff>0</xdr:rowOff>
    </xdr:from>
    <xdr:ext cx="64407" cy="660438"/>
    <xdr:sp macro="" textlink="">
      <xdr:nvSpPr>
        <xdr:cNvPr id="111" name="AutoShape 1" descr="image001"/>
        <xdr:cNvSpPr>
          <a:spLocks noChangeAspect="1" noChangeArrowheads="1"/>
        </xdr:cNvSpPr>
      </xdr:nvSpPr>
      <xdr:spPr bwMode="auto">
        <a:xfrm>
          <a:off x="3505200" y="2162175"/>
          <a:ext cx="64407" cy="6604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</xdr:row>
      <xdr:rowOff>0</xdr:rowOff>
    </xdr:from>
    <xdr:ext cx="64407" cy="660438"/>
    <xdr:sp macro="" textlink="">
      <xdr:nvSpPr>
        <xdr:cNvPr id="112" name="AutoShape 1" descr="image001"/>
        <xdr:cNvSpPr>
          <a:spLocks noChangeAspect="1" noChangeArrowheads="1"/>
        </xdr:cNvSpPr>
      </xdr:nvSpPr>
      <xdr:spPr bwMode="auto">
        <a:xfrm>
          <a:off x="3505200" y="2162175"/>
          <a:ext cx="64407" cy="6604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</xdr:row>
      <xdr:rowOff>0</xdr:rowOff>
    </xdr:from>
    <xdr:ext cx="64407" cy="660438"/>
    <xdr:sp macro="" textlink="">
      <xdr:nvSpPr>
        <xdr:cNvPr id="113" name="AutoShape 1" descr="image001"/>
        <xdr:cNvSpPr>
          <a:spLocks noChangeAspect="1" noChangeArrowheads="1"/>
        </xdr:cNvSpPr>
      </xdr:nvSpPr>
      <xdr:spPr bwMode="auto">
        <a:xfrm>
          <a:off x="3505200" y="2162175"/>
          <a:ext cx="64407" cy="6604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</xdr:row>
      <xdr:rowOff>0</xdr:rowOff>
    </xdr:from>
    <xdr:ext cx="85725" cy="679034"/>
    <xdr:pic>
      <xdr:nvPicPr>
        <xdr:cNvPr id="114" name="AutoShape 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9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85838"/>
    <xdr:pic>
      <xdr:nvPicPr>
        <xdr:cNvPr id="115" name="Picture 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58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66788"/>
    <xdr:pic>
      <xdr:nvPicPr>
        <xdr:cNvPr id="116" name="Picture 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667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714413"/>
    <xdr:pic>
      <xdr:nvPicPr>
        <xdr:cNvPr id="117" name="Picture 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144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88560"/>
    <xdr:pic>
      <xdr:nvPicPr>
        <xdr:cNvPr id="118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8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79035"/>
    <xdr:pic>
      <xdr:nvPicPr>
        <xdr:cNvPr id="119" name="Picture 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9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79034"/>
    <xdr:pic>
      <xdr:nvPicPr>
        <xdr:cNvPr id="120" name="Picture 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9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79034"/>
    <xdr:pic>
      <xdr:nvPicPr>
        <xdr:cNvPr id="121" name="Picture 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9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714412"/>
    <xdr:pic>
      <xdr:nvPicPr>
        <xdr:cNvPr id="122" name="Picture 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144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88559"/>
    <xdr:pic>
      <xdr:nvPicPr>
        <xdr:cNvPr id="123" name="Picture 1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8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79034"/>
    <xdr:pic>
      <xdr:nvPicPr>
        <xdr:cNvPr id="124" name="Picture 1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9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702167"/>
    <xdr:pic>
      <xdr:nvPicPr>
        <xdr:cNvPr id="125" name="Picture 1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021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906274"/>
    <xdr:pic>
      <xdr:nvPicPr>
        <xdr:cNvPr id="126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906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702167"/>
    <xdr:pic>
      <xdr:nvPicPr>
        <xdr:cNvPr id="127" name="Picture 1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021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702166"/>
    <xdr:pic>
      <xdr:nvPicPr>
        <xdr:cNvPr id="128" name="Picture 1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02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906274"/>
    <xdr:pic>
      <xdr:nvPicPr>
        <xdr:cNvPr id="129" name="Picture 1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906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702166"/>
    <xdr:pic>
      <xdr:nvPicPr>
        <xdr:cNvPr id="130" name="Picture 1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02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706248"/>
    <xdr:pic>
      <xdr:nvPicPr>
        <xdr:cNvPr id="131" name="Picture 1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062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95362"/>
    <xdr:pic>
      <xdr:nvPicPr>
        <xdr:cNvPr id="132" name="Picture 1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953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41388"/>
    <xdr:pic>
      <xdr:nvPicPr>
        <xdr:cNvPr id="133" name="Picture 2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413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85838"/>
    <xdr:pic>
      <xdr:nvPicPr>
        <xdr:cNvPr id="134" name="Picture 2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58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88559"/>
    <xdr:pic>
      <xdr:nvPicPr>
        <xdr:cNvPr id="135" name="Picture 2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8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64407" cy="663160"/>
    <xdr:sp macro="" textlink="">
      <xdr:nvSpPr>
        <xdr:cNvPr id="136" name="AutoShape 1" descr="image001"/>
        <xdr:cNvSpPr>
          <a:spLocks noChangeAspect="1" noChangeArrowheads="1"/>
        </xdr:cNvSpPr>
      </xdr:nvSpPr>
      <xdr:spPr bwMode="auto">
        <a:xfrm>
          <a:off x="3505200" y="2162175"/>
          <a:ext cx="64407" cy="66316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</xdr:row>
      <xdr:rowOff>0</xdr:rowOff>
    </xdr:from>
    <xdr:ext cx="64407" cy="660438"/>
    <xdr:sp macro="" textlink="">
      <xdr:nvSpPr>
        <xdr:cNvPr id="137" name="AutoShape 1" descr="image001"/>
        <xdr:cNvSpPr>
          <a:spLocks noChangeAspect="1" noChangeArrowheads="1"/>
        </xdr:cNvSpPr>
      </xdr:nvSpPr>
      <xdr:spPr bwMode="auto">
        <a:xfrm>
          <a:off x="3505200" y="2162175"/>
          <a:ext cx="64407" cy="6604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</xdr:row>
      <xdr:rowOff>0</xdr:rowOff>
    </xdr:from>
    <xdr:ext cx="64407" cy="660438"/>
    <xdr:sp macro="" textlink="">
      <xdr:nvSpPr>
        <xdr:cNvPr id="138" name="AutoShape 1" descr="image001"/>
        <xdr:cNvSpPr>
          <a:spLocks noChangeAspect="1" noChangeArrowheads="1"/>
        </xdr:cNvSpPr>
      </xdr:nvSpPr>
      <xdr:spPr bwMode="auto">
        <a:xfrm>
          <a:off x="3505200" y="2162175"/>
          <a:ext cx="64407" cy="6604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</xdr:row>
      <xdr:rowOff>0</xdr:rowOff>
    </xdr:from>
    <xdr:ext cx="64407" cy="660438"/>
    <xdr:sp macro="" textlink="">
      <xdr:nvSpPr>
        <xdr:cNvPr id="139" name="AutoShape 1" descr="image001"/>
        <xdr:cNvSpPr>
          <a:spLocks noChangeAspect="1" noChangeArrowheads="1"/>
        </xdr:cNvSpPr>
      </xdr:nvSpPr>
      <xdr:spPr bwMode="auto">
        <a:xfrm>
          <a:off x="3505200" y="2162175"/>
          <a:ext cx="64407" cy="6604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</xdr:row>
      <xdr:rowOff>0</xdr:rowOff>
    </xdr:from>
    <xdr:ext cx="85725" cy="679034"/>
    <xdr:pic>
      <xdr:nvPicPr>
        <xdr:cNvPr id="140" name="AutoShape 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9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85838"/>
    <xdr:pic>
      <xdr:nvPicPr>
        <xdr:cNvPr id="141" name="Picture 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58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66788"/>
    <xdr:pic>
      <xdr:nvPicPr>
        <xdr:cNvPr id="142" name="Picture 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667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714413"/>
    <xdr:pic>
      <xdr:nvPicPr>
        <xdr:cNvPr id="143" name="Picture 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144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88560"/>
    <xdr:pic>
      <xdr:nvPicPr>
        <xdr:cNvPr id="144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8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79035"/>
    <xdr:pic>
      <xdr:nvPicPr>
        <xdr:cNvPr id="145" name="Picture 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9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79034"/>
    <xdr:pic>
      <xdr:nvPicPr>
        <xdr:cNvPr id="146" name="Picture 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9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79034"/>
    <xdr:pic>
      <xdr:nvPicPr>
        <xdr:cNvPr id="147" name="Picture 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9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714412"/>
    <xdr:pic>
      <xdr:nvPicPr>
        <xdr:cNvPr id="148" name="Picture 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144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88559"/>
    <xdr:pic>
      <xdr:nvPicPr>
        <xdr:cNvPr id="149" name="Picture 1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8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79034"/>
    <xdr:pic>
      <xdr:nvPicPr>
        <xdr:cNvPr id="150" name="Picture 1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9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702167"/>
    <xdr:pic>
      <xdr:nvPicPr>
        <xdr:cNvPr id="151" name="Picture 1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021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906274"/>
    <xdr:pic>
      <xdr:nvPicPr>
        <xdr:cNvPr id="152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906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702167"/>
    <xdr:pic>
      <xdr:nvPicPr>
        <xdr:cNvPr id="153" name="Picture 1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021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702166"/>
    <xdr:pic>
      <xdr:nvPicPr>
        <xdr:cNvPr id="154" name="Picture 1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02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906274"/>
    <xdr:pic>
      <xdr:nvPicPr>
        <xdr:cNvPr id="155" name="Picture 1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906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702166"/>
    <xdr:pic>
      <xdr:nvPicPr>
        <xdr:cNvPr id="156" name="Picture 1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02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706248"/>
    <xdr:pic>
      <xdr:nvPicPr>
        <xdr:cNvPr id="157" name="Picture 1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062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95362"/>
    <xdr:pic>
      <xdr:nvPicPr>
        <xdr:cNvPr id="158" name="Picture 1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953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41388"/>
    <xdr:pic>
      <xdr:nvPicPr>
        <xdr:cNvPr id="159" name="Picture 2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413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85838"/>
    <xdr:pic>
      <xdr:nvPicPr>
        <xdr:cNvPr id="160" name="Picture 2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58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88559"/>
    <xdr:pic>
      <xdr:nvPicPr>
        <xdr:cNvPr id="161" name="Picture 2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8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64407" cy="663159"/>
    <xdr:sp macro="" textlink="">
      <xdr:nvSpPr>
        <xdr:cNvPr id="162" name="AutoShape 1" descr="image001"/>
        <xdr:cNvSpPr>
          <a:spLocks noChangeAspect="1" noChangeArrowheads="1"/>
        </xdr:cNvSpPr>
      </xdr:nvSpPr>
      <xdr:spPr bwMode="auto">
        <a:xfrm>
          <a:off x="3505200" y="2162175"/>
          <a:ext cx="64407" cy="6631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</xdr:row>
      <xdr:rowOff>0</xdr:rowOff>
    </xdr:from>
    <xdr:ext cx="64407" cy="660437"/>
    <xdr:sp macro="" textlink="">
      <xdr:nvSpPr>
        <xdr:cNvPr id="163" name="AutoShape 1" descr="image001"/>
        <xdr:cNvSpPr>
          <a:spLocks noChangeAspect="1" noChangeArrowheads="1"/>
        </xdr:cNvSpPr>
      </xdr:nvSpPr>
      <xdr:spPr bwMode="auto">
        <a:xfrm>
          <a:off x="3505200" y="2162175"/>
          <a:ext cx="64407" cy="660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</xdr:row>
      <xdr:rowOff>0</xdr:rowOff>
    </xdr:from>
    <xdr:ext cx="64407" cy="660437"/>
    <xdr:sp macro="" textlink="">
      <xdr:nvSpPr>
        <xdr:cNvPr id="164" name="AutoShape 1" descr="image001"/>
        <xdr:cNvSpPr>
          <a:spLocks noChangeAspect="1" noChangeArrowheads="1"/>
        </xdr:cNvSpPr>
      </xdr:nvSpPr>
      <xdr:spPr bwMode="auto">
        <a:xfrm>
          <a:off x="3505200" y="2162175"/>
          <a:ext cx="64407" cy="660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</xdr:row>
      <xdr:rowOff>0</xdr:rowOff>
    </xdr:from>
    <xdr:ext cx="64407" cy="660437"/>
    <xdr:sp macro="" textlink="">
      <xdr:nvSpPr>
        <xdr:cNvPr id="165" name="AutoShape 1" descr="image001"/>
        <xdr:cNvSpPr>
          <a:spLocks noChangeAspect="1" noChangeArrowheads="1"/>
        </xdr:cNvSpPr>
      </xdr:nvSpPr>
      <xdr:spPr bwMode="auto">
        <a:xfrm>
          <a:off x="3505200" y="2162175"/>
          <a:ext cx="64407" cy="660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</xdr:row>
      <xdr:rowOff>0</xdr:rowOff>
    </xdr:from>
    <xdr:ext cx="85725" cy="679033"/>
    <xdr:pic>
      <xdr:nvPicPr>
        <xdr:cNvPr id="166" name="AutoShape 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85837"/>
    <xdr:pic>
      <xdr:nvPicPr>
        <xdr:cNvPr id="167" name="Picture 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58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66787"/>
    <xdr:pic>
      <xdr:nvPicPr>
        <xdr:cNvPr id="168" name="Picture 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667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714412"/>
    <xdr:pic>
      <xdr:nvPicPr>
        <xdr:cNvPr id="169" name="Picture 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144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88559"/>
    <xdr:pic>
      <xdr:nvPicPr>
        <xdr:cNvPr id="170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8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79034"/>
    <xdr:pic>
      <xdr:nvPicPr>
        <xdr:cNvPr id="171" name="Picture 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9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79033"/>
    <xdr:pic>
      <xdr:nvPicPr>
        <xdr:cNvPr id="172" name="Picture 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79033"/>
    <xdr:pic>
      <xdr:nvPicPr>
        <xdr:cNvPr id="173" name="Picture 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714411"/>
    <xdr:pic>
      <xdr:nvPicPr>
        <xdr:cNvPr id="174" name="Picture 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144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88558"/>
    <xdr:pic>
      <xdr:nvPicPr>
        <xdr:cNvPr id="175" name="Picture 1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85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79033"/>
    <xdr:pic>
      <xdr:nvPicPr>
        <xdr:cNvPr id="176" name="Picture 1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702166"/>
    <xdr:pic>
      <xdr:nvPicPr>
        <xdr:cNvPr id="177" name="Picture 1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02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906273"/>
    <xdr:pic>
      <xdr:nvPicPr>
        <xdr:cNvPr id="178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702166"/>
    <xdr:pic>
      <xdr:nvPicPr>
        <xdr:cNvPr id="179" name="Picture 1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02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702165"/>
    <xdr:pic>
      <xdr:nvPicPr>
        <xdr:cNvPr id="180" name="Picture 1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02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906273"/>
    <xdr:pic>
      <xdr:nvPicPr>
        <xdr:cNvPr id="181" name="Picture 1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702165"/>
    <xdr:pic>
      <xdr:nvPicPr>
        <xdr:cNvPr id="182" name="Picture 1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02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706247"/>
    <xdr:pic>
      <xdr:nvPicPr>
        <xdr:cNvPr id="183" name="Picture 1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06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95361"/>
    <xdr:pic>
      <xdr:nvPicPr>
        <xdr:cNvPr id="184" name="Picture 1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953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41387"/>
    <xdr:pic>
      <xdr:nvPicPr>
        <xdr:cNvPr id="185" name="Picture 2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413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85837"/>
    <xdr:pic>
      <xdr:nvPicPr>
        <xdr:cNvPr id="186" name="Picture 2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58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88558"/>
    <xdr:pic>
      <xdr:nvPicPr>
        <xdr:cNvPr id="187" name="Picture 2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85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64407" cy="663159"/>
    <xdr:sp macro="" textlink="">
      <xdr:nvSpPr>
        <xdr:cNvPr id="188" name="AutoShape 1" descr="image001"/>
        <xdr:cNvSpPr>
          <a:spLocks noChangeAspect="1" noChangeArrowheads="1"/>
        </xdr:cNvSpPr>
      </xdr:nvSpPr>
      <xdr:spPr bwMode="auto">
        <a:xfrm>
          <a:off x="3505200" y="2162175"/>
          <a:ext cx="64407" cy="6631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</xdr:row>
      <xdr:rowOff>0</xdr:rowOff>
    </xdr:from>
    <xdr:ext cx="64407" cy="660437"/>
    <xdr:sp macro="" textlink="">
      <xdr:nvSpPr>
        <xdr:cNvPr id="189" name="AutoShape 1" descr="image001"/>
        <xdr:cNvSpPr>
          <a:spLocks noChangeAspect="1" noChangeArrowheads="1"/>
        </xdr:cNvSpPr>
      </xdr:nvSpPr>
      <xdr:spPr bwMode="auto">
        <a:xfrm>
          <a:off x="3505200" y="2162175"/>
          <a:ext cx="64407" cy="660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</xdr:row>
      <xdr:rowOff>0</xdr:rowOff>
    </xdr:from>
    <xdr:ext cx="64407" cy="660437"/>
    <xdr:sp macro="" textlink="">
      <xdr:nvSpPr>
        <xdr:cNvPr id="190" name="AutoShape 1" descr="image001"/>
        <xdr:cNvSpPr>
          <a:spLocks noChangeAspect="1" noChangeArrowheads="1"/>
        </xdr:cNvSpPr>
      </xdr:nvSpPr>
      <xdr:spPr bwMode="auto">
        <a:xfrm>
          <a:off x="3505200" y="2162175"/>
          <a:ext cx="64407" cy="660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</xdr:row>
      <xdr:rowOff>0</xdr:rowOff>
    </xdr:from>
    <xdr:ext cx="64407" cy="660437"/>
    <xdr:sp macro="" textlink="">
      <xdr:nvSpPr>
        <xdr:cNvPr id="191" name="AutoShape 1" descr="image001"/>
        <xdr:cNvSpPr>
          <a:spLocks noChangeAspect="1" noChangeArrowheads="1"/>
        </xdr:cNvSpPr>
      </xdr:nvSpPr>
      <xdr:spPr bwMode="auto">
        <a:xfrm>
          <a:off x="3505200" y="2162175"/>
          <a:ext cx="64407" cy="660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</xdr:row>
      <xdr:rowOff>0</xdr:rowOff>
    </xdr:from>
    <xdr:ext cx="85725" cy="679033"/>
    <xdr:pic>
      <xdr:nvPicPr>
        <xdr:cNvPr id="192" name="AutoShape 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85837"/>
    <xdr:pic>
      <xdr:nvPicPr>
        <xdr:cNvPr id="193" name="Picture 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58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66787"/>
    <xdr:pic>
      <xdr:nvPicPr>
        <xdr:cNvPr id="194" name="Picture 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667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714412"/>
    <xdr:pic>
      <xdr:nvPicPr>
        <xdr:cNvPr id="195" name="Picture 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144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88559"/>
    <xdr:pic>
      <xdr:nvPicPr>
        <xdr:cNvPr id="196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8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79034"/>
    <xdr:pic>
      <xdr:nvPicPr>
        <xdr:cNvPr id="197" name="Picture 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9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79033"/>
    <xdr:pic>
      <xdr:nvPicPr>
        <xdr:cNvPr id="198" name="Picture 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79033"/>
    <xdr:pic>
      <xdr:nvPicPr>
        <xdr:cNvPr id="199" name="Picture 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714411"/>
    <xdr:pic>
      <xdr:nvPicPr>
        <xdr:cNvPr id="200" name="Picture 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144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88558"/>
    <xdr:pic>
      <xdr:nvPicPr>
        <xdr:cNvPr id="201" name="Picture 1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85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79033"/>
    <xdr:pic>
      <xdr:nvPicPr>
        <xdr:cNvPr id="202" name="Picture 1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702166"/>
    <xdr:pic>
      <xdr:nvPicPr>
        <xdr:cNvPr id="203" name="Picture 1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02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906273"/>
    <xdr:pic>
      <xdr:nvPicPr>
        <xdr:cNvPr id="204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702166"/>
    <xdr:pic>
      <xdr:nvPicPr>
        <xdr:cNvPr id="205" name="Picture 1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02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702165"/>
    <xdr:pic>
      <xdr:nvPicPr>
        <xdr:cNvPr id="206" name="Picture 1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02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906273"/>
    <xdr:pic>
      <xdr:nvPicPr>
        <xdr:cNvPr id="207" name="Picture 1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702165"/>
    <xdr:pic>
      <xdr:nvPicPr>
        <xdr:cNvPr id="208" name="Picture 1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02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706247"/>
    <xdr:pic>
      <xdr:nvPicPr>
        <xdr:cNvPr id="209" name="Picture 1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06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95361"/>
    <xdr:pic>
      <xdr:nvPicPr>
        <xdr:cNvPr id="210" name="Picture 1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953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41387"/>
    <xdr:pic>
      <xdr:nvPicPr>
        <xdr:cNvPr id="211" name="Picture 2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413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85837"/>
    <xdr:pic>
      <xdr:nvPicPr>
        <xdr:cNvPr id="212" name="Picture 2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58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64407" cy="660358"/>
    <xdr:sp macro="" textlink="">
      <xdr:nvSpPr>
        <xdr:cNvPr id="213" name="AutoShape 1" descr="image001"/>
        <xdr:cNvSpPr>
          <a:spLocks noChangeAspect="1" noChangeArrowheads="1"/>
        </xdr:cNvSpPr>
      </xdr:nvSpPr>
      <xdr:spPr bwMode="auto">
        <a:xfrm>
          <a:off x="3505200" y="2162175"/>
          <a:ext cx="64407" cy="66035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</xdr:row>
      <xdr:rowOff>0</xdr:rowOff>
    </xdr:from>
    <xdr:ext cx="64407" cy="657636"/>
    <xdr:sp macro="" textlink="">
      <xdr:nvSpPr>
        <xdr:cNvPr id="214" name="AutoShape 1" descr="image001"/>
        <xdr:cNvSpPr>
          <a:spLocks noChangeAspect="1" noChangeArrowheads="1"/>
        </xdr:cNvSpPr>
      </xdr:nvSpPr>
      <xdr:spPr bwMode="auto">
        <a:xfrm>
          <a:off x="3505200" y="2162175"/>
          <a:ext cx="64407" cy="6576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</xdr:row>
      <xdr:rowOff>0</xdr:rowOff>
    </xdr:from>
    <xdr:ext cx="64407" cy="657636"/>
    <xdr:sp macro="" textlink="">
      <xdr:nvSpPr>
        <xdr:cNvPr id="215" name="AutoShape 1" descr="image001"/>
        <xdr:cNvSpPr>
          <a:spLocks noChangeAspect="1" noChangeArrowheads="1"/>
        </xdr:cNvSpPr>
      </xdr:nvSpPr>
      <xdr:spPr bwMode="auto">
        <a:xfrm>
          <a:off x="3505200" y="2162175"/>
          <a:ext cx="64407" cy="6576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</xdr:row>
      <xdr:rowOff>0</xdr:rowOff>
    </xdr:from>
    <xdr:ext cx="64407" cy="657636"/>
    <xdr:sp macro="" textlink="">
      <xdr:nvSpPr>
        <xdr:cNvPr id="216" name="AutoShape 1" descr="image001"/>
        <xdr:cNvSpPr>
          <a:spLocks noChangeAspect="1" noChangeArrowheads="1"/>
        </xdr:cNvSpPr>
      </xdr:nvSpPr>
      <xdr:spPr bwMode="auto">
        <a:xfrm>
          <a:off x="3505200" y="2162175"/>
          <a:ext cx="64407" cy="6576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</xdr:row>
      <xdr:rowOff>0</xdr:rowOff>
    </xdr:from>
    <xdr:ext cx="85725" cy="676232"/>
    <xdr:pic>
      <xdr:nvPicPr>
        <xdr:cNvPr id="217" name="AutoShape 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6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83036"/>
    <xdr:pic>
      <xdr:nvPicPr>
        <xdr:cNvPr id="218" name="Picture 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3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63986"/>
    <xdr:pic>
      <xdr:nvPicPr>
        <xdr:cNvPr id="219" name="Picture 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63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711611"/>
    <xdr:pic>
      <xdr:nvPicPr>
        <xdr:cNvPr id="220" name="Picture 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116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85758"/>
    <xdr:pic>
      <xdr:nvPicPr>
        <xdr:cNvPr id="221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5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76233"/>
    <xdr:pic>
      <xdr:nvPicPr>
        <xdr:cNvPr id="222" name="Picture 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62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76232"/>
    <xdr:pic>
      <xdr:nvPicPr>
        <xdr:cNvPr id="223" name="Picture 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6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76232"/>
    <xdr:pic>
      <xdr:nvPicPr>
        <xdr:cNvPr id="224" name="Picture 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6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711610"/>
    <xdr:pic>
      <xdr:nvPicPr>
        <xdr:cNvPr id="225" name="Picture 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11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85757"/>
    <xdr:pic>
      <xdr:nvPicPr>
        <xdr:cNvPr id="226" name="Picture 1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5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76232"/>
    <xdr:pic>
      <xdr:nvPicPr>
        <xdr:cNvPr id="227" name="Picture 1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6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99365"/>
    <xdr:pic>
      <xdr:nvPicPr>
        <xdr:cNvPr id="228" name="Picture 1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99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903472"/>
    <xdr:pic>
      <xdr:nvPicPr>
        <xdr:cNvPr id="229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9034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99365"/>
    <xdr:pic>
      <xdr:nvPicPr>
        <xdr:cNvPr id="230" name="Picture 1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99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99364"/>
    <xdr:pic>
      <xdr:nvPicPr>
        <xdr:cNvPr id="231" name="Picture 1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99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903472"/>
    <xdr:pic>
      <xdr:nvPicPr>
        <xdr:cNvPr id="232" name="Picture 1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9034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99364"/>
    <xdr:pic>
      <xdr:nvPicPr>
        <xdr:cNvPr id="233" name="Picture 1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99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703446"/>
    <xdr:pic>
      <xdr:nvPicPr>
        <xdr:cNvPr id="234" name="Picture 1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034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92560"/>
    <xdr:pic>
      <xdr:nvPicPr>
        <xdr:cNvPr id="235" name="Picture 1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92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38586"/>
    <xdr:pic>
      <xdr:nvPicPr>
        <xdr:cNvPr id="236" name="Picture 2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38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83036"/>
    <xdr:pic>
      <xdr:nvPicPr>
        <xdr:cNvPr id="237" name="Picture 2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3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85757"/>
    <xdr:pic>
      <xdr:nvPicPr>
        <xdr:cNvPr id="238" name="Picture 2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5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64407" cy="660358"/>
    <xdr:sp macro="" textlink="">
      <xdr:nvSpPr>
        <xdr:cNvPr id="239" name="AutoShape 1" descr="image001"/>
        <xdr:cNvSpPr>
          <a:spLocks noChangeAspect="1" noChangeArrowheads="1"/>
        </xdr:cNvSpPr>
      </xdr:nvSpPr>
      <xdr:spPr bwMode="auto">
        <a:xfrm>
          <a:off x="3505200" y="2162175"/>
          <a:ext cx="64407" cy="66035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</xdr:row>
      <xdr:rowOff>0</xdr:rowOff>
    </xdr:from>
    <xdr:ext cx="64407" cy="657636"/>
    <xdr:sp macro="" textlink="">
      <xdr:nvSpPr>
        <xdr:cNvPr id="240" name="AutoShape 1" descr="image001"/>
        <xdr:cNvSpPr>
          <a:spLocks noChangeAspect="1" noChangeArrowheads="1"/>
        </xdr:cNvSpPr>
      </xdr:nvSpPr>
      <xdr:spPr bwMode="auto">
        <a:xfrm>
          <a:off x="3505200" y="2162175"/>
          <a:ext cx="64407" cy="6576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</xdr:row>
      <xdr:rowOff>0</xdr:rowOff>
    </xdr:from>
    <xdr:ext cx="64407" cy="657636"/>
    <xdr:sp macro="" textlink="">
      <xdr:nvSpPr>
        <xdr:cNvPr id="241" name="AutoShape 1" descr="image001"/>
        <xdr:cNvSpPr>
          <a:spLocks noChangeAspect="1" noChangeArrowheads="1"/>
        </xdr:cNvSpPr>
      </xdr:nvSpPr>
      <xdr:spPr bwMode="auto">
        <a:xfrm>
          <a:off x="3505200" y="2162175"/>
          <a:ext cx="64407" cy="6576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</xdr:row>
      <xdr:rowOff>0</xdr:rowOff>
    </xdr:from>
    <xdr:ext cx="64407" cy="657636"/>
    <xdr:sp macro="" textlink="">
      <xdr:nvSpPr>
        <xdr:cNvPr id="242" name="AutoShape 1" descr="image001"/>
        <xdr:cNvSpPr>
          <a:spLocks noChangeAspect="1" noChangeArrowheads="1"/>
        </xdr:cNvSpPr>
      </xdr:nvSpPr>
      <xdr:spPr bwMode="auto">
        <a:xfrm>
          <a:off x="3505200" y="2162175"/>
          <a:ext cx="64407" cy="6576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</xdr:row>
      <xdr:rowOff>0</xdr:rowOff>
    </xdr:from>
    <xdr:ext cx="85725" cy="676232"/>
    <xdr:pic>
      <xdr:nvPicPr>
        <xdr:cNvPr id="243" name="AutoShape 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6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83036"/>
    <xdr:pic>
      <xdr:nvPicPr>
        <xdr:cNvPr id="244" name="Picture 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3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63986"/>
    <xdr:pic>
      <xdr:nvPicPr>
        <xdr:cNvPr id="245" name="Picture 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63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711611"/>
    <xdr:pic>
      <xdr:nvPicPr>
        <xdr:cNvPr id="246" name="Picture 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116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85758"/>
    <xdr:pic>
      <xdr:nvPicPr>
        <xdr:cNvPr id="247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5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76233"/>
    <xdr:pic>
      <xdr:nvPicPr>
        <xdr:cNvPr id="248" name="Picture 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62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76232"/>
    <xdr:pic>
      <xdr:nvPicPr>
        <xdr:cNvPr id="249" name="Picture 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6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76232"/>
    <xdr:pic>
      <xdr:nvPicPr>
        <xdr:cNvPr id="250" name="Picture 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6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711610"/>
    <xdr:pic>
      <xdr:nvPicPr>
        <xdr:cNvPr id="251" name="Picture 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11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85757"/>
    <xdr:pic>
      <xdr:nvPicPr>
        <xdr:cNvPr id="252" name="Picture 1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5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76232"/>
    <xdr:pic>
      <xdr:nvPicPr>
        <xdr:cNvPr id="253" name="Picture 1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6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99365"/>
    <xdr:pic>
      <xdr:nvPicPr>
        <xdr:cNvPr id="254" name="Picture 1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99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903472"/>
    <xdr:pic>
      <xdr:nvPicPr>
        <xdr:cNvPr id="255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9034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99365"/>
    <xdr:pic>
      <xdr:nvPicPr>
        <xdr:cNvPr id="256" name="Picture 1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99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99364"/>
    <xdr:pic>
      <xdr:nvPicPr>
        <xdr:cNvPr id="257" name="Picture 1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99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903472"/>
    <xdr:pic>
      <xdr:nvPicPr>
        <xdr:cNvPr id="258" name="Picture 1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9034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99364"/>
    <xdr:pic>
      <xdr:nvPicPr>
        <xdr:cNvPr id="259" name="Picture 1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99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703446"/>
    <xdr:pic>
      <xdr:nvPicPr>
        <xdr:cNvPr id="260" name="Picture 1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034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92560"/>
    <xdr:pic>
      <xdr:nvPicPr>
        <xdr:cNvPr id="261" name="Picture 1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92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38586"/>
    <xdr:pic>
      <xdr:nvPicPr>
        <xdr:cNvPr id="262" name="Picture 2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38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83036"/>
    <xdr:pic>
      <xdr:nvPicPr>
        <xdr:cNvPr id="263" name="Picture 2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3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85757"/>
    <xdr:pic>
      <xdr:nvPicPr>
        <xdr:cNvPr id="264" name="Picture 2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5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64407" cy="660357"/>
    <xdr:sp macro="" textlink="">
      <xdr:nvSpPr>
        <xdr:cNvPr id="265" name="AutoShape 1" descr="image001"/>
        <xdr:cNvSpPr>
          <a:spLocks noChangeAspect="1" noChangeArrowheads="1"/>
        </xdr:cNvSpPr>
      </xdr:nvSpPr>
      <xdr:spPr bwMode="auto">
        <a:xfrm>
          <a:off x="3505200" y="2162175"/>
          <a:ext cx="64407" cy="66035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</xdr:row>
      <xdr:rowOff>0</xdr:rowOff>
    </xdr:from>
    <xdr:ext cx="64407" cy="657635"/>
    <xdr:sp macro="" textlink="">
      <xdr:nvSpPr>
        <xdr:cNvPr id="266" name="AutoShape 1" descr="image001"/>
        <xdr:cNvSpPr>
          <a:spLocks noChangeAspect="1" noChangeArrowheads="1"/>
        </xdr:cNvSpPr>
      </xdr:nvSpPr>
      <xdr:spPr bwMode="auto">
        <a:xfrm>
          <a:off x="3505200" y="2162175"/>
          <a:ext cx="64407" cy="6576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</xdr:row>
      <xdr:rowOff>0</xdr:rowOff>
    </xdr:from>
    <xdr:ext cx="64407" cy="657635"/>
    <xdr:sp macro="" textlink="">
      <xdr:nvSpPr>
        <xdr:cNvPr id="267" name="AutoShape 1" descr="image001"/>
        <xdr:cNvSpPr>
          <a:spLocks noChangeAspect="1" noChangeArrowheads="1"/>
        </xdr:cNvSpPr>
      </xdr:nvSpPr>
      <xdr:spPr bwMode="auto">
        <a:xfrm>
          <a:off x="3505200" y="2162175"/>
          <a:ext cx="64407" cy="6576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</xdr:row>
      <xdr:rowOff>0</xdr:rowOff>
    </xdr:from>
    <xdr:ext cx="64407" cy="657635"/>
    <xdr:sp macro="" textlink="">
      <xdr:nvSpPr>
        <xdr:cNvPr id="268" name="AutoShape 1" descr="image001"/>
        <xdr:cNvSpPr>
          <a:spLocks noChangeAspect="1" noChangeArrowheads="1"/>
        </xdr:cNvSpPr>
      </xdr:nvSpPr>
      <xdr:spPr bwMode="auto">
        <a:xfrm>
          <a:off x="3505200" y="2162175"/>
          <a:ext cx="64407" cy="6576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</xdr:row>
      <xdr:rowOff>0</xdr:rowOff>
    </xdr:from>
    <xdr:ext cx="85725" cy="676231"/>
    <xdr:pic>
      <xdr:nvPicPr>
        <xdr:cNvPr id="269" name="AutoShape 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62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83035"/>
    <xdr:pic>
      <xdr:nvPicPr>
        <xdr:cNvPr id="270" name="Picture 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3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63985"/>
    <xdr:pic>
      <xdr:nvPicPr>
        <xdr:cNvPr id="271" name="Picture 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63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711610"/>
    <xdr:pic>
      <xdr:nvPicPr>
        <xdr:cNvPr id="272" name="Picture 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11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85757"/>
    <xdr:pic>
      <xdr:nvPicPr>
        <xdr:cNvPr id="273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5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76232"/>
    <xdr:pic>
      <xdr:nvPicPr>
        <xdr:cNvPr id="274" name="Picture 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6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76231"/>
    <xdr:pic>
      <xdr:nvPicPr>
        <xdr:cNvPr id="275" name="Picture 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62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76231"/>
    <xdr:pic>
      <xdr:nvPicPr>
        <xdr:cNvPr id="276" name="Picture 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62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711609"/>
    <xdr:pic>
      <xdr:nvPicPr>
        <xdr:cNvPr id="277" name="Picture 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116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85756"/>
    <xdr:pic>
      <xdr:nvPicPr>
        <xdr:cNvPr id="278" name="Picture 1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5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76231"/>
    <xdr:pic>
      <xdr:nvPicPr>
        <xdr:cNvPr id="279" name="Picture 1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62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99364"/>
    <xdr:pic>
      <xdr:nvPicPr>
        <xdr:cNvPr id="280" name="Picture 1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99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903471"/>
    <xdr:pic>
      <xdr:nvPicPr>
        <xdr:cNvPr id="281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903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99364"/>
    <xdr:pic>
      <xdr:nvPicPr>
        <xdr:cNvPr id="282" name="Picture 1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99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99363"/>
    <xdr:pic>
      <xdr:nvPicPr>
        <xdr:cNvPr id="283" name="Picture 1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993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903471"/>
    <xdr:pic>
      <xdr:nvPicPr>
        <xdr:cNvPr id="284" name="Picture 1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903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99363"/>
    <xdr:pic>
      <xdr:nvPicPr>
        <xdr:cNvPr id="285" name="Picture 1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993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703445"/>
    <xdr:pic>
      <xdr:nvPicPr>
        <xdr:cNvPr id="286" name="Picture 1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034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92559"/>
    <xdr:pic>
      <xdr:nvPicPr>
        <xdr:cNvPr id="287" name="Picture 1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92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38585"/>
    <xdr:pic>
      <xdr:nvPicPr>
        <xdr:cNvPr id="288" name="Picture 2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38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83035"/>
    <xdr:pic>
      <xdr:nvPicPr>
        <xdr:cNvPr id="289" name="Picture 2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3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85756"/>
    <xdr:pic>
      <xdr:nvPicPr>
        <xdr:cNvPr id="290" name="Picture 2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5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64407" cy="660357"/>
    <xdr:sp macro="" textlink="">
      <xdr:nvSpPr>
        <xdr:cNvPr id="291" name="AutoShape 1" descr="image001"/>
        <xdr:cNvSpPr>
          <a:spLocks noChangeAspect="1" noChangeArrowheads="1"/>
        </xdr:cNvSpPr>
      </xdr:nvSpPr>
      <xdr:spPr bwMode="auto">
        <a:xfrm>
          <a:off x="3505200" y="2162175"/>
          <a:ext cx="64407" cy="66035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</xdr:row>
      <xdr:rowOff>0</xdr:rowOff>
    </xdr:from>
    <xdr:ext cx="64407" cy="657635"/>
    <xdr:sp macro="" textlink="">
      <xdr:nvSpPr>
        <xdr:cNvPr id="292" name="AutoShape 1" descr="image001"/>
        <xdr:cNvSpPr>
          <a:spLocks noChangeAspect="1" noChangeArrowheads="1"/>
        </xdr:cNvSpPr>
      </xdr:nvSpPr>
      <xdr:spPr bwMode="auto">
        <a:xfrm>
          <a:off x="3505200" y="2162175"/>
          <a:ext cx="64407" cy="6576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</xdr:row>
      <xdr:rowOff>0</xdr:rowOff>
    </xdr:from>
    <xdr:ext cx="64407" cy="657635"/>
    <xdr:sp macro="" textlink="">
      <xdr:nvSpPr>
        <xdr:cNvPr id="293" name="AutoShape 1" descr="image001"/>
        <xdr:cNvSpPr>
          <a:spLocks noChangeAspect="1" noChangeArrowheads="1"/>
        </xdr:cNvSpPr>
      </xdr:nvSpPr>
      <xdr:spPr bwMode="auto">
        <a:xfrm>
          <a:off x="3505200" y="2162175"/>
          <a:ext cx="64407" cy="6576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</xdr:row>
      <xdr:rowOff>0</xdr:rowOff>
    </xdr:from>
    <xdr:ext cx="64407" cy="657635"/>
    <xdr:sp macro="" textlink="">
      <xdr:nvSpPr>
        <xdr:cNvPr id="294" name="AutoShape 1" descr="image001"/>
        <xdr:cNvSpPr>
          <a:spLocks noChangeAspect="1" noChangeArrowheads="1"/>
        </xdr:cNvSpPr>
      </xdr:nvSpPr>
      <xdr:spPr bwMode="auto">
        <a:xfrm>
          <a:off x="3505200" y="2162175"/>
          <a:ext cx="64407" cy="6576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</xdr:row>
      <xdr:rowOff>0</xdr:rowOff>
    </xdr:from>
    <xdr:ext cx="85725" cy="676231"/>
    <xdr:pic>
      <xdr:nvPicPr>
        <xdr:cNvPr id="295" name="AutoShape 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62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83035"/>
    <xdr:pic>
      <xdr:nvPicPr>
        <xdr:cNvPr id="296" name="Picture 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3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63985"/>
    <xdr:pic>
      <xdr:nvPicPr>
        <xdr:cNvPr id="297" name="Picture 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63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711610"/>
    <xdr:pic>
      <xdr:nvPicPr>
        <xdr:cNvPr id="298" name="Picture 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11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85757"/>
    <xdr:pic>
      <xdr:nvPicPr>
        <xdr:cNvPr id="299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5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76232"/>
    <xdr:pic>
      <xdr:nvPicPr>
        <xdr:cNvPr id="300" name="Picture 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6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76231"/>
    <xdr:pic>
      <xdr:nvPicPr>
        <xdr:cNvPr id="301" name="Picture 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62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76231"/>
    <xdr:pic>
      <xdr:nvPicPr>
        <xdr:cNvPr id="302" name="Picture 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62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711609"/>
    <xdr:pic>
      <xdr:nvPicPr>
        <xdr:cNvPr id="303" name="Picture 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116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85756"/>
    <xdr:pic>
      <xdr:nvPicPr>
        <xdr:cNvPr id="304" name="Picture 1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5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76231"/>
    <xdr:pic>
      <xdr:nvPicPr>
        <xdr:cNvPr id="305" name="Picture 1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62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99364"/>
    <xdr:pic>
      <xdr:nvPicPr>
        <xdr:cNvPr id="306" name="Picture 1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99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903471"/>
    <xdr:pic>
      <xdr:nvPicPr>
        <xdr:cNvPr id="307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903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99364"/>
    <xdr:pic>
      <xdr:nvPicPr>
        <xdr:cNvPr id="308" name="Picture 1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99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99363"/>
    <xdr:pic>
      <xdr:nvPicPr>
        <xdr:cNvPr id="309" name="Picture 1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993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903471"/>
    <xdr:pic>
      <xdr:nvPicPr>
        <xdr:cNvPr id="310" name="Picture 1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903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99363"/>
    <xdr:pic>
      <xdr:nvPicPr>
        <xdr:cNvPr id="311" name="Picture 1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993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703445"/>
    <xdr:pic>
      <xdr:nvPicPr>
        <xdr:cNvPr id="312" name="Picture 1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034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92559"/>
    <xdr:pic>
      <xdr:nvPicPr>
        <xdr:cNvPr id="313" name="Picture 1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92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38585"/>
    <xdr:pic>
      <xdr:nvPicPr>
        <xdr:cNvPr id="314" name="Picture 2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38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83035"/>
    <xdr:pic>
      <xdr:nvPicPr>
        <xdr:cNvPr id="315" name="Picture 2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3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85756"/>
    <xdr:pic>
      <xdr:nvPicPr>
        <xdr:cNvPr id="316" name="Picture 2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5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64407" cy="663160"/>
    <xdr:sp macro="" textlink="">
      <xdr:nvSpPr>
        <xdr:cNvPr id="317" name="AutoShape 1" descr="image001"/>
        <xdr:cNvSpPr>
          <a:spLocks noChangeAspect="1" noChangeArrowheads="1"/>
        </xdr:cNvSpPr>
      </xdr:nvSpPr>
      <xdr:spPr bwMode="auto">
        <a:xfrm>
          <a:off x="3505200" y="2162175"/>
          <a:ext cx="64407" cy="66316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</xdr:row>
      <xdr:rowOff>0</xdr:rowOff>
    </xdr:from>
    <xdr:ext cx="64407" cy="660438"/>
    <xdr:sp macro="" textlink="">
      <xdr:nvSpPr>
        <xdr:cNvPr id="318" name="AutoShape 1" descr="image001"/>
        <xdr:cNvSpPr>
          <a:spLocks noChangeAspect="1" noChangeArrowheads="1"/>
        </xdr:cNvSpPr>
      </xdr:nvSpPr>
      <xdr:spPr bwMode="auto">
        <a:xfrm>
          <a:off x="3505200" y="2162175"/>
          <a:ext cx="64407" cy="6604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</xdr:row>
      <xdr:rowOff>0</xdr:rowOff>
    </xdr:from>
    <xdr:ext cx="64407" cy="660438"/>
    <xdr:sp macro="" textlink="">
      <xdr:nvSpPr>
        <xdr:cNvPr id="319" name="AutoShape 1" descr="image001"/>
        <xdr:cNvSpPr>
          <a:spLocks noChangeAspect="1" noChangeArrowheads="1"/>
        </xdr:cNvSpPr>
      </xdr:nvSpPr>
      <xdr:spPr bwMode="auto">
        <a:xfrm>
          <a:off x="3505200" y="2162175"/>
          <a:ext cx="64407" cy="6604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</xdr:row>
      <xdr:rowOff>0</xdr:rowOff>
    </xdr:from>
    <xdr:ext cx="64407" cy="660438"/>
    <xdr:sp macro="" textlink="">
      <xdr:nvSpPr>
        <xdr:cNvPr id="320" name="AutoShape 1" descr="image001"/>
        <xdr:cNvSpPr>
          <a:spLocks noChangeAspect="1" noChangeArrowheads="1"/>
        </xdr:cNvSpPr>
      </xdr:nvSpPr>
      <xdr:spPr bwMode="auto">
        <a:xfrm>
          <a:off x="3505200" y="2162175"/>
          <a:ext cx="64407" cy="6604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</xdr:row>
      <xdr:rowOff>0</xdr:rowOff>
    </xdr:from>
    <xdr:ext cx="85725" cy="679034"/>
    <xdr:pic>
      <xdr:nvPicPr>
        <xdr:cNvPr id="321" name="AutoShape 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9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85838"/>
    <xdr:pic>
      <xdr:nvPicPr>
        <xdr:cNvPr id="322" name="Picture 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58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66788"/>
    <xdr:pic>
      <xdr:nvPicPr>
        <xdr:cNvPr id="323" name="Picture 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667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714413"/>
    <xdr:pic>
      <xdr:nvPicPr>
        <xdr:cNvPr id="324" name="Picture 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144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88560"/>
    <xdr:pic>
      <xdr:nvPicPr>
        <xdr:cNvPr id="325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8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79035"/>
    <xdr:pic>
      <xdr:nvPicPr>
        <xdr:cNvPr id="326" name="Picture 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9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79034"/>
    <xdr:pic>
      <xdr:nvPicPr>
        <xdr:cNvPr id="327" name="Picture 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9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79034"/>
    <xdr:pic>
      <xdr:nvPicPr>
        <xdr:cNvPr id="328" name="Picture 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9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714412"/>
    <xdr:pic>
      <xdr:nvPicPr>
        <xdr:cNvPr id="329" name="Picture 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144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88559"/>
    <xdr:pic>
      <xdr:nvPicPr>
        <xdr:cNvPr id="330" name="Picture 1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8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79034"/>
    <xdr:pic>
      <xdr:nvPicPr>
        <xdr:cNvPr id="331" name="Picture 1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9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702167"/>
    <xdr:pic>
      <xdr:nvPicPr>
        <xdr:cNvPr id="332" name="Picture 1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021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906274"/>
    <xdr:pic>
      <xdr:nvPicPr>
        <xdr:cNvPr id="333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906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702167"/>
    <xdr:pic>
      <xdr:nvPicPr>
        <xdr:cNvPr id="334" name="Picture 1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021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702166"/>
    <xdr:pic>
      <xdr:nvPicPr>
        <xdr:cNvPr id="335" name="Picture 1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02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906274"/>
    <xdr:pic>
      <xdr:nvPicPr>
        <xdr:cNvPr id="336" name="Picture 1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906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702166"/>
    <xdr:pic>
      <xdr:nvPicPr>
        <xdr:cNvPr id="337" name="Picture 1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02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706248"/>
    <xdr:pic>
      <xdr:nvPicPr>
        <xdr:cNvPr id="338" name="Picture 1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062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95362"/>
    <xdr:pic>
      <xdr:nvPicPr>
        <xdr:cNvPr id="339" name="Picture 1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953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41388"/>
    <xdr:pic>
      <xdr:nvPicPr>
        <xdr:cNvPr id="340" name="Picture 2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413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85838"/>
    <xdr:pic>
      <xdr:nvPicPr>
        <xdr:cNvPr id="341" name="Picture 2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58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88559"/>
    <xdr:pic>
      <xdr:nvPicPr>
        <xdr:cNvPr id="342" name="Picture 2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8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64407" cy="663160"/>
    <xdr:sp macro="" textlink="">
      <xdr:nvSpPr>
        <xdr:cNvPr id="343" name="AutoShape 1" descr="image001"/>
        <xdr:cNvSpPr>
          <a:spLocks noChangeAspect="1" noChangeArrowheads="1"/>
        </xdr:cNvSpPr>
      </xdr:nvSpPr>
      <xdr:spPr bwMode="auto">
        <a:xfrm>
          <a:off x="3505200" y="2162175"/>
          <a:ext cx="64407" cy="66316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</xdr:row>
      <xdr:rowOff>0</xdr:rowOff>
    </xdr:from>
    <xdr:ext cx="64407" cy="660438"/>
    <xdr:sp macro="" textlink="">
      <xdr:nvSpPr>
        <xdr:cNvPr id="344" name="AutoShape 1" descr="image001"/>
        <xdr:cNvSpPr>
          <a:spLocks noChangeAspect="1" noChangeArrowheads="1"/>
        </xdr:cNvSpPr>
      </xdr:nvSpPr>
      <xdr:spPr bwMode="auto">
        <a:xfrm>
          <a:off x="3505200" y="2162175"/>
          <a:ext cx="64407" cy="6604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</xdr:row>
      <xdr:rowOff>0</xdr:rowOff>
    </xdr:from>
    <xdr:ext cx="64407" cy="660438"/>
    <xdr:sp macro="" textlink="">
      <xdr:nvSpPr>
        <xdr:cNvPr id="345" name="AutoShape 1" descr="image001"/>
        <xdr:cNvSpPr>
          <a:spLocks noChangeAspect="1" noChangeArrowheads="1"/>
        </xdr:cNvSpPr>
      </xdr:nvSpPr>
      <xdr:spPr bwMode="auto">
        <a:xfrm>
          <a:off x="3505200" y="2162175"/>
          <a:ext cx="64407" cy="6604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</xdr:row>
      <xdr:rowOff>0</xdr:rowOff>
    </xdr:from>
    <xdr:ext cx="64407" cy="660438"/>
    <xdr:sp macro="" textlink="">
      <xdr:nvSpPr>
        <xdr:cNvPr id="346" name="AutoShape 1" descr="image001"/>
        <xdr:cNvSpPr>
          <a:spLocks noChangeAspect="1" noChangeArrowheads="1"/>
        </xdr:cNvSpPr>
      </xdr:nvSpPr>
      <xdr:spPr bwMode="auto">
        <a:xfrm>
          <a:off x="3505200" y="2162175"/>
          <a:ext cx="64407" cy="6604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</xdr:row>
      <xdr:rowOff>0</xdr:rowOff>
    </xdr:from>
    <xdr:ext cx="85725" cy="679034"/>
    <xdr:pic>
      <xdr:nvPicPr>
        <xdr:cNvPr id="347" name="AutoShape 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9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85838"/>
    <xdr:pic>
      <xdr:nvPicPr>
        <xdr:cNvPr id="348" name="Picture 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58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66788"/>
    <xdr:pic>
      <xdr:nvPicPr>
        <xdr:cNvPr id="349" name="Picture 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667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714413"/>
    <xdr:pic>
      <xdr:nvPicPr>
        <xdr:cNvPr id="350" name="Picture 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144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88560"/>
    <xdr:pic>
      <xdr:nvPicPr>
        <xdr:cNvPr id="351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8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79035"/>
    <xdr:pic>
      <xdr:nvPicPr>
        <xdr:cNvPr id="352" name="Picture 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9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79034"/>
    <xdr:pic>
      <xdr:nvPicPr>
        <xdr:cNvPr id="353" name="Picture 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9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79034"/>
    <xdr:pic>
      <xdr:nvPicPr>
        <xdr:cNvPr id="354" name="Picture 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9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714412"/>
    <xdr:pic>
      <xdr:nvPicPr>
        <xdr:cNvPr id="355" name="Picture 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144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88559"/>
    <xdr:pic>
      <xdr:nvPicPr>
        <xdr:cNvPr id="356" name="Picture 1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8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79034"/>
    <xdr:pic>
      <xdr:nvPicPr>
        <xdr:cNvPr id="357" name="Picture 1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9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702167"/>
    <xdr:pic>
      <xdr:nvPicPr>
        <xdr:cNvPr id="358" name="Picture 1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021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906274"/>
    <xdr:pic>
      <xdr:nvPicPr>
        <xdr:cNvPr id="359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906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702167"/>
    <xdr:pic>
      <xdr:nvPicPr>
        <xdr:cNvPr id="360" name="Picture 1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021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702166"/>
    <xdr:pic>
      <xdr:nvPicPr>
        <xdr:cNvPr id="361" name="Picture 1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02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906274"/>
    <xdr:pic>
      <xdr:nvPicPr>
        <xdr:cNvPr id="362" name="Picture 1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906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702166"/>
    <xdr:pic>
      <xdr:nvPicPr>
        <xdr:cNvPr id="363" name="Picture 1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02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706248"/>
    <xdr:pic>
      <xdr:nvPicPr>
        <xdr:cNvPr id="364" name="Picture 1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062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95362"/>
    <xdr:pic>
      <xdr:nvPicPr>
        <xdr:cNvPr id="365" name="Picture 1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953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41388"/>
    <xdr:pic>
      <xdr:nvPicPr>
        <xdr:cNvPr id="366" name="Picture 2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413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85838"/>
    <xdr:pic>
      <xdr:nvPicPr>
        <xdr:cNvPr id="367" name="Picture 2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58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88559"/>
    <xdr:pic>
      <xdr:nvPicPr>
        <xdr:cNvPr id="368" name="Picture 2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8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64407" cy="663159"/>
    <xdr:sp macro="" textlink="">
      <xdr:nvSpPr>
        <xdr:cNvPr id="369" name="AutoShape 1" descr="image001"/>
        <xdr:cNvSpPr>
          <a:spLocks noChangeAspect="1" noChangeArrowheads="1"/>
        </xdr:cNvSpPr>
      </xdr:nvSpPr>
      <xdr:spPr bwMode="auto">
        <a:xfrm>
          <a:off x="3505200" y="2162175"/>
          <a:ext cx="64407" cy="6631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</xdr:row>
      <xdr:rowOff>0</xdr:rowOff>
    </xdr:from>
    <xdr:ext cx="64407" cy="660437"/>
    <xdr:sp macro="" textlink="">
      <xdr:nvSpPr>
        <xdr:cNvPr id="370" name="AutoShape 1" descr="image001"/>
        <xdr:cNvSpPr>
          <a:spLocks noChangeAspect="1" noChangeArrowheads="1"/>
        </xdr:cNvSpPr>
      </xdr:nvSpPr>
      <xdr:spPr bwMode="auto">
        <a:xfrm>
          <a:off x="3505200" y="2162175"/>
          <a:ext cx="64407" cy="660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</xdr:row>
      <xdr:rowOff>0</xdr:rowOff>
    </xdr:from>
    <xdr:ext cx="64407" cy="660437"/>
    <xdr:sp macro="" textlink="">
      <xdr:nvSpPr>
        <xdr:cNvPr id="371" name="AutoShape 1" descr="image001"/>
        <xdr:cNvSpPr>
          <a:spLocks noChangeAspect="1" noChangeArrowheads="1"/>
        </xdr:cNvSpPr>
      </xdr:nvSpPr>
      <xdr:spPr bwMode="auto">
        <a:xfrm>
          <a:off x="3505200" y="2162175"/>
          <a:ext cx="64407" cy="660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</xdr:row>
      <xdr:rowOff>0</xdr:rowOff>
    </xdr:from>
    <xdr:ext cx="64407" cy="660437"/>
    <xdr:sp macro="" textlink="">
      <xdr:nvSpPr>
        <xdr:cNvPr id="372" name="AutoShape 1" descr="image001"/>
        <xdr:cNvSpPr>
          <a:spLocks noChangeAspect="1" noChangeArrowheads="1"/>
        </xdr:cNvSpPr>
      </xdr:nvSpPr>
      <xdr:spPr bwMode="auto">
        <a:xfrm>
          <a:off x="3505200" y="2162175"/>
          <a:ext cx="64407" cy="660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</xdr:row>
      <xdr:rowOff>0</xdr:rowOff>
    </xdr:from>
    <xdr:ext cx="85725" cy="679033"/>
    <xdr:pic>
      <xdr:nvPicPr>
        <xdr:cNvPr id="373" name="AutoShape 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85837"/>
    <xdr:pic>
      <xdr:nvPicPr>
        <xdr:cNvPr id="374" name="Picture 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58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66787"/>
    <xdr:pic>
      <xdr:nvPicPr>
        <xdr:cNvPr id="375" name="Picture 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667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714412"/>
    <xdr:pic>
      <xdr:nvPicPr>
        <xdr:cNvPr id="376" name="Picture 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144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88559"/>
    <xdr:pic>
      <xdr:nvPicPr>
        <xdr:cNvPr id="377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8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79034"/>
    <xdr:pic>
      <xdr:nvPicPr>
        <xdr:cNvPr id="378" name="Picture 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9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79033"/>
    <xdr:pic>
      <xdr:nvPicPr>
        <xdr:cNvPr id="379" name="Picture 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79033"/>
    <xdr:pic>
      <xdr:nvPicPr>
        <xdr:cNvPr id="380" name="Picture 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714411"/>
    <xdr:pic>
      <xdr:nvPicPr>
        <xdr:cNvPr id="381" name="Picture 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144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88558"/>
    <xdr:pic>
      <xdr:nvPicPr>
        <xdr:cNvPr id="382" name="Picture 1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85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79033"/>
    <xdr:pic>
      <xdr:nvPicPr>
        <xdr:cNvPr id="383" name="Picture 1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702166"/>
    <xdr:pic>
      <xdr:nvPicPr>
        <xdr:cNvPr id="384" name="Picture 1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02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906273"/>
    <xdr:pic>
      <xdr:nvPicPr>
        <xdr:cNvPr id="385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702166"/>
    <xdr:pic>
      <xdr:nvPicPr>
        <xdr:cNvPr id="386" name="Picture 1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02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702165"/>
    <xdr:pic>
      <xdr:nvPicPr>
        <xdr:cNvPr id="387" name="Picture 1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02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906273"/>
    <xdr:pic>
      <xdr:nvPicPr>
        <xdr:cNvPr id="388" name="Picture 1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702165"/>
    <xdr:pic>
      <xdr:nvPicPr>
        <xdr:cNvPr id="389" name="Picture 1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02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706247"/>
    <xdr:pic>
      <xdr:nvPicPr>
        <xdr:cNvPr id="390" name="Picture 1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06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95361"/>
    <xdr:pic>
      <xdr:nvPicPr>
        <xdr:cNvPr id="391" name="Picture 1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953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41387"/>
    <xdr:pic>
      <xdr:nvPicPr>
        <xdr:cNvPr id="392" name="Picture 2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413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85837"/>
    <xdr:pic>
      <xdr:nvPicPr>
        <xdr:cNvPr id="393" name="Picture 2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58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88558"/>
    <xdr:pic>
      <xdr:nvPicPr>
        <xdr:cNvPr id="394" name="Picture 2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85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64407" cy="663159"/>
    <xdr:sp macro="" textlink="">
      <xdr:nvSpPr>
        <xdr:cNvPr id="395" name="AutoShape 1" descr="image001"/>
        <xdr:cNvSpPr>
          <a:spLocks noChangeAspect="1" noChangeArrowheads="1"/>
        </xdr:cNvSpPr>
      </xdr:nvSpPr>
      <xdr:spPr bwMode="auto">
        <a:xfrm>
          <a:off x="3505200" y="2162175"/>
          <a:ext cx="64407" cy="6631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</xdr:row>
      <xdr:rowOff>0</xdr:rowOff>
    </xdr:from>
    <xdr:ext cx="64407" cy="660437"/>
    <xdr:sp macro="" textlink="">
      <xdr:nvSpPr>
        <xdr:cNvPr id="396" name="AutoShape 1" descr="image001"/>
        <xdr:cNvSpPr>
          <a:spLocks noChangeAspect="1" noChangeArrowheads="1"/>
        </xdr:cNvSpPr>
      </xdr:nvSpPr>
      <xdr:spPr bwMode="auto">
        <a:xfrm>
          <a:off x="3505200" y="2162175"/>
          <a:ext cx="64407" cy="660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</xdr:row>
      <xdr:rowOff>0</xdr:rowOff>
    </xdr:from>
    <xdr:ext cx="64407" cy="660437"/>
    <xdr:sp macro="" textlink="">
      <xdr:nvSpPr>
        <xdr:cNvPr id="397" name="AutoShape 1" descr="image001"/>
        <xdr:cNvSpPr>
          <a:spLocks noChangeAspect="1" noChangeArrowheads="1"/>
        </xdr:cNvSpPr>
      </xdr:nvSpPr>
      <xdr:spPr bwMode="auto">
        <a:xfrm>
          <a:off x="3505200" y="2162175"/>
          <a:ext cx="64407" cy="660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</xdr:row>
      <xdr:rowOff>0</xdr:rowOff>
    </xdr:from>
    <xdr:ext cx="64407" cy="660437"/>
    <xdr:sp macro="" textlink="">
      <xdr:nvSpPr>
        <xdr:cNvPr id="398" name="AutoShape 1" descr="image001"/>
        <xdr:cNvSpPr>
          <a:spLocks noChangeAspect="1" noChangeArrowheads="1"/>
        </xdr:cNvSpPr>
      </xdr:nvSpPr>
      <xdr:spPr bwMode="auto">
        <a:xfrm>
          <a:off x="3505200" y="2162175"/>
          <a:ext cx="64407" cy="660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4</xdr:row>
      <xdr:rowOff>0</xdr:rowOff>
    </xdr:from>
    <xdr:ext cx="85725" cy="679033"/>
    <xdr:pic>
      <xdr:nvPicPr>
        <xdr:cNvPr id="399" name="AutoShape 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85837"/>
    <xdr:pic>
      <xdr:nvPicPr>
        <xdr:cNvPr id="400" name="Picture 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58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66787"/>
    <xdr:pic>
      <xdr:nvPicPr>
        <xdr:cNvPr id="401" name="Picture 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667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714412"/>
    <xdr:pic>
      <xdr:nvPicPr>
        <xdr:cNvPr id="402" name="Picture 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144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88559"/>
    <xdr:pic>
      <xdr:nvPicPr>
        <xdr:cNvPr id="403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8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79034"/>
    <xdr:pic>
      <xdr:nvPicPr>
        <xdr:cNvPr id="404" name="Picture 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9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79033"/>
    <xdr:pic>
      <xdr:nvPicPr>
        <xdr:cNvPr id="405" name="Picture 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79033"/>
    <xdr:pic>
      <xdr:nvPicPr>
        <xdr:cNvPr id="406" name="Picture 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714411"/>
    <xdr:pic>
      <xdr:nvPicPr>
        <xdr:cNvPr id="407" name="Picture 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144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88558"/>
    <xdr:pic>
      <xdr:nvPicPr>
        <xdr:cNvPr id="408" name="Picture 1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85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79033"/>
    <xdr:pic>
      <xdr:nvPicPr>
        <xdr:cNvPr id="409" name="Picture 1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7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702166"/>
    <xdr:pic>
      <xdr:nvPicPr>
        <xdr:cNvPr id="410" name="Picture 1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02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906273"/>
    <xdr:pic>
      <xdr:nvPicPr>
        <xdr:cNvPr id="411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702166"/>
    <xdr:pic>
      <xdr:nvPicPr>
        <xdr:cNvPr id="412" name="Picture 1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02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702165"/>
    <xdr:pic>
      <xdr:nvPicPr>
        <xdr:cNvPr id="413" name="Picture 1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02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906273"/>
    <xdr:pic>
      <xdr:nvPicPr>
        <xdr:cNvPr id="414" name="Picture 16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702165"/>
    <xdr:pic>
      <xdr:nvPicPr>
        <xdr:cNvPr id="415" name="Picture 17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02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706247"/>
    <xdr:pic>
      <xdr:nvPicPr>
        <xdr:cNvPr id="416" name="Picture 1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706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95361"/>
    <xdr:pic>
      <xdr:nvPicPr>
        <xdr:cNvPr id="417" name="Picture 19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953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41387"/>
    <xdr:pic>
      <xdr:nvPicPr>
        <xdr:cNvPr id="418" name="Picture 20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413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85837"/>
    <xdr:pic>
      <xdr:nvPicPr>
        <xdr:cNvPr id="419" name="Picture 2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58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85725" cy="688558"/>
    <xdr:pic>
      <xdr:nvPicPr>
        <xdr:cNvPr id="420" name="Picture 2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162175"/>
          <a:ext cx="85725" cy="6885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300336</xdr:colOff>
      <xdr:row>4</xdr:row>
      <xdr:rowOff>0</xdr:rowOff>
    </xdr:from>
    <xdr:ext cx="85725" cy="906273"/>
    <xdr:pic>
      <xdr:nvPicPr>
        <xdr:cNvPr id="421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336" y="2162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289752</xdr:colOff>
      <xdr:row>4</xdr:row>
      <xdr:rowOff>0</xdr:rowOff>
    </xdr:from>
    <xdr:ext cx="85725" cy="906273"/>
    <xdr:pic>
      <xdr:nvPicPr>
        <xdr:cNvPr id="422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752" y="2162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289752</xdr:colOff>
      <xdr:row>4</xdr:row>
      <xdr:rowOff>0</xdr:rowOff>
    </xdr:from>
    <xdr:ext cx="85725" cy="906273"/>
    <xdr:pic>
      <xdr:nvPicPr>
        <xdr:cNvPr id="423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752" y="2162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289752</xdr:colOff>
      <xdr:row>4</xdr:row>
      <xdr:rowOff>0</xdr:rowOff>
    </xdr:from>
    <xdr:ext cx="85725" cy="906273"/>
    <xdr:pic>
      <xdr:nvPicPr>
        <xdr:cNvPr id="424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752" y="2162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279168</xdr:colOff>
      <xdr:row>4</xdr:row>
      <xdr:rowOff>0</xdr:rowOff>
    </xdr:from>
    <xdr:ext cx="85725" cy="906273"/>
    <xdr:pic>
      <xdr:nvPicPr>
        <xdr:cNvPr id="425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168" y="2162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321502</xdr:colOff>
      <xdr:row>4</xdr:row>
      <xdr:rowOff>0</xdr:rowOff>
    </xdr:from>
    <xdr:ext cx="85725" cy="906273"/>
    <xdr:pic>
      <xdr:nvPicPr>
        <xdr:cNvPr id="426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502" y="2162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289752</xdr:colOff>
      <xdr:row>4</xdr:row>
      <xdr:rowOff>0</xdr:rowOff>
    </xdr:from>
    <xdr:ext cx="85725" cy="906273"/>
    <xdr:pic>
      <xdr:nvPicPr>
        <xdr:cNvPr id="427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752" y="2162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289752</xdr:colOff>
      <xdr:row>4</xdr:row>
      <xdr:rowOff>0</xdr:rowOff>
    </xdr:from>
    <xdr:ext cx="85725" cy="906273"/>
    <xdr:pic>
      <xdr:nvPicPr>
        <xdr:cNvPr id="428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752" y="2162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289752</xdr:colOff>
      <xdr:row>4</xdr:row>
      <xdr:rowOff>0</xdr:rowOff>
    </xdr:from>
    <xdr:ext cx="85725" cy="906273"/>
    <xdr:pic>
      <xdr:nvPicPr>
        <xdr:cNvPr id="429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752" y="2162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289752</xdr:colOff>
      <xdr:row>4</xdr:row>
      <xdr:rowOff>0</xdr:rowOff>
    </xdr:from>
    <xdr:ext cx="85725" cy="906273"/>
    <xdr:pic>
      <xdr:nvPicPr>
        <xdr:cNvPr id="430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752" y="2162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289752</xdr:colOff>
      <xdr:row>4</xdr:row>
      <xdr:rowOff>0</xdr:rowOff>
    </xdr:from>
    <xdr:ext cx="85725" cy="906273"/>
    <xdr:pic>
      <xdr:nvPicPr>
        <xdr:cNvPr id="431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752" y="2162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289752</xdr:colOff>
      <xdr:row>4</xdr:row>
      <xdr:rowOff>0</xdr:rowOff>
    </xdr:from>
    <xdr:ext cx="85725" cy="906273"/>
    <xdr:pic>
      <xdr:nvPicPr>
        <xdr:cNvPr id="432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752" y="2162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289752</xdr:colOff>
      <xdr:row>4</xdr:row>
      <xdr:rowOff>0</xdr:rowOff>
    </xdr:from>
    <xdr:ext cx="85725" cy="906273"/>
    <xdr:pic>
      <xdr:nvPicPr>
        <xdr:cNvPr id="433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752" y="2162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289752</xdr:colOff>
      <xdr:row>4</xdr:row>
      <xdr:rowOff>0</xdr:rowOff>
    </xdr:from>
    <xdr:ext cx="85725" cy="906273"/>
    <xdr:pic>
      <xdr:nvPicPr>
        <xdr:cNvPr id="434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752" y="2162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289752</xdr:colOff>
      <xdr:row>4</xdr:row>
      <xdr:rowOff>0</xdr:rowOff>
    </xdr:from>
    <xdr:ext cx="85725" cy="906273"/>
    <xdr:pic>
      <xdr:nvPicPr>
        <xdr:cNvPr id="435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752" y="2162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289752</xdr:colOff>
      <xdr:row>4</xdr:row>
      <xdr:rowOff>0</xdr:rowOff>
    </xdr:from>
    <xdr:ext cx="85725" cy="906273"/>
    <xdr:pic>
      <xdr:nvPicPr>
        <xdr:cNvPr id="436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752" y="2162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16</xdr:col>
      <xdr:colOff>173335</xdr:colOff>
      <xdr:row>4</xdr:row>
      <xdr:rowOff>0</xdr:rowOff>
    </xdr:from>
    <xdr:ext cx="85725" cy="906273"/>
    <xdr:pic>
      <xdr:nvPicPr>
        <xdr:cNvPr id="437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89085" y="216217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78"/>
  <sheetViews>
    <sheetView tabSelected="1" view="pageBreakPreview" zoomScale="90" zoomScaleNormal="70" zoomScaleSheetLayoutView="90" workbookViewId="0">
      <selection activeCell="P6" sqref="P6"/>
    </sheetView>
  </sheetViews>
  <sheetFormatPr defaultRowHeight="12.75" x14ac:dyDescent="0.2"/>
  <cols>
    <col min="1" max="1" width="5" style="9" customWidth="1"/>
    <col min="2" max="2" width="33.28515625" style="3" customWidth="1"/>
    <col min="3" max="3" width="4.140625" style="3" customWidth="1"/>
    <col min="4" max="4" width="10.140625" style="2" customWidth="1"/>
    <col min="5" max="5" width="13.7109375" style="30" customWidth="1"/>
    <col min="6" max="6" width="13.7109375" style="26" customWidth="1"/>
    <col min="7" max="7" width="16" style="3" customWidth="1"/>
    <col min="8" max="8" width="16.140625" style="3" customWidth="1"/>
    <col min="9" max="12" width="16.140625" style="2" hidden="1" customWidth="1"/>
    <col min="13" max="16384" width="9.140625" style="1"/>
  </cols>
  <sheetData>
    <row r="1" spans="1:12" ht="15" customHeight="1" x14ac:dyDescent="0.2">
      <c r="A1" s="23"/>
      <c r="E1" s="32"/>
      <c r="F1" s="33" t="s">
        <v>36</v>
      </c>
      <c r="G1" s="33"/>
      <c r="H1" s="33"/>
      <c r="I1" s="33"/>
      <c r="J1" s="33"/>
      <c r="K1" s="33"/>
      <c r="L1" s="33"/>
    </row>
    <row r="2" spans="1:12" ht="22.5" customHeight="1" x14ac:dyDescent="0.2">
      <c r="A2" s="34" t="s">
        <v>35</v>
      </c>
      <c r="B2" s="34"/>
      <c r="C2" s="34"/>
      <c r="D2" s="34"/>
      <c r="E2" s="34"/>
      <c r="F2" s="34"/>
      <c r="G2" s="34"/>
      <c r="H2" s="34"/>
      <c r="I2" s="8"/>
      <c r="J2" s="8"/>
      <c r="K2" s="8"/>
      <c r="L2" s="8"/>
    </row>
    <row r="3" spans="1:12" ht="102.75" customHeight="1" x14ac:dyDescent="0.2">
      <c r="A3" s="5" t="s">
        <v>0</v>
      </c>
      <c r="B3" s="17" t="s">
        <v>3</v>
      </c>
      <c r="C3" s="17" t="s">
        <v>1</v>
      </c>
      <c r="D3" s="17" t="s">
        <v>2</v>
      </c>
      <c r="E3" s="5" t="s">
        <v>5</v>
      </c>
      <c r="F3" s="28" t="s">
        <v>32</v>
      </c>
      <c r="G3" s="17" t="s">
        <v>33</v>
      </c>
      <c r="H3" s="17" t="s">
        <v>34</v>
      </c>
      <c r="I3" s="7"/>
      <c r="J3" s="7" t="s">
        <v>7</v>
      </c>
      <c r="K3" s="7"/>
      <c r="L3" s="7"/>
    </row>
    <row r="4" spans="1:12" ht="32.25" customHeight="1" x14ac:dyDescent="0.2">
      <c r="A4" s="5">
        <v>1</v>
      </c>
      <c r="B4" s="18" t="s">
        <v>24</v>
      </c>
      <c r="C4" s="10" t="s">
        <v>6</v>
      </c>
      <c r="D4" s="19">
        <v>0.2</v>
      </c>
      <c r="E4" s="31">
        <v>211082.78688524591</v>
      </c>
      <c r="F4" s="27">
        <f>E4*1.22</f>
        <v>257521</v>
      </c>
      <c r="G4" s="20">
        <f>E4*D4</f>
        <v>42216.557377049183</v>
      </c>
      <c r="H4" s="22">
        <f>G4*1.22</f>
        <v>51504.200000000004</v>
      </c>
      <c r="I4" s="15"/>
      <c r="J4" s="15"/>
      <c r="K4" s="15"/>
      <c r="L4" s="15"/>
    </row>
    <row r="5" spans="1:12" ht="32.25" customHeight="1" x14ac:dyDescent="0.2">
      <c r="A5" s="5">
        <v>2</v>
      </c>
      <c r="B5" s="18" t="s">
        <v>18</v>
      </c>
      <c r="C5" s="10" t="s">
        <v>6</v>
      </c>
      <c r="D5" s="19">
        <v>0.15</v>
      </c>
      <c r="E5" s="31">
        <v>255538.52459016393</v>
      </c>
      <c r="F5" s="27">
        <f t="shared" ref="F5:F46" si="0">E5*1.22</f>
        <v>311757</v>
      </c>
      <c r="G5" s="20">
        <f>E5*D5</f>
        <v>38330.778688524588</v>
      </c>
      <c r="H5" s="22">
        <f t="shared" ref="H5:H46" si="1">G5*1.22</f>
        <v>46763.549999999996</v>
      </c>
      <c r="I5" s="15"/>
      <c r="J5" s="15"/>
      <c r="K5" s="15"/>
      <c r="L5" s="15"/>
    </row>
    <row r="6" spans="1:12" ht="32.25" customHeight="1" x14ac:dyDescent="0.2">
      <c r="A6" s="5">
        <v>3</v>
      </c>
      <c r="B6" s="18" t="s">
        <v>20</v>
      </c>
      <c r="C6" s="10" t="s">
        <v>6</v>
      </c>
      <c r="D6" s="19">
        <v>0.1</v>
      </c>
      <c r="E6" s="31">
        <v>255538.52459016393</v>
      </c>
      <c r="F6" s="27">
        <f t="shared" si="0"/>
        <v>311757</v>
      </c>
      <c r="G6" s="20">
        <f>E6*D6</f>
        <v>25553.852459016394</v>
      </c>
      <c r="H6" s="22">
        <f t="shared" si="1"/>
        <v>31175.7</v>
      </c>
      <c r="I6" s="15"/>
      <c r="J6" s="15"/>
      <c r="K6" s="15"/>
      <c r="L6" s="15"/>
    </row>
    <row r="7" spans="1:12" ht="32.25" customHeight="1" x14ac:dyDescent="0.2">
      <c r="A7" s="5">
        <v>4</v>
      </c>
      <c r="B7" s="18" t="s">
        <v>10</v>
      </c>
      <c r="C7" s="10" t="s">
        <v>6</v>
      </c>
      <c r="D7" s="19">
        <v>0.2</v>
      </c>
      <c r="E7" s="31">
        <v>193984.42622950822</v>
      </c>
      <c r="F7" s="27">
        <f t="shared" si="0"/>
        <v>236661.00000000003</v>
      </c>
      <c r="G7" s="20">
        <f>E7*D7</f>
        <v>38796.885245901642</v>
      </c>
      <c r="H7" s="22">
        <f t="shared" si="1"/>
        <v>47332.200000000004</v>
      </c>
      <c r="I7" s="15"/>
      <c r="J7" s="15"/>
      <c r="K7" s="15"/>
      <c r="L7" s="15"/>
    </row>
    <row r="8" spans="1:12" ht="32.25" customHeight="1" x14ac:dyDescent="0.2">
      <c r="A8" s="5">
        <v>5</v>
      </c>
      <c r="B8" s="18" t="s">
        <v>24</v>
      </c>
      <c r="C8" s="10" t="s">
        <v>6</v>
      </c>
      <c r="D8" s="19">
        <v>0.15</v>
      </c>
      <c r="E8" s="31">
        <v>211082.78688524591</v>
      </c>
      <c r="F8" s="27">
        <f t="shared" si="0"/>
        <v>257521</v>
      </c>
      <c r="G8" s="20">
        <f>E8*D8</f>
        <v>31662.418032786885</v>
      </c>
      <c r="H8" s="22">
        <f t="shared" si="1"/>
        <v>38628.15</v>
      </c>
      <c r="I8" s="15"/>
      <c r="J8" s="15"/>
      <c r="K8" s="15"/>
      <c r="L8" s="15"/>
    </row>
    <row r="9" spans="1:12" ht="32.25" customHeight="1" x14ac:dyDescent="0.2">
      <c r="A9" s="5">
        <v>6</v>
      </c>
      <c r="B9" s="18" t="s">
        <v>9</v>
      </c>
      <c r="C9" s="10" t="s">
        <v>6</v>
      </c>
      <c r="D9" s="19">
        <v>0.3</v>
      </c>
      <c r="E9" s="31">
        <v>206808.19672131148</v>
      </c>
      <c r="F9" s="27">
        <f t="shared" si="0"/>
        <v>252306</v>
      </c>
      <c r="G9" s="20">
        <f>E9*D9</f>
        <v>62042.459016393441</v>
      </c>
      <c r="H9" s="22">
        <f t="shared" si="1"/>
        <v>75691.8</v>
      </c>
      <c r="I9" s="15"/>
      <c r="J9" s="15"/>
      <c r="K9" s="15"/>
      <c r="L9" s="15"/>
    </row>
    <row r="10" spans="1:12" ht="32.25" customHeight="1" x14ac:dyDescent="0.2">
      <c r="A10" s="5">
        <v>7</v>
      </c>
      <c r="B10" s="18" t="s">
        <v>18</v>
      </c>
      <c r="C10" s="10" t="s">
        <v>6</v>
      </c>
      <c r="D10" s="19">
        <v>8.7999999999999995E-2</v>
      </c>
      <c r="E10" s="31">
        <v>255538.52459016393</v>
      </c>
      <c r="F10" s="27">
        <f t="shared" si="0"/>
        <v>311757</v>
      </c>
      <c r="G10" s="20">
        <f>E10*D10</f>
        <v>22487.390163934426</v>
      </c>
      <c r="H10" s="22">
        <f t="shared" si="1"/>
        <v>27434.615999999998</v>
      </c>
      <c r="I10" s="15"/>
      <c r="J10" s="15"/>
      <c r="K10" s="15"/>
      <c r="L10" s="15"/>
    </row>
    <row r="11" spans="1:12" ht="32.25" customHeight="1" x14ac:dyDescent="0.2">
      <c r="A11" s="5">
        <v>8</v>
      </c>
      <c r="B11" s="18" t="s">
        <v>26</v>
      </c>
      <c r="C11" s="10" t="s">
        <v>6</v>
      </c>
      <c r="D11" s="19">
        <v>0.5</v>
      </c>
      <c r="E11" s="31">
        <v>211082.78688524591</v>
      </c>
      <c r="F11" s="27">
        <f t="shared" si="0"/>
        <v>257521</v>
      </c>
      <c r="G11" s="20">
        <f>E11*D11</f>
        <v>105541.39344262295</v>
      </c>
      <c r="H11" s="22">
        <f t="shared" si="1"/>
        <v>128760.5</v>
      </c>
      <c r="I11" s="15"/>
      <c r="J11" s="15"/>
      <c r="K11" s="15"/>
      <c r="L11" s="15"/>
    </row>
    <row r="12" spans="1:12" ht="32.25" customHeight="1" x14ac:dyDescent="0.2">
      <c r="A12" s="5">
        <v>9</v>
      </c>
      <c r="B12" s="18" t="s">
        <v>26</v>
      </c>
      <c r="C12" s="10" t="s">
        <v>6</v>
      </c>
      <c r="D12" s="19">
        <v>0.3</v>
      </c>
      <c r="E12" s="31">
        <v>211082.78688524591</v>
      </c>
      <c r="F12" s="27">
        <f t="shared" si="0"/>
        <v>257521</v>
      </c>
      <c r="G12" s="20">
        <f>E12*D12</f>
        <v>63324.836065573771</v>
      </c>
      <c r="H12" s="22">
        <f t="shared" si="1"/>
        <v>77256.3</v>
      </c>
      <c r="I12" s="15"/>
      <c r="J12" s="15"/>
      <c r="K12" s="15"/>
      <c r="L12" s="15"/>
    </row>
    <row r="13" spans="1:12" ht="32.25" customHeight="1" x14ac:dyDescent="0.2">
      <c r="A13" s="5">
        <v>10</v>
      </c>
      <c r="B13" s="18" t="s">
        <v>26</v>
      </c>
      <c r="C13" s="10" t="s">
        <v>6</v>
      </c>
      <c r="D13" s="19">
        <v>0.1</v>
      </c>
      <c r="E13" s="31">
        <v>211082.78688524591</v>
      </c>
      <c r="F13" s="27">
        <f t="shared" si="0"/>
        <v>257521</v>
      </c>
      <c r="G13" s="20">
        <f>E13*D13</f>
        <v>21108.278688524591</v>
      </c>
      <c r="H13" s="22">
        <f t="shared" si="1"/>
        <v>25752.100000000002</v>
      </c>
      <c r="I13" s="15"/>
      <c r="J13" s="15"/>
      <c r="K13" s="15"/>
      <c r="L13" s="15"/>
    </row>
    <row r="14" spans="1:12" ht="32.25" customHeight="1" x14ac:dyDescent="0.2">
      <c r="A14" s="5">
        <v>11</v>
      </c>
      <c r="B14" s="18" t="s">
        <v>16</v>
      </c>
      <c r="C14" s="10" t="s">
        <v>6</v>
      </c>
      <c r="D14" s="19">
        <v>0.05</v>
      </c>
      <c r="E14" s="31">
        <v>292300</v>
      </c>
      <c r="F14" s="27">
        <f t="shared" si="0"/>
        <v>356606</v>
      </c>
      <c r="G14" s="20">
        <f>E14*D14</f>
        <v>14615</v>
      </c>
      <c r="H14" s="22">
        <f t="shared" si="1"/>
        <v>17830.3</v>
      </c>
      <c r="I14" s="15"/>
      <c r="J14" s="15"/>
      <c r="K14" s="15"/>
      <c r="L14" s="15"/>
    </row>
    <row r="15" spans="1:12" ht="32.25" customHeight="1" x14ac:dyDescent="0.2">
      <c r="A15" s="5">
        <v>12</v>
      </c>
      <c r="B15" s="18" t="s">
        <v>13</v>
      </c>
      <c r="C15" s="10" t="s">
        <v>6</v>
      </c>
      <c r="D15" s="19">
        <v>0.05</v>
      </c>
      <c r="E15" s="31">
        <v>292300</v>
      </c>
      <c r="F15" s="27">
        <f t="shared" si="0"/>
        <v>356606</v>
      </c>
      <c r="G15" s="20">
        <f>E15*D15</f>
        <v>14615</v>
      </c>
      <c r="H15" s="22">
        <f t="shared" si="1"/>
        <v>17830.3</v>
      </c>
      <c r="I15" s="15"/>
      <c r="J15" s="15"/>
      <c r="K15" s="15"/>
      <c r="L15" s="15"/>
    </row>
    <row r="16" spans="1:12" ht="32.25" customHeight="1" x14ac:dyDescent="0.2">
      <c r="A16" s="5">
        <v>13</v>
      </c>
      <c r="B16" s="18" t="s">
        <v>25</v>
      </c>
      <c r="C16" s="10" t="s">
        <v>6</v>
      </c>
      <c r="D16" s="19">
        <v>0.1</v>
      </c>
      <c r="E16" s="31">
        <v>206808.19672131148</v>
      </c>
      <c r="F16" s="27">
        <f t="shared" si="0"/>
        <v>252306</v>
      </c>
      <c r="G16" s="20">
        <f>E16*D16</f>
        <v>20680.819672131151</v>
      </c>
      <c r="H16" s="22">
        <f t="shared" si="1"/>
        <v>25230.600000000002</v>
      </c>
      <c r="I16" s="15"/>
      <c r="J16" s="15"/>
      <c r="K16" s="15"/>
      <c r="L16" s="15"/>
    </row>
    <row r="17" spans="1:12" ht="32.25" customHeight="1" x14ac:dyDescent="0.2">
      <c r="A17" s="5">
        <v>14</v>
      </c>
      <c r="B17" s="18" t="s">
        <v>27</v>
      </c>
      <c r="C17" s="10" t="s">
        <v>6</v>
      </c>
      <c r="D17" s="19">
        <v>0.1</v>
      </c>
      <c r="E17" s="31">
        <v>211082.78688524591</v>
      </c>
      <c r="F17" s="27">
        <f t="shared" si="0"/>
        <v>257521</v>
      </c>
      <c r="G17" s="20">
        <f>E17*D17</f>
        <v>21108.278688524591</v>
      </c>
      <c r="H17" s="22">
        <f t="shared" si="1"/>
        <v>25752.100000000002</v>
      </c>
      <c r="I17" s="15"/>
      <c r="J17" s="15"/>
      <c r="K17" s="15"/>
      <c r="L17" s="15"/>
    </row>
    <row r="18" spans="1:12" ht="32.25" customHeight="1" x14ac:dyDescent="0.2">
      <c r="A18" s="5">
        <v>15</v>
      </c>
      <c r="B18" s="18" t="s">
        <v>25</v>
      </c>
      <c r="C18" s="10" t="s">
        <v>6</v>
      </c>
      <c r="D18" s="19">
        <v>0.2</v>
      </c>
      <c r="E18" s="31">
        <v>206808.19672131148</v>
      </c>
      <c r="F18" s="27">
        <f t="shared" si="0"/>
        <v>252306</v>
      </c>
      <c r="G18" s="20">
        <f>E18*D18</f>
        <v>41361.639344262301</v>
      </c>
      <c r="H18" s="22">
        <f t="shared" si="1"/>
        <v>50461.200000000004</v>
      </c>
      <c r="I18" s="15"/>
      <c r="J18" s="15"/>
      <c r="K18" s="15"/>
      <c r="L18" s="15"/>
    </row>
    <row r="19" spans="1:12" ht="32.25" customHeight="1" x14ac:dyDescent="0.2">
      <c r="A19" s="5">
        <v>16</v>
      </c>
      <c r="B19" s="18" t="s">
        <v>26</v>
      </c>
      <c r="C19" s="10" t="s">
        <v>6</v>
      </c>
      <c r="D19" s="19">
        <v>0.1</v>
      </c>
      <c r="E19" s="31">
        <v>211082.78688524591</v>
      </c>
      <c r="F19" s="27">
        <f t="shared" si="0"/>
        <v>257521</v>
      </c>
      <c r="G19" s="20">
        <f>E19*D19</f>
        <v>21108.278688524591</v>
      </c>
      <c r="H19" s="22">
        <f t="shared" si="1"/>
        <v>25752.100000000002</v>
      </c>
      <c r="I19" s="15"/>
      <c r="J19" s="15"/>
      <c r="K19" s="15"/>
      <c r="L19" s="15"/>
    </row>
    <row r="20" spans="1:12" ht="32.25" customHeight="1" x14ac:dyDescent="0.2">
      <c r="A20" s="5">
        <v>17</v>
      </c>
      <c r="B20" s="18" t="s">
        <v>16</v>
      </c>
      <c r="C20" s="10" t="s">
        <v>6</v>
      </c>
      <c r="D20" s="19">
        <v>0.05</v>
      </c>
      <c r="E20" s="31">
        <v>292300</v>
      </c>
      <c r="F20" s="27">
        <f t="shared" si="0"/>
        <v>356606</v>
      </c>
      <c r="G20" s="20">
        <f>E20*D20</f>
        <v>14615</v>
      </c>
      <c r="H20" s="22">
        <f t="shared" si="1"/>
        <v>17830.3</v>
      </c>
      <c r="I20" s="15"/>
      <c r="J20" s="15"/>
      <c r="K20" s="15"/>
      <c r="L20" s="15"/>
    </row>
    <row r="21" spans="1:12" ht="32.25" customHeight="1" x14ac:dyDescent="0.2">
      <c r="A21" s="5">
        <v>18</v>
      </c>
      <c r="B21" s="18" t="s">
        <v>13</v>
      </c>
      <c r="C21" s="10" t="s">
        <v>6</v>
      </c>
      <c r="D21" s="19">
        <v>0.05</v>
      </c>
      <c r="E21" s="31">
        <v>292300</v>
      </c>
      <c r="F21" s="27">
        <f t="shared" si="0"/>
        <v>356606</v>
      </c>
      <c r="G21" s="20">
        <f>E21*D21</f>
        <v>14615</v>
      </c>
      <c r="H21" s="22">
        <f t="shared" si="1"/>
        <v>17830.3</v>
      </c>
      <c r="I21" s="15"/>
      <c r="J21" s="15"/>
      <c r="K21" s="15"/>
      <c r="L21" s="15"/>
    </row>
    <row r="22" spans="1:12" ht="32.25" customHeight="1" x14ac:dyDescent="0.2">
      <c r="A22" s="5">
        <v>19</v>
      </c>
      <c r="B22" s="18" t="s">
        <v>11</v>
      </c>
      <c r="C22" s="10" t="s">
        <v>6</v>
      </c>
      <c r="D22" s="19">
        <v>0.1</v>
      </c>
      <c r="E22" s="31">
        <v>193984.42622950822</v>
      </c>
      <c r="F22" s="27">
        <f t="shared" si="0"/>
        <v>236661.00000000003</v>
      </c>
      <c r="G22" s="20">
        <f>E22*D22</f>
        <v>19398.442622950821</v>
      </c>
      <c r="H22" s="22">
        <f t="shared" si="1"/>
        <v>23666.100000000002</v>
      </c>
      <c r="I22" s="15"/>
      <c r="J22" s="15"/>
      <c r="K22" s="15"/>
      <c r="L22" s="15"/>
    </row>
    <row r="23" spans="1:12" ht="32.25" customHeight="1" x14ac:dyDescent="0.2">
      <c r="A23" s="5">
        <v>20</v>
      </c>
      <c r="B23" s="18" t="s">
        <v>12</v>
      </c>
      <c r="C23" s="10" t="s">
        <v>6</v>
      </c>
      <c r="D23" s="19">
        <v>0.15</v>
      </c>
      <c r="E23" s="31">
        <v>189709.83606557376</v>
      </c>
      <c r="F23" s="27">
        <f t="shared" si="0"/>
        <v>231446</v>
      </c>
      <c r="G23" s="20">
        <f>E23*D23</f>
        <v>28456.475409836065</v>
      </c>
      <c r="H23" s="22">
        <f t="shared" si="1"/>
        <v>34716.9</v>
      </c>
      <c r="I23" s="15"/>
      <c r="J23" s="15"/>
      <c r="K23" s="15"/>
      <c r="L23" s="15"/>
    </row>
    <row r="24" spans="1:12" ht="32.25" customHeight="1" x14ac:dyDescent="0.2">
      <c r="A24" s="5">
        <v>21</v>
      </c>
      <c r="B24" s="18" t="s">
        <v>12</v>
      </c>
      <c r="C24" s="10" t="s">
        <v>6</v>
      </c>
      <c r="D24" s="19">
        <v>0.15</v>
      </c>
      <c r="E24" s="31">
        <v>189709.83606557376</v>
      </c>
      <c r="F24" s="27">
        <f t="shared" si="0"/>
        <v>231446</v>
      </c>
      <c r="G24" s="20">
        <f>E24*D24</f>
        <v>28456.475409836065</v>
      </c>
      <c r="H24" s="22">
        <f t="shared" si="1"/>
        <v>34716.9</v>
      </c>
      <c r="I24" s="15"/>
      <c r="J24" s="15"/>
      <c r="K24" s="15"/>
      <c r="L24" s="15"/>
    </row>
    <row r="25" spans="1:12" ht="32.25" customHeight="1" x14ac:dyDescent="0.2">
      <c r="A25" s="5">
        <v>22</v>
      </c>
      <c r="B25" s="18" t="s">
        <v>28</v>
      </c>
      <c r="C25" s="10" t="s">
        <v>6</v>
      </c>
      <c r="D25" s="19">
        <v>0.08</v>
      </c>
      <c r="E25" s="31">
        <v>211082.78688524591</v>
      </c>
      <c r="F25" s="27">
        <f t="shared" si="0"/>
        <v>257521</v>
      </c>
      <c r="G25" s="20">
        <f>E25*D25</f>
        <v>16886.622950819674</v>
      </c>
      <c r="H25" s="22">
        <f t="shared" si="1"/>
        <v>20601.68</v>
      </c>
      <c r="I25" s="15"/>
      <c r="J25" s="15"/>
      <c r="K25" s="15"/>
      <c r="L25" s="15"/>
    </row>
    <row r="26" spans="1:12" ht="32.25" customHeight="1" x14ac:dyDescent="0.2">
      <c r="A26" s="5">
        <v>23</v>
      </c>
      <c r="B26" s="18" t="s">
        <v>12</v>
      </c>
      <c r="C26" s="10" t="s">
        <v>6</v>
      </c>
      <c r="D26" s="19">
        <v>0.2</v>
      </c>
      <c r="E26" s="31">
        <v>189709.83606557376</v>
      </c>
      <c r="F26" s="27">
        <f t="shared" si="0"/>
        <v>231446</v>
      </c>
      <c r="G26" s="20">
        <f>E26*D26</f>
        <v>37941.967213114753</v>
      </c>
      <c r="H26" s="22">
        <f t="shared" si="1"/>
        <v>46289.2</v>
      </c>
      <c r="I26" s="15"/>
      <c r="J26" s="15"/>
      <c r="K26" s="15"/>
      <c r="L26" s="15"/>
    </row>
    <row r="27" spans="1:12" ht="32.25" customHeight="1" x14ac:dyDescent="0.2">
      <c r="A27" s="5">
        <v>24</v>
      </c>
      <c r="B27" s="18" t="s">
        <v>12</v>
      </c>
      <c r="C27" s="10" t="s">
        <v>6</v>
      </c>
      <c r="D27" s="19">
        <v>0.28000000000000003</v>
      </c>
      <c r="E27" s="31">
        <v>189709.83606557376</v>
      </c>
      <c r="F27" s="27">
        <f t="shared" si="0"/>
        <v>231446</v>
      </c>
      <c r="G27" s="20">
        <f>E27*D27</f>
        <v>53118.75409836066</v>
      </c>
      <c r="H27" s="22">
        <f t="shared" si="1"/>
        <v>64804.880000000005</v>
      </c>
      <c r="I27" s="15"/>
      <c r="J27" s="15"/>
      <c r="K27" s="15"/>
      <c r="L27" s="15"/>
    </row>
    <row r="28" spans="1:12" ht="32.25" customHeight="1" x14ac:dyDescent="0.2">
      <c r="A28" s="5">
        <v>25</v>
      </c>
      <c r="B28" s="18" t="s">
        <v>28</v>
      </c>
      <c r="C28" s="10" t="s">
        <v>6</v>
      </c>
      <c r="D28" s="19">
        <v>0.04</v>
      </c>
      <c r="E28" s="31">
        <v>211082.78688524591</v>
      </c>
      <c r="F28" s="27">
        <f t="shared" si="0"/>
        <v>257521</v>
      </c>
      <c r="G28" s="20">
        <f>E28*D28</f>
        <v>8443.3114754098369</v>
      </c>
      <c r="H28" s="22">
        <f t="shared" si="1"/>
        <v>10300.84</v>
      </c>
      <c r="I28" s="15"/>
      <c r="J28" s="15"/>
      <c r="K28" s="15"/>
      <c r="L28" s="15"/>
    </row>
    <row r="29" spans="1:12" ht="32.25" customHeight="1" x14ac:dyDescent="0.2">
      <c r="A29" s="5">
        <v>26</v>
      </c>
      <c r="B29" s="18" t="s">
        <v>23</v>
      </c>
      <c r="C29" s="10" t="s">
        <v>6</v>
      </c>
      <c r="D29" s="19">
        <v>0.1</v>
      </c>
      <c r="E29" s="31">
        <v>211082.78688524591</v>
      </c>
      <c r="F29" s="27">
        <f t="shared" si="0"/>
        <v>257521</v>
      </c>
      <c r="G29" s="20">
        <f>E29*D29</f>
        <v>21108.278688524591</v>
      </c>
      <c r="H29" s="22">
        <f t="shared" si="1"/>
        <v>25752.100000000002</v>
      </c>
      <c r="I29" s="15"/>
      <c r="J29" s="15"/>
      <c r="K29" s="15"/>
      <c r="L29" s="15"/>
    </row>
    <row r="30" spans="1:12" ht="32.25" customHeight="1" x14ac:dyDescent="0.2">
      <c r="A30" s="5">
        <v>27</v>
      </c>
      <c r="B30" s="18" t="s">
        <v>17</v>
      </c>
      <c r="C30" s="10" t="s">
        <v>6</v>
      </c>
      <c r="D30" s="19">
        <v>0.1</v>
      </c>
      <c r="E30" s="31">
        <v>255538.52459016393</v>
      </c>
      <c r="F30" s="27">
        <f t="shared" si="0"/>
        <v>311757</v>
      </c>
      <c r="G30" s="20">
        <f>E30*D30</f>
        <v>25553.852459016394</v>
      </c>
      <c r="H30" s="22">
        <f t="shared" si="1"/>
        <v>31175.7</v>
      </c>
      <c r="I30" s="15"/>
      <c r="J30" s="15"/>
      <c r="K30" s="15"/>
      <c r="L30" s="15"/>
    </row>
    <row r="31" spans="1:12" ht="32.25" customHeight="1" x14ac:dyDescent="0.2">
      <c r="A31" s="5">
        <v>28</v>
      </c>
      <c r="B31" s="18" t="s">
        <v>23</v>
      </c>
      <c r="C31" s="10" t="s">
        <v>6</v>
      </c>
      <c r="D31" s="19">
        <v>0.1</v>
      </c>
      <c r="E31" s="31">
        <v>211082.78688524591</v>
      </c>
      <c r="F31" s="27">
        <f t="shared" si="0"/>
        <v>257521</v>
      </c>
      <c r="G31" s="20">
        <f>E31*D31</f>
        <v>21108.278688524591</v>
      </c>
      <c r="H31" s="22">
        <f t="shared" si="1"/>
        <v>25752.100000000002</v>
      </c>
      <c r="I31" s="15"/>
      <c r="J31" s="15"/>
      <c r="K31" s="15"/>
      <c r="L31" s="15"/>
    </row>
    <row r="32" spans="1:12" ht="32.25" customHeight="1" x14ac:dyDescent="0.2">
      <c r="A32" s="5">
        <v>29</v>
      </c>
      <c r="B32" s="18" t="s">
        <v>23</v>
      </c>
      <c r="C32" s="10" t="s">
        <v>6</v>
      </c>
      <c r="D32" s="19">
        <v>0.1</v>
      </c>
      <c r="E32" s="31">
        <v>211082.78688524591</v>
      </c>
      <c r="F32" s="27">
        <f t="shared" si="0"/>
        <v>257521</v>
      </c>
      <c r="G32" s="20">
        <f>E32*D32</f>
        <v>21108.278688524591</v>
      </c>
      <c r="H32" s="22">
        <f t="shared" si="1"/>
        <v>25752.100000000002</v>
      </c>
      <c r="I32" s="15"/>
      <c r="J32" s="15"/>
      <c r="K32" s="15"/>
      <c r="L32" s="15"/>
    </row>
    <row r="33" spans="1:12" ht="32.25" customHeight="1" x14ac:dyDescent="0.2">
      <c r="A33" s="5">
        <v>30</v>
      </c>
      <c r="B33" s="18" t="s">
        <v>17</v>
      </c>
      <c r="C33" s="10" t="s">
        <v>6</v>
      </c>
      <c r="D33" s="19">
        <v>0.1</v>
      </c>
      <c r="E33" s="31">
        <v>255538.52459016393</v>
      </c>
      <c r="F33" s="27">
        <f t="shared" si="0"/>
        <v>311757</v>
      </c>
      <c r="G33" s="20">
        <f>E33*D33</f>
        <v>25553.852459016394</v>
      </c>
      <c r="H33" s="22">
        <f t="shared" si="1"/>
        <v>31175.7</v>
      </c>
      <c r="I33" s="15"/>
      <c r="J33" s="15"/>
      <c r="K33" s="15"/>
      <c r="L33" s="15"/>
    </row>
    <row r="34" spans="1:12" ht="32.25" customHeight="1" x14ac:dyDescent="0.2">
      <c r="A34" s="5">
        <v>31</v>
      </c>
      <c r="B34" s="18" t="s">
        <v>21</v>
      </c>
      <c r="C34" s="10" t="s">
        <v>6</v>
      </c>
      <c r="D34" s="19">
        <v>0.1</v>
      </c>
      <c r="E34" s="31">
        <v>211082.78688524591</v>
      </c>
      <c r="F34" s="27">
        <f t="shared" si="0"/>
        <v>257521</v>
      </c>
      <c r="G34" s="20">
        <f>E34*D34</f>
        <v>21108.278688524591</v>
      </c>
      <c r="H34" s="22">
        <f t="shared" si="1"/>
        <v>25752.100000000002</v>
      </c>
      <c r="I34" s="15"/>
      <c r="J34" s="15"/>
      <c r="K34" s="15"/>
      <c r="L34" s="15"/>
    </row>
    <row r="35" spans="1:12" ht="32.25" customHeight="1" x14ac:dyDescent="0.2">
      <c r="A35" s="5">
        <v>32</v>
      </c>
      <c r="B35" s="18" t="s">
        <v>29</v>
      </c>
      <c r="C35" s="10" t="s">
        <v>6</v>
      </c>
      <c r="D35" s="19">
        <v>4.2000000000000003E-2</v>
      </c>
      <c r="E35" s="31">
        <v>598360.65573770495</v>
      </c>
      <c r="F35" s="27">
        <f t="shared" si="0"/>
        <v>730000</v>
      </c>
      <c r="G35" s="20">
        <f>E35*D35</f>
        <v>25131.147540983609</v>
      </c>
      <c r="H35" s="22">
        <f t="shared" si="1"/>
        <v>30660.000000000004</v>
      </c>
      <c r="I35" s="15"/>
      <c r="J35" s="15"/>
      <c r="K35" s="15"/>
      <c r="L35" s="15"/>
    </row>
    <row r="36" spans="1:12" ht="32.25" customHeight="1" x14ac:dyDescent="0.2">
      <c r="A36" s="5">
        <v>33</v>
      </c>
      <c r="B36" s="18" t="s">
        <v>29</v>
      </c>
      <c r="C36" s="10" t="s">
        <v>6</v>
      </c>
      <c r="D36" s="19">
        <v>4.2000000000000003E-2</v>
      </c>
      <c r="E36" s="31">
        <v>598360.65573770495</v>
      </c>
      <c r="F36" s="27">
        <f t="shared" si="0"/>
        <v>730000</v>
      </c>
      <c r="G36" s="20">
        <f>E36*D36</f>
        <v>25131.147540983609</v>
      </c>
      <c r="H36" s="22">
        <f t="shared" si="1"/>
        <v>30660.000000000004</v>
      </c>
      <c r="I36" s="15"/>
      <c r="J36" s="15"/>
      <c r="K36" s="15"/>
      <c r="L36" s="15"/>
    </row>
    <row r="37" spans="1:12" ht="32.25" customHeight="1" x14ac:dyDescent="0.2">
      <c r="A37" s="5">
        <v>34</v>
      </c>
      <c r="B37" s="18" t="s">
        <v>30</v>
      </c>
      <c r="C37" s="10" t="s">
        <v>6</v>
      </c>
      <c r="D37" s="19">
        <v>3</v>
      </c>
      <c r="E37" s="31">
        <v>189709.83606557376</v>
      </c>
      <c r="F37" s="27">
        <f t="shared" si="0"/>
        <v>231446</v>
      </c>
      <c r="G37" s="20">
        <f>E37*D37</f>
        <v>569129.50819672132</v>
      </c>
      <c r="H37" s="22">
        <f t="shared" si="1"/>
        <v>694338</v>
      </c>
      <c r="I37" s="15"/>
      <c r="J37" s="15"/>
      <c r="K37" s="15"/>
      <c r="L37" s="15"/>
    </row>
    <row r="38" spans="1:12" ht="32.25" customHeight="1" x14ac:dyDescent="0.2">
      <c r="A38" s="5">
        <v>35</v>
      </c>
      <c r="B38" s="18" t="s">
        <v>29</v>
      </c>
      <c r="C38" s="10" t="s">
        <v>6</v>
      </c>
      <c r="D38" s="19">
        <v>0.05</v>
      </c>
      <c r="E38" s="31">
        <v>598360.65573770495</v>
      </c>
      <c r="F38" s="27">
        <f t="shared" si="0"/>
        <v>730000</v>
      </c>
      <c r="G38" s="20">
        <f>E38*D38</f>
        <v>29918.032786885247</v>
      </c>
      <c r="H38" s="22">
        <f t="shared" si="1"/>
        <v>36500</v>
      </c>
      <c r="I38" s="15"/>
      <c r="J38" s="15"/>
      <c r="K38" s="15"/>
      <c r="L38" s="15"/>
    </row>
    <row r="39" spans="1:12" ht="32.25" customHeight="1" x14ac:dyDescent="0.2">
      <c r="A39" s="5">
        <v>36</v>
      </c>
      <c r="B39" s="18" t="s">
        <v>14</v>
      </c>
      <c r="C39" s="10" t="s">
        <v>6</v>
      </c>
      <c r="D39" s="19">
        <v>0.1</v>
      </c>
      <c r="E39" s="31">
        <v>292300</v>
      </c>
      <c r="F39" s="27">
        <f t="shared" si="0"/>
        <v>356606</v>
      </c>
      <c r="G39" s="20">
        <f>E39*D39</f>
        <v>29230</v>
      </c>
      <c r="H39" s="22">
        <f t="shared" si="1"/>
        <v>35660.6</v>
      </c>
      <c r="I39" s="15"/>
      <c r="J39" s="15"/>
      <c r="K39" s="15"/>
      <c r="L39" s="15"/>
    </row>
    <row r="40" spans="1:12" ht="32.25" customHeight="1" x14ac:dyDescent="0.2">
      <c r="A40" s="5">
        <v>37</v>
      </c>
      <c r="B40" s="18" t="s">
        <v>15</v>
      </c>
      <c r="C40" s="10" t="s">
        <v>6</v>
      </c>
      <c r="D40" s="19">
        <v>0.1</v>
      </c>
      <c r="E40" s="31">
        <v>478672.13114754099</v>
      </c>
      <c r="F40" s="27">
        <f t="shared" si="0"/>
        <v>583980</v>
      </c>
      <c r="G40" s="20">
        <f>E40*D40</f>
        <v>47867.2131147541</v>
      </c>
      <c r="H40" s="22">
        <f t="shared" si="1"/>
        <v>58398</v>
      </c>
      <c r="I40" s="15"/>
      <c r="J40" s="15"/>
      <c r="K40" s="15"/>
      <c r="L40" s="15"/>
    </row>
    <row r="41" spans="1:12" ht="32.25" customHeight="1" x14ac:dyDescent="0.2">
      <c r="A41" s="5">
        <v>38</v>
      </c>
      <c r="B41" s="18" t="s">
        <v>19</v>
      </c>
      <c r="C41" s="10" t="s">
        <v>6</v>
      </c>
      <c r="D41" s="19">
        <v>2E-3</v>
      </c>
      <c r="E41" s="31">
        <v>393180.33606557379</v>
      </c>
      <c r="F41" s="27">
        <f t="shared" si="0"/>
        <v>479680.01</v>
      </c>
      <c r="G41" s="20">
        <f>E41*D41</f>
        <v>786.36067213114757</v>
      </c>
      <c r="H41" s="22">
        <f t="shared" si="1"/>
        <v>959.36001999999996</v>
      </c>
      <c r="I41" s="15"/>
      <c r="J41" s="15"/>
      <c r="K41" s="15"/>
      <c r="L41" s="15"/>
    </row>
    <row r="42" spans="1:12" ht="32.25" customHeight="1" x14ac:dyDescent="0.2">
      <c r="A42" s="5">
        <v>39</v>
      </c>
      <c r="B42" s="18" t="s">
        <v>26</v>
      </c>
      <c r="C42" s="10" t="s">
        <v>6</v>
      </c>
      <c r="D42" s="19">
        <v>0.1</v>
      </c>
      <c r="E42" s="31">
        <v>211082.78688524591</v>
      </c>
      <c r="F42" s="27">
        <f t="shared" si="0"/>
        <v>257521</v>
      </c>
      <c r="G42" s="20">
        <f>E42*D42</f>
        <v>21108.278688524591</v>
      </c>
      <c r="H42" s="22">
        <f t="shared" si="1"/>
        <v>25752.100000000002</v>
      </c>
      <c r="I42" s="15"/>
      <c r="J42" s="15"/>
      <c r="K42" s="15"/>
      <c r="L42" s="15"/>
    </row>
    <row r="43" spans="1:12" ht="32.25" customHeight="1" x14ac:dyDescent="0.2">
      <c r="A43" s="5">
        <v>40</v>
      </c>
      <c r="B43" s="18" t="s">
        <v>21</v>
      </c>
      <c r="C43" s="10" t="s">
        <v>6</v>
      </c>
      <c r="D43" s="19">
        <v>0.1</v>
      </c>
      <c r="E43" s="31">
        <v>211082.78688524591</v>
      </c>
      <c r="F43" s="27">
        <f t="shared" si="0"/>
        <v>257521</v>
      </c>
      <c r="G43" s="20">
        <f>E43*D43</f>
        <v>21108.278688524591</v>
      </c>
      <c r="H43" s="22">
        <f t="shared" si="1"/>
        <v>25752.100000000002</v>
      </c>
      <c r="I43" s="15"/>
      <c r="J43" s="15"/>
      <c r="K43" s="15"/>
      <c r="L43" s="15"/>
    </row>
    <row r="44" spans="1:12" ht="32.25" customHeight="1" x14ac:dyDescent="0.2">
      <c r="A44" s="5">
        <v>41</v>
      </c>
      <c r="B44" s="18" t="s">
        <v>31</v>
      </c>
      <c r="C44" s="10" t="s">
        <v>6</v>
      </c>
      <c r="D44" s="19">
        <v>0.1</v>
      </c>
      <c r="E44" s="31">
        <v>393180.33606557379</v>
      </c>
      <c r="F44" s="27">
        <f t="shared" si="0"/>
        <v>479680.01</v>
      </c>
      <c r="G44" s="20">
        <f>E44*D44</f>
        <v>39318.033606557379</v>
      </c>
      <c r="H44" s="22">
        <f t="shared" si="1"/>
        <v>47968.001000000004</v>
      </c>
      <c r="I44" s="15"/>
      <c r="J44" s="15"/>
      <c r="K44" s="15"/>
      <c r="L44" s="15"/>
    </row>
    <row r="45" spans="1:12" ht="32.25" customHeight="1" x14ac:dyDescent="0.2">
      <c r="A45" s="5">
        <v>42</v>
      </c>
      <c r="B45" s="18" t="s">
        <v>22</v>
      </c>
      <c r="C45" s="10" t="s">
        <v>6</v>
      </c>
      <c r="D45" s="19">
        <v>0.2</v>
      </c>
      <c r="E45" s="31">
        <v>211082.78688524591</v>
      </c>
      <c r="F45" s="27">
        <f t="shared" si="0"/>
        <v>257521</v>
      </c>
      <c r="G45" s="20">
        <f>E45*D45</f>
        <v>42216.557377049183</v>
      </c>
      <c r="H45" s="22">
        <f t="shared" si="1"/>
        <v>51504.200000000004</v>
      </c>
      <c r="I45" s="15"/>
      <c r="J45" s="15"/>
      <c r="K45" s="15"/>
      <c r="L45" s="15"/>
    </row>
    <row r="46" spans="1:12" ht="32.25" customHeight="1" x14ac:dyDescent="0.2">
      <c r="A46" s="5">
        <v>43</v>
      </c>
      <c r="B46" s="18" t="s">
        <v>21</v>
      </c>
      <c r="C46" s="10" t="s">
        <v>6</v>
      </c>
      <c r="D46" s="19">
        <v>0.24</v>
      </c>
      <c r="E46" s="31">
        <v>211082.78688524591</v>
      </c>
      <c r="F46" s="27">
        <f t="shared" si="0"/>
        <v>257521</v>
      </c>
      <c r="G46" s="20">
        <f>E46*D46</f>
        <v>50659.868852459018</v>
      </c>
      <c r="H46" s="22">
        <f t="shared" si="1"/>
        <v>61805.04</v>
      </c>
      <c r="I46" s="15"/>
      <c r="J46" s="15"/>
      <c r="K46" s="15"/>
      <c r="L46" s="15"/>
    </row>
    <row r="47" spans="1:12" s="6" customFormat="1" ht="22.5" customHeight="1" x14ac:dyDescent="0.2">
      <c r="A47" s="4"/>
      <c r="B47" s="4"/>
      <c r="C47" s="11" t="s">
        <v>4</v>
      </c>
      <c r="D47" s="16">
        <f>SUM(D4:D46)</f>
        <v>8.4639999999999969</v>
      </c>
      <c r="E47" s="12"/>
      <c r="F47" s="29"/>
      <c r="G47" s="14">
        <v>1843631.13</v>
      </c>
      <c r="H47" s="13">
        <f>G47*1.22</f>
        <v>2249229.9786</v>
      </c>
      <c r="I47" s="21"/>
      <c r="J47" s="21" t="s">
        <v>8</v>
      </c>
      <c r="K47" s="21"/>
      <c r="L47" s="21"/>
    </row>
    <row r="48" spans="1:12" x14ac:dyDescent="0.2">
      <c r="E48" s="3"/>
      <c r="F48" s="3"/>
      <c r="G48" s="2"/>
      <c r="H48" s="2"/>
      <c r="L48" s="1"/>
    </row>
    <row r="49" spans="5:12" x14ac:dyDescent="0.2">
      <c r="E49" s="3"/>
      <c r="F49" s="3"/>
      <c r="G49" s="2"/>
      <c r="H49" s="2"/>
      <c r="L49" s="1"/>
    </row>
    <row r="50" spans="5:12" x14ac:dyDescent="0.2">
      <c r="E50" s="3"/>
      <c r="F50" s="3"/>
      <c r="G50" s="2"/>
      <c r="H50" s="2"/>
      <c r="L50" s="1"/>
    </row>
    <row r="51" spans="5:12" x14ac:dyDescent="0.2">
      <c r="E51" s="3"/>
      <c r="F51" s="3"/>
      <c r="G51" s="2"/>
      <c r="H51" s="2"/>
      <c r="L51" s="1"/>
    </row>
    <row r="52" spans="5:12" x14ac:dyDescent="0.2">
      <c r="E52" s="3"/>
      <c r="F52" s="3"/>
      <c r="G52" s="2"/>
      <c r="H52" s="2"/>
      <c r="L52" s="1"/>
    </row>
    <row r="53" spans="5:12" x14ac:dyDescent="0.2">
      <c r="E53" s="3"/>
      <c r="F53" s="3"/>
      <c r="G53" s="2"/>
      <c r="H53" s="2"/>
      <c r="L53" s="1"/>
    </row>
    <row r="54" spans="5:12" x14ac:dyDescent="0.2">
      <c r="E54" s="3"/>
      <c r="F54" s="3"/>
      <c r="G54" s="2"/>
      <c r="H54" s="2"/>
      <c r="L54" s="1"/>
    </row>
    <row r="55" spans="5:12" x14ac:dyDescent="0.2">
      <c r="E55" s="3"/>
      <c r="F55" s="3"/>
      <c r="G55" s="2"/>
      <c r="H55" s="2"/>
      <c r="L55" s="1"/>
    </row>
    <row r="56" spans="5:12" x14ac:dyDescent="0.2">
      <c r="E56" s="3"/>
      <c r="F56" s="3"/>
      <c r="G56" s="2"/>
      <c r="H56" s="2"/>
      <c r="L56" s="1"/>
    </row>
    <row r="57" spans="5:12" x14ac:dyDescent="0.2">
      <c r="E57" s="3"/>
      <c r="F57" s="3"/>
      <c r="G57" s="2"/>
      <c r="H57" s="2"/>
      <c r="L57" s="1"/>
    </row>
    <row r="58" spans="5:12" x14ac:dyDescent="0.2">
      <c r="E58" s="3"/>
      <c r="F58" s="3"/>
      <c r="G58" s="2"/>
      <c r="H58" s="2"/>
      <c r="L58" s="1"/>
    </row>
    <row r="59" spans="5:12" x14ac:dyDescent="0.2">
      <c r="E59" s="3"/>
      <c r="F59" s="3"/>
      <c r="G59" s="2"/>
      <c r="H59" s="2"/>
      <c r="L59" s="1"/>
    </row>
    <row r="60" spans="5:12" x14ac:dyDescent="0.2">
      <c r="E60" s="3"/>
      <c r="F60" s="3"/>
      <c r="G60" s="2"/>
      <c r="H60" s="2"/>
      <c r="L60" s="1"/>
    </row>
    <row r="61" spans="5:12" x14ac:dyDescent="0.2">
      <c r="E61" s="3"/>
      <c r="F61" s="3"/>
      <c r="G61" s="2"/>
      <c r="H61" s="2"/>
      <c r="L61" s="1"/>
    </row>
    <row r="62" spans="5:12" x14ac:dyDescent="0.2">
      <c r="E62" s="3"/>
      <c r="F62" s="3"/>
      <c r="G62" s="2"/>
      <c r="H62" s="2"/>
      <c r="L62" s="1"/>
    </row>
    <row r="63" spans="5:12" x14ac:dyDescent="0.2">
      <c r="E63" s="3"/>
      <c r="F63" s="3"/>
      <c r="G63" s="2"/>
      <c r="H63" s="2"/>
      <c r="L63" s="1"/>
    </row>
    <row r="64" spans="5:12" x14ac:dyDescent="0.2">
      <c r="E64" s="3"/>
      <c r="F64" s="3"/>
      <c r="G64" s="2"/>
      <c r="H64" s="2"/>
      <c r="L64" s="1"/>
    </row>
    <row r="65" spans="5:12" x14ac:dyDescent="0.2">
      <c r="E65" s="3"/>
      <c r="F65" s="3"/>
      <c r="G65" s="2"/>
      <c r="H65" s="2"/>
      <c r="L65" s="1"/>
    </row>
    <row r="66" spans="5:12" x14ac:dyDescent="0.2">
      <c r="E66" s="3"/>
      <c r="F66" s="3"/>
      <c r="G66" s="2"/>
      <c r="H66" s="2"/>
      <c r="L66" s="1"/>
    </row>
    <row r="67" spans="5:12" x14ac:dyDescent="0.2">
      <c r="E67" s="3"/>
      <c r="F67" s="3"/>
      <c r="G67" s="2"/>
      <c r="H67" s="2"/>
      <c r="L67" s="1"/>
    </row>
    <row r="68" spans="5:12" x14ac:dyDescent="0.2">
      <c r="E68" s="3"/>
      <c r="F68" s="3"/>
      <c r="G68" s="2"/>
      <c r="H68" s="2"/>
      <c r="L68" s="1"/>
    </row>
    <row r="69" spans="5:12" x14ac:dyDescent="0.2">
      <c r="E69" s="3"/>
      <c r="F69" s="3"/>
      <c r="G69" s="2"/>
      <c r="H69" s="2"/>
      <c r="L69" s="1"/>
    </row>
    <row r="70" spans="5:12" x14ac:dyDescent="0.2">
      <c r="E70" s="3"/>
      <c r="F70" s="3"/>
      <c r="G70" s="2"/>
      <c r="H70" s="2"/>
      <c r="L70" s="1"/>
    </row>
    <row r="71" spans="5:12" x14ac:dyDescent="0.2">
      <c r="E71" s="3"/>
      <c r="F71" s="3"/>
      <c r="G71" s="2"/>
      <c r="H71" s="2"/>
      <c r="L71" s="1"/>
    </row>
    <row r="72" spans="5:12" x14ac:dyDescent="0.2">
      <c r="E72" s="3"/>
      <c r="F72" s="3"/>
      <c r="G72" s="2"/>
      <c r="H72" s="2"/>
      <c r="L72" s="1"/>
    </row>
    <row r="73" spans="5:12" x14ac:dyDescent="0.2">
      <c r="E73" s="3"/>
      <c r="F73" s="3"/>
      <c r="G73" s="2"/>
      <c r="H73" s="2"/>
      <c r="L73" s="1"/>
    </row>
    <row r="74" spans="5:12" x14ac:dyDescent="0.2">
      <c r="E74" s="3"/>
      <c r="F74" s="3"/>
      <c r="G74" s="2"/>
      <c r="H74" s="2"/>
      <c r="L74" s="1"/>
    </row>
    <row r="75" spans="5:12" x14ac:dyDescent="0.2">
      <c r="E75" s="3"/>
      <c r="F75" s="3"/>
      <c r="G75" s="2"/>
      <c r="H75" s="2"/>
      <c r="L75" s="1"/>
    </row>
    <row r="76" spans="5:12" x14ac:dyDescent="0.2">
      <c r="E76" s="3"/>
      <c r="F76" s="3"/>
      <c r="G76" s="2"/>
      <c r="H76" s="2"/>
      <c r="L76" s="1"/>
    </row>
    <row r="77" spans="5:12" x14ac:dyDescent="0.2">
      <c r="E77" s="3"/>
      <c r="F77" s="3"/>
      <c r="G77" s="2"/>
      <c r="H77" s="2"/>
      <c r="L77" s="1"/>
    </row>
    <row r="78" spans="5:12" x14ac:dyDescent="0.2">
      <c r="E78" s="3"/>
      <c r="F78" s="3"/>
      <c r="G78" s="2"/>
      <c r="H78" s="2"/>
      <c r="L78" s="1"/>
    </row>
  </sheetData>
  <autoFilter ref="A3:L47"/>
  <mergeCells count="2">
    <mergeCell ref="F1:L1"/>
    <mergeCell ref="A2:H2"/>
  </mergeCells>
  <pageMargins left="0.25" right="0.25" top="0.75" bottom="0.75" header="0.3" footer="0.3"/>
  <pageSetup paperSize="9" fitToHeight="0" orientation="landscape" r:id="rId1"/>
  <headerFooter>
    <oddFooter>&amp;CСтраница  &amp;P из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view="pageBreakPreview" zoomScaleNormal="100" zoomScaleSheetLayoutView="100" workbookViewId="0">
      <selection activeCell="O18" sqref="O18"/>
    </sheetView>
  </sheetViews>
  <sheetFormatPr defaultRowHeight="12.75" x14ac:dyDescent="0.2"/>
  <cols>
    <col min="1" max="1" width="5" style="25" customWidth="1"/>
    <col min="2" max="2" width="33.28515625" style="3" customWidth="1"/>
    <col min="3" max="3" width="4.140625" style="3" customWidth="1"/>
    <col min="4" max="4" width="10.140625" style="2" customWidth="1"/>
    <col min="5" max="6" width="13.7109375" style="2" customWidth="1"/>
    <col min="7" max="7" width="16" style="3" customWidth="1"/>
    <col min="8" max="8" width="17.85546875" style="3" customWidth="1"/>
    <col min="9" max="9" width="8.5703125" style="2" hidden="1" customWidth="1"/>
    <col min="10" max="10" width="0.28515625" style="2" hidden="1" customWidth="1"/>
    <col min="11" max="11" width="11.42578125" style="2" hidden="1" customWidth="1"/>
    <col min="12" max="12" width="0.140625" style="2" hidden="1" customWidth="1"/>
    <col min="13" max="13" width="0.5703125" style="2" hidden="1" customWidth="1"/>
    <col min="14" max="16" width="9.140625" style="2"/>
    <col min="17" max="16384" width="9.140625" style="1"/>
  </cols>
  <sheetData>
    <row r="1" spans="1:16" ht="15" customHeight="1" x14ac:dyDescent="0.2">
      <c r="F1" s="33" t="s">
        <v>43</v>
      </c>
      <c r="G1" s="33"/>
      <c r="H1" s="33"/>
    </row>
    <row r="2" spans="1:16" x14ac:dyDescent="0.2">
      <c r="A2" s="34" t="s">
        <v>35</v>
      </c>
      <c r="B2" s="34"/>
      <c r="C2" s="34"/>
      <c r="D2" s="34"/>
      <c r="E2" s="34"/>
      <c r="F2" s="34"/>
      <c r="G2" s="34"/>
      <c r="H2" s="34"/>
    </row>
    <row r="3" spans="1:16" ht="21" x14ac:dyDescent="0.2">
      <c r="A3" s="17" t="s">
        <v>0</v>
      </c>
      <c r="B3" s="17" t="s">
        <v>3</v>
      </c>
      <c r="C3" s="17" t="s">
        <v>1</v>
      </c>
      <c r="D3" s="17" t="s">
        <v>2</v>
      </c>
      <c r="E3" s="17" t="s">
        <v>5</v>
      </c>
      <c r="F3" s="17" t="s">
        <v>32</v>
      </c>
      <c r="G3" s="17" t="s">
        <v>37</v>
      </c>
      <c r="H3" s="17" t="s">
        <v>34</v>
      </c>
      <c r="I3" s="2" t="s">
        <v>38</v>
      </c>
      <c r="J3" s="2" t="s">
        <v>39</v>
      </c>
      <c r="K3" s="2" t="s">
        <v>40</v>
      </c>
    </row>
    <row r="4" spans="1:16" s="2" customFormat="1" ht="15" x14ac:dyDescent="0.2">
      <c r="A4" s="5">
        <v>1</v>
      </c>
      <c r="B4" s="35" t="s">
        <v>41</v>
      </c>
      <c r="C4" s="10" t="s">
        <v>6</v>
      </c>
      <c r="D4" s="36">
        <v>7</v>
      </c>
      <c r="E4" s="37">
        <v>189344.26</v>
      </c>
      <c r="F4" s="37">
        <f>E4*1.22</f>
        <v>230999.99720000001</v>
      </c>
      <c r="G4" s="38">
        <v>1325409.83</v>
      </c>
      <c r="H4" s="39">
        <v>1617000</v>
      </c>
      <c r="I4" s="40" t="s">
        <v>42</v>
      </c>
    </row>
    <row r="5" spans="1:16" s="6" customFormat="1" x14ac:dyDescent="0.2">
      <c r="A5" s="4"/>
      <c r="B5" s="4"/>
      <c r="C5" s="11" t="s">
        <v>4</v>
      </c>
      <c r="D5" s="16">
        <f>SUM(D4:D4)</f>
        <v>7</v>
      </c>
      <c r="E5" s="12"/>
      <c r="F5" s="12"/>
      <c r="G5" s="14">
        <f>SUM(G4:G4)</f>
        <v>1325409.83</v>
      </c>
      <c r="H5" s="41">
        <v>1617000</v>
      </c>
      <c r="I5" s="3"/>
      <c r="J5" s="24"/>
      <c r="K5" s="24"/>
      <c r="L5" s="24"/>
      <c r="M5" s="24"/>
      <c r="N5" s="24"/>
      <c r="O5" s="24"/>
      <c r="P5" s="24"/>
    </row>
  </sheetData>
  <mergeCells count="2">
    <mergeCell ref="A2:H2"/>
    <mergeCell ref="F1:H1"/>
  </mergeCells>
  <pageMargins left="0.7" right="0.7" top="0.75" bottom="0.75" header="0.3" footer="0.3"/>
  <pageSetup paperSize="9" scale="58" orientation="portrait" r:id="rId1"/>
  <colBreaks count="1" manualBreakCount="1">
    <brk id="1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9368279</vt:lpstr>
      <vt:lpstr>9368181</vt:lpstr>
      <vt:lpstr>'9368181'!Область_печати</vt:lpstr>
      <vt:lpstr>'9368279'!Область_печати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plusnin_ip</dc:creator>
  <cp:lastModifiedBy>Администратор</cp:lastModifiedBy>
  <cp:lastPrinted>2025-09-11T09:57:37Z</cp:lastPrinted>
  <dcterms:created xsi:type="dcterms:W3CDTF">2011-03-24T09:14:27Z</dcterms:created>
  <dcterms:modified xsi:type="dcterms:W3CDTF">2026-09-21T06:24:48Z</dcterms:modified>
</cp:coreProperties>
</file>