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1E79A01A-F12C-4BAB-8A4A-49D7A871C1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Hlk220071132" localSheetId="0">Лист1!$A$4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K4" i="1" s="1"/>
  <c r="I4" i="1" l="1"/>
  <c r="J4" i="1" s="1"/>
</calcChain>
</file>

<file path=xl/sharedStrings.xml><?xml version="1.0" encoding="utf-8"?>
<sst xmlns="http://schemas.openxmlformats.org/spreadsheetml/2006/main" count="16" uniqueCount="15">
  <si>
    <t xml:space="preserve">Среднее квадратичное отклонение                                                            </t>
  </si>
  <si>
    <t xml:space="preserve">Коэффициент вариации(%)                                          </t>
  </si>
  <si>
    <t xml:space="preserve">НМЦК (руб.)                  </t>
  </si>
  <si>
    <t>Обоснование начальной (максимальной) цены договора</t>
  </si>
  <si>
    <t>Напименование объекта закупки</t>
  </si>
  <si>
    <t>Еденица измерения</t>
  </si>
  <si>
    <t>Количество</t>
  </si>
  <si>
    <t>Используемый метод определения НМЦК</t>
  </si>
  <si>
    <t>сапостовимых рыночных цен</t>
  </si>
  <si>
    <t xml:space="preserve">Цена продукции, указанная в источнике №1,(руб.), 1                                                                                                       </t>
  </si>
  <si>
    <t xml:space="preserve">Цена продукции, указанная в источнике №2 , (руб.), 2                                                                                                       </t>
  </si>
  <si>
    <t xml:space="preserve">Цена продукции, указанная в источнике №3 , (руб.), 3                          </t>
  </si>
  <si>
    <t xml:space="preserve">Средняя арифметическая величина цены продукции                                                                                                       </t>
  </si>
  <si>
    <t>По исходным данным</t>
  </si>
  <si>
    <t>поставку труб ППУ ОЦ  и комплектующих (ул. Корнилова, м-он Центральный)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</si>
</sst>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.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workbookViewId="0">
      <selection activeCell="B6" sqref="B6"/>
    </sheetView>
  </sheetViews>
  <sheetFormatPr defaultRowHeight="15" x14ac:dyDescent="0.25"/>
  <cols>
    <col min="1" max="2" width="16.5703125" customWidth="1"/>
    <col min="3" max="3" width="12.85546875" customWidth="1"/>
    <col min="4" max="4" width="14.7109375" customWidth="1"/>
    <col min="5" max="5" width="16.28515625" customWidth="1"/>
    <col min="6" max="6" width="14.42578125" customWidth="1"/>
    <col min="7" max="7" width="16.5703125" customWidth="1"/>
    <col min="8" max="8" width="16.85546875" customWidth="1"/>
    <col min="9" max="9" width="13.28515625" customWidth="1"/>
    <col min="11" max="11" width="16.7109375" customWidth="1"/>
  </cols>
  <sheetData>
    <row r="1" spans="1:11" x14ac:dyDescent="0.25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8" customFormat="1" ht="73.5" customHeight="1" x14ac:dyDescent="0.25">
      <c r="A3" s="7" t="s">
        <v>4</v>
      </c>
      <c r="B3" s="7" t="s">
        <v>5</v>
      </c>
      <c r="C3" s="7" t="s">
        <v>6</v>
      </c>
      <c r="D3" s="7" t="s">
        <v>7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0</v>
      </c>
      <c r="J3" s="7" t="s">
        <v>1</v>
      </c>
      <c r="K3" s="7" t="s">
        <v>2</v>
      </c>
    </row>
    <row r="4" spans="1:11" ht="58.5" customHeight="1" x14ac:dyDescent="0.25">
      <c r="A4" s="9" t="s">
        <v>14</v>
      </c>
      <c r="B4" s="6" t="s">
        <v>13</v>
      </c>
      <c r="C4" s="6" t="s">
        <v>13</v>
      </c>
      <c r="D4" s="2" t="s">
        <v>8</v>
      </c>
      <c r="E4" s="3">
        <v>4782518.38</v>
      </c>
      <c r="F4" s="3">
        <v>3554459.4</v>
      </c>
      <c r="G4" s="3">
        <v>3057712</v>
      </c>
      <c r="H4" s="3">
        <f>(E4+F4+G4)/3</f>
        <v>3798229.9266666663</v>
      </c>
      <c r="I4" s="4">
        <f>STDEV(E4,F4,G4)</f>
        <v>887866.7210655479</v>
      </c>
      <c r="J4" s="5">
        <f>I4/H4</f>
        <v>0.23375802366044265</v>
      </c>
      <c r="K4" s="3">
        <f>H4</f>
        <v>3798229.9266666663</v>
      </c>
    </row>
    <row r="5" spans="1:11" ht="15" customHeight="1" x14ac:dyDescent="0.25"/>
  </sheetData>
  <mergeCells count="1">
    <mergeCell ref="A1:K1"/>
  </mergeCells>
  <pageMargins left="0.7" right="0.7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Лист1!_Hlk220071132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2026-09-22T13:47:09Z</dcterms:modified>
</cp:coreProperties>
</file>