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Шаблон!$B$17:$S$31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<sst xmlns="http://schemas.openxmlformats.org/spreadsheetml/2006/main" count="678" uniqueCount="382">
  <si>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</si>
  <si>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</si>
  <si>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</si>
  <si>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</si>
  <si>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</si>
  <si>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</si>
  <si>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</si>
  <si>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</si>
  <si>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</si>
  <si>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</si>
  <si>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</si>
  <si>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</si>
  <si>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</si>
  <si>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</si>
  <si>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</si>
  <si>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</si>
  <si>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</si>
  <si>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</si>
  <si>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</si>
  <si>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</si>
  <si>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</si>
  <si>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</si>
  <si>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</si>
  <si>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</si>
  <si>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</si>
  <si>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</si>
  <si>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</si>
  <si>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</si>
  <si>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</si>
  <si>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</si>
  <si>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</si>
  <si>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</si>
  <si>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</si>
  <si>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</si>
  <si>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</si>
  <si>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</si>
  <si>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</si>
  <si>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</si>
  <si>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</si>
  <si>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</si>
  <si>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</si>
  <si>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</si>
  <si>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</si>
  <si>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</si>
  <si>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</si>
  <si>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</si>
  <si>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</si>
  <si>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</si>
  <si>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</si>
  <si>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</si>
  <si>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</si>
  <si>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</si>
  <si>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</si>
  <si>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</si>
  <si>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</si>
  <si>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</si>
  <si>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</si>
  <si>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</si>
  <si>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</si>
  <si>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</si>
  <si>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</si>
  <si>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</si>
  <si>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</si>
  <si>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</si>
  <si>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</si>
  <si>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</si>
  <si>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</si>
  <si>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</si>
  <si>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</si>
  <si>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</si>
  <si>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</si>
  <si>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</si>
  <si>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</si>
  <si>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</si>
  <si>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</si>
  <si>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</si>
  <si>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</si>
  <si>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</si>
  <si>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</si>
  <si>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</si>
  <si>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</si>
  <si>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</si>
  <si>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</si>
  <si>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</si>
  <si>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</si>
  <si>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</si>
  <si>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</si>
  <si>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</si>
  <si>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</si>
  <si>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</si>
  <si>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</si>
  <si>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</si>
  <si>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</si>
  <si>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</si>
  <si>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</si>
  <si>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</si>
  <si>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</si>
  <si>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</si>
  <si>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</si>
  <si>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</si>
  <si>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</si>
  <si>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</si>
  <si>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</si>
  <si>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</si>
  <si>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</si>
  <si>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</si>
  <si>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</si>
  <si>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</si>
  <si>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</si>
  <si>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</si>
  <si>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</si>
  <si>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</si>
  <si>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</si>
  <si>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</si>
  <si>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</si>
  <si>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</si>
  <si>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</si>
  <si>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</si>
  <si>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</si>
  <si>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</si>
  <si>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</si>
  <si>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</si>
  <si>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</si>
  <si>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</si>
  <si>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</si>
  <si>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</si>
  <si>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</si>
  <si>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</si>
  <si>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</si>
  <si>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</si>
  <si>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</si>
  <si>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</si>
  <si>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</si>
  <si>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</si>
  <si>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</si>
  <si>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</si>
  <si>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</si>
  <si>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</si>
  <si>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</si>
  <si>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</si>
  <si>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</si>
  <si>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</si>
  <si>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</si>
  <si>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</si>
  <si>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</si>
  <si>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</si>
  <si>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</si>
  <si>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</si>
  <si>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</si>
  <si>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</si>
  <si>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</si>
  <si>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</si>
  <si>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</si>
  <si>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</si>
  <si>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</si>
  <si>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</si>
  <si>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</si>
  <si>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</si>
  <si>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</si>
  <si>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</si>
  <si>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</si>
  <si>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</si>
  <si>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</si>
  <si>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</si>
  <si>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</si>
  <si>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</si>
  <si>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</si>
  <si>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</si>
  <si>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</si>
  <si>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</si>
  <si>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</si>
  <si>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</si>
  <si>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</si>
  <si>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</si>
  <si>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</si>
  <si>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</si>
  <si>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</si>
  <si>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</si>
  <si>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</si>
  <si>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</si>
  <si>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</si>
  <si>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</si>
  <si>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</si>
  <si>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</si>
  <si>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</si>
  <si>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</si>
  <si>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</si>
  <si>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</si>
  <si>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</si>
  <si>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</si>
  <si>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</si>
  <si>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</si>
  <si>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</si>
  <si>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</si>
  <si>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</si>
  <si>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</si>
  <si>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</si>
  <si>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</si>
  <si>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</si>
  <si>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</si>
  <si>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</si>
  <si>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</si>
  <si>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</si>
  <si>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</si>
  <si>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</si>
  <si>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</si>
  <si>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</si>
  <si>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</si>
  <si>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</si>
  <si>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</si>
  <si>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</si>
  <si>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</si>
  <si>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</si>
  <si>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</si>
  <si>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</si>
  <si>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</si>
  <si>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</si>
  <si>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</si>
  <si>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</si>
  <si>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</si>
  <si>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</si>
  <si>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</si>
  <si>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</si>
  <si>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</si>
  <si>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</si>
  <si>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</si>
  <si>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</si>
  <si>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</si>
  <si>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</si>
  <si>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</si>
  <si>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</si>
  <si>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</si>
  <si>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</si>
  <si>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</si>
  <si>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</si>
  <si>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</si>
  <si>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</si>
  <si>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</si>
  <si>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</si>
  <si>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</si>
  <si>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</si>
  <si>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</si>
  <si>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</si>
  <si>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</si>
  <si>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</si>
  <si>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</si>
  <si>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</si>
  <si>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</si>
  <si>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</si>
  <si>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</si>
  <si>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</si>
  <si>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</si>
  <si>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</si>
  <si>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</si>
  <si>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</si>
  <si>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</si>
  <si>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</si>
  <si>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</si>
  <si>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</si>
  <si>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</si>
  <si>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</si>
  <si>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</si>
  <si>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</si>
  <si>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</si>
  <si>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</si>
  <si>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192.26.00969 Поставка труб большого диаметра для нужд АО «ТГК-11»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</si>
  <si>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</si>
  <si>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</si>
  <si>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</si>
  <si>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</si>
  <si>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</si>
  <si>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</si>
  <si>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</si>
  <si>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</si>
  <si>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</si>
  <si>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</si>
  <si>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</si>
  <si>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</si>
  <si>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</si>
  <si>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</si>
  <si>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</si>
  <si>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</si>
  <si>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</si>
  <si>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</si>
  <si>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</si>
  <si>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</si>
  <si>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</si>
  <si>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</si>
  <si>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</si>
  <si>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</si>
  <si>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</si>
  <si>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</si>
  <si>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</si>
  <si>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</si>
  <si>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</si>
  <si>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</si>
  <si>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</si>
  <si>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</si>
  <si>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</si>
  <si>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</si>
  <si>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</si>
  <si>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</si>
  <si>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</si>
  <si>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</si>
  <si>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</si>
  <si>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</si>
  <si>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</si>
  <si>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</si>
  <si>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</si>
  <si>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</si>
  <si>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</si>
  <si>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</si>
  <si>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</si>
  <si>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</si>
  <si>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ТГК-11-&gt;ТГК-11 (филиал)-&gt;192 Отдел обеспечения МТР</t>
  </si>
  <si>
    <t>484617</t>
  </si>
  <si>
    <t>Труба стальная, прямошовная, электросварная, для газонефтепроводов, наружный диаметр 1020мм, толщина стенки 10мм, предельные отклонения: по наружному диаметру +/-3мм, по толщине стенки +0,6/-0,8мм, материал сталь 17Г1С-У, класс прочности К52, 1020х10-17Г1С-У-К52-ТУ 14-3-1698-2000</t>
  </si>
  <si>
    <t>Труба 1020х10-17Г1С-У-К52-ТУ 14-3-1698-2000</t>
  </si>
  <si>
    <t>ТУ 14-3-1698-2000</t>
  </si>
  <si>
    <t>Килограмм</t>
  </si>
  <si>
    <t>546822</t>
  </si>
  <si>
    <t>Труба стальная прямошовная, электросварная, наружный диаметр 1220мм, толщина стенки 12мм, длина немерная, предельные отклонения: по наружному диаметру +/-0,6% (точность изготовления обычная), по толщине стенки +/-10%, материал сталь 20, с нормированием механических свойств и химического состава (группа В), 1220х12/В-20 ГОСТ 10704-91, ГОСТ 10705-80</t>
  </si>
  <si>
    <t>Труба 1220х12/В-20 ГОСТ 10704-91, ГОСТ 10705-80</t>
  </si>
  <si>
    <t>ГОСТ 10704-91,ГОСТ 10705-80</t>
  </si>
  <si>
    <t>476275</t>
  </si>
  <si>
    <t>Труба стальная прямошовная, электросварная, наружный диаметр 530мм,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530х12/В-20 ГОСТ 10704-91, ГОСТ 10705-80</t>
  </si>
  <si>
    <t>Труба 530х12/В-20 ГОСТ 10704-91, ГОСТ 10705-80</t>
  </si>
  <si>
    <t>476547</t>
  </si>
  <si>
    <t>Труба стальная прямошовная, электросварная, наружный диаметр 530мм, толщина стенки 8мм,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530х8/В-20 ГОСТ 10704-91, ГОСТ 10705-80</t>
  </si>
  <si>
    <t>Труба 530х8/В-20 ГОСТ 10704-91, ГОСТ 10705-80</t>
  </si>
  <si>
    <t>475949</t>
  </si>
  <si>
    <t>Труба стальная прямошовная, электросварная, наружный диаметр 630мм,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630х10/В-20 ГОСТ 10704-91, ГОСТ 10705-80</t>
  </si>
  <si>
    <t>Труба 630х10/В-20 ГОСТ 10704-91, ГОСТ 10705-80</t>
  </si>
  <si>
    <t>476204</t>
  </si>
  <si>
    <t>Труба стальная прямошовная, электросварная, наружный диаметр 630мм,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630х12/В-20 ГОСТ 10704-91, ГОСТ 10705-80</t>
  </si>
  <si>
    <t>Труба 630х12/В-20 ГОСТ 10704-91, ГОСТ 10705-80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</si>
  <si>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</si>
  <si>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</si>
  <si>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</si>
  <si>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562038</t>
  </si>
  <si>
    <t>Труба стальная прямошовная, электросварная, наружный диаметр 720мм,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720х10/В-20 ГОСТ 10704-91, ГОСТ 10705-80</t>
  </si>
  <si>
    <t>Труба 720х10/В-20 ГОСТ 10704-91, ГОСТ 10705-80</t>
  </si>
  <si>
    <t>624477</t>
  </si>
  <si>
    <t>Труба стальная прямошовная, электросварная, наружный диаметр 820мм, толщина стенки 10мм, длина немерная, предельные отклонения: по наружному диаметру +/-0,7% (точность изготовления обычная), по толщине стенки +0,6/-0,8%, по наружному диаметру торцов +/-2,5мм (точность изготовления обычная), овальность концов труб 1,5% от наружного диаметра (02кл), материал сталь 17Г1С-У, с нормированием механических свойств и химического состава (группа В), 820х10-02кл/В-17Г1С-У ГОСТ 10704-91, ГОСТ 10706-76</t>
  </si>
  <si>
    <t>Труба 820х10-02кл/В-17Г1С-У ГОСТ 10704-91, ГОСТ 10706-76</t>
  </si>
  <si>
    <t>ГОСТ 10704-91,ГОСТ 10706-76</t>
  </si>
  <si>
    <t>596083</t>
  </si>
  <si>
    <t>Труба стальная прямошовная, электросварная, наружный диаметр 820мм, толщина стенки 10мм, длина немерная, предельные отклонения: по наружному диаметру +/-0,7% (точность изготовления обычная), по толщине стенки +/-10%, материал сталь 20, с нормированием механических свойств и химического состава (группа В), 820х10/В-20 ГОСТ 10704-91, ГОСТ 10705-80</t>
  </si>
  <si>
    <t>Труба 820х10/В-20 ГОСТ 10704-91, ГОСТ 10705-80</t>
  </si>
  <si>
    <t>600843</t>
  </si>
  <si>
    <t>Труба стальная прямошовная, электросварная, наружный диаметр 820мм, толщина стенки 9мм, длина немерная, предельные отклонения: по наружному диаметру +/-0,7% (точность изготовления обычная), по толщине стенки +0,6/-0,8%, класс точности по овальности, материал сталь 17Г1С-У, с нормированием механических свойств и химического состава (группа В), 820х9/В-17Г1С-У ГОСТ 10704-91, ГОСТ 10706-76</t>
  </si>
  <si>
    <t>Труба 820х9/В-17Г1С-У ГОСТ 10704-91, ГОСТ 10706-76</t>
  </si>
  <si>
    <t>476321</t>
  </si>
  <si>
    <t>Труба стальная прямошовная, изготовленная электродуговой сваркой (тип 3), для магистральных газонефтепроводов, наружный диаметр 630мм, толщина стенки 10мм, длина немерная, предельные отклонения: по наружному диаметру +/-3мм, по толщине стенки +0,6/-0,8мм, материал низколегированная сталь, класс прочности К52, тип 3-630х10-К52 ГОСТ 20295-85</t>
  </si>
  <si>
    <t>Труба тип 3-630х10-К52 ГОСТ 20295-85</t>
  </si>
  <si>
    <t>ГОСТ 20295-85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</si>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</sst>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7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130.0</v>
      </c>
      <c r="K18" s="6" t="n">
        <v>3000.0</v>
      </c>
      <c r="L18" s="5" t="n">
        <v>390000.0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Q34,)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3000.0</v>
      </c>
      <c r="Y18" s="4" t="n">
        <v>2649877.0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323</v>
      </c>
      <c r="H19" s="4" t="s">
        <v>319</v>
      </c>
      <c r="I19" s="4" t="s">
        <v>0</v>
      </c>
      <c r="J19" s="5" t="n">
        <v>130.0</v>
      </c>
      <c r="K19" s="6" t="n">
        <v>5000.0</v>
      </c>
      <c r="L19" s="5" t="n">
        <v>650000.0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Q34,)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5000.0</v>
      </c>
      <c r="Y19" s="4" t="n">
        <v>2649872.0</v>
      </c>
    </row>
    <row r="20">
      <c r="A20" s="1"/>
      <c r="B20" s="4" t="s">
        <v>314</v>
      </c>
      <c r="C20" s="4" t="n">
        <v>3.0</v>
      </c>
      <c r="D20" s="4" t="s">
        <v>324</v>
      </c>
      <c r="E20" s="4" t="s">
        <v>325</v>
      </c>
      <c r="F20" s="4" t="s">
        <v>326</v>
      </c>
      <c r="G20" s="4" t="s">
        <v>323</v>
      </c>
      <c r="H20" s="4" t="s">
        <v>319</v>
      </c>
      <c r="I20" s="4" t="s">
        <v>0</v>
      </c>
      <c r="J20" s="5" t="n">
        <v>120.0</v>
      </c>
      <c r="K20" s="6" t="n">
        <v>1900.0</v>
      </c>
      <c r="L20" s="5" t="n">
        <v>228000.0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Q34,)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1900.0</v>
      </c>
      <c r="Y20" s="4" t="n">
        <v>2649869.0</v>
      </c>
    </row>
    <row r="21">
      <c r="A21" s="1"/>
      <c r="B21" s="4" t="s">
        <v>314</v>
      </c>
      <c r="C21" s="4" t="n">
        <v>4.0</v>
      </c>
      <c r="D21" s="4" t="s">
        <v>327</v>
      </c>
      <c r="E21" s="4" t="s">
        <v>328</v>
      </c>
      <c r="F21" s="4" t="s">
        <v>329</v>
      </c>
      <c r="G21" s="4" t="s">
        <v>323</v>
      </c>
      <c r="H21" s="4" t="s">
        <v>319</v>
      </c>
      <c r="I21" s="4" t="s">
        <v>0</v>
      </c>
      <c r="J21" s="5" t="n">
        <v>120.0</v>
      </c>
      <c r="K21" s="6" t="n">
        <v>21200.0</v>
      </c>
      <c r="L21" s="5" t="n">
        <v>2544000.0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Q34,)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21200.0</v>
      </c>
      <c r="Y21" s="4" t="n">
        <v>2649868.0</v>
      </c>
    </row>
    <row r="22">
      <c r="A22" s="1"/>
      <c r="B22" s="4" t="s">
        <v>314</v>
      </c>
      <c r="C22" s="4" t="n">
        <v>5.0</v>
      </c>
      <c r="D22" s="4" t="s">
        <v>327</v>
      </c>
      <c r="E22" s="4" t="s">
        <v>328</v>
      </c>
      <c r="F22" s="4" t="s">
        <v>329</v>
      </c>
      <c r="G22" s="4" t="s">
        <v>323</v>
      </c>
      <c r="H22" s="4" t="s">
        <v>319</v>
      </c>
      <c r="I22" s="4" t="s">
        <v>0</v>
      </c>
      <c r="J22" s="5" t="n">
        <v>120.0</v>
      </c>
      <c r="K22" s="6" t="n">
        <v>1200.0</v>
      </c>
      <c r="L22" s="5" t="n">
        <v>144000.0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Q34,)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1200.0</v>
      </c>
      <c r="Y22" s="4" t="n">
        <v>2649873.0</v>
      </c>
    </row>
    <row r="23">
      <c r="A23" s="1"/>
      <c r="B23" s="4" t="s">
        <v>314</v>
      </c>
      <c r="C23" s="4" t="n">
        <v>6.0</v>
      </c>
      <c r="D23" s="4" t="s">
        <v>330</v>
      </c>
      <c r="E23" s="4" t="s">
        <v>331</v>
      </c>
      <c r="F23" s="4" t="s">
        <v>332</v>
      </c>
      <c r="G23" s="4" t="s">
        <v>323</v>
      </c>
      <c r="H23" s="4" t="s">
        <v>319</v>
      </c>
      <c r="I23" s="4" t="s">
        <v>0</v>
      </c>
      <c r="J23" s="5" t="n">
        <v>120.0</v>
      </c>
      <c r="K23" s="6" t="n">
        <v>6419.0</v>
      </c>
      <c r="L23" s="5" t="n">
        <v>770280.0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Q34,)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6419.0</v>
      </c>
      <c r="Y23" s="4" t="n">
        <v>2649866.0</v>
      </c>
    </row>
    <row r="24">
      <c r="A24" s="1"/>
      <c r="B24" s="4" t="s">
        <v>314</v>
      </c>
      <c r="C24" s="4" t="n">
        <v>7.0</v>
      </c>
      <c r="D24" s="4" t="s">
        <v>333</v>
      </c>
      <c r="E24" s="4" t="s">
        <v>334</v>
      </c>
      <c r="F24" s="4" t="s">
        <v>335</v>
      </c>
      <c r="G24" s="4" t="s">
        <v>323</v>
      </c>
      <c r="H24" s="4" t="s">
        <v>319</v>
      </c>
      <c r="I24" s="4" t="s">
        <v>0</v>
      </c>
      <c r="J24" s="5" t="n">
        <v>120.0</v>
      </c>
      <c r="K24" s="6" t="n">
        <v>2300.0</v>
      </c>
      <c r="L24" s="5" t="n">
        <v>276000.0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Q34,)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2300.0</v>
      </c>
      <c r="Y24" s="4" t="n">
        <v>2649864.0</v>
      </c>
    </row>
    <row r="25">
      <c r="A25" s="1"/>
      <c r="B25" s="4" t="s">
        <v>314</v>
      </c>
      <c r="C25" s="4" t="n">
        <v>8.0</v>
      </c>
      <c r="D25" s="4" t="s">
        <v>336</v>
      </c>
      <c r="E25" s="4" t="s">
        <v>337</v>
      </c>
      <c r="F25" s="4" t="s">
        <v>338</v>
      </c>
      <c r="G25" s="4" t="s">
        <v>323</v>
      </c>
      <c r="H25" s="4" t="s">
        <v>319</v>
      </c>
      <c r="I25" s="4" t="s">
        <v>0</v>
      </c>
      <c r="J25" s="5" t="n">
        <v>120.0</v>
      </c>
      <c r="K25" s="6" t="n">
        <v>2300.0</v>
      </c>
      <c r="L25" s="5" t="n">
        <v>276000.0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Q34,)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2300.0</v>
      </c>
      <c r="Y25" s="4" t="n">
        <v>2649871.0</v>
      </c>
    </row>
    <row r="26">
      <c r="A26" s="1"/>
      <c r="B26" s="4" t="s">
        <v>314</v>
      </c>
      <c r="C26" s="4" t="n">
        <v>9.0</v>
      </c>
      <c r="D26" s="4" t="s">
        <v>339</v>
      </c>
      <c r="E26" s="4" t="s">
        <v>340</v>
      </c>
      <c r="F26" s="4" t="s">
        <v>341</v>
      </c>
      <c r="G26" s="4" t="s">
        <v>323</v>
      </c>
      <c r="H26" s="4" t="s">
        <v>319</v>
      </c>
      <c r="I26" s="4" t="s">
        <v>0</v>
      </c>
      <c r="J26" s="5" t="n">
        <v>120.0</v>
      </c>
      <c r="K26" s="6" t="n">
        <v>7000.0</v>
      </c>
      <c r="L26" s="5" t="n">
        <v>840000.0</v>
      </c>
      <c r="M26" s="7" t="n">
        <f>IF(P26=1,0,1) + IF(ISBLANK(R26),1,0) + IF(ISBLANK(S26),1,0)</f>
        <v>3.0</v>
      </c>
      <c r="N26" s="7"/>
      <c r="O26" s="1"/>
      <c r="P26" s="7" t="n">
        <f>IF(OR(Q26="Российская Федерация",Q26="Армения",Q26="Белоруссия",Q26="Беларусь",Q26="Казахстан",Q26="Киргизия",Q26="Кыргызстан",Q26="ДНР",Q26="ЛНР"), 1, 0)</f>
        <v>0.0</v>
      </c>
      <c r="Q26" s="7" t="str">
        <f>IFERROR(IF(P26=1, "Российская Федерация", "Не заполнено"),"")</f>
        <v/>
      </c>
      <c r="R26" s="7"/>
      <c r="S26" s="7"/>
      <c r="T26" s="7"/>
      <c r="U26" s="5" t="n">
        <f>IF(T26&lt;&gt;0, J26 * Q34,)</f>
        <v>0.0</v>
      </c>
      <c r="V26" s="5" t="n">
        <f>U26*K26</f>
        <v>0.0</v>
      </c>
      <c r="W26" s="5" t="n">
        <f>X26*(ROUNDDOWN(T26,0) + ROUNDDOWN(T26 - ROUNDDOWN(T26,0),9))</f>
        <v>0.0</v>
      </c>
      <c r="X26" s="6" t="n">
        <f>K26</f>
        <v>7000.0</v>
      </c>
      <c r="Y26" s="4" t="n">
        <v>2649867.0</v>
      </c>
    </row>
    <row r="27">
      <c r="A27" s="1"/>
      <c r="B27" s="4" t="s">
        <v>314</v>
      </c>
      <c r="C27" s="4" t="n">
        <v>10.0</v>
      </c>
      <c r="D27" s="4" t="s">
        <v>342</v>
      </c>
      <c r="E27" s="4" t="s">
        <v>343</v>
      </c>
      <c r="F27" s="4" t="s">
        <v>344</v>
      </c>
      <c r="G27" s="4" t="s">
        <v>345</v>
      </c>
      <c r="H27" s="4" t="s">
        <v>319</v>
      </c>
      <c r="I27" s="4" t="s">
        <v>0</v>
      </c>
      <c r="J27" s="5" t="n">
        <v>120.0</v>
      </c>
      <c r="K27" s="6" t="n">
        <v>2500.0</v>
      </c>
      <c r="L27" s="5" t="n">
        <v>300000.0</v>
      </c>
      <c r="M27" s="7" t="n">
        <f>IF(P27=1,0,1) + IF(ISBLANK(R27),1,0) + IF(ISBLANK(S27),1,0)</f>
        <v>3.0</v>
      </c>
      <c r="N27" s="7"/>
      <c r="O27" s="1"/>
      <c r="P27" s="7" t="n">
        <f>IF(OR(Q27="Российская Федерация",Q27="Армения",Q27="Белоруссия",Q27="Беларусь",Q27="Казахстан",Q27="Киргизия",Q27="Кыргызстан",Q27="ДНР",Q27="ЛНР"), 1, 0)</f>
        <v>0.0</v>
      </c>
      <c r="Q27" s="7" t="str">
        <f>IFERROR(IF(P27=1, "Российская Федерация", "Не заполнено"),"")</f>
        <v/>
      </c>
      <c r="R27" s="7"/>
      <c r="S27" s="7"/>
      <c r="T27" s="7"/>
      <c r="U27" s="5" t="n">
        <f>IF(T27&lt;&gt;0, J27 * Q34,)</f>
        <v>0.0</v>
      </c>
      <c r="V27" s="5" t="n">
        <f>U27*K27</f>
        <v>0.0</v>
      </c>
      <c r="W27" s="5" t="n">
        <f>X27*(ROUNDDOWN(T27,0) + ROUNDDOWN(T27 - ROUNDDOWN(T27,0),9))</f>
        <v>0.0</v>
      </c>
      <c r="X27" s="6" t="n">
        <f>K27</f>
        <v>2500.0</v>
      </c>
      <c r="Y27" s="4" t="n">
        <v>2649876.0</v>
      </c>
    </row>
    <row r="28">
      <c r="A28" s="1"/>
      <c r="B28" s="4" t="s">
        <v>314</v>
      </c>
      <c r="C28" s="4" t="n">
        <v>11.0</v>
      </c>
      <c r="D28" s="4" t="s">
        <v>346</v>
      </c>
      <c r="E28" s="4" t="s">
        <v>347</v>
      </c>
      <c r="F28" s="4" t="s">
        <v>348</v>
      </c>
      <c r="G28" s="4" t="s">
        <v>323</v>
      </c>
      <c r="H28" s="4" t="s">
        <v>319</v>
      </c>
      <c r="I28" s="4" t="s">
        <v>0</v>
      </c>
      <c r="J28" s="5" t="n">
        <v>120.0</v>
      </c>
      <c r="K28" s="6" t="n">
        <v>7400.0</v>
      </c>
      <c r="L28" s="5" t="n">
        <v>888000.0</v>
      </c>
      <c r="M28" s="7" t="n">
        <f>IF(P28=1,0,1) + IF(ISBLANK(R28),1,0) + IF(ISBLANK(S28),1,0)</f>
        <v>3.0</v>
      </c>
      <c r="N28" s="7"/>
      <c r="O28" s="1"/>
      <c r="P28" s="7" t="n">
        <f>IF(OR(Q28="Российская Федерация",Q28="Армения",Q28="Белоруссия",Q28="Беларусь",Q28="Казахстан",Q28="Киргизия",Q28="Кыргызстан",Q28="ДНР",Q28="ЛНР"), 1, 0)</f>
        <v>0.0</v>
      </c>
      <c r="Q28" s="7" t="str">
        <f>IFERROR(IF(P28=1, "Российская Федерация", "Не заполнено"),"")</f>
        <v/>
      </c>
      <c r="R28" s="7"/>
      <c r="S28" s="7"/>
      <c r="T28" s="7"/>
      <c r="U28" s="5" t="n">
        <f>IF(T28&lt;&gt;0, J28 * Q34,)</f>
        <v>0.0</v>
      </c>
      <c r="V28" s="5" t="n">
        <f>U28*K28</f>
        <v>0.0</v>
      </c>
      <c r="W28" s="5" t="n">
        <f>X28*(ROUNDDOWN(T28,0) + ROUNDDOWN(T28 - ROUNDDOWN(T28,0),9))</f>
        <v>0.0</v>
      </c>
      <c r="X28" s="6" t="n">
        <f>K28</f>
        <v>7400.0</v>
      </c>
      <c r="Y28" s="4" t="n">
        <v>2649870.0</v>
      </c>
    </row>
    <row r="29">
      <c r="A29" s="1"/>
      <c r="B29" s="4" t="s">
        <v>314</v>
      </c>
      <c r="C29" s="4" t="n">
        <v>12.0</v>
      </c>
      <c r="D29" s="4" t="s">
        <v>349</v>
      </c>
      <c r="E29" s="4" t="s">
        <v>350</v>
      </c>
      <c r="F29" s="4" t="s">
        <v>351</v>
      </c>
      <c r="G29" s="4" t="s">
        <v>345</v>
      </c>
      <c r="H29" s="4" t="s">
        <v>319</v>
      </c>
      <c r="I29" s="4" t="s">
        <v>0</v>
      </c>
      <c r="J29" s="5" t="n">
        <v>120.0</v>
      </c>
      <c r="K29" s="6" t="n">
        <v>7400.0</v>
      </c>
      <c r="L29" s="5" t="n">
        <v>888000.0</v>
      </c>
      <c r="M29" s="7" t="n">
        <f>IF(P29=1,0,1) + IF(ISBLANK(R29),1,0) + IF(ISBLANK(S29),1,0)</f>
        <v>3.0</v>
      </c>
      <c r="N29" s="7"/>
      <c r="O29" s="1"/>
      <c r="P29" s="7" t="n">
        <f>IF(OR(Q29="Российская Федерация",Q29="Армения",Q29="Белоруссия",Q29="Беларусь",Q29="Казахстан",Q29="Киргизия",Q29="Кыргызстан",Q29="ДНР",Q29="ЛНР"), 1, 0)</f>
        <v>0.0</v>
      </c>
      <c r="Q29" s="7" t="str">
        <f>IFERROR(IF(P29=1, "Российская Федерация", "Не заполнено"),"")</f>
        <v/>
      </c>
      <c r="R29" s="7"/>
      <c r="S29" s="7"/>
      <c r="T29" s="7"/>
      <c r="U29" s="5" t="n">
        <f>IF(T29&lt;&gt;0, J29 * Q34,)</f>
        <v>0.0</v>
      </c>
      <c r="V29" s="5" t="n">
        <f>U29*K29</f>
        <v>0.0</v>
      </c>
      <c r="W29" s="5" t="n">
        <f>X29*(ROUNDDOWN(T29,0) + ROUNDDOWN(T29 - ROUNDDOWN(T29,0),9))</f>
        <v>0.0</v>
      </c>
      <c r="X29" s="6" t="n">
        <f>K29</f>
        <v>7400.0</v>
      </c>
      <c r="Y29" s="4" t="n">
        <v>2649874.0</v>
      </c>
    </row>
    <row r="30">
      <c r="A30" s="1"/>
      <c r="B30" s="4" t="s">
        <v>314</v>
      </c>
      <c r="C30" s="4" t="n">
        <v>13.0</v>
      </c>
      <c r="D30" s="4" t="s">
        <v>352</v>
      </c>
      <c r="E30" s="4" t="s">
        <v>353</v>
      </c>
      <c r="F30" s="4" t="s">
        <v>354</v>
      </c>
      <c r="G30" s="4" t="s">
        <v>355</v>
      </c>
      <c r="H30" s="4" t="s">
        <v>319</v>
      </c>
      <c r="I30" s="4" t="s">
        <v>0</v>
      </c>
      <c r="J30" s="5" t="n">
        <v>120.0</v>
      </c>
      <c r="K30" s="6" t="n">
        <v>2280.0</v>
      </c>
      <c r="L30" s="5" t="n">
        <v>273600.0</v>
      </c>
      <c r="M30" s="7" t="n">
        <f>IF(P30=1,0,1) + IF(ISBLANK(R30),1,0) + IF(ISBLANK(S30),1,0)</f>
        <v>3.0</v>
      </c>
      <c r="N30" s="7"/>
      <c r="O30" s="1"/>
      <c r="P30" s="7" t="n">
        <f>IF(OR(Q30="Российская Федерация",Q30="Армения",Q30="Белоруссия",Q30="Беларусь",Q30="Казахстан",Q30="Киргизия",Q30="Кыргызстан",Q30="ДНР",Q30="ЛНР"), 1, 0)</f>
        <v>0.0</v>
      </c>
      <c r="Q30" s="7" t="str">
        <f>IFERROR(IF(P30=1, "Российская Федерация", "Не заполнено"),"")</f>
        <v/>
      </c>
      <c r="R30" s="7"/>
      <c r="S30" s="7"/>
      <c r="T30" s="7"/>
      <c r="U30" s="5" t="n">
        <f>IF(T30&lt;&gt;0, J30 * Q34,)</f>
        <v>0.0</v>
      </c>
      <c r="V30" s="5" t="n">
        <f>U30*K30</f>
        <v>0.0</v>
      </c>
      <c r="W30" s="5" t="n">
        <f>X30*(ROUNDDOWN(T30,0) + ROUNDDOWN(T30 - ROUNDDOWN(T30,0),9))</f>
        <v>0.0</v>
      </c>
      <c r="X30" s="6" t="n">
        <f>K30</f>
        <v>2280.0</v>
      </c>
      <c r="Y30" s="4" t="n">
        <v>2649865.0</v>
      </c>
    </row>
    <row r="31">
      <c r="A31" s="1"/>
      <c r="B31" s="4" t="s">
        <v>314</v>
      </c>
      <c r="C31" s="4" t="n">
        <v>14.0</v>
      </c>
      <c r="D31" s="4" t="s">
        <v>352</v>
      </c>
      <c r="E31" s="4" t="s">
        <v>353</v>
      </c>
      <c r="F31" s="4" t="s">
        <v>354</v>
      </c>
      <c r="G31" s="4" t="s">
        <v>355</v>
      </c>
      <c r="H31" s="4" t="s">
        <v>319</v>
      </c>
      <c r="I31" s="4" t="s">
        <v>0</v>
      </c>
      <c r="J31" s="5" t="n">
        <v>120.0</v>
      </c>
      <c r="K31" s="6" t="n">
        <v>2280.0</v>
      </c>
      <c r="L31" s="5" t="n">
        <v>273600.0</v>
      </c>
      <c r="M31" s="7" t="n">
        <f>IF(P31=1,0,1) + IF(ISBLANK(R31),1,0) + IF(ISBLANK(S31),1,0)</f>
        <v>3.0</v>
      </c>
      <c r="N31" s="7"/>
      <c r="O31" s="1"/>
      <c r="P31" s="7" t="n">
        <f>IF(OR(Q31="Российская Федерация",Q31="Армения",Q31="Белоруссия",Q31="Беларусь",Q31="Казахстан",Q31="Киргизия",Q31="Кыргызстан",Q31="ДНР",Q31="ЛНР"), 1, 0)</f>
        <v>0.0</v>
      </c>
      <c r="Q31" s="7" t="str">
        <f>IFERROR(IF(P31=1, "Российская Федерация", "Не заполнено"),"")</f>
        <v/>
      </c>
      <c r="R31" s="7"/>
      <c r="S31" s="7"/>
      <c r="T31" s="7"/>
      <c r="U31" s="5" t="n">
        <f>IF(T31&lt;&gt;0, J31 * Q34,)</f>
        <v>0.0</v>
      </c>
      <c r="V31" s="5" t="n">
        <f>U31*K31</f>
        <v>0.0</v>
      </c>
      <c r="W31" s="5" t="n">
        <f>X31*(ROUNDDOWN(T31,0) + ROUNDDOWN(T31 - ROUNDDOWN(T31,0),9))</f>
        <v>0.0</v>
      </c>
      <c r="X31" s="6" t="n">
        <f>K31</f>
        <v>2280.0</v>
      </c>
      <c r="Y31" s="4" t="n">
        <v>2649875.0</v>
      </c>
    </row>
    <row r="32" ht="12.75" customHeight="true">
      <c r="K32" s="68"/>
      <c r="L32" s="68"/>
    </row>
    <row r="33" ht="15.0" customHeight="true">
      <c r="K33" t="s" s="69">
        <v>356</v>
      </c>
      <c r="L33" s="69"/>
      <c r="M33" t="s" s="69">
        <v>357</v>
      </c>
      <c r="N33" s="69"/>
      <c r="O33" s="69"/>
      <c r="P33" s="69"/>
      <c r="Q33" s="69"/>
      <c r="R33" s="70"/>
      <c r="S33" s="70"/>
      <c r="W33" t="s" s="71">
        <v>358</v>
      </c>
      <c r="X33" s="72"/>
    </row>
    <row r="34" ht="15.0" customHeight="true">
      <c r="L34" s="73" t="n">
        <f>SUM(L18:L31)</f>
        <v>8741480.0</v>
      </c>
      <c r="Q34" s="73" t="n">
        <f>W34/L34</f>
        <v>0.0</v>
      </c>
      <c r="W34" s="73" t="n">
        <f>SUM(W18:W31)</f>
        <v>0.0</v>
      </c>
    </row>
    <row r="35" ht="12.75" customHeight="true">
      <c r="R35" t="s" s="68">
        <v>359</v>
      </c>
      <c r="S35" t="s" s="68">
        <v>360</v>
      </c>
      <c r="T35" s="68"/>
    </row>
    <row r="36" ht="12.75" customHeight="true">
      <c r="D36" t="s" s="74">
        <v>361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6"/>
      <c r="R36" s="77" t="n">
        <f>SUM(V18:V31)</f>
        <v>0.0</v>
      </c>
      <c r="S36" t="n" s="77">
        <v>100.0</v>
      </c>
      <c r="T36" t="s" s="78">
        <v>362</v>
      </c>
    </row>
    <row r="37" ht="15.0" customHeight="true">
      <c r="D37" t="s" s="74">
        <v>363</v>
      </c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6"/>
      <c r="R37" s="73" t="n">
        <f>SUMIF(P18:P31,1, V18:V31)</f>
        <v>0.0</v>
      </c>
      <c r="S37" s="73" t="n">
        <f>IF(R36&lt;&gt;0, R37/R36*100,)</f>
        <v>0.0</v>
      </c>
      <c r="T37" s="79" t="str">
        <f>IF(S37&lt;=50," ","РФ/ДНР/ЛНР/ЕАЭС")</f>
        <v> </v>
      </c>
    </row>
    <row r="38" ht="15.0" customHeight="true">
      <c r="D38" t="s" s="74">
        <v>364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6"/>
      <c r="R38" s="73" t="n">
        <f>IF(R36&lt;&gt;0,R36-R37,)</f>
        <v>0.0</v>
      </c>
      <c r="S38" s="73" t="n">
        <f>IF(R36&lt;&gt;0, R38/R36*100,)</f>
        <v>0.0</v>
      </c>
      <c r="T38" s="79" t="str">
        <f>IF(S38&gt;50,"Импорт", " ")</f>
        <v> </v>
      </c>
    </row>
    <row r="39" ht="15.0" customHeight="true">
      <c r="D39" t="s" s="74">
        <v>365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6"/>
      <c r="R39" s="73" t="n">
        <f>SUMIF(M18:M31, 0, V18:V31)</f>
        <v>0.0</v>
      </c>
      <c r="S39" s="73" t="n">
        <f>IF(R36&lt;&gt;0, R39/R36*100,)</f>
        <v>0.0</v>
      </c>
      <c r="T39" s="79" t="str">
        <f>IF(S39&lt;=50," ","РЭП (ПО)")</f>
        <v> </v>
      </c>
    </row>
    <row r="40" ht="15.0" customHeight="true">
      <c r="A40" s="7"/>
    </row>
    <row r="41" ht="15.75" customHeight="true">
      <c r="B41" t="s" s="80">
        <v>366</v>
      </c>
    </row>
    <row r="42" ht="19.5" customHeight="true">
      <c r="B42" t="s" s="81">
        <v>367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</row>
    <row r="43" ht="20.25" customHeight="true">
      <c r="B43" t="s" s="82">
        <v>368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39.75" customHeight="true">
      <c r="B44" t="s" s="84">
        <v>369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</row>
    <row r="45" ht="19.5" customHeight="true">
      <c r="B45" t="s" s="82">
        <v>370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18.0" customHeight="true">
      <c r="B46" t="s" s="82">
        <v>371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22.5" customHeight="true">
      <c r="B47" t="s" s="82">
        <v>372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ht="19.5" customHeight="true">
      <c r="B48" t="s" s="82">
        <v>373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ht="22.5" customHeight="true">
      <c r="B49" t="s" s="82">
        <v>374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ht="34.5" customHeight="true">
      <c r="B50" t="s" s="82">
        <v>375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ht="36.0" customHeight="true">
      <c r="B51" t="s" s="82">
        <v>376</v>
      </c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ht="32.25" customHeight="true">
      <c r="B52" t="s" s="86">
        <v>377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</row>
    <row r="53" ht="33.75" customHeight="true">
      <c r="B53" t="s" s="82">
        <v>378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 ht="33.75" customHeight="true">
      <c r="B54" t="s" s="82">
        <v>379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 ht="124.5" customHeight="true">
      <c r="B55" t="s" s="82">
        <v>380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ht="33.75" customHeight="true">
      <c r="B56" t="s" s="82">
        <v>381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 ht="24.75" customHeight="true">
      <c r="A57" s="7"/>
    </row>
  </sheetData>
  <sheetProtection autoFilter="false" sort="false" password="CDB0" sheet="true" scenarios="true" objects="true"/>
  <autoFilter ref="B17:S31"/>
  <mergeCells count="92">
    <mergeCell ref="K33:L33"/>
    <mergeCell ref="M33:Q33"/>
    <mergeCell ref="I14:I16"/>
    <mergeCell ref="J14:J16"/>
    <mergeCell ref="K14:K16"/>
    <mergeCell ref="L14:L16"/>
    <mergeCell ref="D39:Q39"/>
    <mergeCell ref="B55:W55"/>
    <mergeCell ref="B51:W51"/>
    <mergeCell ref="B52:W52"/>
    <mergeCell ref="B53:W53"/>
    <mergeCell ref="B54:W54"/>
    <mergeCell ref="BS15:BT15"/>
    <mergeCell ref="B56:W56"/>
    <mergeCell ref="B50:W50"/>
    <mergeCell ref="D36:Q36"/>
    <mergeCell ref="D37:Q37"/>
    <mergeCell ref="D38:Q38"/>
    <mergeCell ref="B42:W42"/>
    <mergeCell ref="B43:W43"/>
    <mergeCell ref="B44:W44"/>
    <mergeCell ref="B45:W45"/>
    <mergeCell ref="B46:W46"/>
    <mergeCell ref="B47:W47"/>
    <mergeCell ref="B48:W48"/>
    <mergeCell ref="B49:W49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42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  <dataValidation type="list" sqref="N26" allowBlank="true" errorStyle="stop" promptTitle="" prompt="" showInputMessage="true" showDropDown="false" showErrorMessage="true">
      <formula1>yes_no</formula1>
    </dataValidation>
    <dataValidation type="list" sqref="Q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Реестр из списка" showInputMessage="true" showDropDown="false" showErrorMessage="true">
      <formula1>rep</formula1>
    </dataValidation>
    <dataValidation type="list" sqref="N27" allowBlank="true" errorStyle="stop" promptTitle="" prompt="" showInputMessage="true" showDropDown="false" showErrorMessage="true">
      <formula1>yes_no</formula1>
    </dataValidation>
    <dataValidation type="list" sqref="Q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Реестр из списка" showInputMessage="true" showDropDown="false" showErrorMessage="true">
      <formula1>rep</formula1>
    </dataValidation>
    <dataValidation type="list" sqref="N28" allowBlank="true" errorStyle="stop" promptTitle="" prompt="" showInputMessage="true" showDropDown="false" showErrorMessage="true">
      <formula1>yes_no</formula1>
    </dataValidation>
    <dataValidation type="list" sqref="Q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Реестр из списка" showInputMessage="true" showDropDown="false" showErrorMessage="true">
      <formula1>rep</formula1>
    </dataValidation>
    <dataValidation type="list" sqref="N29" allowBlank="true" errorStyle="stop" promptTitle="" prompt="" showInputMessage="true" showDropDown="false" showErrorMessage="true">
      <formula1>yes_no</formula1>
    </dataValidation>
    <dataValidation type="list" sqref="Q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Реестр из списка" showInputMessage="true" showDropDown="false" showErrorMessage="true">
      <formula1>rep</formula1>
    </dataValidation>
    <dataValidation type="list" sqref="N30" allowBlank="true" errorStyle="stop" promptTitle="" prompt="" showInputMessage="true" showDropDown="false" showErrorMessage="true">
      <formula1>yes_no</formula1>
    </dataValidation>
    <dataValidation type="list" sqref="Q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Реестр из списка" showInputMessage="true" showDropDown="false" showErrorMessage="true">
      <formula1>rep</formula1>
    </dataValidation>
    <dataValidation type="list" sqref="N31" allowBlank="true" errorStyle="stop" promptTitle="" prompt="" showInputMessage="true" showDropDown="false" showErrorMessage="true">
      <formula1>yes_no</formula1>
    </dataValidation>
    <dataValidation type="list" sqref="Q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2026-09-24T08:34:59Z</dcterms:created>
  <dc:creator>Apache POI</dc:creator>
</cp:coreProperties>
</file>