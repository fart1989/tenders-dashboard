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Шаблон!$B$15:$R$29</definedName>
  </definedNames>
</workbook>
</file>

<file path=xl/sharedStrings.xml><?xml version="1.0" encoding="utf-8"?>
<sst xmlns="http://schemas.openxmlformats.org/spreadsheetml/2006/main" count="716" uniqueCount="380">
  <si>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</si>
  <si>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</si>
  <si>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</si>
  <si>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</si>
  <si>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</si>
  <si>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</si>
  <si>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</si>
  <si>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</si>
  <si>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</si>
  <si>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</si>
  <si>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</si>
  <si>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</si>
  <si>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</si>
  <si>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</si>
  <si>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</si>
  <si>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</si>
  <si>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</si>
  <si>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</si>
  <si>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</si>
  <si>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</si>
  <si>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</si>
  <si>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</si>
  <si>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</si>
  <si>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</si>
  <si>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</si>
  <si>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</si>
  <si>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</si>
  <si>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</si>
  <si>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</si>
  <si>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</si>
  <si>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</si>
  <si>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</si>
  <si>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</si>
  <si>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</si>
  <si>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</si>
  <si>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</si>
  <si>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</si>
  <si>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</si>
  <si>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</si>
  <si>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</si>
  <si>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</si>
  <si>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</si>
  <si>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</si>
  <si>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</si>
  <si>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</si>
  <si>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</si>
  <si>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</si>
  <si>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</si>
  <si>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</si>
  <si>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</si>
  <si>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</si>
  <si>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</si>
  <si>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</si>
  <si>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</si>
  <si>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</si>
  <si>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</si>
  <si>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</si>
  <si>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</si>
  <si>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</si>
  <si>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</si>
  <si>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</si>
  <si>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</si>
  <si>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</si>
  <si>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</si>
  <si>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</si>
  <si>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</si>
  <si>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</si>
  <si>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</si>
  <si>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</si>
  <si>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</si>
  <si>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</si>
  <si>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</si>
  <si>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</si>
  <si>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</si>
  <si>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</si>
  <si>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</si>
  <si>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</si>
  <si>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</si>
  <si>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</si>
  <si>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</si>
  <si>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</si>
  <si>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</si>
  <si>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</si>
  <si>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</si>
  <si>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</si>
  <si>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</si>
  <si>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</si>
  <si>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</si>
  <si>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</si>
  <si>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</si>
  <si>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</si>
  <si>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</si>
  <si>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</si>
  <si>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</si>
  <si>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</si>
  <si>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</si>
  <si>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</si>
  <si>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</si>
  <si>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</si>
  <si>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</si>
  <si>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</si>
  <si>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</si>
  <si>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</si>
  <si>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</si>
  <si>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</si>
  <si>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</si>
  <si>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</si>
  <si>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</si>
  <si>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</si>
  <si>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</si>
  <si>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</si>
  <si>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</si>
  <si>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</si>
  <si>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</si>
  <si>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</si>
  <si>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</si>
  <si>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</si>
  <si>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</si>
  <si>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</si>
  <si>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</si>
  <si>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</si>
  <si>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</si>
  <si>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</si>
  <si>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</si>
  <si>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</si>
  <si>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</si>
  <si>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</si>
  <si>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</si>
  <si>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</si>
  <si>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</si>
  <si>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</si>
  <si>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</si>
  <si>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</si>
  <si>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</si>
  <si>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</si>
  <si>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</si>
  <si>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</si>
  <si>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</si>
  <si>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</si>
  <si>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</si>
  <si>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</si>
  <si>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</si>
  <si>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</si>
  <si>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</si>
  <si>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</si>
  <si>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</si>
  <si>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</si>
  <si>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</si>
  <si>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</si>
  <si>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</si>
  <si>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</si>
  <si>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</si>
  <si>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</si>
  <si>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</si>
  <si>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</si>
  <si>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</si>
  <si>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</si>
  <si>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</si>
  <si>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</si>
  <si>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</si>
  <si>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</si>
  <si>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</si>
  <si>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</si>
  <si>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</si>
  <si>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</si>
  <si>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</si>
  <si>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</si>
  <si>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</si>
  <si>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</si>
  <si>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</si>
  <si>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</si>
  <si>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</si>
  <si>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</si>
  <si>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</si>
  <si>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</si>
  <si>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</si>
  <si>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</si>
  <si>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</si>
  <si>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</si>
  <si>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</si>
  <si>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</si>
  <si>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</si>
  <si>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</si>
  <si>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</si>
  <si>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</si>
  <si>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</si>
  <si>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</si>
  <si>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</si>
  <si>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</si>
  <si>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</si>
  <si>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</si>
  <si>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</si>
  <si>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</si>
  <si>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</si>
  <si>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</si>
  <si>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</si>
  <si>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</si>
  <si>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</si>
  <si>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</si>
  <si>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</si>
  <si>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</si>
  <si>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</si>
  <si>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</si>
  <si>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</si>
  <si>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</si>
  <si>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</si>
  <si>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</si>
  <si>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</si>
  <si>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</si>
  <si>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</si>
  <si>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</si>
  <si>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</si>
  <si>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</si>
  <si>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</si>
  <si>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</si>
  <si>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</si>
  <si>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</si>
  <si>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</si>
  <si>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</si>
  <si>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</si>
  <si>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</si>
  <si>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</si>
  <si>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</si>
  <si>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</si>
  <si>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</si>
  <si>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</si>
  <si>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</si>
  <si>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</si>
  <si>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</si>
  <si>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</si>
  <si>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</si>
  <si>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</si>
  <si>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</si>
  <si>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</si>
  <si>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</si>
  <si>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</si>
  <si>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</si>
  <si>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</si>
  <si>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</si>
  <si>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</si>
  <si>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</si>
  <si>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</si>
  <si>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</si>
  <si>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</si>
  <si>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</si>
  <si>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</si>
  <si>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</si>
  <si>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</si>
  <si>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</si>
  <si>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</si>
  <si>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</si>
  <si>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</si>
  <si>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</si>
  <si>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</si>
  <si>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</si>
  <si>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</si>
  <si>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</si>
  <si>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</si>
  <si>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</si>
  <si>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</si>
  <si>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</si>
  <si>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</si>
  <si>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</si>
  <si>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</si>
  <si>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</si>
  <si>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192.26.00969 Поставка труб большого диаметра для нужд АО «ТГК-11»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</si>
  <si>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</si>
  <si>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</si>
  <si>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</si>
  <si>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</si>
  <si>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</si>
  <si>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</si>
  <si>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</si>
  <si>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</si>
  <si>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</si>
  <si>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</si>
  <si>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</si>
  <si>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</si>
  <si>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</si>
  <si>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</si>
  <si>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</si>
  <si>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</si>
  <si>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</si>
  <si>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</si>
  <si>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</si>
  <si>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</si>
  <si>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</si>
  <si>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</si>
  <si>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</si>
  <si>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</si>
  <si>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</si>
  <si>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</si>
  <si>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</si>
  <si>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</si>
  <si>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</si>
  <si>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</si>
  <si>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</si>
  <si>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</si>
  <si>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</si>
  <si>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</si>
  <si>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</si>
  <si>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</si>
  <si>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</si>
  <si>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</si>
  <si>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</si>
  <si>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</si>
  <si>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</si>
  <si>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</si>
  <si>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</si>
  <si>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</si>
  <si>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</si>
  <si>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</si>
  <si>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</si>
  <si>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</si>
  <si>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</si>
  <si>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</si>
  <si>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</si>
  <si>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ТГК-11-&gt;ТГК-11 (филиал)-&gt;192 Отдел обеспечения МТР</t>
  </si>
  <si>
    <t>484617</t>
  </si>
  <si>
    <t>Труба стальная, прямошовная, электросварная, для газонефтепроводов, наружный диаметр 1020мм, толщина стенки 10мм, предельные отклонения: по наружному диаметру +/-3мм, по толщине стенки +0,6/-0,8мм, материал сталь 17Г1С-У, класс прочности К52, 1020х10-17Г1С-У-К52-ТУ 14-3-1698-2000</t>
  </si>
  <si>
    <t>Труба 1020х10-17Г1С-У-К52-ТУ 14-3-1698-2000</t>
  </si>
  <si>
    <t>ТУ 14-3-1698-2000</t>
  </si>
  <si>
    <t>Килограмм</t>
  </si>
  <si>
    <t>546822</t>
  </si>
  <si>
    <t>Труба стальная прямошовная, электросварная, наружный диаметр 1220мм, толщина стенки 12мм, длина немерная, предельные отклонения: по наружному диаметру +/-0,6% (точность изготовления обычная), по толщине стенки +/-10%, материал сталь 20, с нормированием механических свойств и химического состава (группа В), 1220х12/В-20 ГОСТ 10704-91, ГОСТ 10705-80</t>
  </si>
  <si>
    <t>Труба 1220х12/В-20 ГОСТ 10704-91, ГОСТ 10705-80</t>
  </si>
  <si>
    <t>ГОСТ 10704-91,ГОСТ 10705-80</t>
  </si>
  <si>
    <t>476275</t>
  </si>
  <si>
    <t>Труба стальная прямошовная, электросварная, наружный диаметр 530мм,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530х12/В-20 ГОСТ 10704-91, ГОСТ 10705-80</t>
  </si>
  <si>
    <t>Труба 530х12/В-20 ГОСТ 10704-91, ГОСТ 10705-80</t>
  </si>
  <si>
    <t>476547</t>
  </si>
  <si>
    <t>Труба стальная прямошовная, электросварная, наружный диаметр 530мм, толщина стенки 8мм,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530х8/В-20 ГОСТ 10704-91, ГОСТ 10705-80</t>
  </si>
  <si>
    <t>Труба 530х8/В-20 ГОСТ 10704-91, ГОСТ 10705-80</t>
  </si>
  <si>
    <t>475949</t>
  </si>
  <si>
    <t>Труба стальная прямошовная, электросварная, наружный диаметр 630мм,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630х10/В-20 ГОСТ 10704-91, ГОСТ 10705-80</t>
  </si>
  <si>
    <t>Труба 630х10/В-20 ГОСТ 10704-91, ГОСТ 10705-80</t>
  </si>
  <si>
    <t>476204</t>
  </si>
  <si>
    <t>Труба стальная прямошовная, электросварная, наружный диаметр 630мм,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630х12/В-20 ГОСТ 10704-91, ГОСТ 10705-80</t>
  </si>
  <si>
    <t>Труба 630х12/В-20 ГОСТ 10704-91, ГОСТ 10705-80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</si>
  <si>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</si>
  <si>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</si>
  <si>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</si>
  <si>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562038</t>
  </si>
  <si>
    <t>Труба стальная прямошовная, электросварная, наружный диаметр 720мм,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720х10/В-20 ГОСТ 10704-91, ГОСТ 10705-80</t>
  </si>
  <si>
    <t>Труба 720х10/В-20 ГОСТ 10704-91, ГОСТ 10705-80</t>
  </si>
  <si>
    <t>624477</t>
  </si>
  <si>
    <t>Труба стальная прямошовная, электросварная, наружный диаметр 820мм, толщина стенки 10мм, длина немерная, предельные отклонения: по наружному диаметру +/-0,7% (точность изготовления обычная), по толщине стенки +0,6/-0,8%, по наружному диаметру торцов +/-2,5мм (точность изготовления обычная), овальность концов труб 1,5% от наружного диаметра (02кл), материал сталь 17Г1С-У, с нормированием механических свойств и химического состава (группа В), 820х10-02кл/В-17Г1С-У ГОСТ 10704-91, ГОСТ 10706-76</t>
  </si>
  <si>
    <t>Труба 820х10-02кл/В-17Г1С-У ГОСТ 10704-91, ГОСТ 10706-76</t>
  </si>
  <si>
    <t>ГОСТ 10704-91,ГОСТ 10706-76</t>
  </si>
  <si>
    <t>596083</t>
  </si>
  <si>
    <t>Труба стальная прямошовная, электросварная, наружный диаметр 820мм, толщина стенки 10мм, длина немерная, предельные отклонения: по наружному диаметру +/-0,7% (точность изготовления обычная), по толщине стенки +/-10%, материал сталь 20, с нормированием механических свойств и химического состава (группа В), 820х10/В-20 ГОСТ 10704-91, ГОСТ 10705-80</t>
  </si>
  <si>
    <t>Труба 820х10/В-20 ГОСТ 10704-91, ГОСТ 10705-80</t>
  </si>
  <si>
    <t>600843</t>
  </si>
  <si>
    <t>Труба стальная прямошовная, электросварная, наружный диаметр 820мм, толщина стенки 9мм, длина немерная, предельные отклонения: по наружному диаметру +/-0,7% (точность изготовления обычная), по толщине стенки +0,6/-0,8%, класс точности по овальности, материал сталь 17Г1С-У, с нормированием механических свойств и химического состава (группа В), 820х9/В-17Г1С-У ГОСТ 10704-91, ГОСТ 10706-76</t>
  </si>
  <si>
    <t>Труба 820х9/В-17Г1С-У ГОСТ 10704-91, ГОСТ 10706-76</t>
  </si>
  <si>
    <t>476321</t>
  </si>
  <si>
    <t>Труба стальная прямошовная, изготовленная электродуговой сваркой (тип 3), для магистральных газонефтепроводов, наружный диаметр 630мм, толщина стенки 10мм, длина немерная, предельные отклонения: по наружному диаметру +/-3мм, по толщине стенки +0,6/-0,8мм, материал низколегированная сталь, класс прочности К52, тип 3-630х10-К52 ГОСТ 20295-85</t>
  </si>
  <si>
    <t>Труба тип 3-630х10-К52 ГОСТ 20295-85</t>
  </si>
  <si>
    <t>ГОСТ 20295-85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</si>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</sst>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60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3000.0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3000.0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8" t="n">
        <v>3000.0</v>
      </c>
      <c r="AV16" s="9" t="n">
        <v>3000.0</v>
      </c>
      <c r="AW16" s="11" t="n">
        <v>0.0</v>
      </c>
      <c r="AX16" s="10" t="n">
        <v>0.0</v>
      </c>
      <c r="AY16" s="11" t="n">
        <v>0.0</v>
      </c>
      <c r="AZ16" s="10" t="n">
        <v>0.0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326</v>
      </c>
      <c r="H17" s="4" t="s">
        <v>322</v>
      </c>
      <c r="I17" s="4" t="s">
        <v>0</v>
      </c>
      <c r="J17" s="10"/>
      <c r="K17" s="12" t="n">
        <v>5000.0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5000.0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8" t="n">
        <v>5000.0</v>
      </c>
      <c r="AV17" s="9" t="n">
        <v>5000.0</v>
      </c>
      <c r="AW17" s="11" t="n">
        <v>0.0</v>
      </c>
      <c r="AX17" s="10" t="n">
        <v>0.0</v>
      </c>
      <c r="AY17" s="11" t="n">
        <v>0.0</v>
      </c>
      <c r="AZ17" s="10" t="n">
        <v>0.0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327</v>
      </c>
      <c r="E18" s="4" t="s">
        <v>328</v>
      </c>
      <c r="F18" s="4" t="s">
        <v>329</v>
      </c>
      <c r="G18" s="4" t="s">
        <v>326</v>
      </c>
      <c r="H18" s="4" t="s">
        <v>322</v>
      </c>
      <c r="I18" s="4" t="s">
        <v>0</v>
      </c>
      <c r="J18" s="10"/>
      <c r="K18" s="12" t="n">
        <v>1900.0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1900.0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8" t="n">
        <v>1900.0</v>
      </c>
      <c r="AX18" s="9" t="n">
        <v>1900.0</v>
      </c>
      <c r="AY18" s="11" t="n">
        <v>0.0</v>
      </c>
      <c r="AZ18" s="10" t="n">
        <v>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330</v>
      </c>
      <c r="E19" s="4" t="s">
        <v>331</v>
      </c>
      <c r="F19" s="4" t="s">
        <v>332</v>
      </c>
      <c r="G19" s="4" t="s">
        <v>326</v>
      </c>
      <c r="H19" s="4" t="s">
        <v>322</v>
      </c>
      <c r="I19" s="4" t="s">
        <v>0</v>
      </c>
      <c r="J19" s="10"/>
      <c r="K19" s="12" t="n">
        <v>21200.0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21200.0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8" t="n">
        <v>21200.0</v>
      </c>
      <c r="AV19" s="9" t="n">
        <v>21200.0</v>
      </c>
      <c r="AW19" s="11" t="n">
        <v>0.0</v>
      </c>
      <c r="AX19" s="10" t="n">
        <v>0.0</v>
      </c>
      <c r="AY19" s="11" t="n">
        <v>0.0</v>
      </c>
      <c r="AZ19" s="10" t="n">
        <v>0.0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330</v>
      </c>
      <c r="E20" s="4" t="s">
        <v>331</v>
      </c>
      <c r="F20" s="4" t="s">
        <v>332</v>
      </c>
      <c r="G20" s="4" t="s">
        <v>326</v>
      </c>
      <c r="H20" s="4" t="s">
        <v>322</v>
      </c>
      <c r="I20" s="4" t="s">
        <v>0</v>
      </c>
      <c r="J20" s="10"/>
      <c r="K20" s="12" t="n">
        <v>1200.0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1200.0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8" t="n">
        <v>1200.0</v>
      </c>
      <c r="AV20" s="9" t="n">
        <v>1200.0</v>
      </c>
      <c r="AW20" s="11" t="n">
        <v>0.0</v>
      </c>
      <c r="AX20" s="10" t="n">
        <v>0.0</v>
      </c>
      <c r="AY20" s="11" t="n">
        <v>0.0</v>
      </c>
      <c r="AZ20" s="10" t="n">
        <v>0.0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333</v>
      </c>
      <c r="E21" s="4" t="s">
        <v>334</v>
      </c>
      <c r="F21" s="4" t="s">
        <v>335</v>
      </c>
      <c r="G21" s="4" t="s">
        <v>326</v>
      </c>
      <c r="H21" s="4" t="s">
        <v>322</v>
      </c>
      <c r="I21" s="4" t="s">
        <v>0</v>
      </c>
      <c r="J21" s="10"/>
      <c r="K21" s="12" t="n">
        <v>6419.0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6419.0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8" t="n">
        <v>6419.0</v>
      </c>
      <c r="AV21" s="9" t="n">
        <v>6419.0</v>
      </c>
      <c r="AW21" s="11" t="n">
        <v>0.0</v>
      </c>
      <c r="AX21" s="10" t="n">
        <v>0.0</v>
      </c>
      <c r="AY21" s="11" t="n">
        <v>0.0</v>
      </c>
      <c r="AZ21" s="10" t="n">
        <v>0.0</v>
      </c>
      <c r="BA21" s="11" t="n">
        <v>0.0</v>
      </c>
      <c r="BB21" s="10" t="n">
        <v>0.0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336</v>
      </c>
      <c r="E22" s="4" t="s">
        <v>337</v>
      </c>
      <c r="F22" s="4" t="s">
        <v>338</v>
      </c>
      <c r="G22" s="4" t="s">
        <v>326</v>
      </c>
      <c r="H22" s="4" t="s">
        <v>322</v>
      </c>
      <c r="I22" s="4" t="s">
        <v>0</v>
      </c>
      <c r="J22" s="10"/>
      <c r="K22" s="12" t="n">
        <v>2300.0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2300.0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8" t="n">
        <v>2300.0</v>
      </c>
      <c r="AV22" s="9" t="n">
        <v>2300.0</v>
      </c>
      <c r="AW22" s="11" t="n">
        <v>0.0</v>
      </c>
      <c r="AX22" s="10" t="n">
        <v>0.0</v>
      </c>
      <c r="AY22" s="11" t="n">
        <v>0.0</v>
      </c>
      <c r="AZ22" s="10" t="n">
        <v>0.0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339</v>
      </c>
      <c r="E23" s="4" t="s">
        <v>340</v>
      </c>
      <c r="F23" s="4" t="s">
        <v>341</v>
      </c>
      <c r="G23" s="4" t="s">
        <v>326</v>
      </c>
      <c r="H23" s="4" t="s">
        <v>322</v>
      </c>
      <c r="I23" s="4" t="s">
        <v>0</v>
      </c>
      <c r="J23" s="10"/>
      <c r="K23" s="12" t="n">
        <v>2300.0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2300.0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8" t="n">
        <v>2300.0</v>
      </c>
      <c r="AV23" s="9" t="n">
        <v>2300.0</v>
      </c>
      <c r="AW23" s="11" t="n">
        <v>0.0</v>
      </c>
      <c r="AX23" s="10" t="n">
        <v>0.0</v>
      </c>
      <c r="AY23" s="11" t="n">
        <v>0.0</v>
      </c>
      <c r="AZ23" s="10" t="n">
        <v>0.0</v>
      </c>
      <c r="BA23" s="11" t="n">
        <v>0.0</v>
      </c>
      <c r="BB23" s="10" t="n">
        <v>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342</v>
      </c>
      <c r="E24" s="4" t="s">
        <v>343</v>
      </c>
      <c r="F24" s="4" t="s">
        <v>344</v>
      </c>
      <c r="G24" s="4" t="s">
        <v>326</v>
      </c>
      <c r="H24" s="4" t="s">
        <v>322</v>
      </c>
      <c r="I24" s="4" t="s">
        <v>0</v>
      </c>
      <c r="J24" s="10"/>
      <c r="K24" s="12" t="n">
        <v>7000.0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7000.0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8" t="n">
        <v>7000.0</v>
      </c>
      <c r="AV24" s="9" t="n">
        <v>7000.0</v>
      </c>
      <c r="AW24" s="11" t="n">
        <v>0.0</v>
      </c>
      <c r="AX24" s="10" t="n">
        <v>0.0</v>
      </c>
      <c r="AY24" s="11" t="n">
        <v>0.0</v>
      </c>
      <c r="AZ24" s="10" t="n">
        <v>0.0</v>
      </c>
      <c r="BA24" s="11" t="n">
        <v>0.0</v>
      </c>
      <c r="BB24" s="10" t="n">
        <v>0.0</v>
      </c>
      <c r="BC24" s="11" t="n">
        <v>0.0</v>
      </c>
      <c r="BD24" s="10" t="n">
        <v>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>
      <c r="A25" s="10"/>
      <c r="B25" s="4" t="s">
        <v>317</v>
      </c>
      <c r="C25" s="4" t="n">
        <v>10.0</v>
      </c>
      <c r="D25" s="4" t="s">
        <v>345</v>
      </c>
      <c r="E25" s="4" t="s">
        <v>346</v>
      </c>
      <c r="F25" s="4" t="s">
        <v>347</v>
      </c>
      <c r="G25" s="4" t="s">
        <v>348</v>
      </c>
      <c r="H25" s="4" t="s">
        <v>322</v>
      </c>
      <c r="I25" s="4" t="s">
        <v>0</v>
      </c>
      <c r="J25" s="10"/>
      <c r="K25" s="12" t="n">
        <v>2500.0</v>
      </c>
      <c r="L25" s="10"/>
      <c r="M25" s="10"/>
      <c r="N25" s="10"/>
      <c r="O25" s="10"/>
      <c r="P25" s="10" t="n">
        <f>IF(OR(R25="Российская Федерация",R25="Армения",R25="Белоруссия",R25="Беларуь",R25="Казахстан",R25="Киргизия",R25="Кыргызстан",R25="ДНР",R25="ЛНР"), 1, 0)</f>
        <v>0.0</v>
      </c>
      <c r="Q25" s="10"/>
      <c r="R25" s="10" t="str">
        <f>IFERROR(IF(P25=1, "Российская Федерация", "Не заполнено"),"")</f>
        <v/>
      </c>
      <c r="S25" s="10"/>
      <c r="T25" s="10"/>
      <c r="U25" s="10"/>
      <c r="V25" s="12" t="n">
        <f>SUM(X25,Z25,AB25,AD25,AF25,AH25,AJ25,AL25,AN25,AP25,AR25,AT25,AV25,AX25,AZ25,BB25,BD25,BF25,BH25,BJ25,BL25,BN25,BP25,BR25,BV25,BZ25,CD25,CH25)</f>
        <v>2500.0</v>
      </c>
      <c r="W25" s="11" t="n">
        <v>0.0</v>
      </c>
      <c r="X25" s="10" t="n">
        <v>0.0</v>
      </c>
      <c r="Y25" s="11" t="n">
        <v>0.0</v>
      </c>
      <c r="Z25" s="10" t="n">
        <v>0.0</v>
      </c>
      <c r="AA25" s="11" t="n">
        <v>0.0</v>
      </c>
      <c r="AB25" s="10" t="n">
        <v>0.0</v>
      </c>
      <c r="AC25" s="11" t="n">
        <v>0.0</v>
      </c>
      <c r="AD25" s="10" t="n">
        <v>0.0</v>
      </c>
      <c r="AE25" s="11" t="n">
        <v>0.0</v>
      </c>
      <c r="AF25" s="10" t="n">
        <v>0.0</v>
      </c>
      <c r="AG25" s="11" t="n">
        <v>0.0</v>
      </c>
      <c r="AH25" s="10" t="n">
        <v>0.0</v>
      </c>
      <c r="AI25" s="11" t="n">
        <v>0.0</v>
      </c>
      <c r="AJ25" s="10" t="n">
        <v>0.0</v>
      </c>
      <c r="AK25" s="11" t="n">
        <v>0.0</v>
      </c>
      <c r="AL25" s="10" t="n">
        <v>0.0</v>
      </c>
      <c r="AM25" s="11" t="n">
        <v>0.0</v>
      </c>
      <c r="AN25" s="10" t="n">
        <v>0.0</v>
      </c>
      <c r="AO25" s="11" t="n">
        <v>0.0</v>
      </c>
      <c r="AP25" s="10" t="n">
        <v>0.0</v>
      </c>
      <c r="AQ25" s="11" t="n">
        <v>0.0</v>
      </c>
      <c r="AR25" s="10" t="n">
        <v>0.0</v>
      </c>
      <c r="AS25" s="11" t="n">
        <v>0.0</v>
      </c>
      <c r="AT25" s="10" t="n">
        <v>0.0</v>
      </c>
      <c r="AU25" s="8" t="n">
        <v>2500.0</v>
      </c>
      <c r="AV25" s="9" t="n">
        <v>2500.0</v>
      </c>
      <c r="AW25" s="11" t="n">
        <v>0.0</v>
      </c>
      <c r="AX25" s="10" t="n">
        <v>0.0</v>
      </c>
      <c r="AY25" s="11" t="n">
        <v>0.0</v>
      </c>
      <c r="AZ25" s="10" t="n">
        <v>0.0</v>
      </c>
      <c r="BA25" s="11" t="n">
        <v>0.0</v>
      </c>
      <c r="BB25" s="10" t="n">
        <v>0.0</v>
      </c>
      <c r="BC25" s="11" t="n">
        <v>0.0</v>
      </c>
      <c r="BD25" s="10" t="n">
        <v>0.0</v>
      </c>
      <c r="BE25" s="11" t="n">
        <v>0.0</v>
      </c>
      <c r="BF25" s="10" t="n">
        <v>0.0</v>
      </c>
      <c r="BG25" s="11" t="n">
        <v>0.0</v>
      </c>
      <c r="BH25" s="10" t="n">
        <v>0.0</v>
      </c>
      <c r="BI25" s="11" t="n">
        <v>0.0</v>
      </c>
      <c r="BJ25" s="10" t="n">
        <v>0.0</v>
      </c>
      <c r="BK25" s="11" t="n">
        <v>0.0</v>
      </c>
      <c r="BL25" s="10" t="n">
        <v>0.0</v>
      </c>
      <c r="BM25" s="11" t="n">
        <v>0.0</v>
      </c>
      <c r="BN25" s="10" t="n">
        <v>0.0</v>
      </c>
      <c r="BO25" s="11" t="n">
        <v>0.0</v>
      </c>
      <c r="BP25" s="10" t="n">
        <v>0.0</v>
      </c>
      <c r="BQ25" s="11" t="n">
        <v>0.0</v>
      </c>
      <c r="BR25" s="10" t="n">
        <v>0.0</v>
      </c>
      <c r="BS25" s="11"/>
      <c r="BT25" s="11" t="n">
        <v>0.0</v>
      </c>
      <c r="BU25" s="10"/>
      <c r="BV25" s="10" t="n">
        <v>0.0</v>
      </c>
      <c r="BW25" s="11"/>
      <c r="BX25" s="11" t="n">
        <v>0.0</v>
      </c>
      <c r="BY25" s="10"/>
      <c r="BZ25" s="10" t="n">
        <v>0.0</v>
      </c>
      <c r="CA25" s="11"/>
      <c r="CB25" s="11" t="n">
        <v>0.0</v>
      </c>
      <c r="CC25" s="10"/>
      <c r="CD25" s="10" t="n">
        <v>0.0</v>
      </c>
      <c r="CE25" s="11"/>
      <c r="CF25" s="11" t="n">
        <v>0.0</v>
      </c>
      <c r="CG25" s="10"/>
      <c r="CH25" s="10" t="n">
        <v>0.0</v>
      </c>
    </row>
    <row r="26">
      <c r="A26" s="10"/>
      <c r="B26" s="4" t="s">
        <v>317</v>
      </c>
      <c r="C26" s="4" t="n">
        <v>11.0</v>
      </c>
      <c r="D26" s="4" t="s">
        <v>349</v>
      </c>
      <c r="E26" s="4" t="s">
        <v>350</v>
      </c>
      <c r="F26" s="4" t="s">
        <v>351</v>
      </c>
      <c r="G26" s="4" t="s">
        <v>326</v>
      </c>
      <c r="H26" s="4" t="s">
        <v>322</v>
      </c>
      <c r="I26" s="4" t="s">
        <v>0</v>
      </c>
      <c r="J26" s="10"/>
      <c r="K26" s="12" t="n">
        <v>7400.0</v>
      </c>
      <c r="L26" s="10"/>
      <c r="M26" s="10"/>
      <c r="N26" s="10"/>
      <c r="O26" s="10"/>
      <c r="P26" s="10" t="n">
        <f>IF(OR(R26="Российская Федерация",R26="Армения",R26="Белоруссия",R26="Беларуь",R26="Казахстан",R26="Киргизия",R26="Кыргызстан",R26="ДНР",R26="ЛНР"), 1, 0)</f>
        <v>0.0</v>
      </c>
      <c r="Q26" s="10"/>
      <c r="R26" s="10" t="str">
        <f>IFERROR(IF(P26=1, "Российская Федерация", "Не заполнено"),"")</f>
        <v/>
      </c>
      <c r="S26" s="10"/>
      <c r="T26" s="10"/>
      <c r="U26" s="10"/>
      <c r="V26" s="12" t="n">
        <f>SUM(X26,Z26,AB26,AD26,AF26,AH26,AJ26,AL26,AN26,AP26,AR26,AT26,AV26,AX26,AZ26,BB26,BD26,BF26,BH26,BJ26,BL26,BN26,BP26,BR26,BV26,BZ26,CD26,CH26)</f>
        <v>7400.0</v>
      </c>
      <c r="W26" s="11" t="n">
        <v>0.0</v>
      </c>
      <c r="X26" s="10" t="n">
        <v>0.0</v>
      </c>
      <c r="Y26" s="11" t="n">
        <v>0.0</v>
      </c>
      <c r="Z26" s="10" t="n">
        <v>0.0</v>
      </c>
      <c r="AA26" s="11" t="n">
        <v>0.0</v>
      </c>
      <c r="AB26" s="10" t="n">
        <v>0.0</v>
      </c>
      <c r="AC26" s="11" t="n">
        <v>0.0</v>
      </c>
      <c r="AD26" s="10" t="n">
        <v>0.0</v>
      </c>
      <c r="AE26" s="11" t="n">
        <v>0.0</v>
      </c>
      <c r="AF26" s="10" t="n">
        <v>0.0</v>
      </c>
      <c r="AG26" s="11" t="n">
        <v>0.0</v>
      </c>
      <c r="AH26" s="10" t="n">
        <v>0.0</v>
      </c>
      <c r="AI26" s="11" t="n">
        <v>0.0</v>
      </c>
      <c r="AJ26" s="10" t="n">
        <v>0.0</v>
      </c>
      <c r="AK26" s="11" t="n">
        <v>0.0</v>
      </c>
      <c r="AL26" s="10" t="n">
        <v>0.0</v>
      </c>
      <c r="AM26" s="11" t="n">
        <v>0.0</v>
      </c>
      <c r="AN26" s="10" t="n">
        <v>0.0</v>
      </c>
      <c r="AO26" s="11" t="n">
        <v>0.0</v>
      </c>
      <c r="AP26" s="10" t="n">
        <v>0.0</v>
      </c>
      <c r="AQ26" s="11" t="n">
        <v>0.0</v>
      </c>
      <c r="AR26" s="10" t="n">
        <v>0.0</v>
      </c>
      <c r="AS26" s="11" t="n">
        <v>0.0</v>
      </c>
      <c r="AT26" s="10" t="n">
        <v>0.0</v>
      </c>
      <c r="AU26" s="8" t="n">
        <v>7400.0</v>
      </c>
      <c r="AV26" s="9" t="n">
        <v>7400.0</v>
      </c>
      <c r="AW26" s="11" t="n">
        <v>0.0</v>
      </c>
      <c r="AX26" s="10" t="n">
        <v>0.0</v>
      </c>
      <c r="AY26" s="11" t="n">
        <v>0.0</v>
      </c>
      <c r="AZ26" s="10" t="n">
        <v>0.0</v>
      </c>
      <c r="BA26" s="11" t="n">
        <v>0.0</v>
      </c>
      <c r="BB26" s="10" t="n">
        <v>0.0</v>
      </c>
      <c r="BC26" s="11" t="n">
        <v>0.0</v>
      </c>
      <c r="BD26" s="10" t="n">
        <v>0.0</v>
      </c>
      <c r="BE26" s="11" t="n">
        <v>0.0</v>
      </c>
      <c r="BF26" s="10" t="n">
        <v>0.0</v>
      </c>
      <c r="BG26" s="11" t="n">
        <v>0.0</v>
      </c>
      <c r="BH26" s="10" t="n">
        <v>0.0</v>
      </c>
      <c r="BI26" s="11" t="n">
        <v>0.0</v>
      </c>
      <c r="BJ26" s="10" t="n">
        <v>0.0</v>
      </c>
      <c r="BK26" s="11" t="n">
        <v>0.0</v>
      </c>
      <c r="BL26" s="10" t="n">
        <v>0.0</v>
      </c>
      <c r="BM26" s="11" t="n">
        <v>0.0</v>
      </c>
      <c r="BN26" s="10" t="n">
        <v>0.0</v>
      </c>
      <c r="BO26" s="11" t="n">
        <v>0.0</v>
      </c>
      <c r="BP26" s="10" t="n">
        <v>0.0</v>
      </c>
      <c r="BQ26" s="11" t="n">
        <v>0.0</v>
      </c>
      <c r="BR26" s="10" t="n">
        <v>0.0</v>
      </c>
      <c r="BS26" s="11"/>
      <c r="BT26" s="11" t="n">
        <v>0.0</v>
      </c>
      <c r="BU26" s="10"/>
      <c r="BV26" s="10" t="n">
        <v>0.0</v>
      </c>
      <c r="BW26" s="11"/>
      <c r="BX26" s="11" t="n">
        <v>0.0</v>
      </c>
      <c r="BY26" s="10"/>
      <c r="BZ26" s="10" t="n">
        <v>0.0</v>
      </c>
      <c r="CA26" s="11"/>
      <c r="CB26" s="11" t="n">
        <v>0.0</v>
      </c>
      <c r="CC26" s="10"/>
      <c r="CD26" s="10" t="n">
        <v>0.0</v>
      </c>
      <c r="CE26" s="11"/>
      <c r="CF26" s="11" t="n">
        <v>0.0</v>
      </c>
      <c r="CG26" s="10"/>
      <c r="CH26" s="10" t="n">
        <v>0.0</v>
      </c>
    </row>
    <row r="27">
      <c r="A27" s="10"/>
      <c r="B27" s="4" t="s">
        <v>317</v>
      </c>
      <c r="C27" s="4" t="n">
        <v>12.0</v>
      </c>
      <c r="D27" s="4" t="s">
        <v>352</v>
      </c>
      <c r="E27" s="4" t="s">
        <v>353</v>
      </c>
      <c r="F27" s="4" t="s">
        <v>354</v>
      </c>
      <c r="G27" s="4" t="s">
        <v>348</v>
      </c>
      <c r="H27" s="4" t="s">
        <v>322</v>
      </c>
      <c r="I27" s="4" t="s">
        <v>0</v>
      </c>
      <c r="J27" s="10"/>
      <c r="K27" s="12" t="n">
        <v>7400.0</v>
      </c>
      <c r="L27" s="10"/>
      <c r="M27" s="10"/>
      <c r="N27" s="10"/>
      <c r="O27" s="10"/>
      <c r="P27" s="10" t="n">
        <f>IF(OR(R27="Российская Федерация",R27="Армения",R27="Белоруссия",R27="Беларуь",R27="Казахстан",R27="Киргизия",R27="Кыргызстан",R27="ДНР",R27="ЛНР"), 1, 0)</f>
        <v>0.0</v>
      </c>
      <c r="Q27" s="10"/>
      <c r="R27" s="10" t="str">
        <f>IFERROR(IF(P27=1, "Российская Федерация", "Не заполнено"),"")</f>
        <v/>
      </c>
      <c r="S27" s="10"/>
      <c r="T27" s="10"/>
      <c r="U27" s="10"/>
      <c r="V27" s="12" t="n">
        <f>SUM(X27,Z27,AB27,AD27,AF27,AH27,AJ27,AL27,AN27,AP27,AR27,AT27,AV27,AX27,AZ27,BB27,BD27,BF27,BH27,BJ27,BL27,BN27,BP27,BR27,BV27,BZ27,CD27,CH27)</f>
        <v>7400.0</v>
      </c>
      <c r="W27" s="11" t="n">
        <v>0.0</v>
      </c>
      <c r="X27" s="10" t="n">
        <v>0.0</v>
      </c>
      <c r="Y27" s="11" t="n">
        <v>0.0</v>
      </c>
      <c r="Z27" s="10" t="n">
        <v>0.0</v>
      </c>
      <c r="AA27" s="11" t="n">
        <v>0.0</v>
      </c>
      <c r="AB27" s="10" t="n">
        <v>0.0</v>
      </c>
      <c r="AC27" s="11" t="n">
        <v>0.0</v>
      </c>
      <c r="AD27" s="10" t="n">
        <v>0.0</v>
      </c>
      <c r="AE27" s="11" t="n">
        <v>0.0</v>
      </c>
      <c r="AF27" s="10" t="n">
        <v>0.0</v>
      </c>
      <c r="AG27" s="11" t="n">
        <v>0.0</v>
      </c>
      <c r="AH27" s="10" t="n">
        <v>0.0</v>
      </c>
      <c r="AI27" s="11" t="n">
        <v>0.0</v>
      </c>
      <c r="AJ27" s="10" t="n">
        <v>0.0</v>
      </c>
      <c r="AK27" s="11" t="n">
        <v>0.0</v>
      </c>
      <c r="AL27" s="10" t="n">
        <v>0.0</v>
      </c>
      <c r="AM27" s="11" t="n">
        <v>0.0</v>
      </c>
      <c r="AN27" s="10" t="n">
        <v>0.0</v>
      </c>
      <c r="AO27" s="11" t="n">
        <v>0.0</v>
      </c>
      <c r="AP27" s="10" t="n">
        <v>0.0</v>
      </c>
      <c r="AQ27" s="11" t="n">
        <v>0.0</v>
      </c>
      <c r="AR27" s="10" t="n">
        <v>0.0</v>
      </c>
      <c r="AS27" s="11" t="n">
        <v>0.0</v>
      </c>
      <c r="AT27" s="10" t="n">
        <v>0.0</v>
      </c>
      <c r="AU27" s="8" t="n">
        <v>7400.0</v>
      </c>
      <c r="AV27" s="9" t="n">
        <v>7400.0</v>
      </c>
      <c r="AW27" s="11" t="n">
        <v>0.0</v>
      </c>
      <c r="AX27" s="10" t="n">
        <v>0.0</v>
      </c>
      <c r="AY27" s="11" t="n">
        <v>0.0</v>
      </c>
      <c r="AZ27" s="10" t="n">
        <v>0.0</v>
      </c>
      <c r="BA27" s="11" t="n">
        <v>0.0</v>
      </c>
      <c r="BB27" s="10" t="n">
        <v>0.0</v>
      </c>
      <c r="BC27" s="11" t="n">
        <v>0.0</v>
      </c>
      <c r="BD27" s="10" t="n">
        <v>0.0</v>
      </c>
      <c r="BE27" s="11" t="n">
        <v>0.0</v>
      </c>
      <c r="BF27" s="10" t="n">
        <v>0.0</v>
      </c>
      <c r="BG27" s="11" t="n">
        <v>0.0</v>
      </c>
      <c r="BH27" s="10" t="n">
        <v>0.0</v>
      </c>
      <c r="BI27" s="11" t="n">
        <v>0.0</v>
      </c>
      <c r="BJ27" s="10" t="n">
        <v>0.0</v>
      </c>
      <c r="BK27" s="11" t="n">
        <v>0.0</v>
      </c>
      <c r="BL27" s="10" t="n">
        <v>0.0</v>
      </c>
      <c r="BM27" s="11" t="n">
        <v>0.0</v>
      </c>
      <c r="BN27" s="10" t="n">
        <v>0.0</v>
      </c>
      <c r="BO27" s="11" t="n">
        <v>0.0</v>
      </c>
      <c r="BP27" s="10" t="n">
        <v>0.0</v>
      </c>
      <c r="BQ27" s="11" t="n">
        <v>0.0</v>
      </c>
      <c r="BR27" s="10" t="n">
        <v>0.0</v>
      </c>
      <c r="BS27" s="11"/>
      <c r="BT27" s="11" t="n">
        <v>0.0</v>
      </c>
      <c r="BU27" s="10"/>
      <c r="BV27" s="10" t="n">
        <v>0.0</v>
      </c>
      <c r="BW27" s="11"/>
      <c r="BX27" s="11" t="n">
        <v>0.0</v>
      </c>
      <c r="BY27" s="10"/>
      <c r="BZ27" s="10" t="n">
        <v>0.0</v>
      </c>
      <c r="CA27" s="11"/>
      <c r="CB27" s="11" t="n">
        <v>0.0</v>
      </c>
      <c r="CC27" s="10"/>
      <c r="CD27" s="10" t="n">
        <v>0.0</v>
      </c>
      <c r="CE27" s="11"/>
      <c r="CF27" s="11" t="n">
        <v>0.0</v>
      </c>
      <c r="CG27" s="10"/>
      <c r="CH27" s="10" t="n">
        <v>0.0</v>
      </c>
    </row>
    <row r="28">
      <c r="A28" s="10"/>
      <c r="B28" s="4" t="s">
        <v>317</v>
      </c>
      <c r="C28" s="4" t="n">
        <v>13.0</v>
      </c>
      <c r="D28" s="4" t="s">
        <v>355</v>
      </c>
      <c r="E28" s="4" t="s">
        <v>356</v>
      </c>
      <c r="F28" s="4" t="s">
        <v>357</v>
      </c>
      <c r="G28" s="4" t="s">
        <v>358</v>
      </c>
      <c r="H28" s="4" t="s">
        <v>322</v>
      </c>
      <c r="I28" s="4" t="s">
        <v>0</v>
      </c>
      <c r="J28" s="10"/>
      <c r="K28" s="12" t="n">
        <v>2280.0</v>
      </c>
      <c r="L28" s="10"/>
      <c r="M28" s="10"/>
      <c r="N28" s="10"/>
      <c r="O28" s="10"/>
      <c r="P28" s="10" t="n">
        <f>IF(OR(R28="Российская Федерация",R28="Армения",R28="Белоруссия",R28="Беларуь",R28="Казахстан",R28="Киргизия",R28="Кыргызстан",R28="ДНР",R28="ЛНР"), 1, 0)</f>
        <v>0.0</v>
      </c>
      <c r="Q28" s="10"/>
      <c r="R28" s="10" t="str">
        <f>IFERROR(IF(P28=1, "Российская Федерация", "Не заполнено"),"")</f>
        <v/>
      </c>
      <c r="S28" s="10"/>
      <c r="T28" s="10"/>
      <c r="U28" s="10"/>
      <c r="V28" s="12" t="n">
        <f>SUM(X28,Z28,AB28,AD28,AF28,AH28,AJ28,AL28,AN28,AP28,AR28,AT28,AV28,AX28,AZ28,BB28,BD28,BF28,BH28,BJ28,BL28,BN28,BP28,BR28,BV28,BZ28,CD28,CH28)</f>
        <v>2280.0</v>
      </c>
      <c r="W28" s="11" t="n">
        <v>0.0</v>
      </c>
      <c r="X28" s="10" t="n">
        <v>0.0</v>
      </c>
      <c r="Y28" s="11" t="n">
        <v>0.0</v>
      </c>
      <c r="Z28" s="10" t="n">
        <v>0.0</v>
      </c>
      <c r="AA28" s="11" t="n">
        <v>0.0</v>
      </c>
      <c r="AB28" s="10" t="n">
        <v>0.0</v>
      </c>
      <c r="AC28" s="11" t="n">
        <v>0.0</v>
      </c>
      <c r="AD28" s="10" t="n">
        <v>0.0</v>
      </c>
      <c r="AE28" s="11" t="n">
        <v>0.0</v>
      </c>
      <c r="AF28" s="10" t="n">
        <v>0.0</v>
      </c>
      <c r="AG28" s="11" t="n">
        <v>0.0</v>
      </c>
      <c r="AH28" s="10" t="n">
        <v>0.0</v>
      </c>
      <c r="AI28" s="11" t="n">
        <v>0.0</v>
      </c>
      <c r="AJ28" s="10" t="n">
        <v>0.0</v>
      </c>
      <c r="AK28" s="11" t="n">
        <v>0.0</v>
      </c>
      <c r="AL28" s="10" t="n">
        <v>0.0</v>
      </c>
      <c r="AM28" s="11" t="n">
        <v>0.0</v>
      </c>
      <c r="AN28" s="10" t="n">
        <v>0.0</v>
      </c>
      <c r="AO28" s="11" t="n">
        <v>0.0</v>
      </c>
      <c r="AP28" s="10" t="n">
        <v>0.0</v>
      </c>
      <c r="AQ28" s="11" t="n">
        <v>0.0</v>
      </c>
      <c r="AR28" s="10" t="n">
        <v>0.0</v>
      </c>
      <c r="AS28" s="11" t="n">
        <v>0.0</v>
      </c>
      <c r="AT28" s="10" t="n">
        <v>0.0</v>
      </c>
      <c r="AU28" s="8" t="n">
        <v>2280.0</v>
      </c>
      <c r="AV28" s="9" t="n">
        <v>2280.0</v>
      </c>
      <c r="AW28" s="11" t="n">
        <v>0.0</v>
      </c>
      <c r="AX28" s="10" t="n">
        <v>0.0</v>
      </c>
      <c r="AY28" s="11" t="n">
        <v>0.0</v>
      </c>
      <c r="AZ28" s="10" t="n">
        <v>0.0</v>
      </c>
      <c r="BA28" s="11" t="n">
        <v>0.0</v>
      </c>
      <c r="BB28" s="10" t="n">
        <v>0.0</v>
      </c>
      <c r="BC28" s="11" t="n">
        <v>0.0</v>
      </c>
      <c r="BD28" s="10" t="n">
        <v>0.0</v>
      </c>
      <c r="BE28" s="11" t="n">
        <v>0.0</v>
      </c>
      <c r="BF28" s="10" t="n">
        <v>0.0</v>
      </c>
      <c r="BG28" s="11" t="n">
        <v>0.0</v>
      </c>
      <c r="BH28" s="10" t="n">
        <v>0.0</v>
      </c>
      <c r="BI28" s="11" t="n">
        <v>0.0</v>
      </c>
      <c r="BJ28" s="10" t="n">
        <v>0.0</v>
      </c>
      <c r="BK28" s="11" t="n">
        <v>0.0</v>
      </c>
      <c r="BL28" s="10" t="n">
        <v>0.0</v>
      </c>
      <c r="BM28" s="11" t="n">
        <v>0.0</v>
      </c>
      <c r="BN28" s="10" t="n">
        <v>0.0</v>
      </c>
      <c r="BO28" s="11" t="n">
        <v>0.0</v>
      </c>
      <c r="BP28" s="10" t="n">
        <v>0.0</v>
      </c>
      <c r="BQ28" s="11" t="n">
        <v>0.0</v>
      </c>
      <c r="BR28" s="10" t="n">
        <v>0.0</v>
      </c>
      <c r="BS28" s="11"/>
      <c r="BT28" s="11" t="n">
        <v>0.0</v>
      </c>
      <c r="BU28" s="10"/>
      <c r="BV28" s="10" t="n">
        <v>0.0</v>
      </c>
      <c r="BW28" s="11"/>
      <c r="BX28" s="11" t="n">
        <v>0.0</v>
      </c>
      <c r="BY28" s="10"/>
      <c r="BZ28" s="10" t="n">
        <v>0.0</v>
      </c>
      <c r="CA28" s="11"/>
      <c r="CB28" s="11" t="n">
        <v>0.0</v>
      </c>
      <c r="CC28" s="10"/>
      <c r="CD28" s="10" t="n">
        <v>0.0</v>
      </c>
      <c r="CE28" s="11"/>
      <c r="CF28" s="11" t="n">
        <v>0.0</v>
      </c>
      <c r="CG28" s="10"/>
      <c r="CH28" s="10" t="n">
        <v>0.0</v>
      </c>
    </row>
    <row r="29">
      <c r="A29" s="10"/>
      <c r="B29" s="4" t="s">
        <v>317</v>
      </c>
      <c r="C29" s="4" t="n">
        <v>14.0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322</v>
      </c>
      <c r="I29" s="4" t="s">
        <v>0</v>
      </c>
      <c r="J29" s="10"/>
      <c r="K29" s="12" t="n">
        <v>2280.0</v>
      </c>
      <c r="L29" s="10"/>
      <c r="M29" s="10"/>
      <c r="N29" s="10"/>
      <c r="O29" s="10"/>
      <c r="P29" s="10" t="n">
        <f>IF(OR(R29="Российская Федерация",R29="Армения",R29="Белоруссия",R29="Беларуь",R29="Казахстан",R29="Киргизия",R29="Кыргызстан",R29="ДНР",R29="ЛНР"), 1, 0)</f>
        <v>0.0</v>
      </c>
      <c r="Q29" s="10"/>
      <c r="R29" s="10" t="str">
        <f>IFERROR(IF(P29=1, "Российская Федерация", "Не заполнено"),"")</f>
        <v/>
      </c>
      <c r="S29" s="10"/>
      <c r="T29" s="10"/>
      <c r="U29" s="10"/>
      <c r="V29" s="12" t="n">
        <f>SUM(X29,Z29,AB29,AD29,AF29,AH29,AJ29,AL29,AN29,AP29,AR29,AT29,AV29,AX29,AZ29,BB29,BD29,BF29,BH29,BJ29,BL29,BN29,BP29,BR29,BV29,BZ29,CD29,CH29)</f>
        <v>2280.0</v>
      </c>
      <c r="W29" s="11" t="n">
        <v>0.0</v>
      </c>
      <c r="X29" s="10" t="n">
        <v>0.0</v>
      </c>
      <c r="Y29" s="11" t="n">
        <v>0.0</v>
      </c>
      <c r="Z29" s="10" t="n">
        <v>0.0</v>
      </c>
      <c r="AA29" s="11" t="n">
        <v>0.0</v>
      </c>
      <c r="AB29" s="10" t="n">
        <v>0.0</v>
      </c>
      <c r="AC29" s="11" t="n">
        <v>0.0</v>
      </c>
      <c r="AD29" s="10" t="n">
        <v>0.0</v>
      </c>
      <c r="AE29" s="11" t="n">
        <v>0.0</v>
      </c>
      <c r="AF29" s="10" t="n">
        <v>0.0</v>
      </c>
      <c r="AG29" s="11" t="n">
        <v>0.0</v>
      </c>
      <c r="AH29" s="10" t="n">
        <v>0.0</v>
      </c>
      <c r="AI29" s="11" t="n">
        <v>0.0</v>
      </c>
      <c r="AJ29" s="10" t="n">
        <v>0.0</v>
      </c>
      <c r="AK29" s="11" t="n">
        <v>0.0</v>
      </c>
      <c r="AL29" s="10" t="n">
        <v>0.0</v>
      </c>
      <c r="AM29" s="11" t="n">
        <v>0.0</v>
      </c>
      <c r="AN29" s="10" t="n">
        <v>0.0</v>
      </c>
      <c r="AO29" s="11" t="n">
        <v>0.0</v>
      </c>
      <c r="AP29" s="10" t="n">
        <v>0.0</v>
      </c>
      <c r="AQ29" s="11" t="n">
        <v>0.0</v>
      </c>
      <c r="AR29" s="10" t="n">
        <v>0.0</v>
      </c>
      <c r="AS29" s="11" t="n">
        <v>0.0</v>
      </c>
      <c r="AT29" s="10" t="n">
        <v>0.0</v>
      </c>
      <c r="AU29" s="8" t="n">
        <v>2280.0</v>
      </c>
      <c r="AV29" s="9" t="n">
        <v>2280.0</v>
      </c>
      <c r="AW29" s="11" t="n">
        <v>0.0</v>
      </c>
      <c r="AX29" s="10" t="n">
        <v>0.0</v>
      </c>
      <c r="AY29" s="11" t="n">
        <v>0.0</v>
      </c>
      <c r="AZ29" s="10" t="n">
        <v>0.0</v>
      </c>
      <c r="BA29" s="11" t="n">
        <v>0.0</v>
      </c>
      <c r="BB29" s="10" t="n">
        <v>0.0</v>
      </c>
      <c r="BC29" s="11" t="n">
        <v>0.0</v>
      </c>
      <c r="BD29" s="10" t="n">
        <v>0.0</v>
      </c>
      <c r="BE29" s="11" t="n">
        <v>0.0</v>
      </c>
      <c r="BF29" s="10" t="n">
        <v>0.0</v>
      </c>
      <c r="BG29" s="11" t="n">
        <v>0.0</v>
      </c>
      <c r="BH29" s="10" t="n">
        <v>0.0</v>
      </c>
      <c r="BI29" s="11" t="n">
        <v>0.0</v>
      </c>
      <c r="BJ29" s="10" t="n">
        <v>0.0</v>
      </c>
      <c r="BK29" s="11" t="n">
        <v>0.0</v>
      </c>
      <c r="BL29" s="10" t="n">
        <v>0.0</v>
      </c>
      <c r="BM29" s="11" t="n">
        <v>0.0</v>
      </c>
      <c r="BN29" s="10" t="n">
        <v>0.0</v>
      </c>
      <c r="BO29" s="11" t="n">
        <v>0.0</v>
      </c>
      <c r="BP29" s="10" t="n">
        <v>0.0</v>
      </c>
      <c r="BQ29" s="11" t="n">
        <v>0.0</v>
      </c>
      <c r="BR29" s="10" t="n">
        <v>0.0</v>
      </c>
      <c r="BS29" s="11"/>
      <c r="BT29" s="11" t="n">
        <v>0.0</v>
      </c>
      <c r="BU29" s="10"/>
      <c r="BV29" s="10" t="n">
        <v>0.0</v>
      </c>
      <c r="BW29" s="11"/>
      <c r="BX29" s="11" t="n">
        <v>0.0</v>
      </c>
      <c r="BY29" s="10"/>
      <c r="BZ29" s="10" t="n">
        <v>0.0</v>
      </c>
      <c r="CA29" s="11"/>
      <c r="CB29" s="11" t="n">
        <v>0.0</v>
      </c>
      <c r="CC29" s="10"/>
      <c r="CD29" s="10" t="n">
        <v>0.0</v>
      </c>
      <c r="CE29" s="11"/>
      <c r="CF29" s="11" t="n">
        <v>0.0</v>
      </c>
      <c r="CG29" s="10"/>
      <c r="CH29" s="10" t="n">
        <v>0.0</v>
      </c>
    </row>
    <row r="30" ht="15.0" customHeight="true">
      <c r="A30" s="1"/>
    </row>
    <row r="31" ht="0.05" customHeight="true">
      <c r="B31" t="s" s="88">
        <v>359</v>
      </c>
    </row>
    <row r="32" ht="0.05" customHeight="true">
      <c r="C32" t="s" s="89">
        <v>360</v>
      </c>
      <c r="D32" t="s" s="90">
        <v>361</v>
      </c>
      <c r="E32" s="91"/>
      <c r="F32" s="91"/>
      <c r="G32" s="92"/>
      <c r="H32" t="s" s="90">
        <v>362</v>
      </c>
      <c r="I32" s="91"/>
      <c r="J32" s="91"/>
      <c r="K32" s="91"/>
      <c r="L32" s="91"/>
      <c r="M32" s="92"/>
    </row>
    <row r="33" ht="20.25" customHeight="true">
      <c r="C33" t="n" s="93">
        <v>1.0</v>
      </c>
      <c r="D33" t="s" s="94">
        <v>363</v>
      </c>
      <c r="E33" s="95"/>
      <c r="F33" s="95"/>
      <c r="G33" s="96"/>
      <c r="H33" s="97"/>
      <c r="I33" s="98"/>
      <c r="J33" s="98"/>
      <c r="K33" s="98"/>
      <c r="L33" s="98"/>
      <c r="M33" s="99"/>
    </row>
    <row r="34" ht="18.75" customHeight="true">
      <c r="C34" t="n" s="93">
        <v>2.0</v>
      </c>
      <c r="D34" t="s" s="94">
        <v>364</v>
      </c>
      <c r="E34" s="95"/>
      <c r="F34" s="95"/>
      <c r="G34" s="96"/>
      <c r="H34" s="97"/>
      <c r="I34" s="98"/>
      <c r="J34" s="98"/>
      <c r="K34" s="98"/>
      <c r="L34" s="98"/>
      <c r="M34" s="99"/>
    </row>
    <row r="35" ht="35.1" customHeight="true">
      <c r="C35" t="n" s="93">
        <v>3.0</v>
      </c>
      <c r="D35" t="s" s="94">
        <v>365</v>
      </c>
      <c r="E35" s="95"/>
      <c r="F35" s="95"/>
      <c r="G35" s="96"/>
      <c r="H35" t="s" s="97">
        <v>256</v>
      </c>
      <c r="I35" s="98"/>
      <c r="J35" s="98"/>
      <c r="K35" s="98"/>
      <c r="L35" s="98"/>
      <c r="M35" s="99"/>
    </row>
    <row r="36" ht="50.1" customHeight="true">
      <c r="C36" t="n" s="93">
        <v>4.0</v>
      </c>
      <c r="D36" t="s" s="94">
        <v>366</v>
      </c>
      <c r="E36" s="95"/>
      <c r="F36" s="95"/>
      <c r="G36" s="96"/>
      <c r="H36" t="s" s="97">
        <v>256</v>
      </c>
      <c r="I36" s="98"/>
      <c r="J36" s="98"/>
      <c r="K36" s="98"/>
      <c r="L36" s="98"/>
      <c r="M36" s="99"/>
    </row>
    <row r="37" ht="35.1" customHeight="true">
      <c r="C37" t="n" s="93">
        <v>5.0</v>
      </c>
      <c r="D37" t="s" s="94">
        <v>367</v>
      </c>
      <c r="E37" s="95"/>
      <c r="F37" s="95"/>
      <c r="G37" s="96"/>
      <c r="H37" t="s" s="97">
        <v>256</v>
      </c>
      <c r="I37" s="98"/>
      <c r="J37" s="98"/>
      <c r="K37" s="98"/>
      <c r="L37" s="98"/>
      <c r="M37" s="99"/>
    </row>
    <row r="38" ht="12.75" customHeight="true">
      <c r="C38" t="n" s="93">
        <v>6.0</v>
      </c>
      <c r="D38" t="s" s="97">
        <v>256</v>
      </c>
      <c r="E38" s="98"/>
      <c r="F38" s="98"/>
      <c r="G38" s="99"/>
      <c r="H38" t="s" s="97">
        <v>256</v>
      </c>
      <c r="I38" s="98"/>
      <c r="J38" s="98"/>
      <c r="K38" s="98"/>
      <c r="L38" s="98"/>
      <c r="M38" s="99"/>
    </row>
    <row r="39" ht="12.75" customHeight="true">
      <c r="C39" t="n" s="93">
        <v>7.0</v>
      </c>
      <c r="D39" t="s" s="97">
        <v>256</v>
      </c>
      <c r="E39" s="98"/>
      <c r="F39" s="98"/>
      <c r="G39" s="99"/>
      <c r="H39" t="s" s="97">
        <v>256</v>
      </c>
      <c r="I39" s="98"/>
      <c r="J39" s="98"/>
      <c r="K39" s="98"/>
      <c r="L39" s="98"/>
      <c r="M39" s="99"/>
    </row>
    <row r="40" ht="12.75" customHeight="true">
      <c r="C40" t="n" s="93">
        <v>8.0</v>
      </c>
      <c r="D40" t="s" s="97">
        <v>256</v>
      </c>
      <c r="E40" s="98"/>
      <c r="F40" s="98"/>
      <c r="G40" s="99"/>
      <c r="H40" t="s" s="97">
        <v>256</v>
      </c>
      <c r="I40" s="98"/>
      <c r="J40" s="98"/>
      <c r="K40" s="98"/>
      <c r="L40" s="98"/>
      <c r="M40" s="99"/>
    </row>
    <row r="41" ht="12.75" customHeight="true">
      <c r="C41" t="n" s="93">
        <v>8.0</v>
      </c>
      <c r="D41" t="s" s="97">
        <v>256</v>
      </c>
      <c r="E41" s="98"/>
      <c r="F41" s="98"/>
      <c r="G41" s="99"/>
      <c r="H41" t="s" s="97">
        <v>256</v>
      </c>
      <c r="I41" s="98"/>
      <c r="J41" s="98"/>
      <c r="K41" s="98"/>
      <c r="L41" s="98"/>
      <c r="M41" s="99"/>
    </row>
    <row r="42" ht="12.75" customHeight="true">
      <c r="C42" t="n" s="93">
        <v>10.0</v>
      </c>
      <c r="D42" t="s" s="97">
        <v>256</v>
      </c>
      <c r="E42" s="98"/>
      <c r="F42" s="98"/>
      <c r="G42" s="99"/>
      <c r="H42" t="s" s="97">
        <v>256</v>
      </c>
      <c r="I42" s="98"/>
      <c r="J42" s="98"/>
      <c r="K42" s="98"/>
      <c r="L42" s="98"/>
      <c r="M42" s="99"/>
    </row>
    <row r="43" ht="12.75" customHeight="true">
      <c r="C43" t="n" s="93">
        <v>11.0</v>
      </c>
      <c r="D43" t="s" s="97">
        <v>256</v>
      </c>
      <c r="E43" s="98"/>
      <c r="F43" s="98"/>
      <c r="G43" s="99"/>
      <c r="H43" t="s" s="97">
        <v>256</v>
      </c>
      <c r="I43" s="98"/>
      <c r="J43" s="98"/>
      <c r="K43" s="98"/>
      <c r="L43" s="98"/>
      <c r="M43" s="99"/>
    </row>
    <row r="44" ht="12.75" customHeight="true">
      <c r="C44" t="n" s="93">
        <v>12.0</v>
      </c>
      <c r="D44" t="s" s="97">
        <v>256</v>
      </c>
      <c r="E44" s="98"/>
      <c r="F44" s="98"/>
      <c r="G44" s="99"/>
      <c r="H44" t="s" s="97">
        <v>256</v>
      </c>
      <c r="I44" s="98"/>
      <c r="J44" s="98"/>
      <c r="K44" s="98"/>
      <c r="L44" s="98"/>
      <c r="M44" s="99"/>
    </row>
    <row r="45" ht="12.75" customHeight="true">
      <c r="C45" t="n" s="93">
        <v>13.0</v>
      </c>
      <c r="D45" t="s" s="97">
        <v>256</v>
      </c>
      <c r="E45" s="98"/>
      <c r="F45" s="98"/>
      <c r="G45" s="99"/>
      <c r="H45" t="s" s="97">
        <v>256</v>
      </c>
      <c r="I45" s="98"/>
      <c r="J45" s="98"/>
      <c r="K45" s="98"/>
      <c r="L45" s="98"/>
      <c r="M45" s="99"/>
    </row>
    <row r="46" ht="12.75" customHeight="true">
      <c r="C46" t="n" s="93">
        <v>14.0</v>
      </c>
      <c r="D46" t="s" s="97">
        <v>256</v>
      </c>
      <c r="E46" s="98"/>
      <c r="F46" s="98"/>
      <c r="G46" s="99"/>
      <c r="H46" t="s" s="97">
        <v>256</v>
      </c>
      <c r="I46" s="98"/>
      <c r="J46" s="98"/>
      <c r="K46" s="98"/>
      <c r="L46" s="98"/>
      <c r="M46" s="99"/>
    </row>
    <row r="47" ht="12.75" customHeight="true">
      <c r="C47" t="n" s="93">
        <v>15.0</v>
      </c>
      <c r="D47" t="s" s="97">
        <v>256</v>
      </c>
      <c r="E47" s="98"/>
      <c r="F47" s="98"/>
      <c r="G47" s="99"/>
      <c r="H47" t="s" s="97">
        <v>256</v>
      </c>
      <c r="I47" s="98"/>
      <c r="J47" s="98"/>
      <c r="K47" s="98"/>
      <c r="L47" s="98"/>
      <c r="M47" s="99"/>
    </row>
    <row r="48"/>
    <row r="49" ht="15.0" customHeight="true">
      <c r="B49" t="s" s="100">
        <v>368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2"/>
    </row>
    <row r="50" ht="30.0" customHeight="true">
      <c r="B50" t="s" s="103">
        <v>369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2"/>
    </row>
    <row r="51" ht="30.0" customHeight="true">
      <c r="B51" t="s" s="103">
        <v>370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2"/>
    </row>
    <row r="52" ht="15.75" customHeight="true">
      <c r="B52" t="s" s="103">
        <v>371</v>
      </c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</row>
    <row r="53" ht="15.75" customHeight="true">
      <c r="B53" t="s" s="103">
        <v>372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2"/>
    </row>
    <row r="54" ht="15.75" customHeight="true">
      <c r="B54" t="s" s="103">
        <v>373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2"/>
    </row>
    <row r="55" ht="15.0" customHeight="true">
      <c r="B55" t="s" s="103">
        <v>374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6"/>
    </row>
    <row r="56" ht="35.25" customHeight="true">
      <c r="B56" t="s" s="103">
        <v>375</v>
      </c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6"/>
    </row>
    <row r="57" ht="50.25" customHeight="true">
      <c r="B57" t="s" s="107">
        <v>376</v>
      </c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9"/>
    </row>
    <row r="58" ht="37.5" customHeight="true">
      <c r="B58" t="s" s="103">
        <v>377</v>
      </c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9"/>
    </row>
    <row r="59" ht="34.5" customHeight="true">
      <c r="B59" t="s" s="107">
        <v>378</v>
      </c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9"/>
    </row>
    <row r="60" ht="15.0" customHeight="true">
      <c r="B60" t="s" s="103">
        <v>379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</row>
  </sheetData>
  <sheetProtection autoFilter="false" sort="false" password="CDB0" sheet="true" scenarios="true" objects="true"/>
  <autoFilter ref="B15:R29"/>
  <mergeCells count="115">
    <mergeCell ref="B55:P55"/>
    <mergeCell ref="B56:P56"/>
    <mergeCell ref="B57:P57"/>
    <mergeCell ref="B58:P58"/>
    <mergeCell ref="B59:P59"/>
    <mergeCell ref="B60:P60"/>
    <mergeCell ref="B49:P49"/>
    <mergeCell ref="B50:P50"/>
    <mergeCell ref="B51:P51"/>
    <mergeCell ref="B52:P52"/>
    <mergeCell ref="B53:P53"/>
    <mergeCell ref="B54:P54"/>
    <mergeCell ref="D45:G45"/>
    <mergeCell ref="H45:M45"/>
    <mergeCell ref="D46:G46"/>
    <mergeCell ref="H46:M46"/>
    <mergeCell ref="D47:G47"/>
    <mergeCell ref="H47:M47"/>
    <mergeCell ref="D42:G42"/>
    <mergeCell ref="H42:M42"/>
    <mergeCell ref="D43:G43"/>
    <mergeCell ref="H43:M43"/>
    <mergeCell ref="D44:G44"/>
    <mergeCell ref="H44:M44"/>
    <mergeCell ref="D39:G39"/>
    <mergeCell ref="H39:M39"/>
    <mergeCell ref="D40:G40"/>
    <mergeCell ref="H40:M40"/>
    <mergeCell ref="D41:G41"/>
    <mergeCell ref="H41:M41"/>
    <mergeCell ref="D36:G36"/>
    <mergeCell ref="H36:M36"/>
    <mergeCell ref="D37:G37"/>
    <mergeCell ref="H37:M37"/>
    <mergeCell ref="D38:G38"/>
    <mergeCell ref="H38:M38"/>
    <mergeCell ref="D34:G34"/>
    <mergeCell ref="H34:M34"/>
    <mergeCell ref="D35:G35"/>
    <mergeCell ref="H35:M35"/>
    <mergeCell ref="BO13:BP13"/>
    <mergeCell ref="BQ13:BR13"/>
    <mergeCell ref="D32:G32"/>
    <mergeCell ref="H32:M32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33:G33"/>
    <mergeCell ref="H33:M33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14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2026-09-24T08:34:54Z</dcterms:created>
  <dc:creator>Apache POI</dc:creator>
</cp:coreProperties>
</file>