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Шаблон!$B$17:$S$24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<sst xmlns="http://schemas.openxmlformats.org/spreadsheetml/2006/main" count="629" uniqueCount="365">
  <si>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</si>
  <si>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</si>
  <si>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</si>
  <si>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</si>
  <si>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</si>
  <si>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</si>
  <si>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</si>
  <si>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</si>
  <si>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</si>
  <si>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</si>
  <si>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</si>
  <si>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</si>
  <si>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</si>
  <si>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</si>
  <si>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</si>
  <si>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</si>
  <si>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</si>
  <si>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</si>
  <si>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</si>
  <si>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</si>
  <si>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</si>
  <si>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</si>
  <si>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</si>
  <si>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</si>
  <si>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</si>
  <si>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</si>
  <si>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</si>
  <si>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</si>
  <si>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</si>
  <si>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</si>
  <si>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</si>
  <si>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</si>
  <si>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</si>
  <si>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</si>
  <si>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</si>
  <si>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</si>
  <si>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</si>
  <si>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</si>
  <si>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</si>
  <si>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</si>
  <si>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</si>
  <si>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</si>
  <si>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</si>
  <si>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</si>
  <si>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</si>
  <si>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</si>
  <si>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</si>
  <si>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</si>
  <si>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</si>
  <si>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</si>
  <si>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</si>
  <si>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</si>
  <si>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</si>
  <si>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</si>
  <si>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</si>
  <si>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</si>
  <si>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</si>
  <si>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</si>
  <si>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</si>
  <si>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</si>
  <si>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</si>
  <si>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</si>
  <si>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</si>
  <si>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</si>
  <si>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</si>
  <si>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</si>
  <si>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</si>
  <si>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</si>
  <si>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</si>
  <si>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</si>
  <si>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</si>
  <si>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</si>
  <si>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</si>
  <si>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</si>
  <si>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</si>
  <si>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</si>
  <si>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</si>
  <si>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</si>
  <si>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</si>
  <si>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</si>
  <si>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</si>
  <si>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</si>
  <si>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</si>
  <si>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</si>
  <si>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</si>
  <si>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</si>
  <si>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</si>
  <si>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</si>
  <si>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</si>
  <si>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</si>
  <si>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</si>
  <si>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</si>
  <si>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</si>
  <si>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</si>
  <si>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</si>
  <si>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</si>
  <si>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</si>
  <si>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</si>
  <si>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</si>
  <si>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</si>
  <si>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</si>
  <si>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</si>
  <si>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</si>
  <si>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</si>
  <si>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</si>
  <si>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</si>
  <si>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</si>
  <si>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</si>
  <si>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</si>
  <si>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</si>
  <si>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</si>
  <si>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</si>
  <si>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</si>
  <si>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</si>
  <si>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</si>
  <si>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</si>
  <si>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</si>
  <si>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</si>
  <si>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</si>
  <si>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</si>
  <si>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</si>
  <si>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</si>
  <si>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</si>
  <si>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</si>
  <si>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</si>
  <si>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</si>
  <si>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</si>
  <si>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</si>
  <si>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</si>
  <si>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</si>
  <si>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</si>
  <si>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</si>
  <si>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</si>
  <si>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</si>
  <si>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</si>
  <si>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</si>
  <si>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</si>
  <si>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</si>
  <si>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</si>
  <si>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</si>
  <si>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</si>
  <si>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</si>
  <si>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</si>
  <si>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</si>
  <si>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</si>
  <si>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</si>
  <si>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</si>
  <si>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</si>
  <si>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</si>
  <si>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</si>
  <si>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</si>
  <si>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</si>
  <si>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</si>
  <si>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</si>
  <si>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</si>
  <si>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</si>
  <si>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</si>
  <si>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</si>
  <si>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</si>
  <si>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</si>
  <si>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</si>
  <si>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</si>
  <si>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</si>
  <si>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</si>
  <si>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</si>
  <si>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</si>
  <si>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</si>
  <si>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</si>
  <si>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</si>
  <si>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</si>
  <si>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</si>
  <si>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</si>
  <si>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</si>
  <si>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</si>
  <si>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</si>
  <si>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</si>
  <si>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</si>
  <si>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</si>
  <si>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</si>
  <si>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</si>
  <si>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</si>
  <si>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</si>
  <si>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</si>
  <si>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</si>
  <si>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</si>
  <si>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</si>
  <si>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</si>
  <si>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</si>
  <si>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</si>
  <si>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</si>
  <si>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</si>
  <si>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</si>
  <si>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</si>
  <si>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</si>
  <si>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</si>
  <si>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</si>
  <si>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</si>
  <si>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</si>
  <si>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</si>
  <si>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</si>
  <si>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</si>
  <si>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</si>
  <si>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</si>
  <si>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</si>
  <si>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</si>
  <si>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</si>
  <si>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</si>
  <si>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</si>
  <si>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</si>
  <si>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</si>
  <si>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</si>
  <si>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</si>
  <si>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</si>
  <si>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</si>
  <si>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</si>
  <si>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</si>
  <si>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</si>
  <si>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</si>
  <si>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</si>
  <si>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</si>
  <si>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</si>
  <si>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</si>
  <si>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</si>
  <si>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</si>
  <si>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</si>
  <si>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</si>
  <si>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</si>
  <si>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</si>
  <si>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</si>
  <si>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</si>
  <si>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</si>
  <si>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</si>
  <si>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</si>
  <si>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</si>
  <si>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</si>
  <si>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</si>
  <si>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</si>
  <si>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</si>
  <si>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</si>
  <si>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</si>
  <si>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</si>
  <si>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</si>
  <si>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</si>
  <si>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</si>
  <si>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</si>
  <si>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</si>
  <si>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</si>
  <si>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</si>
  <si>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</si>
  <si>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</si>
  <si>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</si>
  <si>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</si>
  <si>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</si>
  <si>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</si>
  <si>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</si>
  <si>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</si>
  <si>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</si>
  <si>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</si>
  <si>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</si>
  <si>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</si>
  <si>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</si>
  <si>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</si>
  <si>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</si>
  <si>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</si>
  <si>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</si>
  <si>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295.26.00327 Поставка труб большого диаметра для нужд ООО "БГК"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</si>
  <si>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</si>
  <si>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</si>
  <si>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</si>
  <si>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</si>
  <si>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</si>
  <si>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</si>
  <si>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</si>
  <si>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</si>
  <si>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</si>
  <si>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</si>
  <si>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</si>
  <si>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</si>
  <si>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</si>
  <si>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</si>
  <si>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</si>
  <si>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</si>
  <si>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</si>
  <si>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</si>
  <si>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</si>
  <si>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</si>
  <si>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</si>
  <si>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</si>
  <si>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</si>
  <si>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</si>
  <si>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</si>
  <si>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</si>
  <si>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</si>
  <si>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</si>
  <si>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</si>
  <si>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</si>
  <si>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</si>
  <si>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</si>
  <si>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</si>
  <si>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</si>
  <si>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</si>
  <si>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</si>
  <si>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</si>
  <si>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</si>
  <si>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</si>
  <si>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</si>
  <si>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</si>
  <si>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</si>
  <si>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</si>
  <si>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</si>
  <si>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</si>
  <si>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</si>
  <si>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</si>
  <si>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</si>
  <si>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БГК-&gt;ООО БГК</t>
  </si>
  <si>
    <t>476547</t>
  </si>
  <si>
    <t>Труба стальная прямошовная, электросварная, наружный диаметр 530мм, толщина стенки 8мм,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530х8/В-20 ГОСТ 10704-91, ГОСТ 10705-80</t>
  </si>
  <si>
    <t>Труба 530х8/В-20 ГОСТ 10704-91, ГОСТ 10705-80</t>
  </si>
  <si>
    <t>ГОСТ 10704-91,ГОСТ 10705-80</t>
  </si>
  <si>
    <t>Килограмм</t>
  </si>
  <si>
    <t>475949</t>
  </si>
  <si>
    <t>Труба стальная прямошовная, электросварная, наружный диаметр 630мм, толщина стенки 10мм, длина немерная, предельные отклонения: по наружному диаметру +/-0,7% (точность изготовления обычная), по толщине стенки +0,6/-0,8мм, материал сталь 20, с нормированием механических свойств и химического состава (группа В), 630х10/В-20 ГОСТ 10704-91, ГОСТ 10705-80</t>
  </si>
  <si>
    <t>Труба 630х10/В-20 ГОСТ 10704-91, ГОСТ 10705-80</t>
  </si>
  <si>
    <t>476204</t>
  </si>
  <si>
    <t>Труба стальная прямошовная, электросварная, наружный диаметр 630мм, толщина стенки 12мм, длина немерная, предельные отклонения: по наружному диаметру +/-0,7% (точность изготовления обычная), по толщине стенки +1/-0,8мм, материал сталь 20, с нормированием механических свойств и химического состава (группа В), 630х12/В-20 ГОСТ 10704-91, ГОСТ 10705-80</t>
  </si>
  <si>
    <t>Труба 630х12/В-20 ГОСТ 10704-91, ГОСТ 10705-80</t>
  </si>
  <si>
    <t>498780</t>
  </si>
  <si>
    <t>Труба стальная, прямошовная, электросварная, наружный диаметр 630мм, толщина стенки 8мм, длина немерная, материал сталь 20, с нормированием механических свойств и химического состава (В), 630х8/В-20 ГОСТ 10704-91, ГОСТ 10705-80</t>
  </si>
  <si>
    <t>Труба 630х8/В-20 ГОСТ 10704-91, ГОСТ 10705-80</t>
  </si>
  <si>
    <t>498345</t>
  </si>
  <si>
    <t>Труба стальная, электросварная, прямошовная, точность изготовления обычная, наружный диаметр 720мм, толщина стенки 8мм, длина немерная, материал сталь 20, с нормированием механических свойств и химического состава (В), 720х8/В-20 ГОСТ 10704-91, ГОСТ 10705-80</t>
  </si>
  <si>
    <t>Труба 720х8/В-20 ГОСТ 10704-91, ГОСТ 10705-80</t>
  </si>
  <si>
    <t>600843</t>
  </si>
  <si>
    <t>Труба стальная прямошовная, электросварная, наружный диаметр 820мм, толщина стенки 9мм, длина немерная, предельные отклонения: по наружному диаметру +/-0,7% (точность изготовления обычная), по толщине стенки +0,6/-0,8%, класс точности по овальности, материал сталь 17Г1С-У, с нормированием механических свойств и химического состава (группа В), 820х9/В-17Г1С-У ГОСТ 10704-91, ГОСТ 10706-76</t>
  </si>
  <si>
    <t>Труба 820х9/В-17Г1С-У ГОСТ 10704-91, ГОСТ 10706-76</t>
  </si>
  <si>
    <t>ГОСТ 10704-91,ГОСТ 10706-76</t>
  </si>
  <si>
    <t>534428</t>
  </si>
  <si>
    <t>Труба стальная прямошовная, электросварная, наружный диаметр 820мм, толщина стенки 9мм, длина немерная, предельные отклонения: по наружному диаметру +/-0,7% (точность изготовления обычная), по толщине стенки +0,2/-0,8мм, материал Ст3пс категории 2, с нормированием механических свойств и химического состава (группа В), 820х9/В-Ст3пс2 ГОСТ 10704-91, ГОСТ 10705-80</t>
  </si>
  <si>
    <t>Труба 820х9/В-Ст3пс2 ГОСТ 10704-91, ГОСТ 10705-80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</si>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</sst>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0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118.89</v>
      </c>
      <c r="K18" s="6" t="n">
        <v>823.867</v>
      </c>
      <c r="L18" s="5" t="n">
        <v>97949.54763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Q27,)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823.867</v>
      </c>
      <c r="Y18" s="4" t="n">
        <v>2641284.0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318</v>
      </c>
      <c r="H19" s="4" t="s">
        <v>319</v>
      </c>
      <c r="I19" s="4" t="s">
        <v>0</v>
      </c>
      <c r="J19" s="5" t="n">
        <v>119.72</v>
      </c>
      <c r="K19" s="6" t="n">
        <v>2446.348</v>
      </c>
      <c r="L19" s="5" t="n">
        <v>292876.78256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Q27,)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2446.348</v>
      </c>
      <c r="Y19" s="4" t="n">
        <v>2641281.0</v>
      </c>
    </row>
    <row r="20">
      <c r="A20" s="1"/>
      <c r="B20" s="4" t="s">
        <v>314</v>
      </c>
      <c r="C20" s="4" t="n">
        <v>3.0</v>
      </c>
      <c r="D20" s="4" t="s">
        <v>323</v>
      </c>
      <c r="E20" s="4" t="s">
        <v>324</v>
      </c>
      <c r="F20" s="4" t="s">
        <v>325</v>
      </c>
      <c r="G20" s="4" t="s">
        <v>318</v>
      </c>
      <c r="H20" s="4" t="s">
        <v>319</v>
      </c>
      <c r="I20" s="4" t="s">
        <v>0</v>
      </c>
      <c r="J20" s="5" t="n">
        <v>130.2</v>
      </c>
      <c r="K20" s="6" t="n">
        <v>1463.074</v>
      </c>
      <c r="L20" s="5" t="n">
        <v>190492.2348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Q27,)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1463.074</v>
      </c>
      <c r="Y20" s="4" t="n">
        <v>2641283.0</v>
      </c>
    </row>
    <row r="21">
      <c r="A21" s="1"/>
      <c r="B21" s="4" t="s">
        <v>314</v>
      </c>
      <c r="C21" s="4" t="n">
        <v>4.0</v>
      </c>
      <c r="D21" s="4" t="s">
        <v>326</v>
      </c>
      <c r="E21" s="4" t="s">
        <v>327</v>
      </c>
      <c r="F21" s="4" t="s">
        <v>328</v>
      </c>
      <c r="G21" s="4" t="s">
        <v>318</v>
      </c>
      <c r="H21" s="4" t="s">
        <v>319</v>
      </c>
      <c r="I21" s="4" t="s">
        <v>0</v>
      </c>
      <c r="J21" s="5" t="n">
        <v>99.95</v>
      </c>
      <c r="K21" s="6" t="n">
        <v>981.73</v>
      </c>
      <c r="L21" s="5" t="n">
        <v>98123.9135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Q27,)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981.73</v>
      </c>
      <c r="Y21" s="4" t="n">
        <v>2641277.0</v>
      </c>
    </row>
    <row r="22">
      <c r="A22" s="1"/>
      <c r="B22" s="4" t="s">
        <v>314</v>
      </c>
      <c r="C22" s="4" t="n">
        <v>5.0</v>
      </c>
      <c r="D22" s="4" t="s">
        <v>329</v>
      </c>
      <c r="E22" s="4" t="s">
        <v>330</v>
      </c>
      <c r="F22" s="4" t="s">
        <v>331</v>
      </c>
      <c r="G22" s="4" t="s">
        <v>318</v>
      </c>
      <c r="H22" s="4" t="s">
        <v>319</v>
      </c>
      <c r="I22" s="4" t="s">
        <v>0</v>
      </c>
      <c r="J22" s="5" t="n">
        <v>136.2</v>
      </c>
      <c r="K22" s="6" t="n">
        <v>1686.0</v>
      </c>
      <c r="L22" s="5" t="n">
        <v>229633.2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Q27,)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1686.0</v>
      </c>
      <c r="Y22" s="4" t="n">
        <v>2641297.0</v>
      </c>
    </row>
    <row r="23">
      <c r="A23" s="1"/>
      <c r="B23" s="4" t="s">
        <v>314</v>
      </c>
      <c r="C23" s="4" t="n">
        <v>6.0</v>
      </c>
      <c r="D23" s="4" t="s">
        <v>332</v>
      </c>
      <c r="E23" s="4" t="s">
        <v>333</v>
      </c>
      <c r="F23" s="4" t="s">
        <v>334</v>
      </c>
      <c r="G23" s="4" t="s">
        <v>335</v>
      </c>
      <c r="H23" s="4" t="s">
        <v>319</v>
      </c>
      <c r="I23" s="4" t="s">
        <v>0</v>
      </c>
      <c r="J23" s="5" t="n">
        <v>142.23</v>
      </c>
      <c r="K23" s="6" t="n">
        <v>1439.992</v>
      </c>
      <c r="L23" s="5" t="n">
        <v>204810.06216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Q27,)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1439.992</v>
      </c>
      <c r="Y23" s="4" t="n">
        <v>2641282.0</v>
      </c>
    </row>
    <row r="24">
      <c r="A24" s="1"/>
      <c r="B24" s="4" t="s">
        <v>314</v>
      </c>
      <c r="C24" s="4" t="n">
        <v>7.0</v>
      </c>
      <c r="D24" s="4" t="s">
        <v>336</v>
      </c>
      <c r="E24" s="4" t="s">
        <v>337</v>
      </c>
      <c r="F24" s="4" t="s">
        <v>338</v>
      </c>
      <c r="G24" s="4" t="s">
        <v>318</v>
      </c>
      <c r="H24" s="4" t="s">
        <v>319</v>
      </c>
      <c r="I24" s="4" t="s">
        <v>0</v>
      </c>
      <c r="J24" s="5" t="n">
        <v>120.26</v>
      </c>
      <c r="K24" s="6" t="n">
        <v>1440.03</v>
      </c>
      <c r="L24" s="5" t="n">
        <v>173178.0078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Q27,)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1440.03</v>
      </c>
      <c r="Y24" s="4" t="n">
        <v>2641278.0</v>
      </c>
    </row>
    <row r="25" ht="12.75" customHeight="true">
      <c r="K25" s="68"/>
      <c r="L25" s="68"/>
    </row>
    <row r="26" ht="15.0" customHeight="true">
      <c r="K26" t="s" s="69">
        <v>339</v>
      </c>
      <c r="L26" s="69"/>
      <c r="M26" t="s" s="69">
        <v>340</v>
      </c>
      <c r="N26" s="69"/>
      <c r="O26" s="69"/>
      <c r="P26" s="69"/>
      <c r="Q26" s="69"/>
      <c r="R26" s="70"/>
      <c r="S26" s="70"/>
      <c r="W26" t="s" s="71">
        <v>341</v>
      </c>
      <c r="X26" s="72"/>
    </row>
    <row r="27" ht="15.0" customHeight="true">
      <c r="L27" s="73" t="n">
        <f>SUM(L18:L24)</f>
        <v>1287063.74845</v>
      </c>
      <c r="Q27" s="73" t="n">
        <f>W27/L27</f>
        <v>0.0</v>
      </c>
      <c r="W27" s="73" t="n">
        <f>SUM(W18:W24)</f>
        <v>0.0</v>
      </c>
    </row>
    <row r="28" ht="12.75" customHeight="true">
      <c r="R28" t="s" s="68">
        <v>342</v>
      </c>
      <c r="S28" t="s" s="68">
        <v>343</v>
      </c>
      <c r="T28" s="68"/>
    </row>
    <row r="29" ht="12.75" customHeight="true">
      <c r="D29" t="s" s="74">
        <v>344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6"/>
      <c r="R29" s="77" t="n">
        <f>SUM(V18:V24)</f>
        <v>0.0</v>
      </c>
      <c r="S29" t="n" s="77">
        <v>100.0</v>
      </c>
      <c r="T29" t="s" s="78">
        <v>345</v>
      </c>
    </row>
    <row r="30" ht="15.0" customHeight="true">
      <c r="D30" t="s" s="74">
        <v>346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6"/>
      <c r="R30" s="73" t="n">
        <f>SUMIF(P18:P24,1, V18:V24)</f>
        <v>0.0</v>
      </c>
      <c r="S30" s="73" t="n">
        <f>IF(R29&lt;&gt;0, R30/R29*100,)</f>
        <v>0.0</v>
      </c>
      <c r="T30" s="79" t="str">
        <f>IF(S30&lt;=50," ","РФ/ДНР/ЛНР/ЕАЭС")</f>
        <v> </v>
      </c>
    </row>
    <row r="31" ht="15.0" customHeight="true">
      <c r="D31" t="s" s="74">
        <v>347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6"/>
      <c r="R31" s="73" t="n">
        <f>IF(R29&lt;&gt;0,R29-R30,)</f>
        <v>0.0</v>
      </c>
      <c r="S31" s="73" t="n">
        <f>IF(R29&lt;&gt;0, R31/R29*100,)</f>
        <v>0.0</v>
      </c>
      <c r="T31" s="79" t="str">
        <f>IF(S31&gt;50,"Импорт", " ")</f>
        <v> </v>
      </c>
    </row>
    <row r="32" ht="15.0" customHeight="true">
      <c r="D32" t="s" s="74">
        <v>348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6"/>
      <c r="R32" s="73" t="n">
        <f>SUMIF(M18:M24, 0, V18:V24)</f>
        <v>0.0</v>
      </c>
      <c r="S32" s="73" t="n">
        <f>IF(R29&lt;&gt;0, R32/R29*100,)</f>
        <v>0.0</v>
      </c>
      <c r="T32" s="79" t="str">
        <f>IF(S32&lt;=50," ","РЭП (ПО)")</f>
        <v> </v>
      </c>
    </row>
    <row r="33" ht="15.0" customHeight="true">
      <c r="A33" s="7"/>
    </row>
    <row r="34" ht="15.75" customHeight="true">
      <c r="B34" t="s" s="80">
        <v>349</v>
      </c>
    </row>
    <row r="35" ht="19.5" customHeight="true">
      <c r="B35" t="s" s="81">
        <v>350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</row>
    <row r="36" ht="20.25" customHeight="true">
      <c r="B36" t="s" s="82">
        <v>351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ht="39.75" customHeight="true">
      <c r="B37" t="s" s="84">
        <v>352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</row>
    <row r="38" ht="19.5" customHeight="true">
      <c r="B38" t="s" s="82">
        <v>353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18.0" customHeight="true">
      <c r="B39" t="s" s="82">
        <v>354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ht="22.5" customHeight="true">
      <c r="B40" t="s" s="82">
        <v>355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19.5" customHeight="true">
      <c r="B41" t="s" s="82">
        <v>356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22.5" customHeight="true">
      <c r="B42" t="s" s="82">
        <v>357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ht="34.5" customHeight="true">
      <c r="B43" t="s" s="82">
        <v>358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36.0" customHeight="true">
      <c r="B44" t="s" s="82">
        <v>359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32.25" customHeight="true">
      <c r="B45" t="s" s="86">
        <v>360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</row>
    <row r="46" ht="33.75" customHeight="true">
      <c r="B46" t="s" s="82">
        <v>361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33.75" customHeight="true">
      <c r="B47" t="s" s="82">
        <v>362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ht="124.5" customHeight="true">
      <c r="B48" t="s" s="82">
        <v>363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ht="33.75" customHeight="true">
      <c r="B49" t="s" s="82">
        <v>364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ht="24.75" customHeight="true">
      <c r="A50" s="7"/>
    </row>
  </sheetData>
  <sheetProtection autoFilter="false" sort="false" password="CDB0" sheet="true" scenarios="true" objects="true"/>
  <autoFilter ref="B17:S24"/>
  <mergeCells count="92">
    <mergeCell ref="K26:L26"/>
    <mergeCell ref="M26:Q26"/>
    <mergeCell ref="I14:I16"/>
    <mergeCell ref="J14:J16"/>
    <mergeCell ref="K14:K16"/>
    <mergeCell ref="L14:L16"/>
    <mergeCell ref="D32:Q32"/>
    <mergeCell ref="B48:W48"/>
    <mergeCell ref="B44:W44"/>
    <mergeCell ref="B45:W45"/>
    <mergeCell ref="B46:W46"/>
    <mergeCell ref="B47:W47"/>
    <mergeCell ref="BS15:BT15"/>
    <mergeCell ref="B49:W49"/>
    <mergeCell ref="B43:W43"/>
    <mergeCell ref="D29:Q29"/>
    <mergeCell ref="D30:Q30"/>
    <mergeCell ref="D31:Q31"/>
    <mergeCell ref="B35:W35"/>
    <mergeCell ref="B36:W36"/>
    <mergeCell ref="B37:W37"/>
    <mergeCell ref="B38:W38"/>
    <mergeCell ref="B39:W39"/>
    <mergeCell ref="B40:W40"/>
    <mergeCell ref="B41:W41"/>
    <mergeCell ref="B42:W42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21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2026-09-24T08:33:46Z</dcterms:created>
  <dc:creator>Apache POI</dc:creator>
</cp:coreProperties>
</file>