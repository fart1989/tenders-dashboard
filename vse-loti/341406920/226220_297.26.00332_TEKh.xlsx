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Шаблон!$B$15:$R$30</definedName>
  </definedNames>
</workbook>
</file>

<file path=xl/sharedStrings.xml><?xml version="1.0" encoding="utf-8"?>
<sst xmlns="http://schemas.openxmlformats.org/spreadsheetml/2006/main" count="723" uniqueCount="359">
  <si>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</si>
  <si>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</si>
  <si>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</si>
  <si>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</si>
  <si>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</si>
  <si>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</si>
  <si>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</si>
  <si>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</si>
  <si>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</si>
  <si>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</si>
  <si>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</si>
  <si>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</si>
  <si>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</si>
  <si>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</si>
  <si>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</si>
  <si>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</si>
  <si>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</si>
  <si>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</si>
  <si>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</si>
  <si>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</si>
  <si>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</si>
  <si>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</si>
  <si>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</si>
  <si>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</si>
  <si>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</si>
  <si>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</si>
  <si>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</si>
  <si>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</si>
  <si>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</si>
  <si>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</si>
  <si>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</si>
  <si>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</si>
  <si>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</si>
  <si>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</si>
  <si>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</si>
  <si>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</si>
  <si>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</si>
  <si>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</si>
  <si>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</si>
  <si>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</si>
  <si>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</si>
  <si>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</si>
  <si>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</si>
  <si>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</si>
  <si>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</si>
  <si>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</si>
  <si>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</si>
  <si>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</si>
  <si>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</si>
  <si>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</si>
  <si>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</si>
  <si>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</si>
  <si>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</si>
  <si>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</si>
  <si>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</si>
  <si>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</si>
  <si>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</si>
  <si>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</si>
  <si>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</si>
  <si>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</si>
  <si>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</si>
  <si>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</si>
  <si>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</si>
  <si>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</si>
  <si>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</si>
  <si>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</si>
  <si>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</si>
  <si>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</si>
  <si>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</si>
  <si>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</si>
  <si>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</si>
  <si>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</si>
  <si>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</si>
  <si>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</si>
  <si>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</si>
  <si>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</si>
  <si>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</si>
  <si>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</si>
  <si>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</si>
  <si>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</si>
  <si>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</si>
  <si>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</si>
  <si>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</si>
  <si>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</si>
  <si>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</si>
  <si>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</si>
  <si>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</si>
  <si>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</si>
  <si>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</si>
  <si>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</si>
  <si>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</si>
  <si>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</si>
  <si>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</si>
  <si>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</si>
  <si>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</si>
  <si>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</si>
  <si>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</si>
  <si>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</si>
  <si>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</si>
  <si>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</si>
  <si>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</si>
  <si>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</si>
  <si>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</si>
  <si>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</si>
  <si>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</si>
  <si>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</si>
  <si>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</si>
  <si>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</si>
  <si>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</si>
  <si>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</si>
  <si>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</si>
  <si>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</si>
  <si>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</si>
  <si>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</si>
  <si>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</si>
  <si>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</si>
  <si>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</si>
  <si>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</si>
  <si>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</si>
  <si>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</si>
  <si>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</si>
  <si>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</si>
  <si>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</si>
  <si>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</si>
  <si>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</si>
  <si>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</si>
  <si>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</si>
  <si>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</si>
  <si>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</si>
  <si>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</si>
  <si>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</si>
  <si>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</si>
  <si>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</si>
  <si>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</si>
  <si>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</si>
  <si>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</si>
  <si>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</si>
  <si>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</si>
  <si>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</si>
  <si>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</si>
  <si>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</si>
  <si>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</si>
  <si>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</si>
  <si>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</si>
  <si>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</si>
  <si>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</si>
  <si>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</si>
  <si>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</si>
  <si>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</si>
  <si>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</si>
  <si>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</si>
  <si>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</si>
  <si>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</si>
  <si>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</si>
  <si>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</si>
  <si>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</si>
  <si>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</si>
  <si>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</si>
  <si>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</si>
  <si>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</si>
  <si>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</si>
  <si>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</si>
  <si>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</si>
  <si>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</si>
  <si>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</si>
  <si>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</si>
  <si>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</si>
  <si>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</si>
  <si>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</si>
  <si>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</si>
  <si>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</si>
  <si>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</si>
  <si>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</si>
  <si>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</si>
  <si>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</si>
  <si>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</si>
  <si>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</si>
  <si>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</si>
  <si>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</si>
  <si>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</si>
  <si>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</si>
  <si>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</si>
  <si>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</si>
  <si>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</si>
  <si>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</si>
  <si>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</si>
  <si>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</si>
  <si>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</si>
  <si>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</si>
  <si>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</si>
  <si>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</si>
  <si>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</si>
  <si>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</si>
  <si>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</si>
  <si>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</si>
  <si>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</si>
  <si>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</si>
  <si>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</si>
  <si>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</si>
  <si>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</si>
  <si>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</si>
  <si>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</si>
  <si>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</si>
  <si>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</si>
  <si>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</si>
  <si>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</si>
  <si>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</si>
  <si>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</si>
  <si>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</si>
  <si>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</si>
  <si>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</si>
  <si>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</si>
  <si>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</si>
  <si>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</si>
  <si>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</si>
  <si>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</si>
  <si>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</si>
  <si>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</si>
  <si>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</si>
  <si>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</si>
  <si>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</si>
  <si>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</si>
  <si>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</si>
  <si>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</si>
  <si>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</si>
  <si>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</si>
  <si>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</si>
  <si>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</si>
  <si>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</si>
  <si>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</si>
  <si>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</si>
  <si>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</si>
  <si>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</si>
  <si>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</si>
  <si>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</si>
  <si>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</si>
  <si>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</si>
  <si>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</si>
  <si>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</si>
  <si>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</si>
  <si>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</si>
  <si>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</si>
  <si>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</si>
  <si>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</si>
  <si>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</si>
  <si>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</si>
  <si>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</si>
  <si>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</si>
  <si>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</si>
  <si>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</si>
  <si>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</si>
  <si>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</si>
  <si>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</si>
  <si>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</si>
  <si>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</si>
  <si>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</si>
  <si>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</si>
  <si>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</si>
  <si>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</si>
  <si>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</si>
  <si>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</si>
  <si>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</si>
  <si>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</si>
  <si>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</si>
  <si>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</si>
  <si>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297.26.00332 Поставка труб большого диаметра для нужд ООО "БашРТС"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</si>
  <si>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</si>
  <si>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</si>
  <si>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</si>
  <si>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</si>
  <si>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</si>
  <si>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</si>
  <si>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</si>
  <si>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</si>
  <si>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</si>
  <si>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</si>
  <si>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</si>
  <si>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</si>
  <si>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</si>
  <si>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</si>
  <si>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</si>
  <si>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</si>
  <si>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</si>
  <si>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</si>
  <si>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</si>
  <si>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</si>
  <si>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</si>
  <si>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</si>
  <si>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</si>
  <si>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</si>
  <si>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</si>
  <si>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</si>
  <si>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</si>
  <si>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</si>
  <si>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</si>
  <si>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</si>
  <si>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</si>
  <si>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</si>
  <si>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</si>
  <si>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</si>
  <si>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</si>
  <si>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</si>
  <si>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</si>
  <si>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</si>
  <si>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</si>
  <si>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</si>
  <si>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</si>
  <si>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</si>
  <si>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</si>
  <si>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</si>
  <si>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</si>
  <si>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</si>
  <si>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</si>
  <si>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</si>
  <si>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</si>
  <si>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</si>
  <si>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</si>
  <si>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БашРТС-&gt;ООО БашРТС</t>
  </si>
  <si>
    <t>505957</t>
  </si>
  <si>
    <t>Труба стальная прямошовная, изготовленная электродуговой сваркой (тип 3), для магистральных газонефтепроводов, наружный диаметр 1020мм, толщина стенки 10мм, длина немерная, предельные отклонения: по наружному диаметру +/-4мм, по толщине стенки +0,6/-0,8мм, класс прочности К52, тип 3-1020х10-К52 ГОСТ 20295-85</t>
  </si>
  <si>
    <t>Труба тип 3-1020х10-К52 ГОСТ 20295-85</t>
  </si>
  <si>
    <t>ГОСТ 20295-85</t>
  </si>
  <si>
    <t>Килограмм</t>
  </si>
  <si>
    <t>609642</t>
  </si>
  <si>
    <t>Труба стальная прямошовная, изготовленная электродуговой сваркой (тип 3), для магистральных газонефтепроводов, наружный диаметр 1220мм, толщина стенки 12мм, длина немерная, предельные отклонения: по наружному диаметру +/-4мм, по толщине стенки +/-10%, класс прочности К52, тип 3-1220х12-К52 ГОСТ 20295-85</t>
  </si>
  <si>
    <t>Труба тип 3-1220х12-К52 ГОСТ 20295-85</t>
  </si>
  <si>
    <t>476190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</si>
  <si>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8мм, длина немерная, предельные отклонения: по наружному диаметру +/-3мм, по толщине стенки +0,6/-0,8мм, класс прочности К52, тип 3-530х8-К52 ГОСТ 20295-85</t>
  </si>
  <si>
    <t>Труба тип 3-530х8-К52 ГОСТ 20295-85</t>
  </si>
  <si>
    <t>476701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</si>
  <si>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8мм, длина немерная, предельные отклонения: по наружному диаметру +/-3мм, по толщине стенки +0,6/-0,8мм, класс прочности К52, тип 3-630х8-К52 ГОСТ 20295-85</t>
  </si>
  <si>
    <t>Труба тип 3-630х8-К52 ГОСТ 20295-85</t>
  </si>
  <si>
    <t>476394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</si>
  <si>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10мм, длина немерная, предельные отклонения: по наружному диаметру +/-4мм, по толщине стенки +0,6/-0,8мм, класс прочности К52, тип 3-720х10-К52 ГОСТ 20295-85</t>
  </si>
  <si>
    <t>Труба тип 3-720х10-К52 ГОСТ 20295-85</t>
  </si>
  <si>
    <t>476326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</si>
  <si>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10мм, длина немерная, предельные отклонения: по наружному диаметру +/-4мм, по толщине стенки +0,6/-0,8мм, класс прочности К52, тип 3-820х10-К52 ГОСТ 20295-85</t>
  </si>
  <si>
    <t>Труба тип 3-820х10-К52 ГОСТ 20295-85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</si>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</sst>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61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2990.0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2990.0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8" t="n">
        <v>2990.0</v>
      </c>
      <c r="AX16" s="9" t="n">
        <v>2990.0</v>
      </c>
      <c r="AY16" s="11" t="n">
        <v>0.0</v>
      </c>
      <c r="AZ16" s="10" t="n">
        <v>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318</v>
      </c>
      <c r="E17" s="4" t="s">
        <v>319</v>
      </c>
      <c r="F17" s="4" t="s">
        <v>320</v>
      </c>
      <c r="G17" s="4" t="s">
        <v>321</v>
      </c>
      <c r="H17" s="4" t="s">
        <v>322</v>
      </c>
      <c r="I17" s="4" t="s">
        <v>0</v>
      </c>
      <c r="J17" s="10"/>
      <c r="K17" s="12" t="n">
        <v>20500.0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20500.0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8" t="n">
        <v>20500.0</v>
      </c>
      <c r="AX17" s="9" t="n">
        <v>20500.0</v>
      </c>
      <c r="AY17" s="11" t="n">
        <v>0.0</v>
      </c>
      <c r="AZ17" s="10" t="n">
        <v>0.0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318</v>
      </c>
      <c r="E18" s="4" t="s">
        <v>319</v>
      </c>
      <c r="F18" s="4" t="s">
        <v>320</v>
      </c>
      <c r="G18" s="4" t="s">
        <v>321</v>
      </c>
      <c r="H18" s="4" t="s">
        <v>322</v>
      </c>
      <c r="I18" s="4" t="s">
        <v>0</v>
      </c>
      <c r="J18" s="10"/>
      <c r="K18" s="12" t="n">
        <v>9000.0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9000.0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8" t="n">
        <v>9000.0</v>
      </c>
      <c r="BL18" s="9" t="n">
        <v>9000.0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323</v>
      </c>
      <c r="E19" s="4" t="s">
        <v>324</v>
      </c>
      <c r="F19" s="4" t="s">
        <v>325</v>
      </c>
      <c r="G19" s="4" t="s">
        <v>321</v>
      </c>
      <c r="H19" s="4" t="s">
        <v>322</v>
      </c>
      <c r="I19" s="4" t="s">
        <v>0</v>
      </c>
      <c r="J19" s="10"/>
      <c r="K19" s="12" t="n">
        <v>4290.0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4290.0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11" t="n">
        <v>0.0</v>
      </c>
      <c r="AZ19" s="10" t="n">
        <v>0.0</v>
      </c>
      <c r="BA19" s="11" t="n">
        <v>0.0</v>
      </c>
      <c r="BB19" s="10" t="n">
        <v>0.0</v>
      </c>
      <c r="BC19" s="8" t="n">
        <v>4290.0</v>
      </c>
      <c r="BD19" s="9" t="n">
        <v>4290.0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326</v>
      </c>
      <c r="E20" s="4" t="s">
        <v>327</v>
      </c>
      <c r="F20" s="4" t="s">
        <v>328</v>
      </c>
      <c r="G20" s="4" t="s">
        <v>321</v>
      </c>
      <c r="H20" s="4" t="s">
        <v>322</v>
      </c>
      <c r="I20" s="4" t="s">
        <v>0</v>
      </c>
      <c r="J20" s="10"/>
      <c r="K20" s="12" t="n">
        <v>52402.0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52402.0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8" t="n">
        <v>5437.0</v>
      </c>
      <c r="AX20" s="9" t="n">
        <v>5437.0</v>
      </c>
      <c r="AY20" s="8" t="n">
        <v>46965.0</v>
      </c>
      <c r="AZ20" s="9" t="n">
        <v>46965.0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326</v>
      </c>
      <c r="E21" s="4" t="s">
        <v>327</v>
      </c>
      <c r="F21" s="4" t="s">
        <v>328</v>
      </c>
      <c r="G21" s="4" t="s">
        <v>321</v>
      </c>
      <c r="H21" s="4" t="s">
        <v>322</v>
      </c>
      <c r="I21" s="4" t="s">
        <v>0</v>
      </c>
      <c r="J21" s="10"/>
      <c r="K21" s="12" t="n">
        <v>21463.54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21463.54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8" t="n">
        <v>16595.0</v>
      </c>
      <c r="AX21" s="9" t="n">
        <v>16595.0</v>
      </c>
      <c r="AY21" s="8" t="n">
        <v>4868.54</v>
      </c>
      <c r="AZ21" s="9" t="n">
        <v>4868.54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326</v>
      </c>
      <c r="E22" s="4" t="s">
        <v>327</v>
      </c>
      <c r="F22" s="4" t="s">
        <v>328</v>
      </c>
      <c r="G22" s="4" t="s">
        <v>321</v>
      </c>
      <c r="H22" s="4" t="s">
        <v>322</v>
      </c>
      <c r="I22" s="4" t="s">
        <v>0</v>
      </c>
      <c r="J22" s="10"/>
      <c r="K22" s="12" t="n">
        <v>30000.0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30000.0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11" t="n">
        <v>0.0</v>
      </c>
      <c r="AX22" s="10" t="n">
        <v>0.0</v>
      </c>
      <c r="AY22" s="11" t="n">
        <v>0.0</v>
      </c>
      <c r="AZ22" s="10" t="n">
        <v>0.0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8" t="n">
        <v>15000.0</v>
      </c>
      <c r="BF22" s="9" t="n">
        <v>15000.0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8" t="n">
        <v>15000.0</v>
      </c>
      <c r="BL22" s="9" t="n">
        <v>15000.0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329</v>
      </c>
      <c r="E23" s="4" t="s">
        <v>330</v>
      </c>
      <c r="F23" s="4" t="s">
        <v>331</v>
      </c>
      <c r="G23" s="4" t="s">
        <v>321</v>
      </c>
      <c r="H23" s="4" t="s">
        <v>322</v>
      </c>
      <c r="I23" s="4" t="s">
        <v>0</v>
      </c>
      <c r="J23" s="10"/>
      <c r="K23" s="12" t="n">
        <v>28514.9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28514.9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8" t="n">
        <v>3480.0</v>
      </c>
      <c r="AX23" s="9" t="n">
        <v>3480.0</v>
      </c>
      <c r="AY23" s="8" t="n">
        <v>25034.9</v>
      </c>
      <c r="AZ23" s="9" t="n">
        <v>25034.9</v>
      </c>
      <c r="BA23" s="11" t="n">
        <v>0.0</v>
      </c>
      <c r="BB23" s="10" t="n">
        <v>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329</v>
      </c>
      <c r="E24" s="4" t="s">
        <v>330</v>
      </c>
      <c r="F24" s="4" t="s">
        <v>331</v>
      </c>
      <c r="G24" s="4" t="s">
        <v>321</v>
      </c>
      <c r="H24" s="4" t="s">
        <v>322</v>
      </c>
      <c r="I24" s="4" t="s">
        <v>0</v>
      </c>
      <c r="J24" s="10"/>
      <c r="K24" s="12" t="n">
        <v>15702.0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15702.0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11" t="n">
        <v>0.0</v>
      </c>
      <c r="AV24" s="10" t="n">
        <v>0.0</v>
      </c>
      <c r="AW24" s="8" t="n">
        <v>11429.0</v>
      </c>
      <c r="AX24" s="9" t="n">
        <v>11429.0</v>
      </c>
      <c r="AY24" s="8" t="n">
        <v>4273.0</v>
      </c>
      <c r="AZ24" s="9" t="n">
        <v>4273.0</v>
      </c>
      <c r="BA24" s="11" t="n">
        <v>0.0</v>
      </c>
      <c r="BB24" s="10" t="n">
        <v>0.0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329</v>
      </c>
      <c r="E25" s="4" t="s">
        <v>330</v>
      </c>
      <c r="F25" s="4" t="s">
        <v>331</v>
      </c>
      <c r="G25" s="4" t="s">
        <v>321</v>
      </c>
      <c r="H25" s="4" t="s">
        <v>322</v>
      </c>
      <c r="I25" s="4" t="s">
        <v>0</v>
      </c>
      <c r="J25" s="10"/>
      <c r="K25" s="12" t="n">
        <v>25000.0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25000.0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11" t="n">
        <v>0.0</v>
      </c>
      <c r="AV25" s="10" t="n">
        <v>0.0</v>
      </c>
      <c r="AW25" s="11" t="n">
        <v>0.0</v>
      </c>
      <c r="AX25" s="10" t="n">
        <v>0.0</v>
      </c>
      <c r="AY25" s="11" t="n">
        <v>0.0</v>
      </c>
      <c r="AZ25" s="10" t="n">
        <v>0.0</v>
      </c>
      <c r="BA25" s="11" t="n">
        <v>0.0</v>
      </c>
      <c r="BB25" s="10" t="n">
        <v>0.0</v>
      </c>
      <c r="BC25" s="11" t="n">
        <v>0.0</v>
      </c>
      <c r="BD25" s="10" t="n">
        <v>0.0</v>
      </c>
      <c r="BE25" s="11" t="n">
        <v>0.0</v>
      </c>
      <c r="BF25" s="10" t="n">
        <v>0.0</v>
      </c>
      <c r="BG25" s="8" t="n">
        <v>25000.0</v>
      </c>
      <c r="BH25" s="9" t="n">
        <v>25000.0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332</v>
      </c>
      <c r="E26" s="4" t="s">
        <v>333</v>
      </c>
      <c r="F26" s="4" t="s">
        <v>334</v>
      </c>
      <c r="G26" s="4" t="s">
        <v>321</v>
      </c>
      <c r="H26" s="4" t="s">
        <v>322</v>
      </c>
      <c r="I26" s="4" t="s">
        <v>0</v>
      </c>
      <c r="J26" s="10"/>
      <c r="K26" s="12" t="n">
        <v>5500.0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5500.0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11" t="n">
        <v>0.0</v>
      </c>
      <c r="AV26" s="10" t="n">
        <v>0.0</v>
      </c>
      <c r="AW26" s="8" t="n">
        <v>3600.0</v>
      </c>
      <c r="AX26" s="9" t="n">
        <v>3600.0</v>
      </c>
      <c r="AY26" s="8" t="n">
        <v>1900.0</v>
      </c>
      <c r="AZ26" s="9" t="n">
        <v>1900.0</v>
      </c>
      <c r="BA26" s="11" t="n">
        <v>0.0</v>
      </c>
      <c r="BB26" s="10" t="n">
        <v>0.0</v>
      </c>
      <c r="BC26" s="11" t="n">
        <v>0.0</v>
      </c>
      <c r="BD26" s="10" t="n">
        <v>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332</v>
      </c>
      <c r="E27" s="4" t="s">
        <v>333</v>
      </c>
      <c r="F27" s="4" t="s">
        <v>334</v>
      </c>
      <c r="G27" s="4" t="s">
        <v>321</v>
      </c>
      <c r="H27" s="4" t="s">
        <v>322</v>
      </c>
      <c r="I27" s="4" t="s">
        <v>0</v>
      </c>
      <c r="J27" s="10"/>
      <c r="K27" s="12" t="n">
        <v>19455.93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19455.93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11" t="n">
        <v>0.0</v>
      </c>
      <c r="AV27" s="10" t="n">
        <v>0.0</v>
      </c>
      <c r="AW27" s="8" t="n">
        <v>9987.93</v>
      </c>
      <c r="AX27" s="9" t="n">
        <v>9987.93</v>
      </c>
      <c r="AY27" s="8" t="n">
        <v>9468.0</v>
      </c>
      <c r="AZ27" s="9" t="n">
        <v>9468.0</v>
      </c>
      <c r="BA27" s="11" t="n">
        <v>0.0</v>
      </c>
      <c r="BB27" s="10" t="n">
        <v>0.0</v>
      </c>
      <c r="BC27" s="11" t="n">
        <v>0.0</v>
      </c>
      <c r="BD27" s="10" t="n">
        <v>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11" t="n">
        <v>0.0</v>
      </c>
      <c r="BJ27" s="10" t="n">
        <v>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332</v>
      </c>
      <c r="E28" s="4" t="s">
        <v>333</v>
      </c>
      <c r="F28" s="4" t="s">
        <v>334</v>
      </c>
      <c r="G28" s="4" t="s">
        <v>321</v>
      </c>
      <c r="H28" s="4" t="s">
        <v>322</v>
      </c>
      <c r="I28" s="4" t="s">
        <v>0</v>
      </c>
      <c r="J28" s="10"/>
      <c r="K28" s="12" t="n">
        <v>27000.0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27000.0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11" t="n">
        <v>0.0</v>
      </c>
      <c r="AV28" s="10" t="n">
        <v>0.0</v>
      </c>
      <c r="AW28" s="11" t="n">
        <v>0.0</v>
      </c>
      <c r="AX28" s="10" t="n">
        <v>0.0</v>
      </c>
      <c r="AY28" s="11" t="n">
        <v>0.0</v>
      </c>
      <c r="AZ28" s="10" t="n">
        <v>0.0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11" t="n">
        <v>0.0</v>
      </c>
      <c r="BF28" s="10" t="n">
        <v>0.0</v>
      </c>
      <c r="BG28" s="11" t="n">
        <v>0.0</v>
      </c>
      <c r="BH28" s="10" t="n">
        <v>0.0</v>
      </c>
      <c r="BI28" s="8" t="n">
        <v>27000.0</v>
      </c>
      <c r="BJ28" s="9" t="n">
        <v>27000.0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335</v>
      </c>
      <c r="E29" s="4" t="s">
        <v>336</v>
      </c>
      <c r="F29" s="4" t="s">
        <v>337</v>
      </c>
      <c r="G29" s="4" t="s">
        <v>321</v>
      </c>
      <c r="H29" s="4" t="s">
        <v>322</v>
      </c>
      <c r="I29" s="4" t="s">
        <v>0</v>
      </c>
      <c r="J29" s="10"/>
      <c r="K29" s="12" t="n">
        <v>4557.0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4557.0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11" t="n">
        <v>0.0</v>
      </c>
      <c r="AV29" s="10" t="n">
        <v>0.0</v>
      </c>
      <c r="AW29" s="8" t="n">
        <v>4557.0</v>
      </c>
      <c r="AX29" s="9" t="n">
        <v>4557.0</v>
      </c>
      <c r="AY29" s="11" t="n">
        <v>0.0</v>
      </c>
      <c r="AZ29" s="10" t="n">
        <v>0.0</v>
      </c>
      <c r="BA29" s="11" t="n">
        <v>0.0</v>
      </c>
      <c r="BB29" s="10" t="n">
        <v>0.0</v>
      </c>
      <c r="BC29" s="11" t="n">
        <v>0.0</v>
      </c>
      <c r="BD29" s="10" t="n">
        <v>0.0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>
      <c r="A30" s="10"/>
      <c r="B30" s="4" t="s">
        <v>317</v>
      </c>
      <c r="C30" s="4" t="n">
        <v>15.0</v>
      </c>
      <c r="D30" s="4" t="s">
        <v>335</v>
      </c>
      <c r="E30" s="4" t="s">
        <v>336</v>
      </c>
      <c r="F30" s="4" t="s">
        <v>337</v>
      </c>
      <c r="G30" s="4" t="s">
        <v>321</v>
      </c>
      <c r="H30" s="4" t="s">
        <v>322</v>
      </c>
      <c r="I30" s="4" t="s">
        <v>0</v>
      </c>
      <c r="J30" s="10"/>
      <c r="K30" s="12" t="n">
        <v>10000.0</v>
      </c>
      <c r="L30" s="10"/>
      <c r="M30" s="10"/>
      <c r="N30" s="10"/>
      <c r="O30" s="10"/>
      <c r="P30" s="10" t="n">
        <f>IF(OR(R30="Российская Федерация",R30="Армения",R30="Белоруссия",R30="Беларуь",R30="Казахстан",R30="Киргизия",R30="Кыргызстан",R30="ДНР",R30="ЛНР"), 1, 0)</f>
        <v>0.0</v>
      </c>
      <c r="Q30" s="10"/>
      <c r="R30" s="10" t="str">
        <f>IFERROR(IF(P30=1, "Российская Федерация", "Не заполнено"),"")</f>
        <v/>
      </c>
      <c r="S30" s="10"/>
      <c r="T30" s="10"/>
      <c r="U30" s="10"/>
      <c r="V30" s="12" t="n">
        <f>SUM(X30,Z30,AB30,AD30,AF30,AH30,AJ30,AL30,AN30,AP30,AR30,AT30,AV30,AX30,AZ30,BB30,BD30,BF30,BH30,BJ30,BL30,BN30,BP30,BR30,BV30,BZ30,CD30,CH30)</f>
        <v>10000.0</v>
      </c>
      <c r="W30" s="11" t="n">
        <v>0.0</v>
      </c>
      <c r="X30" s="10" t="n">
        <v>0.0</v>
      </c>
      <c r="Y30" s="11" t="n">
        <v>0.0</v>
      </c>
      <c r="Z30" s="10" t="n">
        <v>0.0</v>
      </c>
      <c r="AA30" s="11" t="n">
        <v>0.0</v>
      </c>
      <c r="AB30" s="10" t="n">
        <v>0.0</v>
      </c>
      <c r="AC30" s="11" t="n">
        <v>0.0</v>
      </c>
      <c r="AD30" s="10" t="n">
        <v>0.0</v>
      </c>
      <c r="AE30" s="11" t="n">
        <v>0.0</v>
      </c>
      <c r="AF30" s="10" t="n">
        <v>0.0</v>
      </c>
      <c r="AG30" s="11" t="n">
        <v>0.0</v>
      </c>
      <c r="AH30" s="10" t="n">
        <v>0.0</v>
      </c>
      <c r="AI30" s="11" t="n">
        <v>0.0</v>
      </c>
      <c r="AJ30" s="10" t="n">
        <v>0.0</v>
      </c>
      <c r="AK30" s="11" t="n">
        <v>0.0</v>
      </c>
      <c r="AL30" s="10" t="n">
        <v>0.0</v>
      </c>
      <c r="AM30" s="11" t="n">
        <v>0.0</v>
      </c>
      <c r="AN30" s="10" t="n">
        <v>0.0</v>
      </c>
      <c r="AO30" s="11" t="n">
        <v>0.0</v>
      </c>
      <c r="AP30" s="10" t="n">
        <v>0.0</v>
      </c>
      <c r="AQ30" s="11" t="n">
        <v>0.0</v>
      </c>
      <c r="AR30" s="10" t="n">
        <v>0.0</v>
      </c>
      <c r="AS30" s="11" t="n">
        <v>0.0</v>
      </c>
      <c r="AT30" s="10" t="n">
        <v>0.0</v>
      </c>
      <c r="AU30" s="11" t="n">
        <v>0.0</v>
      </c>
      <c r="AV30" s="10" t="n">
        <v>0.0</v>
      </c>
      <c r="AW30" s="11" t="n">
        <v>0.0</v>
      </c>
      <c r="AX30" s="10" t="n">
        <v>0.0</v>
      </c>
      <c r="AY30" s="11" t="n">
        <v>0.0</v>
      </c>
      <c r="AZ30" s="10" t="n">
        <v>0.0</v>
      </c>
      <c r="BA30" s="11" t="n">
        <v>0.0</v>
      </c>
      <c r="BB30" s="10" t="n">
        <v>0.0</v>
      </c>
      <c r="BC30" s="11" t="n">
        <v>0.0</v>
      </c>
      <c r="BD30" s="10" t="n">
        <v>0.0</v>
      </c>
      <c r="BE30" s="11" t="n">
        <v>0.0</v>
      </c>
      <c r="BF30" s="10" t="n">
        <v>0.0</v>
      </c>
      <c r="BG30" s="11" t="n">
        <v>0.0</v>
      </c>
      <c r="BH30" s="10" t="n">
        <v>0.0</v>
      </c>
      <c r="BI30" s="11" t="n">
        <v>0.0</v>
      </c>
      <c r="BJ30" s="10" t="n">
        <v>0.0</v>
      </c>
      <c r="BK30" s="8" t="n">
        <v>10000.0</v>
      </c>
      <c r="BL30" s="9" t="n">
        <v>10000.0</v>
      </c>
      <c r="BM30" s="11" t="n">
        <v>0.0</v>
      </c>
      <c r="BN30" s="10" t="n">
        <v>0.0</v>
      </c>
      <c r="BO30" s="11" t="n">
        <v>0.0</v>
      </c>
      <c r="BP30" s="10" t="n">
        <v>0.0</v>
      </c>
      <c r="BQ30" s="11" t="n">
        <v>0.0</v>
      </c>
      <c r="BR30" s="10" t="n">
        <v>0.0</v>
      </c>
      <c r="BS30" s="11"/>
      <c r="BT30" s="11" t="n">
        <v>0.0</v>
      </c>
      <c r="BU30" s="10"/>
      <c r="BV30" s="10" t="n">
        <v>0.0</v>
      </c>
      <c r="BW30" s="11"/>
      <c r="BX30" s="11" t="n">
        <v>0.0</v>
      </c>
      <c r="BY30" s="10"/>
      <c r="BZ30" s="10" t="n">
        <v>0.0</v>
      </c>
      <c r="CA30" s="11"/>
      <c r="CB30" s="11" t="n">
        <v>0.0</v>
      </c>
      <c r="CC30" s="10"/>
      <c r="CD30" s="10" t="n">
        <v>0.0</v>
      </c>
      <c r="CE30" s="11"/>
      <c r="CF30" s="11" t="n">
        <v>0.0</v>
      </c>
      <c r="CG30" s="10"/>
      <c r="CH30" s="10" t="n">
        <v>0.0</v>
      </c>
    </row>
    <row r="31" ht="15.0" customHeight="true">
      <c r="A31" s="1"/>
    </row>
    <row r="32" ht="0.05" customHeight="true">
      <c r="B32" t="s" s="88">
        <v>338</v>
      </c>
    </row>
    <row r="33" ht="0.05" customHeight="true">
      <c r="C33" t="s" s="89">
        <v>339</v>
      </c>
      <c r="D33" t="s" s="90">
        <v>340</v>
      </c>
      <c r="E33" s="91"/>
      <c r="F33" s="91"/>
      <c r="G33" s="92"/>
      <c r="H33" t="s" s="90">
        <v>341</v>
      </c>
      <c r="I33" s="91"/>
      <c r="J33" s="91"/>
      <c r="K33" s="91"/>
      <c r="L33" s="91"/>
      <c r="M33" s="92"/>
    </row>
    <row r="34" ht="20.25" customHeight="true">
      <c r="C34" t="n" s="93">
        <v>1.0</v>
      </c>
      <c r="D34" t="s" s="94">
        <v>342</v>
      </c>
      <c r="E34" s="95"/>
      <c r="F34" s="95"/>
      <c r="G34" s="96"/>
      <c r="H34" s="97"/>
      <c r="I34" s="98"/>
      <c r="J34" s="98"/>
      <c r="K34" s="98"/>
      <c r="L34" s="98"/>
      <c r="M34" s="99"/>
    </row>
    <row r="35" ht="18.75" customHeight="true">
      <c r="C35" t="n" s="93">
        <v>2.0</v>
      </c>
      <c r="D35" t="s" s="94">
        <v>343</v>
      </c>
      <c r="E35" s="95"/>
      <c r="F35" s="95"/>
      <c r="G35" s="96"/>
      <c r="H35" s="97"/>
      <c r="I35" s="98"/>
      <c r="J35" s="98"/>
      <c r="K35" s="98"/>
      <c r="L35" s="98"/>
      <c r="M35" s="99"/>
    </row>
    <row r="36" ht="35.1" customHeight="true">
      <c r="C36" t="n" s="93">
        <v>3.0</v>
      </c>
      <c r="D36" t="s" s="94">
        <v>344</v>
      </c>
      <c r="E36" s="95"/>
      <c r="F36" s="95"/>
      <c r="G36" s="96"/>
      <c r="H36" t="s" s="97">
        <v>256</v>
      </c>
      <c r="I36" s="98"/>
      <c r="J36" s="98"/>
      <c r="K36" s="98"/>
      <c r="L36" s="98"/>
      <c r="M36" s="99"/>
    </row>
    <row r="37" ht="50.1" customHeight="true">
      <c r="C37" t="n" s="93">
        <v>4.0</v>
      </c>
      <c r="D37" t="s" s="94">
        <v>345</v>
      </c>
      <c r="E37" s="95"/>
      <c r="F37" s="95"/>
      <c r="G37" s="96"/>
      <c r="H37" t="s" s="97">
        <v>256</v>
      </c>
      <c r="I37" s="98"/>
      <c r="J37" s="98"/>
      <c r="K37" s="98"/>
      <c r="L37" s="98"/>
      <c r="M37" s="99"/>
    </row>
    <row r="38" ht="35.1" customHeight="true">
      <c r="C38" t="n" s="93">
        <v>5.0</v>
      </c>
      <c r="D38" t="s" s="94">
        <v>346</v>
      </c>
      <c r="E38" s="95"/>
      <c r="F38" s="95"/>
      <c r="G38" s="96"/>
      <c r="H38" t="s" s="97">
        <v>256</v>
      </c>
      <c r="I38" s="98"/>
      <c r="J38" s="98"/>
      <c r="K38" s="98"/>
      <c r="L38" s="98"/>
      <c r="M38" s="99"/>
    </row>
    <row r="39" ht="12.75" customHeight="true">
      <c r="C39" t="n" s="93">
        <v>6.0</v>
      </c>
      <c r="D39" t="s" s="97">
        <v>256</v>
      </c>
      <c r="E39" s="98"/>
      <c r="F39" s="98"/>
      <c r="G39" s="99"/>
      <c r="H39" t="s" s="97">
        <v>256</v>
      </c>
      <c r="I39" s="98"/>
      <c r="J39" s="98"/>
      <c r="K39" s="98"/>
      <c r="L39" s="98"/>
      <c r="M39" s="99"/>
    </row>
    <row r="40" ht="12.75" customHeight="true">
      <c r="C40" t="n" s="93">
        <v>7.0</v>
      </c>
      <c r="D40" t="s" s="97">
        <v>256</v>
      </c>
      <c r="E40" s="98"/>
      <c r="F40" s="98"/>
      <c r="G40" s="99"/>
      <c r="H40" t="s" s="97">
        <v>256</v>
      </c>
      <c r="I40" s="98"/>
      <c r="J40" s="98"/>
      <c r="K40" s="98"/>
      <c r="L40" s="98"/>
      <c r="M40" s="99"/>
    </row>
    <row r="41" ht="12.75" customHeight="true">
      <c r="C41" t="n" s="93">
        <v>8.0</v>
      </c>
      <c r="D41" t="s" s="97">
        <v>256</v>
      </c>
      <c r="E41" s="98"/>
      <c r="F41" s="98"/>
      <c r="G41" s="99"/>
      <c r="H41" t="s" s="97">
        <v>256</v>
      </c>
      <c r="I41" s="98"/>
      <c r="J41" s="98"/>
      <c r="K41" s="98"/>
      <c r="L41" s="98"/>
      <c r="M41" s="99"/>
    </row>
    <row r="42" ht="12.75" customHeight="true">
      <c r="C42" t="n" s="93">
        <v>8.0</v>
      </c>
      <c r="D42" t="s" s="97">
        <v>256</v>
      </c>
      <c r="E42" s="98"/>
      <c r="F42" s="98"/>
      <c r="G42" s="99"/>
      <c r="H42" t="s" s="97">
        <v>256</v>
      </c>
      <c r="I42" s="98"/>
      <c r="J42" s="98"/>
      <c r="K42" s="98"/>
      <c r="L42" s="98"/>
      <c r="M42" s="99"/>
    </row>
    <row r="43" ht="12.75" customHeight="true">
      <c r="C43" t="n" s="93">
        <v>10.0</v>
      </c>
      <c r="D43" t="s" s="97">
        <v>256</v>
      </c>
      <c r="E43" s="98"/>
      <c r="F43" s="98"/>
      <c r="G43" s="99"/>
      <c r="H43" t="s" s="97">
        <v>256</v>
      </c>
      <c r="I43" s="98"/>
      <c r="J43" s="98"/>
      <c r="K43" s="98"/>
      <c r="L43" s="98"/>
      <c r="M43" s="99"/>
    </row>
    <row r="44" ht="12.75" customHeight="true">
      <c r="C44" t="n" s="93">
        <v>11.0</v>
      </c>
      <c r="D44" t="s" s="97">
        <v>256</v>
      </c>
      <c r="E44" s="98"/>
      <c r="F44" s="98"/>
      <c r="G44" s="99"/>
      <c r="H44" t="s" s="97">
        <v>256</v>
      </c>
      <c r="I44" s="98"/>
      <c r="J44" s="98"/>
      <c r="K44" s="98"/>
      <c r="L44" s="98"/>
      <c r="M44" s="99"/>
    </row>
    <row r="45" ht="12.75" customHeight="true">
      <c r="C45" t="n" s="93">
        <v>12.0</v>
      </c>
      <c r="D45" t="s" s="97">
        <v>256</v>
      </c>
      <c r="E45" s="98"/>
      <c r="F45" s="98"/>
      <c r="G45" s="99"/>
      <c r="H45" t="s" s="97">
        <v>256</v>
      </c>
      <c r="I45" s="98"/>
      <c r="J45" s="98"/>
      <c r="K45" s="98"/>
      <c r="L45" s="98"/>
      <c r="M45" s="99"/>
    </row>
    <row r="46" ht="12.75" customHeight="true">
      <c r="C46" t="n" s="93">
        <v>13.0</v>
      </c>
      <c r="D46" t="s" s="97">
        <v>256</v>
      </c>
      <c r="E46" s="98"/>
      <c r="F46" s="98"/>
      <c r="G46" s="99"/>
      <c r="H46" t="s" s="97">
        <v>256</v>
      </c>
      <c r="I46" s="98"/>
      <c r="J46" s="98"/>
      <c r="K46" s="98"/>
      <c r="L46" s="98"/>
      <c r="M46" s="99"/>
    </row>
    <row r="47" ht="12.75" customHeight="true">
      <c r="C47" t="n" s="93">
        <v>14.0</v>
      </c>
      <c r="D47" t="s" s="97">
        <v>256</v>
      </c>
      <c r="E47" s="98"/>
      <c r="F47" s="98"/>
      <c r="G47" s="99"/>
      <c r="H47" t="s" s="97">
        <v>256</v>
      </c>
      <c r="I47" s="98"/>
      <c r="J47" s="98"/>
      <c r="K47" s="98"/>
      <c r="L47" s="98"/>
      <c r="M47" s="99"/>
    </row>
    <row r="48" ht="12.75" customHeight="true">
      <c r="C48" t="n" s="93">
        <v>15.0</v>
      </c>
      <c r="D48" t="s" s="97">
        <v>256</v>
      </c>
      <c r="E48" s="98"/>
      <c r="F48" s="98"/>
      <c r="G48" s="99"/>
      <c r="H48" t="s" s="97">
        <v>256</v>
      </c>
      <c r="I48" s="98"/>
      <c r="J48" s="98"/>
      <c r="K48" s="98"/>
      <c r="L48" s="98"/>
      <c r="M48" s="99"/>
    </row>
    <row r="49"/>
    <row r="50" ht="15.0" customHeight="true">
      <c r="B50" t="s" s="100">
        <v>347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2"/>
    </row>
    <row r="51" ht="30.0" customHeight="true">
      <c r="B51" t="s" s="103">
        <v>348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2"/>
    </row>
    <row r="52" ht="30.0" customHeight="true">
      <c r="B52" t="s" s="103">
        <v>349</v>
      </c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2"/>
    </row>
    <row r="53" ht="15.75" customHeight="true">
      <c r="B53" t="s" s="103">
        <v>350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5"/>
    </row>
    <row r="54" ht="15.75" customHeight="true">
      <c r="B54" t="s" s="103">
        <v>351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2"/>
    </row>
    <row r="55" ht="15.75" customHeight="true">
      <c r="B55" t="s" s="103">
        <v>352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2"/>
    </row>
    <row r="56" ht="15.0" customHeight="true">
      <c r="B56" t="s" s="103">
        <v>353</v>
      </c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6"/>
    </row>
    <row r="57" ht="35.25" customHeight="true">
      <c r="B57" t="s" s="103">
        <v>354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6"/>
    </row>
    <row r="58" ht="50.25" customHeight="true">
      <c r="B58" t="s" s="107">
        <v>355</v>
      </c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9"/>
    </row>
    <row r="59" ht="37.5" customHeight="true">
      <c r="B59" t="s" s="103">
        <v>356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9"/>
    </row>
    <row r="60" ht="34.5" customHeight="true">
      <c r="B60" t="s" s="107">
        <v>357</v>
      </c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9"/>
    </row>
    <row r="61" ht="15.0" customHeight="true">
      <c r="B61" t="s" s="103">
        <v>358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</row>
  </sheetData>
  <sheetProtection autoFilter="false" sort="false" password="CDB0" sheet="true" scenarios="true" objects="true"/>
  <autoFilter ref="B15:R30"/>
  <mergeCells count="115">
    <mergeCell ref="B56:P56"/>
    <mergeCell ref="B57:P57"/>
    <mergeCell ref="B58:P58"/>
    <mergeCell ref="B59:P59"/>
    <mergeCell ref="B60:P60"/>
    <mergeCell ref="B61:P61"/>
    <mergeCell ref="B50:P50"/>
    <mergeCell ref="B51:P51"/>
    <mergeCell ref="B52:P52"/>
    <mergeCell ref="B53:P53"/>
    <mergeCell ref="B54:P54"/>
    <mergeCell ref="B55:P55"/>
    <mergeCell ref="D46:G46"/>
    <mergeCell ref="H46:M46"/>
    <mergeCell ref="D47:G47"/>
    <mergeCell ref="H47:M47"/>
    <mergeCell ref="D48:G48"/>
    <mergeCell ref="H48:M48"/>
    <mergeCell ref="D43:G43"/>
    <mergeCell ref="H43:M43"/>
    <mergeCell ref="D44:G44"/>
    <mergeCell ref="H44:M44"/>
    <mergeCell ref="D45:G45"/>
    <mergeCell ref="H45:M45"/>
    <mergeCell ref="D40:G40"/>
    <mergeCell ref="H40:M40"/>
    <mergeCell ref="D41:G41"/>
    <mergeCell ref="H41:M41"/>
    <mergeCell ref="D42:G42"/>
    <mergeCell ref="H42:M42"/>
    <mergeCell ref="D37:G37"/>
    <mergeCell ref="H37:M37"/>
    <mergeCell ref="D38:G38"/>
    <mergeCell ref="H38:M38"/>
    <mergeCell ref="D39:G39"/>
    <mergeCell ref="H39:M39"/>
    <mergeCell ref="D35:G35"/>
    <mergeCell ref="H35:M35"/>
    <mergeCell ref="D36:G36"/>
    <mergeCell ref="H36:M36"/>
    <mergeCell ref="BO13:BP13"/>
    <mergeCell ref="BQ13:BR13"/>
    <mergeCell ref="D33:G33"/>
    <mergeCell ref="H33:M3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34:G34"/>
    <mergeCell ref="H34:M34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15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2026-09-24T08:30:00Z</dcterms:created>
  <dc:creator>Apache POI</dc:creator>
</cp:coreProperties>
</file>