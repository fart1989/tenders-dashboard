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Шаблон!$B$17:$S$22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<sst xmlns="http://schemas.openxmlformats.org/spreadsheetml/2006/main" count="615" uniqueCount="355">
  <si>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</si>
  <si>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</si>
  <si>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</si>
  <si>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</si>
  <si>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</si>
  <si>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</si>
  <si>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</si>
  <si>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</si>
  <si>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</si>
  <si>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</si>
  <si>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</si>
  <si>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</si>
  <si>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</si>
  <si>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</si>
  <si>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</si>
  <si>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</si>
  <si>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</si>
  <si>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</si>
  <si>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</si>
  <si>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</si>
  <si>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</si>
  <si>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</si>
  <si>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</si>
  <si>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</si>
  <si>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</si>
  <si>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</si>
  <si>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</si>
  <si>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</si>
  <si>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</si>
  <si>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</si>
  <si>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</si>
  <si>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</si>
  <si>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</si>
  <si>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</si>
  <si>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</si>
  <si>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</si>
  <si>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</si>
  <si>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</si>
  <si>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</si>
  <si>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</si>
  <si>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</si>
  <si>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</si>
  <si>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</si>
  <si>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</si>
  <si>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</si>
  <si>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</si>
  <si>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</si>
  <si>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</si>
  <si>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</si>
  <si>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</si>
  <si>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</si>
  <si>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</si>
  <si>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</si>
  <si>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</si>
  <si>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</si>
  <si>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</si>
  <si>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</si>
  <si>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</si>
  <si>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</si>
  <si>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</si>
  <si>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</si>
  <si>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</si>
  <si>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</si>
  <si>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</si>
  <si>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</si>
  <si>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</si>
  <si>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</si>
  <si>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</si>
  <si>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</si>
  <si>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</si>
  <si>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</si>
  <si>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</si>
  <si>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</si>
  <si>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</si>
  <si>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</si>
  <si>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</si>
  <si>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</si>
  <si>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</si>
  <si>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</si>
  <si>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</si>
  <si>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</si>
  <si>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</si>
  <si>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</si>
  <si>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</si>
  <si>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</si>
  <si>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</si>
  <si>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</si>
  <si>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</si>
  <si>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</si>
  <si>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</si>
  <si>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</si>
  <si>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</si>
  <si>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</si>
  <si>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</si>
  <si>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</si>
  <si>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</si>
  <si>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</si>
  <si>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</si>
  <si>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</si>
  <si>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</si>
  <si>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</si>
  <si>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</si>
  <si>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</si>
  <si>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</si>
  <si>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</si>
  <si>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</si>
  <si>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</si>
  <si>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</si>
  <si>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</si>
  <si>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</si>
  <si>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</si>
  <si>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</si>
  <si>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</si>
  <si>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</si>
  <si>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</si>
  <si>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</si>
  <si>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</si>
  <si>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</si>
  <si>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</si>
  <si>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</si>
  <si>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</si>
  <si>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</si>
  <si>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</si>
  <si>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</si>
  <si>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</si>
  <si>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</si>
  <si>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</si>
  <si>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</si>
  <si>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</si>
  <si>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</si>
  <si>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</si>
  <si>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</si>
  <si>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</si>
  <si>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</si>
  <si>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</si>
  <si>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</si>
  <si>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</si>
  <si>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</si>
  <si>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</si>
  <si>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</si>
  <si>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</si>
  <si>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</si>
  <si>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</si>
  <si>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</si>
  <si>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</si>
  <si>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</si>
  <si>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</si>
  <si>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</si>
  <si>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</si>
  <si>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</si>
  <si>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</si>
  <si>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</si>
  <si>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</si>
  <si>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</si>
  <si>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</si>
  <si>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</si>
  <si>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</si>
  <si>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</si>
  <si>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</si>
  <si>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</si>
  <si>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</si>
  <si>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</si>
  <si>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</si>
  <si>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</si>
  <si>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</si>
  <si>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</si>
  <si>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</si>
  <si>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</si>
  <si>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</si>
  <si>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</si>
  <si>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</si>
  <si>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</si>
  <si>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</si>
  <si>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</si>
  <si>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</si>
  <si>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</si>
  <si>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</si>
  <si>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</si>
  <si>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</si>
  <si>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</si>
  <si>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</si>
  <si>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</si>
  <si>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</si>
  <si>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</si>
  <si>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</si>
  <si>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</si>
  <si>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</si>
  <si>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</si>
  <si>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</si>
  <si>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</si>
  <si>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</si>
  <si>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</si>
  <si>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</si>
  <si>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</si>
  <si>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</si>
  <si>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</si>
  <si>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</si>
  <si>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</si>
  <si>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</si>
  <si>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</si>
  <si>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</si>
  <si>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</si>
  <si>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</si>
  <si>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</si>
  <si>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</si>
  <si>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</si>
  <si>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</si>
  <si>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</si>
  <si>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</si>
  <si>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</si>
  <si>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</si>
  <si>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</si>
  <si>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</si>
  <si>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</si>
  <si>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</si>
  <si>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</si>
  <si>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</si>
  <si>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</si>
  <si>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</si>
  <si>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</si>
  <si>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</si>
  <si>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</si>
  <si>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</si>
  <si>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</si>
  <si>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</si>
  <si>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</si>
  <si>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</si>
  <si>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</si>
  <si>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</si>
  <si>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</si>
  <si>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</si>
  <si>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</si>
  <si>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</si>
  <si>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</si>
  <si>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</si>
  <si>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</si>
  <si>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</si>
  <si>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</si>
  <si>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</si>
  <si>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</si>
  <si>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</si>
  <si>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</si>
  <si>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</si>
  <si>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</si>
  <si>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</si>
  <si>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</si>
  <si>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</si>
  <si>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</si>
  <si>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</si>
  <si>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</si>
  <si>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</si>
  <si>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</si>
  <si>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</si>
  <si>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</si>
  <si>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</si>
  <si>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</si>
  <si>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</si>
  <si>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</si>
  <si>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</si>
  <si>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</si>
  <si>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</si>
  <si>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</si>
  <si>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</si>
  <si>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</si>
  <si>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</si>
  <si>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560.26.00747 Поставка труб большого диаметра для нужд Гусиноозерской ГРЭС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</si>
  <si>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</si>
  <si>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</si>
  <si>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</si>
  <si>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</si>
  <si>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</si>
  <si>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</si>
  <si>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</si>
  <si>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</si>
  <si>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</si>
  <si>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</si>
  <si>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</si>
  <si>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</si>
  <si>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</si>
  <si>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</si>
  <si>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</si>
  <si>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</si>
  <si>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</si>
  <si>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</si>
  <si>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</si>
  <si>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</si>
  <si>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</si>
  <si>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</si>
  <si>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</si>
  <si>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</si>
  <si>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</si>
  <si>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</si>
  <si>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</si>
  <si>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</si>
  <si>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</si>
  <si>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</si>
  <si>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</si>
  <si>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</si>
  <si>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</si>
  <si>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</si>
  <si>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</si>
  <si>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</si>
  <si>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</si>
  <si>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</si>
  <si>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</si>
  <si>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</si>
  <si>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</si>
  <si>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</si>
  <si>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</si>
  <si>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</si>
  <si>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</si>
  <si>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</si>
  <si>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</si>
  <si>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</si>
  <si>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ЭГ-&gt;ГОГРЭС</t>
  </si>
  <si>
    <t>473648</t>
  </si>
  <si>
    <t>Труба стальная, прямошовная, электросварная, точность изготовления обычная, наружный диаметр 530мм, толщина стенки 10мм, длина немерная, материал сталь 20, с нормированием механических свойств и химического состава (В), 530х10/В-ст.20 ГОСТ 10704-91, ГОСТ 10705-80</t>
  </si>
  <si>
    <t>Труба 530х10/В-ст.20 ГОСТ 10704-91, ГОСТ 10705-80</t>
  </si>
  <si>
    <t>ГОСТ 10704-91,ГОСТ 10705-80</t>
  </si>
  <si>
    <t>Килограмм</t>
  </si>
  <si>
    <t>476204</t>
  </si>
  <si>
    <t>Труба стальная прямошовная, электросварная, наружный диаметр 630мм, толщина стенки 12мм, длина немерная, предельные отклонения: по наружному диаметру +/-0,7% (точность изготовления обычная), по толщине стенки +1/-0,8мм, материал сталь 20, с нормированием механических свойств и химического состава (группа В), 630х12/В-20 ГОСТ 10704-91, ГОСТ 10705-80</t>
  </si>
  <si>
    <t>Труба 630х12/В-20 ГОСТ 10704-91, ГОСТ 10705-80</t>
  </si>
  <si>
    <t>498780</t>
  </si>
  <si>
    <t>Труба стальная, прямошовная, электросварная, наружный диаметр 630мм, толщина стенки 8мм, длина немерная, материал сталь 20, с нормированием механических свойств и химического состава (В), 630х8/В-20 ГОСТ 10704-91, ГОСТ 10705-80</t>
  </si>
  <si>
    <t>Труба 630х8/В-20 ГОСТ 10704-91, ГОСТ 10705-80</t>
  </si>
  <si>
    <t>562038</t>
  </si>
  <si>
    <t>Труба стальная прямошовная, электросварная, наружный диаметр 720мм, толщина стенки 10мм,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720х10/В-20 ГОСТ 10704-91, ГОСТ 10705-80</t>
  </si>
  <si>
    <t>Труба 720х10/В-20 ГОСТ 10704-91, ГОСТ 10705-80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</si>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</sst>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48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99.31</v>
      </c>
      <c r="K18" s="6" t="n">
        <v>5520.0</v>
      </c>
      <c r="L18" s="5" t="n">
        <v>548191.2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Q25,)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5520.0</v>
      </c>
      <c r="Y18" s="4" t="n">
        <v>2664648.0</v>
      </c>
    </row>
    <row r="19">
      <c r="A19" s="1"/>
      <c r="B19" s="4" t="s">
        <v>314</v>
      </c>
      <c r="C19" s="4" t="n">
        <v>2.0</v>
      </c>
      <c r="D19" s="4" t="s">
        <v>315</v>
      </c>
      <c r="E19" s="4" t="s">
        <v>316</v>
      </c>
      <c r="F19" s="4" t="s">
        <v>317</v>
      </c>
      <c r="G19" s="4" t="s">
        <v>318</v>
      </c>
      <c r="H19" s="4" t="s">
        <v>319</v>
      </c>
      <c r="I19" s="4" t="s">
        <v>0</v>
      </c>
      <c r="J19" s="5" t="n">
        <v>99.31</v>
      </c>
      <c r="K19" s="6" t="n">
        <v>126355.15</v>
      </c>
      <c r="L19" s="5" t="n">
        <v>1.25483299465E7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Q25,)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126355.15</v>
      </c>
      <c r="Y19" s="4" t="n">
        <v>2664649.0</v>
      </c>
    </row>
    <row r="20">
      <c r="A20" s="1"/>
      <c r="B20" s="4" t="s">
        <v>314</v>
      </c>
      <c r="C20" s="4" t="n">
        <v>3.0</v>
      </c>
      <c r="D20" s="4" t="s">
        <v>320</v>
      </c>
      <c r="E20" s="4" t="s">
        <v>321</v>
      </c>
      <c r="F20" s="4" t="s">
        <v>322</v>
      </c>
      <c r="G20" s="4" t="s">
        <v>318</v>
      </c>
      <c r="H20" s="4" t="s">
        <v>319</v>
      </c>
      <c r="I20" s="4" t="s">
        <v>0</v>
      </c>
      <c r="J20" s="5" t="n">
        <v>74.14</v>
      </c>
      <c r="K20" s="6" t="n">
        <v>1210.0</v>
      </c>
      <c r="L20" s="5" t="n">
        <v>89709.4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Q25,)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1210.0</v>
      </c>
      <c r="Y20" s="4" t="n">
        <v>2664644.0</v>
      </c>
    </row>
    <row r="21">
      <c r="A21" s="1"/>
      <c r="B21" s="4" t="s">
        <v>314</v>
      </c>
      <c r="C21" s="4" t="n">
        <v>4.0</v>
      </c>
      <c r="D21" s="4" t="s">
        <v>323</v>
      </c>
      <c r="E21" s="4" t="s">
        <v>324</v>
      </c>
      <c r="F21" s="4" t="s">
        <v>325</v>
      </c>
      <c r="G21" s="4" t="s">
        <v>318</v>
      </c>
      <c r="H21" s="4" t="s">
        <v>319</v>
      </c>
      <c r="I21" s="4" t="s">
        <v>0</v>
      </c>
      <c r="J21" s="5" t="n">
        <v>89.32</v>
      </c>
      <c r="K21" s="6" t="n">
        <v>36814.0</v>
      </c>
      <c r="L21" s="5" t="n">
        <v>3288226.48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Q25,)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36814.0</v>
      </c>
      <c r="Y21" s="4" t="n">
        <v>2664647.0</v>
      </c>
    </row>
    <row r="22">
      <c r="A22" s="1"/>
      <c r="B22" s="4" t="s">
        <v>314</v>
      </c>
      <c r="C22" s="4" t="n">
        <v>5.0</v>
      </c>
      <c r="D22" s="4" t="s">
        <v>326</v>
      </c>
      <c r="E22" s="4" t="s">
        <v>327</v>
      </c>
      <c r="F22" s="4" t="s">
        <v>328</v>
      </c>
      <c r="G22" s="4" t="s">
        <v>318</v>
      </c>
      <c r="H22" s="4" t="s">
        <v>319</v>
      </c>
      <c r="I22" s="4" t="s">
        <v>0</v>
      </c>
      <c r="J22" s="5" t="n">
        <v>103.82</v>
      </c>
      <c r="K22" s="6" t="n">
        <v>130609.0</v>
      </c>
      <c r="L22" s="5" t="n">
        <v>1.355982638E7</v>
      </c>
      <c r="M22" s="7" t="n">
        <f>IF(P22=1,0,1) + IF(ISBLANK(R22),1,0) + IF(ISBLANK(S22),1,0)</f>
        <v>3.0</v>
      </c>
      <c r="N22" s="7"/>
      <c r="O22" s="1"/>
      <c r="P22" s="7" t="n">
        <f>IF(OR(Q22="Российская Федерация",Q22="Армения",Q22="Белоруссия",Q22="Беларусь",Q22="Казахстан",Q22="Киргизия",Q22="Кыргызстан",Q22="ДНР",Q22="ЛНР"), 1, 0)</f>
        <v>0.0</v>
      </c>
      <c r="Q22" s="7" t="str">
        <f>IFERROR(IF(P22=1, "Российская Федерация", "Не заполнено"),"")</f>
        <v/>
      </c>
      <c r="R22" s="7"/>
      <c r="S22" s="7"/>
      <c r="T22" s="7"/>
      <c r="U22" s="5" t="n">
        <f>IF(T22&lt;&gt;0, J22 * Q25,)</f>
        <v>0.0</v>
      </c>
      <c r="V22" s="5" t="n">
        <f>U22*K22</f>
        <v>0.0</v>
      </c>
      <c r="W22" s="5" t="n">
        <f>X22*(ROUNDDOWN(T22,0) + ROUNDDOWN(T22 - ROUNDDOWN(T22,0),9))</f>
        <v>0.0</v>
      </c>
      <c r="X22" s="6" t="n">
        <f>K22</f>
        <v>130609.0</v>
      </c>
      <c r="Y22" s="4" t="n">
        <v>2664646.0</v>
      </c>
    </row>
    <row r="23" ht="12.75" customHeight="true">
      <c r="K23" s="68"/>
      <c r="L23" s="68"/>
    </row>
    <row r="24" ht="15.0" customHeight="true">
      <c r="K24" t="s" s="69">
        <v>329</v>
      </c>
      <c r="L24" s="69"/>
      <c r="M24" t="s" s="69">
        <v>330</v>
      </c>
      <c r="N24" s="69"/>
      <c r="O24" s="69"/>
      <c r="P24" s="69"/>
      <c r="Q24" s="69"/>
      <c r="R24" s="70"/>
      <c r="S24" s="70"/>
      <c r="W24" t="s" s="71">
        <v>331</v>
      </c>
      <c r="X24" s="72"/>
    </row>
    <row r="25" ht="15.0" customHeight="true">
      <c r="L25" s="73" t="n">
        <f>SUM(L18:L22)</f>
        <v>3.00342834065E7</v>
      </c>
      <c r="Q25" s="73" t="n">
        <f>W25/L25</f>
        <v>0.0</v>
      </c>
      <c r="W25" s="73" t="n">
        <f>SUM(W18:W22)</f>
        <v>0.0</v>
      </c>
    </row>
    <row r="26" ht="12.75" customHeight="true">
      <c r="R26" t="s" s="68">
        <v>332</v>
      </c>
      <c r="S26" t="s" s="68">
        <v>333</v>
      </c>
      <c r="T26" s="68"/>
    </row>
    <row r="27" ht="12.75" customHeight="true">
      <c r="D27" t="s" s="74">
        <v>334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6"/>
      <c r="R27" s="77" t="n">
        <f>SUM(V18:V22)</f>
        <v>0.0</v>
      </c>
      <c r="S27" t="n" s="77">
        <v>100.0</v>
      </c>
      <c r="T27" t="s" s="78">
        <v>335</v>
      </c>
    </row>
    <row r="28" ht="15.0" customHeight="true">
      <c r="D28" t="s" s="74">
        <v>336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6"/>
      <c r="R28" s="73" t="n">
        <f>SUMIF(P18:P22,1, V18:V22)</f>
        <v>0.0</v>
      </c>
      <c r="S28" s="73" t="n">
        <f>IF(R27&lt;&gt;0, R28/R27*100,)</f>
        <v>0.0</v>
      </c>
      <c r="T28" s="79" t="str">
        <f>IF(S28&lt;=50," ","РФ/ДНР/ЛНР/ЕАЭС")</f>
        <v> </v>
      </c>
    </row>
    <row r="29" ht="15.0" customHeight="true">
      <c r="D29" t="s" s="74">
        <v>337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6"/>
      <c r="R29" s="73" t="n">
        <f>IF(R27&lt;&gt;0,R27-R28,)</f>
        <v>0.0</v>
      </c>
      <c r="S29" s="73" t="n">
        <f>IF(R27&lt;&gt;0, R29/R27*100,)</f>
        <v>0.0</v>
      </c>
      <c r="T29" s="79" t="str">
        <f>IF(S29&gt;50,"Импорт", " ")</f>
        <v> </v>
      </c>
    </row>
    <row r="30" ht="15.0" customHeight="true">
      <c r="D30" t="s" s="74">
        <v>338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6"/>
      <c r="R30" s="73" t="n">
        <f>SUMIF(M18:M22, 0, V18:V22)</f>
        <v>0.0</v>
      </c>
      <c r="S30" s="73" t="n">
        <f>IF(R27&lt;&gt;0, R30/R27*100,)</f>
        <v>0.0</v>
      </c>
      <c r="T30" s="79" t="str">
        <f>IF(S30&lt;=50," ","РЭП (ПО)")</f>
        <v> </v>
      </c>
    </row>
    <row r="31" ht="15.0" customHeight="true">
      <c r="A31" s="7"/>
    </row>
    <row r="32" ht="15.75" customHeight="true">
      <c r="B32" t="s" s="80">
        <v>339</v>
      </c>
    </row>
    <row r="33" ht="19.5" customHeight="true">
      <c r="B33" t="s" s="81">
        <v>340</v>
      </c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</row>
    <row r="34" ht="20.25" customHeight="true">
      <c r="B34" t="s" s="82">
        <v>341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5" ht="39.75" customHeight="true">
      <c r="B35" t="s" s="84">
        <v>342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</row>
    <row r="36" ht="19.5" customHeight="true">
      <c r="B36" t="s" s="82">
        <v>343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 ht="18.0" customHeight="true">
      <c r="B37" t="s" s="82">
        <v>344</v>
      </c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 ht="22.5" customHeight="true">
      <c r="B38" t="s" s="82">
        <v>345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 ht="19.5" customHeight="true">
      <c r="B39" t="s" s="82">
        <v>346</v>
      </c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 ht="22.5" customHeight="true">
      <c r="B40" t="s" s="82">
        <v>347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ht="34.5" customHeight="true">
      <c r="B41" t="s" s="82">
        <v>348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 ht="36.0" customHeight="true">
      <c r="B42" t="s" s="82">
        <v>349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 ht="32.25" customHeight="true">
      <c r="B43" t="s" s="86">
        <v>350</v>
      </c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</row>
    <row r="44" ht="33.75" customHeight="true">
      <c r="B44" t="s" s="82">
        <v>351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ht="33.75" customHeight="true">
      <c r="B45" t="s" s="82">
        <v>352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 ht="124.5" customHeight="true">
      <c r="B46" t="s" s="82">
        <v>353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 ht="33.75" customHeight="true">
      <c r="B47" t="s" s="82">
        <v>354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ht="24.75" customHeight="true">
      <c r="A48" s="7"/>
    </row>
  </sheetData>
  <sheetProtection autoFilter="false" sort="false" password="CDB0" sheet="true" scenarios="true" objects="true"/>
  <autoFilter ref="B17:S22"/>
  <mergeCells count="92">
    <mergeCell ref="K24:L24"/>
    <mergeCell ref="M24:Q24"/>
    <mergeCell ref="I14:I16"/>
    <mergeCell ref="J14:J16"/>
    <mergeCell ref="K14:K16"/>
    <mergeCell ref="L14:L16"/>
    <mergeCell ref="D30:Q30"/>
    <mergeCell ref="B46:W46"/>
    <mergeCell ref="B42:W42"/>
    <mergeCell ref="B43:W43"/>
    <mergeCell ref="B44:W44"/>
    <mergeCell ref="B45:W45"/>
    <mergeCell ref="BS15:BT15"/>
    <mergeCell ref="B47:W47"/>
    <mergeCell ref="B41:W41"/>
    <mergeCell ref="D27:Q27"/>
    <mergeCell ref="D28:Q28"/>
    <mergeCell ref="D29:Q29"/>
    <mergeCell ref="B33:W33"/>
    <mergeCell ref="B34:W34"/>
    <mergeCell ref="B35:W35"/>
    <mergeCell ref="B36:W36"/>
    <mergeCell ref="B37:W37"/>
    <mergeCell ref="B38:W38"/>
    <mergeCell ref="B39:W39"/>
    <mergeCell ref="B40:W40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15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  <dataValidation type="list" sqref="N22" allowBlank="true" errorStyle="stop" promptTitle="" prompt="" showInputMessage="true" showDropDown="false" showErrorMessage="true">
      <formula1>yes_no</formula1>
    </dataValidation>
    <dataValidation type="list" sqref="Q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2026-09-24T08:36:20Z</dcterms:created>
  <dc:creator>Apache POI</dc:creator>
</cp:coreProperties>
</file>