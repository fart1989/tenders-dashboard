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Шаблон!$B$17:$S$35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<sst xmlns="http://schemas.openxmlformats.org/spreadsheetml/2006/main" count="706" uniqueCount="380">
  <si>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</si>
  <si>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</si>
  <si>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</si>
  <si>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</si>
  <si>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</si>
  <si>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</si>
  <si>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</si>
  <si>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</si>
  <si>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</si>
  <si>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</si>
  <si>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</si>
  <si>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</si>
  <si>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</si>
  <si>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</si>
  <si>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</si>
  <si>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</si>
  <si>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</si>
  <si>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</si>
  <si>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</si>
  <si>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</si>
  <si>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</si>
  <si>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</si>
  <si>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</si>
  <si>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</si>
  <si>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</si>
  <si>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</si>
  <si>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</si>
  <si>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</si>
  <si>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</si>
  <si>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</si>
  <si>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</si>
  <si>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</si>
  <si>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</si>
  <si>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</si>
  <si>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</si>
  <si>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</si>
  <si>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</si>
  <si>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</si>
  <si>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</si>
  <si>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</si>
  <si>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</si>
  <si>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</si>
  <si>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</si>
  <si>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</si>
  <si>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</si>
  <si>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</si>
  <si>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</si>
  <si>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</si>
  <si>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</si>
  <si>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</si>
  <si>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</si>
  <si>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</si>
  <si>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</si>
  <si>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</si>
  <si>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</si>
  <si>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</si>
  <si>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</si>
  <si>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</si>
  <si>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</si>
  <si>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</si>
  <si>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</si>
  <si>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</si>
  <si>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</si>
  <si>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</si>
  <si>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</si>
  <si>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</si>
  <si>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</si>
  <si>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</si>
  <si>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</si>
  <si>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</si>
  <si>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</si>
  <si>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</si>
  <si>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</si>
  <si>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</si>
  <si>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</si>
  <si>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</si>
  <si>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</si>
  <si>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</si>
  <si>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</si>
  <si>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</si>
  <si>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</si>
  <si>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</si>
  <si>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</si>
  <si>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</si>
  <si>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</si>
  <si>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</si>
  <si>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</si>
  <si>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</si>
  <si>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</si>
  <si>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</si>
  <si>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</si>
  <si>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</si>
  <si>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</si>
  <si>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</si>
  <si>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</si>
  <si>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</si>
  <si>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</si>
  <si>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</si>
  <si>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</si>
  <si>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</si>
  <si>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</si>
  <si>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</si>
  <si>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</si>
  <si>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</si>
  <si>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</si>
  <si>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</si>
  <si>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</si>
  <si>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</si>
  <si>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</si>
  <si>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</si>
  <si>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</si>
  <si>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</si>
  <si>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</si>
  <si>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</si>
  <si>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</si>
  <si>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</si>
  <si>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</si>
  <si>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</si>
  <si>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</si>
  <si>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</si>
  <si>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</si>
  <si>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</si>
  <si>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</si>
  <si>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</si>
  <si>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</si>
  <si>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</si>
  <si>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</si>
  <si>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</si>
  <si>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</si>
  <si>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</si>
  <si>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</si>
  <si>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</si>
  <si>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</si>
  <si>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</si>
  <si>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</si>
  <si>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</si>
  <si>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</si>
  <si>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</si>
  <si>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</si>
  <si>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</si>
  <si>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</si>
  <si>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</si>
  <si>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</si>
  <si>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</si>
  <si>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</si>
  <si>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</si>
  <si>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</si>
  <si>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</si>
  <si>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</si>
  <si>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</si>
  <si>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</si>
  <si>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</si>
  <si>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</si>
  <si>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</si>
  <si>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</si>
  <si>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</si>
  <si>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</si>
  <si>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</si>
  <si>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</si>
  <si>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</si>
  <si>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</si>
  <si>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</si>
  <si>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</si>
  <si>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</si>
  <si>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</si>
  <si>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</si>
  <si>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</si>
  <si>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</si>
  <si>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</si>
  <si>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</si>
  <si>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</si>
  <si>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</si>
  <si>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</si>
  <si>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</si>
  <si>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</si>
  <si>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</si>
  <si>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</si>
  <si>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</si>
  <si>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</si>
  <si>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</si>
  <si>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</si>
  <si>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</si>
  <si>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</si>
  <si>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</si>
  <si>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</si>
  <si>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</si>
  <si>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</si>
  <si>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</si>
  <si>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</si>
  <si>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</si>
  <si>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</si>
  <si>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</si>
  <si>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</si>
  <si>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</si>
  <si>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</si>
  <si>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</si>
  <si>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</si>
  <si>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</si>
  <si>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</si>
  <si>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</si>
  <si>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</si>
  <si>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</si>
  <si>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</si>
  <si>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</si>
  <si>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</si>
  <si>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</si>
  <si>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</si>
  <si>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</si>
  <si>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</si>
  <si>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</si>
  <si>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</si>
  <si>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</si>
  <si>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</si>
  <si>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</si>
  <si>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</si>
  <si>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</si>
  <si>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</si>
  <si>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</si>
  <si>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</si>
  <si>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</si>
  <si>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</si>
  <si>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</si>
  <si>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</si>
  <si>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</si>
  <si>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</si>
  <si>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</si>
  <si>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</si>
  <si>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</si>
  <si>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</si>
  <si>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</si>
  <si>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</si>
  <si>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</si>
  <si>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</si>
  <si>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</si>
  <si>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</si>
  <si>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</si>
  <si>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</si>
  <si>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</si>
  <si>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</si>
  <si>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</si>
  <si>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</si>
  <si>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</si>
  <si>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</si>
  <si>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</si>
  <si>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</si>
  <si>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</si>
  <si>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</si>
  <si>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</si>
  <si>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</si>
  <si>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</si>
  <si>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</si>
  <si>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</si>
  <si>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</si>
  <si>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</si>
  <si>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</si>
  <si>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</si>
  <si>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</si>
  <si>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</si>
  <si>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</si>
  <si>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</si>
  <si>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</si>
  <si>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</si>
  <si>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</si>
  <si>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</si>
  <si>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</si>
  <si>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190.26.00537 Поставка труб малого диаметра электросварных для нужд АО "Томская генерация"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</si>
  <si>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</si>
  <si>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</si>
  <si>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</si>
  <si>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</si>
  <si>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</si>
  <si>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</si>
  <si>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</si>
  <si>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</si>
  <si>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</si>
  <si>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</si>
  <si>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</si>
  <si>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</si>
  <si>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</si>
  <si>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</si>
  <si>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</si>
  <si>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</si>
  <si>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</si>
  <si>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</si>
  <si>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</si>
  <si>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</si>
  <si>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</si>
  <si>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</si>
  <si>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</si>
  <si>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</si>
  <si>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</si>
  <si>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</si>
  <si>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</si>
  <si>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</si>
  <si>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</si>
  <si>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</si>
  <si>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</si>
  <si>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</si>
  <si>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</si>
  <si>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</si>
  <si>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</si>
  <si>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</si>
  <si>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</si>
  <si>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</si>
  <si>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</si>
  <si>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</si>
  <si>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</si>
  <si>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</si>
  <si>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</si>
  <si>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</si>
  <si>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</si>
  <si>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</si>
  <si>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</si>
  <si>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</si>
  <si>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"Томская генерация"-&gt;АО "Томская генерация"</t>
  </si>
  <si>
    <t>476330</t>
  </si>
  <si>
    <t>Труба стальная прямошовная, электросварная, наружный диаметр 108мм, толщина стенки 4,5мм,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108х4,5/В-Ст3сп ГОСТ 10704-91, ГОСТ 10705-80</t>
  </si>
  <si>
    <t>Труба 108х4,5/В-Ст3сп ГОСТ 10704-91, ГОСТ 10705-80</t>
  </si>
  <si>
    <t>ГОСТ 10704-91,ГОСТ 10705-80</t>
  </si>
  <si>
    <t>Килограмм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</si>
  <si>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</si>
  <si>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</si>
  <si>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</si>
  <si>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476331</t>
  </si>
  <si>
    <t>Труба стальная прямошовная, электросварная, наружный диаметр 108мм,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108х5/В-Ст3сп ГОСТ 10704-91, ГОСТ 10705-80</t>
  </si>
  <si>
    <t>Труба 108х5/В-Ст3сп ГОСТ 10704-91, ГОСТ 10705-80</t>
  </si>
  <si>
    <t>475772</t>
  </si>
  <si>
    <t>Труба стальная прямошовная, электросварная, наружный диаметр 159мм, толщина стенки 5мм, длина немерная, предельные отклонения: по наружному диаметру +/-0,8% (точность изготовления обычная), по толщине стенки +0,45/-0,5мм, материал сталь Ст3сп, с нормированием механических свойств и химического состава (группа В), 159х5/В-Ст3сп ГОСТ 10704-91, ГОСТ 10705-80</t>
  </si>
  <si>
    <t>Труба 159х5/В-Ст3сп ГОСТ 10704-91, ГОСТ 10705-80</t>
  </si>
  <si>
    <t>443174</t>
  </si>
  <si>
    <t>Труба стальная прямошовная, электросварная, наружный диаметр 159мм, толщина стенки 6мм, длина немерная, предельные отклонения: по наружному диаметру +/-0,8% (точность изготовления обычная), по толщине стенки +0,45/-0,6мм, материал сталь 20, с нормированием механических свойств и химического состава (группа В), 159х6/В-20 ГОСТ 10704-91, ГОСТ 10705-80</t>
  </si>
  <si>
    <t>Труба 159х6/В-20 ГОСТ 10704-91, ГОСТ 10705-80</t>
  </si>
  <si>
    <t>476353</t>
  </si>
  <si>
    <t>Труба стальная прямошовная, электросварная, наружный диаметр 25мм, толщина стенки 2,5мм, длина немерная, предельные отклонения: по наружному диаметру +/-0,3мм (точность изготовления обычная), по толщине стенки +/-10%, материал сталь Ст3сп, с нормированием механических свойств и химического состава (группа В), 25х2,5/В-Ст3сп ГОСТ 10704-91, ГОСТ 10705-80</t>
  </si>
  <si>
    <t>Труба 25х2,5/В-Ст3сп ГОСТ 10704-91, ГОСТ 10705-80</t>
  </si>
  <si>
    <t>476541</t>
  </si>
  <si>
    <t>Труба стальная прямошовная, электросварная, наружный диаметр 325мм,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325х6/В-20 ГОСТ 10704-91, ГОСТ 10705-80</t>
  </si>
  <si>
    <t>Труба 325х6/В-20 ГОСТ 10704-91, ГОСТ 10705-80</t>
  </si>
  <si>
    <t>476377</t>
  </si>
  <si>
    <t>Труба стальная прямошовная, электросварная, наружный диаметр 32мм, толщина стенки 2мм, длина немерная, предельные отклонения: по наружному диаметру +/-0,4мм (точность изготовления обычная), по толщине стенки +/-10%, материал сталь Ст3сп, с нормированием механических свойств и химического состава (группа В), 32х2/В-Ст3сп ГОСТ 10704-91, ГОСТ 10705-80</t>
  </si>
  <si>
    <t>Труба 32х2/В-Ст3сп ГОСТ 10704-91, ГОСТ 10705-80</t>
  </si>
  <si>
    <t>759378</t>
  </si>
  <si>
    <t>Труба стальная прямошовная, электросварная, наружный диаметр 426мм, толщина стенки 12мм, длина немерная, предельные отклонения: по наружному диаметру +/-0,75% (точность изготовления обычная), по толщине стенки +1/-0,8мм, материал сталь Ст3сп, с нормированием механических свойств и химического состава (группа В), 426х12/В-Ст3сп ГОСТ 10704-91, ГОСТ 10705-80</t>
  </si>
  <si>
    <t>Труба 426х12/В-Ст3сп ГОСТ 10704-91, ГОСТ 10705-80</t>
  </si>
  <si>
    <t>539529</t>
  </si>
  <si>
    <t>Труба стальная прямошовная, электросварная, наружный диаметр 57мм, толщина стенки 3,5мм, длина немерная, предельные отклонения: по наружному диаметру +/-0,8% (точность изготовления обычная), по толщине стенки +/-10%, материал сталь Ст20, с нормированием механических свойств и химического состава (группа В), 57х3,5/В-20 ГОСТ 10704-91, ГОСТ 10705-80</t>
  </si>
  <si>
    <t>Труба 57х3,5/В-20 ГОСТ 10704-91, ГОСТ 10705-80</t>
  </si>
  <si>
    <t>476366</t>
  </si>
  <si>
    <t>Труба стальная прямошовная, электросварная, наружный диаметр 76мм,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76х4/В-Ст3сп ГОСТ 10704-91, ГОСТ 10705-80</t>
  </si>
  <si>
    <t>Труба 76х4/В-Ст3сп ГОСТ 10704-91, ГОСТ 10705-80</t>
  </si>
  <si>
    <t>679654</t>
  </si>
  <si>
    <t>Труба стальная прямошовная, электросварная, наружный диаметр 89мм,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89х5/В-20 ГОСТ 10704-91, ГОСТ 10705-80</t>
  </si>
  <si>
    <t>Труба 89х5/В-20 ГОСТ 10704-91, ГОСТ 10705-80</t>
  </si>
  <si>
    <t>ГОСТ 10705-80,ГОСТ 10704-91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</si>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</sst>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61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115.0</v>
      </c>
      <c r="K18" s="6" t="n">
        <v>1150.0</v>
      </c>
      <c r="L18" s="5" t="n">
        <v>132250.0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Q38,)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1150.0</v>
      </c>
      <c r="Y18" s="4" t="n">
        <v>2670052.0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318</v>
      </c>
      <c r="H19" s="4" t="s">
        <v>319</v>
      </c>
      <c r="I19" s="4" t="s">
        <v>0</v>
      </c>
      <c r="J19" s="5" t="n">
        <v>115.0</v>
      </c>
      <c r="K19" s="6" t="n">
        <v>1640.0</v>
      </c>
      <c r="L19" s="5" t="n">
        <v>188600.0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Q38,)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1640.0</v>
      </c>
      <c r="Y19" s="4" t="n">
        <v>2670051.0</v>
      </c>
    </row>
    <row r="20">
      <c r="A20" s="1"/>
      <c r="B20" s="4" t="s">
        <v>314</v>
      </c>
      <c r="C20" s="4" t="n">
        <v>3.0</v>
      </c>
      <c r="D20" s="4" t="s">
        <v>323</v>
      </c>
      <c r="E20" s="4" t="s">
        <v>324</v>
      </c>
      <c r="F20" s="4" t="s">
        <v>325</v>
      </c>
      <c r="G20" s="4" t="s">
        <v>318</v>
      </c>
      <c r="H20" s="4" t="s">
        <v>319</v>
      </c>
      <c r="I20" s="4" t="s">
        <v>0</v>
      </c>
      <c r="J20" s="5" t="n">
        <v>115.0</v>
      </c>
      <c r="K20" s="6" t="n">
        <v>10.0</v>
      </c>
      <c r="L20" s="5" t="n">
        <v>1150.0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Q38,)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10.0</v>
      </c>
      <c r="Y20" s="4" t="n">
        <v>2670043.0</v>
      </c>
    </row>
    <row r="21">
      <c r="A21" s="1"/>
      <c r="B21" s="4" t="s">
        <v>314</v>
      </c>
      <c r="C21" s="4" t="n">
        <v>4.0</v>
      </c>
      <c r="D21" s="4" t="s">
        <v>323</v>
      </c>
      <c r="E21" s="4" t="s">
        <v>324</v>
      </c>
      <c r="F21" s="4" t="s">
        <v>325</v>
      </c>
      <c r="G21" s="4" t="s">
        <v>318</v>
      </c>
      <c r="H21" s="4" t="s">
        <v>319</v>
      </c>
      <c r="I21" s="4" t="s">
        <v>0</v>
      </c>
      <c r="J21" s="5" t="n">
        <v>115.0</v>
      </c>
      <c r="K21" s="6" t="n">
        <v>273.0</v>
      </c>
      <c r="L21" s="5" t="n">
        <v>31395.0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Q38,)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273.0</v>
      </c>
      <c r="Y21" s="4" t="n">
        <v>2670050.0</v>
      </c>
    </row>
    <row r="22">
      <c r="A22" s="1"/>
      <c r="B22" s="4" t="s">
        <v>314</v>
      </c>
      <c r="C22" s="4" t="n">
        <v>5.0</v>
      </c>
      <c r="D22" s="4" t="s">
        <v>326</v>
      </c>
      <c r="E22" s="4" t="s">
        <v>327</v>
      </c>
      <c r="F22" s="4" t="s">
        <v>328</v>
      </c>
      <c r="G22" s="4" t="s">
        <v>318</v>
      </c>
      <c r="H22" s="4" t="s">
        <v>319</v>
      </c>
      <c r="I22" s="4" t="s">
        <v>0</v>
      </c>
      <c r="J22" s="5" t="n">
        <v>115.0</v>
      </c>
      <c r="K22" s="6" t="n">
        <v>500.0</v>
      </c>
      <c r="L22" s="5" t="n">
        <v>57500.0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Q38,)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500.0</v>
      </c>
      <c r="Y22" s="4" t="n">
        <v>2670055.0</v>
      </c>
    </row>
    <row r="23">
      <c r="A23" s="1"/>
      <c r="B23" s="4" t="s">
        <v>314</v>
      </c>
      <c r="C23" s="4" t="n">
        <v>6.0</v>
      </c>
      <c r="D23" s="4" t="s">
        <v>329</v>
      </c>
      <c r="E23" s="4" t="s">
        <v>330</v>
      </c>
      <c r="F23" s="4" t="s">
        <v>331</v>
      </c>
      <c r="G23" s="4" t="s">
        <v>318</v>
      </c>
      <c r="H23" s="4" t="s">
        <v>319</v>
      </c>
      <c r="I23" s="4" t="s">
        <v>0</v>
      </c>
      <c r="J23" s="5" t="n">
        <v>115.0</v>
      </c>
      <c r="K23" s="6" t="n">
        <v>1020.0</v>
      </c>
      <c r="L23" s="5" t="n">
        <v>117300.0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Q38,)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1020.0</v>
      </c>
      <c r="Y23" s="4" t="n">
        <v>2670053.0</v>
      </c>
    </row>
    <row r="24">
      <c r="A24" s="1"/>
      <c r="B24" s="4" t="s">
        <v>314</v>
      </c>
      <c r="C24" s="4" t="n">
        <v>7.0</v>
      </c>
      <c r="D24" s="4" t="s">
        <v>332</v>
      </c>
      <c r="E24" s="4" t="s">
        <v>333</v>
      </c>
      <c r="F24" s="4" t="s">
        <v>334</v>
      </c>
      <c r="G24" s="4" t="s">
        <v>318</v>
      </c>
      <c r="H24" s="4" t="s">
        <v>319</v>
      </c>
      <c r="I24" s="4" t="s">
        <v>0</v>
      </c>
      <c r="J24" s="5" t="n">
        <v>114.0</v>
      </c>
      <c r="K24" s="6" t="n">
        <v>50.0</v>
      </c>
      <c r="L24" s="5" t="n">
        <v>5700.0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Q38,)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50.0</v>
      </c>
      <c r="Y24" s="4" t="n">
        <v>2671327.0</v>
      </c>
    </row>
    <row r="25">
      <c r="A25" s="1"/>
      <c r="B25" s="4" t="s">
        <v>314</v>
      </c>
      <c r="C25" s="4" t="n">
        <v>8.0</v>
      </c>
      <c r="D25" s="4" t="s">
        <v>332</v>
      </c>
      <c r="E25" s="4" t="s">
        <v>333</v>
      </c>
      <c r="F25" s="4" t="s">
        <v>334</v>
      </c>
      <c r="G25" s="4" t="s">
        <v>318</v>
      </c>
      <c r="H25" s="4" t="s">
        <v>319</v>
      </c>
      <c r="I25" s="4" t="s">
        <v>0</v>
      </c>
      <c r="J25" s="5" t="n">
        <v>114.0</v>
      </c>
      <c r="K25" s="6" t="n">
        <v>640.25</v>
      </c>
      <c r="L25" s="5" t="n">
        <v>72988.5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Q38,)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640.25</v>
      </c>
      <c r="Y25" s="4" t="n">
        <v>2671328.0</v>
      </c>
    </row>
    <row r="26">
      <c r="A26" s="1"/>
      <c r="B26" s="4" t="s">
        <v>314</v>
      </c>
      <c r="C26" s="4" t="n">
        <v>9.0</v>
      </c>
      <c r="D26" s="4" t="s">
        <v>335</v>
      </c>
      <c r="E26" s="4" t="s">
        <v>336</v>
      </c>
      <c r="F26" s="4" t="s">
        <v>337</v>
      </c>
      <c r="G26" s="4" t="s">
        <v>318</v>
      </c>
      <c r="H26" s="4" t="s">
        <v>319</v>
      </c>
      <c r="I26" s="4" t="s">
        <v>0</v>
      </c>
      <c r="J26" s="5" t="n">
        <v>118.0</v>
      </c>
      <c r="K26" s="6" t="n">
        <v>50.0</v>
      </c>
      <c r="L26" s="5" t="n">
        <v>5900.0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Q38,)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50.0</v>
      </c>
      <c r="Y26" s="4" t="n">
        <v>2670048.0</v>
      </c>
    </row>
    <row r="27">
      <c r="A27" s="1"/>
      <c r="B27" s="4" t="s">
        <v>314</v>
      </c>
      <c r="C27" s="4" t="n">
        <v>10.0</v>
      </c>
      <c r="D27" s="4" t="s">
        <v>338</v>
      </c>
      <c r="E27" s="4" t="s">
        <v>339</v>
      </c>
      <c r="F27" s="4" t="s">
        <v>340</v>
      </c>
      <c r="G27" s="4" t="s">
        <v>318</v>
      </c>
      <c r="H27" s="4" t="s">
        <v>319</v>
      </c>
      <c r="I27" s="4" t="s">
        <v>0</v>
      </c>
      <c r="J27" s="5" t="n">
        <v>114.0</v>
      </c>
      <c r="K27" s="6" t="n">
        <v>2118.04</v>
      </c>
      <c r="L27" s="5" t="n">
        <v>241456.56</v>
      </c>
      <c r="M27" s="7" t="n">
        <f>IF(P27=1,0,1) + IF(ISBLANK(R27),1,0) + IF(ISBLANK(S27),1,0)</f>
        <v>3.0</v>
      </c>
      <c r="N27" s="7"/>
      <c r="O27" s="1"/>
      <c r="P27" s="7" t="n">
        <f>IF(OR(Q27="Российская Федерация",Q27="Армения",Q27="Белоруссия",Q27="Беларусь",Q27="Казахстан",Q27="Киргизия",Q27="Кыргызстан",Q27="ДНР",Q27="ЛНР"), 1, 0)</f>
        <v>0.0</v>
      </c>
      <c r="Q27" s="7" t="str">
        <f>IFERROR(IF(P27=1, "Российская Федерация", "Не заполнено"),"")</f>
        <v/>
      </c>
      <c r="R27" s="7"/>
      <c r="S27" s="7"/>
      <c r="T27" s="7"/>
      <c r="U27" s="5" t="n">
        <f>IF(T27&lt;&gt;0, J27 * Q38,)</f>
        <v>0.0</v>
      </c>
      <c r="V27" s="5" t="n">
        <f>U27*K27</f>
        <v>0.0</v>
      </c>
      <c r="W27" s="5" t="n">
        <f>X27*(ROUNDDOWN(T27,0) + ROUNDDOWN(T27 - ROUNDDOWN(T27,0),9))</f>
        <v>0.0</v>
      </c>
      <c r="X27" s="6" t="n">
        <f>K27</f>
        <v>2118.04</v>
      </c>
      <c r="Y27" s="4" t="n">
        <v>2671262.0</v>
      </c>
    </row>
    <row r="28">
      <c r="A28" s="1"/>
      <c r="B28" s="4" t="s">
        <v>314</v>
      </c>
      <c r="C28" s="4" t="n">
        <v>11.0</v>
      </c>
      <c r="D28" s="4" t="s">
        <v>338</v>
      </c>
      <c r="E28" s="4" t="s">
        <v>339</v>
      </c>
      <c r="F28" s="4" t="s">
        <v>340</v>
      </c>
      <c r="G28" s="4" t="s">
        <v>318</v>
      </c>
      <c r="H28" s="4" t="s">
        <v>319</v>
      </c>
      <c r="I28" s="4" t="s">
        <v>0</v>
      </c>
      <c r="J28" s="5" t="n">
        <v>114.0</v>
      </c>
      <c r="K28" s="6" t="n">
        <v>50.0</v>
      </c>
      <c r="L28" s="5" t="n">
        <v>5700.0</v>
      </c>
      <c r="M28" s="7" t="n">
        <f>IF(P28=1,0,1) + IF(ISBLANK(R28),1,0) + IF(ISBLANK(S28),1,0)</f>
        <v>3.0</v>
      </c>
      <c r="N28" s="7"/>
      <c r="O28" s="1"/>
      <c r="P28" s="7" t="n">
        <f>IF(OR(Q28="Российская Федерация",Q28="Армения",Q28="Белоруссия",Q28="Беларусь",Q28="Казахстан",Q28="Киргизия",Q28="Кыргызстан",Q28="ДНР",Q28="ЛНР"), 1, 0)</f>
        <v>0.0</v>
      </c>
      <c r="Q28" s="7" t="str">
        <f>IFERROR(IF(P28=1, "Российская Федерация", "Не заполнено"),"")</f>
        <v/>
      </c>
      <c r="R28" s="7"/>
      <c r="S28" s="7"/>
      <c r="T28" s="7"/>
      <c r="U28" s="5" t="n">
        <f>IF(T28&lt;&gt;0, J28 * Q38,)</f>
        <v>0.0</v>
      </c>
      <c r="V28" s="5" t="n">
        <f>U28*K28</f>
        <v>0.0</v>
      </c>
      <c r="W28" s="5" t="n">
        <f>X28*(ROUNDDOWN(T28,0) + ROUNDDOWN(T28 - ROUNDDOWN(T28,0),9))</f>
        <v>0.0</v>
      </c>
      <c r="X28" s="6" t="n">
        <f>K28</f>
        <v>50.0</v>
      </c>
      <c r="Y28" s="4" t="n">
        <v>2671263.0</v>
      </c>
    </row>
    <row r="29">
      <c r="A29" s="1"/>
      <c r="B29" s="4" t="s">
        <v>314</v>
      </c>
      <c r="C29" s="4" t="n">
        <v>12.0</v>
      </c>
      <c r="D29" s="4" t="s">
        <v>341</v>
      </c>
      <c r="E29" s="4" t="s">
        <v>342</v>
      </c>
      <c r="F29" s="4" t="s">
        <v>343</v>
      </c>
      <c r="G29" s="4" t="s">
        <v>318</v>
      </c>
      <c r="H29" s="4" t="s">
        <v>319</v>
      </c>
      <c r="I29" s="4" t="s">
        <v>0</v>
      </c>
      <c r="J29" s="5" t="n">
        <v>118.0</v>
      </c>
      <c r="K29" s="6" t="n">
        <v>720.0</v>
      </c>
      <c r="L29" s="5" t="n">
        <v>84960.0</v>
      </c>
      <c r="M29" s="7" t="n">
        <f>IF(P29=1,0,1) + IF(ISBLANK(R29),1,0) + IF(ISBLANK(S29),1,0)</f>
        <v>3.0</v>
      </c>
      <c r="N29" s="7"/>
      <c r="O29" s="1"/>
      <c r="P29" s="7" t="n">
        <f>IF(OR(Q29="Российская Федерация",Q29="Армения",Q29="Белоруссия",Q29="Беларусь",Q29="Казахстан",Q29="Киргизия",Q29="Кыргызстан",Q29="ДНР",Q29="ЛНР"), 1, 0)</f>
        <v>0.0</v>
      </c>
      <c r="Q29" s="7" t="str">
        <f>IFERROR(IF(P29=1, "Российская Федерация", "Не заполнено"),"")</f>
        <v/>
      </c>
      <c r="R29" s="7"/>
      <c r="S29" s="7"/>
      <c r="T29" s="7"/>
      <c r="U29" s="5" t="n">
        <f>IF(T29&lt;&gt;0, J29 * Q38,)</f>
        <v>0.0</v>
      </c>
      <c r="V29" s="5" t="n">
        <f>U29*K29</f>
        <v>0.0</v>
      </c>
      <c r="W29" s="5" t="n">
        <f>X29*(ROUNDDOWN(T29,0) + ROUNDDOWN(T29 - ROUNDDOWN(T29,0),9))</f>
        <v>0.0</v>
      </c>
      <c r="X29" s="6" t="n">
        <f>K29</f>
        <v>720.0</v>
      </c>
      <c r="Y29" s="4" t="n">
        <v>2670032.0</v>
      </c>
    </row>
    <row r="30">
      <c r="A30" s="1"/>
      <c r="B30" s="4" t="s">
        <v>314</v>
      </c>
      <c r="C30" s="4" t="n">
        <v>13.0</v>
      </c>
      <c r="D30" s="4" t="s">
        <v>344</v>
      </c>
      <c r="E30" s="4" t="s">
        <v>345</v>
      </c>
      <c r="F30" s="4" t="s">
        <v>346</v>
      </c>
      <c r="G30" s="4" t="s">
        <v>318</v>
      </c>
      <c r="H30" s="4" t="s">
        <v>319</v>
      </c>
      <c r="I30" s="4" t="s">
        <v>0</v>
      </c>
      <c r="J30" s="5" t="n">
        <v>115.0</v>
      </c>
      <c r="K30" s="6" t="n">
        <v>80.0</v>
      </c>
      <c r="L30" s="5" t="n">
        <v>9200.0</v>
      </c>
      <c r="M30" s="7" t="n">
        <f>IF(P30=1,0,1) + IF(ISBLANK(R30),1,0) + IF(ISBLANK(S30),1,0)</f>
        <v>3.0</v>
      </c>
      <c r="N30" s="7"/>
      <c r="O30" s="1"/>
      <c r="P30" s="7" t="n">
        <f>IF(OR(Q30="Российская Федерация",Q30="Армения",Q30="Белоруссия",Q30="Беларусь",Q30="Казахстан",Q30="Киргизия",Q30="Кыргызстан",Q30="ДНР",Q30="ЛНР"), 1, 0)</f>
        <v>0.0</v>
      </c>
      <c r="Q30" s="7" t="str">
        <f>IFERROR(IF(P30=1, "Российская Федерация", "Не заполнено"),"")</f>
        <v/>
      </c>
      <c r="R30" s="7"/>
      <c r="S30" s="7"/>
      <c r="T30" s="7"/>
      <c r="U30" s="5" t="n">
        <f>IF(T30&lt;&gt;0, J30 * Q38,)</f>
        <v>0.0</v>
      </c>
      <c r="V30" s="5" t="n">
        <f>U30*K30</f>
        <v>0.0</v>
      </c>
      <c r="W30" s="5" t="n">
        <f>X30*(ROUNDDOWN(T30,0) + ROUNDDOWN(T30 - ROUNDDOWN(T30,0),9))</f>
        <v>0.0</v>
      </c>
      <c r="X30" s="6" t="n">
        <f>K30</f>
        <v>80.0</v>
      </c>
      <c r="Y30" s="4" t="n">
        <v>2670045.0</v>
      </c>
    </row>
    <row r="31">
      <c r="A31" s="1"/>
      <c r="B31" s="4" t="s">
        <v>314</v>
      </c>
      <c r="C31" s="4" t="n">
        <v>14.0</v>
      </c>
      <c r="D31" s="4" t="s">
        <v>344</v>
      </c>
      <c r="E31" s="4" t="s">
        <v>345</v>
      </c>
      <c r="F31" s="4" t="s">
        <v>346</v>
      </c>
      <c r="G31" s="4" t="s">
        <v>318</v>
      </c>
      <c r="H31" s="4" t="s">
        <v>319</v>
      </c>
      <c r="I31" s="4" t="s">
        <v>0</v>
      </c>
      <c r="J31" s="5" t="n">
        <v>115.0</v>
      </c>
      <c r="K31" s="6" t="n">
        <v>1247.0</v>
      </c>
      <c r="L31" s="5" t="n">
        <v>143405.0</v>
      </c>
      <c r="M31" s="7" t="n">
        <f>IF(P31=1,0,1) + IF(ISBLANK(R31),1,0) + IF(ISBLANK(S31),1,0)</f>
        <v>3.0</v>
      </c>
      <c r="N31" s="7"/>
      <c r="O31" s="1"/>
      <c r="P31" s="7" t="n">
        <f>IF(OR(Q31="Российская Федерация",Q31="Армения",Q31="Белоруссия",Q31="Беларусь",Q31="Казахстан",Q31="Киргизия",Q31="Кыргызстан",Q31="ДНР",Q31="ЛНР"), 1, 0)</f>
        <v>0.0</v>
      </c>
      <c r="Q31" s="7" t="str">
        <f>IFERROR(IF(P31=1, "Российская Федерация", "Не заполнено"),"")</f>
        <v/>
      </c>
      <c r="R31" s="7"/>
      <c r="S31" s="7"/>
      <c r="T31" s="7"/>
      <c r="U31" s="5" t="n">
        <f>IF(T31&lt;&gt;0, J31 * Q38,)</f>
        <v>0.0</v>
      </c>
      <c r="V31" s="5" t="n">
        <f>U31*K31</f>
        <v>0.0</v>
      </c>
      <c r="W31" s="5" t="n">
        <f>X31*(ROUNDDOWN(T31,0) + ROUNDDOWN(T31 - ROUNDDOWN(T31,0),9))</f>
        <v>0.0</v>
      </c>
      <c r="X31" s="6" t="n">
        <f>K31</f>
        <v>1247.0</v>
      </c>
      <c r="Y31" s="4" t="n">
        <v>2670049.0</v>
      </c>
    </row>
    <row r="32">
      <c r="A32" s="1"/>
      <c r="B32" s="4" t="s">
        <v>314</v>
      </c>
      <c r="C32" s="4" t="n">
        <v>15.0</v>
      </c>
      <c r="D32" s="4" t="s">
        <v>347</v>
      </c>
      <c r="E32" s="4" t="s">
        <v>348</v>
      </c>
      <c r="F32" s="4" t="s">
        <v>349</v>
      </c>
      <c r="G32" s="4" t="s">
        <v>318</v>
      </c>
      <c r="H32" s="4" t="s">
        <v>319</v>
      </c>
      <c r="I32" s="4" t="s">
        <v>0</v>
      </c>
      <c r="J32" s="5" t="n">
        <v>115.0</v>
      </c>
      <c r="K32" s="6" t="n">
        <v>167.0</v>
      </c>
      <c r="L32" s="5" t="n">
        <v>19205.0</v>
      </c>
      <c r="M32" s="7" t="n">
        <f>IF(P32=1,0,1) + IF(ISBLANK(R32),1,0) + IF(ISBLANK(S32),1,0)</f>
        <v>3.0</v>
      </c>
      <c r="N32" s="7"/>
      <c r="O32" s="1"/>
      <c r="P32" s="7" t="n">
        <f>IF(OR(Q32="Российская Федерация",Q32="Армения",Q32="Белоруссия",Q32="Беларусь",Q32="Казахстан",Q32="Киргизия",Q32="Кыргызстан",Q32="ДНР",Q32="ЛНР"), 1, 0)</f>
        <v>0.0</v>
      </c>
      <c r="Q32" s="7" t="str">
        <f>IFERROR(IF(P32=1, "Российская Федерация", "Не заполнено"),"")</f>
        <v/>
      </c>
      <c r="R32" s="7"/>
      <c r="S32" s="7"/>
      <c r="T32" s="7"/>
      <c r="U32" s="5" t="n">
        <f>IF(T32&lt;&gt;0, J32 * Q38,)</f>
        <v>0.0</v>
      </c>
      <c r="V32" s="5" t="n">
        <f>U32*K32</f>
        <v>0.0</v>
      </c>
      <c r="W32" s="5" t="n">
        <f>X32*(ROUNDDOWN(T32,0) + ROUNDDOWN(T32 - ROUNDDOWN(T32,0),9))</f>
        <v>0.0</v>
      </c>
      <c r="X32" s="6" t="n">
        <f>K32</f>
        <v>167.0</v>
      </c>
      <c r="Y32" s="4" t="n">
        <v>2670046.0</v>
      </c>
    </row>
    <row r="33">
      <c r="A33" s="1"/>
      <c r="B33" s="4" t="s">
        <v>314</v>
      </c>
      <c r="C33" s="4" t="n">
        <v>16.0</v>
      </c>
      <c r="D33" s="4" t="s">
        <v>347</v>
      </c>
      <c r="E33" s="4" t="s">
        <v>348</v>
      </c>
      <c r="F33" s="4" t="s">
        <v>349</v>
      </c>
      <c r="G33" s="4" t="s">
        <v>318</v>
      </c>
      <c r="H33" s="4" t="s">
        <v>319</v>
      </c>
      <c r="I33" s="4" t="s">
        <v>0</v>
      </c>
      <c r="J33" s="5" t="n">
        <v>115.0</v>
      </c>
      <c r="K33" s="6" t="n">
        <v>7.0</v>
      </c>
      <c r="L33" s="5" t="n">
        <v>805.0</v>
      </c>
      <c r="M33" s="7" t="n">
        <f>IF(P33=1,0,1) + IF(ISBLANK(R33),1,0) + IF(ISBLANK(S33),1,0)</f>
        <v>3.0</v>
      </c>
      <c r="N33" s="7"/>
      <c r="O33" s="1"/>
      <c r="P33" s="7" t="n">
        <f>IF(OR(Q33="Российская Федерация",Q33="Армения",Q33="Белоруссия",Q33="Беларусь",Q33="Казахстан",Q33="Киргизия",Q33="Кыргызстан",Q33="ДНР",Q33="ЛНР"), 1, 0)</f>
        <v>0.0</v>
      </c>
      <c r="Q33" s="7" t="str">
        <f>IFERROR(IF(P33=1, "Российская Федерация", "Не заполнено"),"")</f>
        <v/>
      </c>
      <c r="R33" s="7"/>
      <c r="S33" s="7"/>
      <c r="T33" s="7"/>
      <c r="U33" s="5" t="n">
        <f>IF(T33&lt;&gt;0, J33 * Q38,)</f>
        <v>0.0</v>
      </c>
      <c r="V33" s="5" t="n">
        <f>U33*K33</f>
        <v>0.0</v>
      </c>
      <c r="W33" s="5" t="n">
        <f>X33*(ROUNDDOWN(T33,0) + ROUNDDOWN(T33 - ROUNDDOWN(T33,0),9))</f>
        <v>0.0</v>
      </c>
      <c r="X33" s="6" t="n">
        <f>K33</f>
        <v>7.0</v>
      </c>
      <c r="Y33" s="4" t="n">
        <v>2670054.0</v>
      </c>
    </row>
    <row r="34">
      <c r="A34" s="1"/>
      <c r="B34" s="4" t="s">
        <v>314</v>
      </c>
      <c r="C34" s="4" t="n">
        <v>17.0</v>
      </c>
      <c r="D34" s="4" t="s">
        <v>350</v>
      </c>
      <c r="E34" s="4" t="s">
        <v>351</v>
      </c>
      <c r="F34" s="4" t="s">
        <v>352</v>
      </c>
      <c r="G34" s="4" t="s">
        <v>353</v>
      </c>
      <c r="H34" s="4" t="s">
        <v>319</v>
      </c>
      <c r="I34" s="4" t="s">
        <v>0</v>
      </c>
      <c r="J34" s="5" t="n">
        <v>115.0</v>
      </c>
      <c r="K34" s="6" t="n">
        <v>10.0</v>
      </c>
      <c r="L34" s="5" t="n">
        <v>1150.0</v>
      </c>
      <c r="M34" s="7" t="n">
        <f>IF(P34=1,0,1) + IF(ISBLANK(R34),1,0) + IF(ISBLANK(S34),1,0)</f>
        <v>3.0</v>
      </c>
      <c r="N34" s="7"/>
      <c r="O34" s="1"/>
      <c r="P34" s="7" t="n">
        <f>IF(OR(Q34="Российская Федерация",Q34="Армения",Q34="Белоруссия",Q34="Беларусь",Q34="Казахстан",Q34="Киргизия",Q34="Кыргызстан",Q34="ДНР",Q34="ЛНР"), 1, 0)</f>
        <v>0.0</v>
      </c>
      <c r="Q34" s="7" t="str">
        <f>IFERROR(IF(P34=1, "Российская Федерация", "Не заполнено"),"")</f>
        <v/>
      </c>
      <c r="R34" s="7"/>
      <c r="S34" s="7"/>
      <c r="T34" s="7"/>
      <c r="U34" s="5" t="n">
        <f>IF(T34&lt;&gt;0, J34 * Q38,)</f>
        <v>0.0</v>
      </c>
      <c r="V34" s="5" t="n">
        <f>U34*K34</f>
        <v>0.0</v>
      </c>
      <c r="W34" s="5" t="n">
        <f>X34*(ROUNDDOWN(T34,0) + ROUNDDOWN(T34 - ROUNDDOWN(T34,0),9))</f>
        <v>0.0</v>
      </c>
      <c r="X34" s="6" t="n">
        <f>K34</f>
        <v>10.0</v>
      </c>
      <c r="Y34" s="4" t="n">
        <v>2670040.0</v>
      </c>
    </row>
    <row r="35">
      <c r="A35" s="1"/>
      <c r="B35" s="4" t="s">
        <v>314</v>
      </c>
      <c r="C35" s="4" t="n">
        <v>18.0</v>
      </c>
      <c r="D35" s="4" t="s">
        <v>350</v>
      </c>
      <c r="E35" s="4" t="s">
        <v>351</v>
      </c>
      <c r="F35" s="4" t="s">
        <v>352</v>
      </c>
      <c r="G35" s="4" t="s">
        <v>353</v>
      </c>
      <c r="H35" s="4" t="s">
        <v>319</v>
      </c>
      <c r="I35" s="4" t="s">
        <v>0</v>
      </c>
      <c r="J35" s="5" t="n">
        <v>115.0</v>
      </c>
      <c r="K35" s="6" t="n">
        <v>10.0</v>
      </c>
      <c r="L35" s="5" t="n">
        <v>1150.0</v>
      </c>
      <c r="M35" s="7" t="n">
        <f>IF(P35=1,0,1) + IF(ISBLANK(R35),1,0) + IF(ISBLANK(S35),1,0)</f>
        <v>3.0</v>
      </c>
      <c r="N35" s="7"/>
      <c r="O35" s="1"/>
      <c r="P35" s="7" t="n">
        <f>IF(OR(Q35="Российская Федерация",Q35="Армения",Q35="Белоруссия",Q35="Беларусь",Q35="Казахстан",Q35="Киргизия",Q35="Кыргызстан",Q35="ДНР",Q35="ЛНР"), 1, 0)</f>
        <v>0.0</v>
      </c>
      <c r="Q35" s="7" t="str">
        <f>IFERROR(IF(P35=1, "Российская Федерация", "Не заполнено"),"")</f>
        <v/>
      </c>
      <c r="R35" s="7"/>
      <c r="S35" s="7"/>
      <c r="T35" s="7"/>
      <c r="U35" s="5" t="n">
        <f>IF(T35&lt;&gt;0, J35 * Q38,)</f>
        <v>0.0</v>
      </c>
      <c r="V35" s="5" t="n">
        <f>U35*K35</f>
        <v>0.0</v>
      </c>
      <c r="W35" s="5" t="n">
        <f>X35*(ROUNDDOWN(T35,0) + ROUNDDOWN(T35 - ROUNDDOWN(T35,0),9))</f>
        <v>0.0</v>
      </c>
      <c r="X35" s="6" t="n">
        <f>K35</f>
        <v>10.0</v>
      </c>
      <c r="Y35" s="4" t="n">
        <v>2670047.0</v>
      </c>
    </row>
    <row r="36" ht="12.75" customHeight="true">
      <c r="K36" s="68"/>
      <c r="L36" s="68"/>
    </row>
    <row r="37" ht="15.0" customHeight="true">
      <c r="K37" t="s" s="69">
        <v>354</v>
      </c>
      <c r="L37" s="69"/>
      <c r="M37" t="s" s="69">
        <v>355</v>
      </c>
      <c r="N37" s="69"/>
      <c r="O37" s="69"/>
      <c r="P37" s="69"/>
      <c r="Q37" s="69"/>
      <c r="R37" s="70"/>
      <c r="S37" s="70"/>
      <c r="W37" t="s" s="71">
        <v>356</v>
      </c>
      <c r="X37" s="72"/>
    </row>
    <row r="38" ht="15.0" customHeight="true">
      <c r="L38" s="73" t="n">
        <f>SUM(L18:L35)</f>
        <v>1119815.06</v>
      </c>
      <c r="Q38" s="73" t="n">
        <f>W38/L38</f>
        <v>0.0</v>
      </c>
      <c r="W38" s="73" t="n">
        <f>SUM(W18:W35)</f>
        <v>0.0</v>
      </c>
    </row>
    <row r="39" ht="12.75" customHeight="true">
      <c r="R39" t="s" s="68">
        <v>357</v>
      </c>
      <c r="S39" t="s" s="68">
        <v>358</v>
      </c>
      <c r="T39" s="68"/>
    </row>
    <row r="40" ht="12.75" customHeight="true">
      <c r="D40" t="s" s="74">
        <v>359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6"/>
      <c r="R40" s="77" t="n">
        <f>SUM(V18:V35)</f>
        <v>0.0</v>
      </c>
      <c r="S40" t="n" s="77">
        <v>100.0</v>
      </c>
      <c r="T40" t="s" s="78">
        <v>360</v>
      </c>
    </row>
    <row r="41" ht="15.0" customHeight="true">
      <c r="D41" t="s" s="74">
        <v>361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6"/>
      <c r="R41" s="73" t="n">
        <f>SUMIF(P18:P35,1, V18:V35)</f>
        <v>0.0</v>
      </c>
      <c r="S41" s="73" t="n">
        <f>IF(R40&lt;&gt;0, R41/R40*100,)</f>
        <v>0.0</v>
      </c>
      <c r="T41" s="79" t="str">
        <f>IF(S41&lt;=50," ","РФ/ДНР/ЛНР/ЕАЭС")</f>
        <v> </v>
      </c>
    </row>
    <row r="42" ht="15.0" customHeight="true">
      <c r="D42" t="s" s="74">
        <v>362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73" t="n">
        <f>IF(R40&lt;&gt;0,R40-R41,)</f>
        <v>0.0</v>
      </c>
      <c r="S42" s="73" t="n">
        <f>IF(R40&lt;&gt;0, R42/R40*100,)</f>
        <v>0.0</v>
      </c>
      <c r="T42" s="79" t="str">
        <f>IF(S42&gt;50,"Импорт", " ")</f>
        <v> </v>
      </c>
    </row>
    <row r="43" ht="15.0" customHeight="true">
      <c r="D43" t="s" s="74">
        <v>363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6"/>
      <c r="R43" s="73" t="n">
        <f>SUMIF(M18:M35, 0, V18:V35)</f>
        <v>0.0</v>
      </c>
      <c r="S43" s="73" t="n">
        <f>IF(R40&lt;&gt;0, R43/R40*100,)</f>
        <v>0.0</v>
      </c>
      <c r="T43" s="79" t="str">
        <f>IF(S43&lt;=50," ","РЭП (ПО)")</f>
        <v> </v>
      </c>
    </row>
    <row r="44" ht="15.0" customHeight="true">
      <c r="A44" s="7"/>
    </row>
    <row r="45" ht="15.75" customHeight="true">
      <c r="B45" t="s" s="80">
        <v>364</v>
      </c>
    </row>
    <row r="46" ht="19.5" customHeight="true">
      <c r="B46" t="s" s="81">
        <v>365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</row>
    <row r="47" ht="20.25" customHeight="true">
      <c r="B47" t="s" s="82">
        <v>366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39.75" customHeight="true">
      <c r="B48" t="s" s="84">
        <v>367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</row>
    <row r="49" ht="19.5" customHeight="true">
      <c r="B49" t="s" s="82">
        <v>368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18.0" customHeight="true">
      <c r="B50" t="s" s="82">
        <v>369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ht="22.5" customHeight="true">
      <c r="B51" t="s" s="82">
        <v>370</v>
      </c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ht="19.5" customHeight="true">
      <c r="B52" t="s" s="82">
        <v>371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 ht="22.5" customHeight="true">
      <c r="B53" t="s" s="82">
        <v>372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ht="34.5" customHeight="true">
      <c r="B54" t="s" s="82">
        <v>373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ht="36.0" customHeight="true">
      <c r="B55" t="s" s="82">
        <v>374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ht="32.25" customHeight="true">
      <c r="B56" t="s" s="86">
        <v>375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</row>
    <row r="57" ht="33.75" customHeight="true">
      <c r="B57" t="s" s="82">
        <v>376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ht="33.75" customHeight="true">
      <c r="B58" t="s" s="82">
        <v>377</v>
      </c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ht="124.5" customHeight="true">
      <c r="B59" t="s" s="82">
        <v>378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 ht="33.75" customHeight="true">
      <c r="B60" t="s" s="82">
        <v>379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ht="24.75" customHeight="true">
      <c r="A61" s="7"/>
    </row>
  </sheetData>
  <sheetProtection autoFilter="false" sort="false" password="CDB0" sheet="true" scenarios="true" objects="true"/>
  <autoFilter ref="B17:S35"/>
  <mergeCells count="92">
    <mergeCell ref="K37:L37"/>
    <mergeCell ref="M37:Q37"/>
    <mergeCell ref="I14:I16"/>
    <mergeCell ref="J14:J16"/>
    <mergeCell ref="K14:K16"/>
    <mergeCell ref="L14:L16"/>
    <mergeCell ref="D43:Q43"/>
    <mergeCell ref="B59:W59"/>
    <mergeCell ref="B55:W55"/>
    <mergeCell ref="B56:W56"/>
    <mergeCell ref="B57:W57"/>
    <mergeCell ref="B58:W58"/>
    <mergeCell ref="BS15:BT15"/>
    <mergeCell ref="B60:W60"/>
    <mergeCell ref="B54:W54"/>
    <mergeCell ref="D40:Q40"/>
    <mergeCell ref="D41:Q41"/>
    <mergeCell ref="D42:Q42"/>
    <mergeCell ref="B46:W46"/>
    <mergeCell ref="B47:W47"/>
    <mergeCell ref="B48:W48"/>
    <mergeCell ref="B49:W49"/>
    <mergeCell ref="B50:W50"/>
    <mergeCell ref="B51:W51"/>
    <mergeCell ref="B52:W52"/>
    <mergeCell ref="B53:W53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54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  <dataValidation type="list" sqref="N27" allowBlank="true" errorStyle="stop" promptTitle="" prompt="" showInputMessage="true" showDropDown="false" showErrorMessage="true">
      <formula1>yes_no</formula1>
    </dataValidation>
    <dataValidation type="list" sqref="Q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Реестр из списка" showInputMessage="true" showDropDown="false" showErrorMessage="true">
      <formula1>rep</formula1>
    </dataValidation>
    <dataValidation type="list" sqref="N28" allowBlank="true" errorStyle="stop" promptTitle="" prompt="" showInputMessage="true" showDropDown="false" showErrorMessage="true">
      <formula1>yes_no</formula1>
    </dataValidation>
    <dataValidation type="list" sqref="Q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Реестр из списка" showInputMessage="true" showDropDown="false" showErrorMessage="true">
      <formula1>rep</formula1>
    </dataValidation>
    <dataValidation type="list" sqref="N29" allowBlank="true" errorStyle="stop" promptTitle="" prompt="" showInputMessage="true" showDropDown="false" showErrorMessage="true">
      <formula1>yes_no</formula1>
    </dataValidation>
    <dataValidation type="list" sqref="Q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Реестр из списка" showInputMessage="true" showDropDown="false" showErrorMessage="true">
      <formula1>rep</formula1>
    </dataValidation>
    <dataValidation type="list" sqref="N30" allowBlank="true" errorStyle="stop" promptTitle="" prompt="" showInputMessage="true" showDropDown="false" showErrorMessage="true">
      <formula1>yes_no</formula1>
    </dataValidation>
    <dataValidation type="list" sqref="Q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Реестр из списка" showInputMessage="true" showDropDown="false" showErrorMessage="true">
      <formula1>rep</formula1>
    </dataValidation>
    <dataValidation type="list" sqref="N31" allowBlank="true" errorStyle="stop" promptTitle="" prompt="" showInputMessage="true" showDropDown="false" showErrorMessage="true">
      <formula1>yes_no</formula1>
    </dataValidation>
    <dataValidation type="list" sqref="Q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Реестр из списка" showInputMessage="true" showDropDown="false" showErrorMessage="true">
      <formula1>rep</formula1>
    </dataValidation>
    <dataValidation type="list" sqref="N32" allowBlank="true" errorStyle="stop" promptTitle="" prompt="" showInputMessage="true" showDropDown="false" showErrorMessage="true">
      <formula1>yes_no</formula1>
    </dataValidation>
    <dataValidation type="list" sqref="Q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Реестр из списка" showInputMessage="true" showDropDown="false" showErrorMessage="true">
      <formula1>rep</formula1>
    </dataValidation>
    <dataValidation type="list" sqref="N33" allowBlank="true" errorStyle="stop" promptTitle="" prompt="" showInputMessage="true" showDropDown="false" showErrorMessage="true">
      <formula1>yes_no</formula1>
    </dataValidation>
    <dataValidation type="list" sqref="Q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Реестр из списка" showInputMessage="true" showDropDown="false" showErrorMessage="true">
      <formula1>rep</formula1>
    </dataValidation>
    <dataValidation type="list" sqref="N34" allowBlank="true" errorStyle="stop" promptTitle="" prompt="" showInputMessage="true" showDropDown="false" showErrorMessage="true">
      <formula1>yes_no</formula1>
    </dataValidation>
    <dataValidation type="list" sqref="Q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Реестр из списка" showInputMessage="true" showDropDown="false" showErrorMessage="true">
      <formula1>rep</formula1>
    </dataValidation>
    <dataValidation type="list" sqref="N35" allowBlank="true" errorStyle="stop" promptTitle="" prompt="" showInputMessage="true" showDropDown="false" showErrorMessage="true">
      <formula1>yes_no</formula1>
    </dataValidation>
    <dataValidation type="list" sqref="Q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2026-09-24T11:30:39Z</dcterms:created>
  <dc:creator>Apache POI</dc:creator>
</cp:coreProperties>
</file>