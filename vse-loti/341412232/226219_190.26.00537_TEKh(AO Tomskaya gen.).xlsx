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Шаблон!$B$15:$R$33</definedName>
  </definedNames>
</workbook>
</file>

<file path=xl/sharedStrings.xml><?xml version="1.0" encoding="utf-8"?>
<sst xmlns="http://schemas.openxmlformats.org/spreadsheetml/2006/main" count="744" uniqueCount="378">
  <si>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</si>
  <si>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</si>
  <si>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</si>
  <si>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</si>
  <si>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</si>
  <si>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</si>
  <si>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</si>
  <si>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</si>
  <si>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</si>
  <si>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</si>
  <si>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</si>
  <si>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</si>
  <si>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</si>
  <si>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</si>
  <si>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</si>
  <si>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</si>
  <si>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</si>
  <si>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</si>
  <si>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</si>
  <si>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</si>
  <si>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</si>
  <si>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</si>
  <si>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</si>
  <si>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</si>
  <si>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</si>
  <si>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</si>
  <si>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</si>
  <si>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</si>
  <si>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</si>
  <si>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</si>
  <si>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</si>
  <si>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</si>
  <si>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</si>
  <si>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</si>
  <si>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</si>
  <si>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</si>
  <si>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</si>
  <si>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</si>
  <si>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</si>
  <si>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</si>
  <si>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</si>
  <si>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</si>
  <si>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</si>
  <si>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</si>
  <si>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</si>
  <si>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</si>
  <si>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</si>
  <si>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</si>
  <si>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</si>
  <si>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</si>
  <si>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</si>
  <si>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</si>
  <si>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</si>
  <si>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</si>
  <si>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</si>
  <si>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</si>
  <si>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</si>
  <si>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</si>
  <si>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</si>
  <si>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</si>
  <si>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</si>
  <si>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</si>
  <si>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</si>
  <si>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</si>
  <si>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</si>
  <si>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</si>
  <si>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</si>
  <si>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</si>
  <si>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</si>
  <si>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</si>
  <si>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</si>
  <si>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</si>
  <si>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</si>
  <si>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</si>
  <si>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</si>
  <si>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</si>
  <si>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</si>
  <si>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</si>
  <si>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</si>
  <si>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</si>
  <si>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</si>
  <si>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</si>
  <si>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</si>
  <si>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</si>
  <si>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</si>
  <si>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</si>
  <si>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</si>
  <si>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</si>
  <si>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</si>
  <si>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</si>
  <si>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</si>
  <si>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</si>
  <si>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</si>
  <si>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</si>
  <si>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</si>
  <si>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</si>
  <si>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</si>
  <si>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</si>
  <si>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</si>
  <si>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</si>
  <si>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</si>
  <si>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</si>
  <si>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</si>
  <si>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</si>
  <si>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</si>
  <si>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</si>
  <si>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</si>
  <si>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</si>
  <si>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</si>
  <si>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</si>
  <si>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</si>
  <si>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</si>
  <si>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</si>
  <si>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</si>
  <si>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</si>
  <si>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</si>
  <si>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</si>
  <si>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</si>
  <si>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</si>
  <si>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</si>
  <si>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</si>
  <si>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</si>
  <si>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</si>
  <si>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</si>
  <si>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</si>
  <si>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</si>
  <si>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</si>
  <si>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</si>
  <si>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</si>
  <si>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</si>
  <si>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</si>
  <si>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</si>
  <si>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</si>
  <si>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</si>
  <si>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</si>
  <si>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</si>
  <si>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</si>
  <si>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</si>
  <si>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</si>
  <si>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</si>
  <si>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</si>
  <si>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</si>
  <si>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</si>
  <si>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</si>
  <si>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</si>
  <si>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</si>
  <si>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</si>
  <si>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</si>
  <si>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</si>
  <si>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</si>
  <si>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</si>
  <si>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</si>
  <si>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</si>
  <si>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</si>
  <si>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</si>
  <si>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</si>
  <si>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</si>
  <si>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</si>
  <si>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</si>
  <si>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</si>
  <si>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</si>
  <si>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</si>
  <si>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</si>
  <si>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</si>
  <si>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</si>
  <si>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</si>
  <si>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</si>
  <si>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</si>
  <si>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</si>
  <si>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</si>
  <si>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</si>
  <si>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</si>
  <si>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</si>
  <si>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</si>
  <si>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</si>
  <si>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</si>
  <si>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</si>
  <si>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</si>
  <si>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</si>
  <si>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</si>
  <si>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</si>
  <si>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</si>
  <si>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</si>
  <si>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</si>
  <si>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</si>
  <si>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</si>
  <si>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</si>
  <si>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</si>
  <si>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</si>
  <si>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</si>
  <si>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</si>
  <si>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</si>
  <si>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</si>
  <si>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</si>
  <si>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</si>
  <si>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</si>
  <si>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</si>
  <si>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</si>
  <si>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</si>
  <si>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</si>
  <si>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</si>
  <si>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</si>
  <si>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</si>
  <si>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</si>
  <si>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</si>
  <si>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</si>
  <si>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</si>
  <si>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</si>
  <si>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</si>
  <si>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</si>
  <si>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</si>
  <si>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</si>
  <si>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</si>
  <si>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</si>
  <si>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</si>
  <si>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</si>
  <si>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</si>
  <si>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</si>
  <si>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</si>
  <si>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</si>
  <si>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</si>
  <si>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</si>
  <si>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</si>
  <si>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</si>
  <si>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</si>
  <si>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</si>
  <si>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</si>
  <si>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</si>
  <si>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</si>
  <si>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</si>
  <si>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</si>
  <si>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</si>
  <si>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</si>
  <si>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</si>
  <si>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</si>
  <si>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</si>
  <si>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</si>
  <si>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</si>
  <si>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</si>
  <si>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</si>
  <si>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</si>
  <si>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</si>
  <si>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</si>
  <si>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</si>
  <si>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</si>
  <si>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</si>
  <si>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</si>
  <si>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</si>
  <si>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</si>
  <si>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</si>
  <si>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</si>
  <si>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</si>
  <si>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</si>
  <si>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</si>
  <si>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</si>
  <si>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</si>
  <si>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</si>
  <si>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</si>
  <si>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</si>
  <si>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</si>
  <si>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(Техническая часть)</t>
  </si>
  <si>
    <t>Название закупки</t>
  </si>
  <si>
    <t>Поставка труб малого диаметра электросварных</t>
  </si>
  <si>
    <t>Внимание!!!  Обязательно прочитайте инструкцию по заполнению в конце таблицы.</t>
  </si>
  <si>
    <t>Лот</t>
  </si>
  <si>
    <t>190.26.00537 Поставка труб малого диаметра электросварных для нужд АО "Томская генерация"</t>
  </si>
  <si>
    <t>Год поставки</t>
  </si>
  <si>
    <t>Предложение от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</si>
  <si>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</si>
  <si>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</si>
  <si>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</si>
  <si>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</si>
  <si>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</si>
  <si>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</si>
  <si>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</si>
  <si>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происхождения товара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</si>
  <si>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</si>
  <si>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</si>
  <si>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</si>
  <si>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</si>
  <si>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Наименование изготовителя (предложение участника)</t>
  </si>
  <si>
    <t>Уровень локализации</t>
  </si>
  <si>
    <t>Цена за единицу (предложение участника) без НДС</t>
  </si>
  <si>
    <t>Страна происхождения товара (предложение участника)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</si>
  <si>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</si>
  <si>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</si>
  <si>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</si>
  <si>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</si>
  <si>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Количество по месяцам поставки</t>
  </si>
  <si>
    <t>Количество по месяцам поставки последующий год</t>
  </si>
  <si>
    <t>Объем  поставок на 3 год</t>
  </si>
  <si>
    <t>Объем  поставок на 4 год</t>
  </si>
  <si>
    <t>Объем  поставок на 5 год</t>
  </si>
  <si>
    <t>Переходящий остаток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</si>
  <si>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</si>
  <si>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</si>
  <si>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</si>
  <si>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</si>
  <si>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Наименование позиции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</si>
  <si>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</si>
  <si>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</si>
  <si>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</si>
  <si>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</si>
  <si>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</si>
  <si>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</si>
  <si>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</si>
  <si>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</si>
  <si>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</si>
  <si>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</si>
  <si>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</si>
  <si>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</si>
  <si>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Требуемое </t>
  </si>
  <si>
    <t>Предлагаемое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</si>
  <si>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</si>
  <si>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</si>
  <si>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</si>
  <si>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</si>
  <si>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АО "Томская генерация"-&gt;АО "Томская генерация"</t>
  </si>
  <si>
    <t>476330</t>
  </si>
  <si>
    <t>Труба стальная прямошовная, электросварная, наружный диаметр 108мм, толщина стенки 4,5мм,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108х4,5/В-Ст3сп ГОСТ 10704-91, ГОСТ 10705-80</t>
  </si>
  <si>
    <t>Труба 108х4,5/В-Ст3сп ГОСТ 10704-91, ГОСТ 10705-80</t>
  </si>
  <si>
    <t>ГОСТ 10704-91,ГОСТ 10705-80</t>
  </si>
  <si>
    <t>Килограмм</t>
  </si>
  <si>
    <t>475849</t>
  </si>
  <si>
    <t>Труба стальная прямошовная, электросварная, наружный диаметр 108мм,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108х4/В-20 ГОСТ 10704-91, ГОСТ 10705-80</t>
  </si>
  <si>
    <t>Труба 108х4/В-20 ГОСТ 10704-91, ГОСТ 10705-80</t>
  </si>
  <si>
    <t>476331</t>
  </si>
  <si>
    <t>Труба стальная прямошовная, электросварная, наружный диаметр 108мм, толщина стенки 5мм,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108х5/В-Ст3сп ГОСТ 10704-91, ГОСТ 10705-80</t>
  </si>
  <si>
    <t>Труба 108х5/В-Ст3сп ГОСТ 10704-91, ГОСТ 10705-80</t>
  </si>
  <si>
    <t>475772</t>
  </si>
  <si>
    <t>Труба стальная прямошовная, электросварная, наружный диаметр 159мм, толщина стенки 5мм, длина немерная, предельные отклонения: по наружному диаметру +/-0,8% (точность изготовления обычная), по толщине стенки +0,45/-0,5мм, материал сталь Ст3сп, с нормированием механических свойств и химического состава (группа В), 159х5/В-Ст3сп ГОСТ 10704-91, ГОСТ 10705-80</t>
  </si>
  <si>
    <t>Труба 159х5/В-Ст3сп ГОСТ 10704-91, ГОСТ 10705-80</t>
  </si>
  <si>
    <t>443174</t>
  </si>
  <si>
    <t>Труба стальная прямошовная, электросварная, наружный диаметр 159мм, толщина стенки 6мм, длина немерная, предельные отклонения: по наружному диаметру +/-0,8% (точность изготовления обычная), по толщине стенки +0,45/-0,6мм, материал сталь 20, с нормированием механических свойств и химического состава (группа В), 159х6/В-20 ГОСТ 10704-91, ГОСТ 10705-80</t>
  </si>
  <si>
    <t>Труба 159х6/В-20 ГОСТ 10704-91, ГОСТ 10705-80</t>
  </si>
  <si>
    <t>476353</t>
  </si>
  <si>
    <t>Труба стальная прямошовная, электросварная, наружный диаметр 25мм, толщина стенки 2,5мм, длина немерная, предельные отклонения: по наружному диаметру +/-0,3мм (точность изготовления обычная), по толщине стенки +/-10%, материал сталь Ст3сп, с нормированием механических свойств и химического состава (группа В), 25х2,5/В-Ст3сп ГОСТ 10704-91, ГОСТ 10705-80</t>
  </si>
  <si>
    <t>Труба 25х2,5/В-Ст3сп ГОСТ 10704-91, ГОСТ 10705-80</t>
  </si>
  <si>
    <t>476541</t>
  </si>
  <si>
    <t>Труба стальная прямошовная, электросварная, наружный диаметр 325мм, толщина стенки 6мм, длина немерная, предельные отклонения: по наружному диаметру +/-0,75% (точность изготовления обычная), по толщине стенки +0,45/-0,6мм, материал сталь 20, с нормированием механических свойств и химического состава (группа В), 325х6/В-20 ГОСТ 10704-91, ГОСТ 10705-80</t>
  </si>
  <si>
    <t>Труба 325х6/В-20 ГОСТ 10704-91, ГОСТ 10705-80</t>
  </si>
  <si>
    <t>476377</t>
  </si>
  <si>
    <t>Труба стальная прямошовная, электросварная, наружный диаметр 32мм, толщина стенки 2мм, длина немерная, предельные отклонения: по наружному диаметру +/-0,4мм (точность изготовления обычная), по толщине стенки +/-10%, материал сталь Ст3сп, с нормированием механических свойств и химического состава (группа В), 32х2/В-Ст3сп ГОСТ 10704-91, ГОСТ 10705-80</t>
  </si>
  <si>
    <t>Труба 32х2/В-Ст3сп ГОСТ 10704-91, ГОСТ 10705-80</t>
  </si>
  <si>
    <t>759378</t>
  </si>
  <si>
    <t>Труба стальная прямошовная, электросварная, наружный диаметр 426мм, толщина стенки 12мм, длина немерная, предельные отклонения: по наружному диаметру +/-0,75% (точность изготовления обычная), по толщине стенки +1/-0,8мм, материал сталь Ст3сп, с нормированием механических свойств и химического состава (группа В), 426х12/В-Ст3сп ГОСТ 10704-91, ГОСТ 10705-80</t>
  </si>
  <si>
    <t>Труба 426х12/В-Ст3сп ГОСТ 10704-91, ГОСТ 10705-80</t>
  </si>
  <si>
    <t>539529</t>
  </si>
  <si>
    <t>Труба стальная прямошовная, электросварная, наружный диаметр 57мм, толщина стенки 3,5мм, длина немерная, предельные отклонения: по наружному диаметру +/-0,8% (точность изготовления обычная), по толщине стенки +/-10%, материал сталь Ст20, с нормированием механических свойств и химического состава (группа В), 57х3,5/В-20 ГОСТ 10704-91, ГОСТ 10705-80</t>
  </si>
  <si>
    <t>Труба 57х3,5/В-20 ГОСТ 10704-91, ГОСТ 10705-80</t>
  </si>
  <si>
    <t>476366</t>
  </si>
  <si>
    <t>Труба стальная прямошовная, электросварная, наружный диаметр 76мм, толщина стенки 4мм, длина немерная, предельные отклонения: по наружному диаметру +/-0,8% (точность изготовления обычная), по толщине стенки +/-10%, материал сталь Ст3сп, с нормированием механических свойств и химического состава (группа В), 76х4/В-Ст3сп ГОСТ 10704-91, ГОСТ 10705-80</t>
  </si>
  <si>
    <t>Труба 76х4/В-Ст3сп ГОСТ 10704-91, ГОСТ 10705-80</t>
  </si>
  <si>
    <t>679654</t>
  </si>
  <si>
    <t>Труба стальная прямошовная, электросварная, наружный диаметр 89мм, толщина стенки 5мм, длина немерная, предельные отклонения: по наружному диаметру +/-0,8% (точность изготовления обычная), по толщине стенки +/-10%, материал сталь 20, с нормированием механических свойств и химического состава (группа В), 89х5/В-20 ГОСТ 10704-91, ГОСТ 10705-80</t>
  </si>
  <si>
    <t>Труба 89х5/В-20 ГОСТ 10704-91, ГОСТ 10705-80</t>
  </si>
  <si>
    <t>ГОСТ 10705-80,ГОСТ 10704-91</t>
  </si>
  <si>
    <t>Прочие коммерческие условия поставки:</t>
  </si>
  <si>
    <t>№ п/п</t>
  </si>
  <si>
    <t>Наименование</t>
  </si>
  <si>
    <t>Значение</t>
  </si>
  <si>
    <t>Срок поставки (Начало)</t>
  </si>
  <si>
    <t>Срок поставки (Окончание)</t>
  </si>
  <si>
    <t>Гарантийный срок</t>
  </si>
  <si>
    <t>Адрес доставки товара [стоимость доставки включена в стоимость товара]</t>
  </si>
  <si>
    <t>Дополнительные услуги [расшифровать, какие дополнительные услуги включены в стоимость товара, например: страхование, разгрузка, шеф-монтаж, обучение  и т.п.]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</si>
  <si>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</si>
  <si>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r>
      <t>2) Поле "</t>
    </r>
    <r>
      <rPr>
        <b/>
        <sz val="12"/>
        <color indexed="56"/>
        <rFont val="Arial"/>
        <family val="2"/>
        <charset val="204"/>
      </rPr>
      <t>Аналог участника</t>
    </r>
    <r>
      <rPr>
        <sz val="12"/>
        <color indexed="56"/>
        <rFont val="Arial"/>
        <family val="2"/>
        <charset val="204"/>
      </rPr>
      <t xml:space="preserve">" заполняется, </t>
    </r>
    <r>
      <rPr>
        <b/>
        <u/>
        <sz val="12"/>
        <color indexed="10"/>
        <rFont val="Arial"/>
        <family val="2"/>
        <charset val="204"/>
      </rPr>
      <t>только если</t>
    </r>
    <r>
      <rPr>
        <sz val="12"/>
        <color indexed="56"/>
        <rFont val="Arial"/>
        <family val="2"/>
        <charset val="204"/>
      </rPr>
      <t xml:space="preserve"> поставщик предлагает вместо исходной позиции (указанной в поле наименование) - аналог, в таком случае в этом поле необходимо указать полное наименование предлагаемого аналога и Нормативную документацию (ГОСТ, ТУ, чертёж, ОСТ).</t>
    </r>
  </si>
  <si>
    <r>
      <t xml:space="preserve">3) </t>
    </r>
    <r>
      <rPr>
        <b/>
        <sz val="12"/>
        <color indexed="10"/>
        <rFont val="Arial"/>
        <family val="2"/>
        <charset val="204"/>
      </rPr>
      <t xml:space="preserve">Внимание! Поля: "Наименование изготовителя (предложение участника)", </t>
    </r>
    <r>
      <rPr>
        <sz val="12"/>
        <color indexed="10"/>
        <rFont val="Arial"/>
        <family val="2"/>
        <charset val="204"/>
      </rPr>
      <t>"</t>
    </r>
    <r>
      <rPr>
        <b/>
        <sz val="12"/>
        <color indexed="10"/>
        <rFont val="Arial"/>
        <family val="2"/>
        <charset val="204"/>
      </rPr>
      <t>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</si>
  <si>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В белых полях колонок с месяцами "</t>
    </r>
    <r>
      <rPr>
        <b/>
        <sz val="12"/>
        <color indexed="56"/>
        <rFont val="Arial"/>
        <family val="2"/>
        <charset val="204"/>
      </rPr>
      <t>Предлагаемое</t>
    </r>
    <r>
      <rPr>
        <sz val="12"/>
        <color indexed="56"/>
        <rFont val="Arial"/>
        <family val="2"/>
        <charset val="204"/>
      </rPr>
      <t>", в случае необходимости, требуется скорректировать срок (т.е. перенести предлагаемое количество товара) в соответствующий срокам поставки участника месяц.</t>
    </r>
  </si>
  <si>
    <r>
      <t>5) В столбце "</t>
    </r>
    <r>
      <rPr>
        <b/>
        <sz val="12"/>
        <color indexed="56"/>
        <rFont val="Arial"/>
        <family val="2"/>
        <charset val="204"/>
      </rPr>
      <t>Переходящие периоды</t>
    </r>
    <r>
      <rPr>
        <sz val="12"/>
        <color indexed="56"/>
        <rFont val="Arial"/>
        <family val="2"/>
        <charset val="204"/>
      </rPr>
      <t>" заполняются данные по предложению на период, который не вошел в планируемый год.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</si>
  <si>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</si>
  <si>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 xml:space="preserve">7) В таблице "Прочие условия поставки" приводятся </t>
    </r>
    <r>
      <rPr>
        <b/>
        <u/>
        <sz val="12"/>
        <color indexed="56"/>
        <rFont val="Arial"/>
        <family val="2"/>
        <charset val="204"/>
      </rPr>
      <t>основные</t>
    </r>
    <r>
      <rPr>
        <sz val="12"/>
        <color indexed="56"/>
        <rFont val="Arial"/>
        <family val="2"/>
        <charset val="204"/>
      </rPr>
      <t xml:space="preserve"> параметры предложения Участника закупки.</t>
    </r>
  </si>
  <si>
    <r>
      <t xml:space="preserve">8) Столбцы </t>
    </r>
    <r>
      <rPr>
        <b/>
        <sz val="12"/>
        <color indexed="56"/>
        <rFont val="Arial"/>
        <family val="2"/>
        <charset val="204"/>
      </rPr>
      <t>"Страна происхождения товара 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 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</si>
  <si>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r>
      <t xml:space="preserve">8.1) В случае если первоначально заполняется (выбирается из выпадающего списка), столбец "Страна происхождения товара (предложение участника)"значением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услуг".</t>
    </r>
  </si>
  <si>
    <r>
      <t xml:space="preserve">8.2) В случае если первоначально заполняется (выбирается из выпадающего списка), столбец "Страна происхождения товара (предложение участника)", то в столбце "Уровень локализации" участнику </t>
    </r>
    <r>
      <rPr>
        <b/>
        <u/>
        <sz val="12"/>
        <color indexed="10"/>
        <rFont val="Arial"/>
        <family val="2"/>
        <charset val="204"/>
      </rPr>
      <t>НЕОБХОДИМО</t>
    </r>
    <r>
      <rPr>
        <b/>
        <u/>
        <sz val="12"/>
        <color indexed="56"/>
        <rFont val="Arial"/>
        <family val="2"/>
        <charset val="204"/>
      </rPr>
      <t xml:space="preserve"> в ручном режиме указать "Уровень локализации"</t>
    </r>
    <r>
      <rPr>
        <sz val="12"/>
        <color indexed="56"/>
        <rFont val="Arial"/>
        <family val="2"/>
        <charset val="204"/>
      </rPr>
      <t>, полученный в результате расчета, в соответствии с Методикой "Расчет уровня локализации товаров, работ, услуг".</t>
    </r>
  </si>
  <si>
    <t>9)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</si>
  <si>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10) В состав заявки (предложения)  должна быть приложена электронная версия Спецификации (Техническое предложение)</t>
  </si>
</sst>
</file>

<file path=xl/styles.xml><?xml version="1.0" encoding="utf-8"?>
<styleSheet xmlns="http://schemas.openxmlformats.org/spreadsheetml/2006/main">
  <numFmts count="1">
    <numFmt numFmtId="164" formatCode="#,##0.00#"/>
  </numFmts>
  <fonts count="111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Calibri"/>
      <sz val="11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  <color indexed="10"/>
    </font>
    <font>
      <name val="Arial Cyr"/>
      <sz val="10.0"/>
    </font>
    <font>
      <name val="Arial Cyr"/>
      <sz val="10.0"/>
    </font>
    <font>
      <name val="Arial Cyr"/>
      <sz val="10.0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4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56"/>
      <main:name val="Arial Cyr"/>
      <main:charset val="204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13"/>
      </patternFill>
    </fill>
    <fill>
      <patternFill patternType="solid">
        <fgColor indexed="43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1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110">
    <xf numFmtId="0" fontId="1" fillId="3" borderId="0" xfId="0" applyFont="true" applyBorder="true" applyFill="true"/>
    <xf numFmtId="0" fontId="1" fillId="3" borderId="0" xfId="0" applyFont="true" applyBorder="true" applyFill="true"/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5" fillId="4" borderId="4" xfId="0" applyFont="true" applyBorder="true" applyFill="true">
      <alignment wrapText="true"/>
      <protection locked="true"/>
    </xf>
    <xf numFmtId="0" fontId="6" fillId="5" borderId="4" xfId="0" applyFont="true" applyBorder="true" applyFill="true"/>
    <xf numFmtId="0" fontId="7" fillId="6" borderId="4" xfId="0" applyFont="true" applyBorder="true" applyFill="true"/>
    <xf numFmtId="0" fontId="8" fillId="6" borderId="4" xfId="0" applyFont="true" applyBorder="true" applyFill="true"/>
    <xf numFmtId="4" fontId="9" fillId="5" borderId="4" xfId="0" applyFont="true" applyBorder="true" applyFill="true" applyNumberFormat="true">
      <protection locked="true"/>
    </xf>
    <xf numFmtId="4" fontId="10" fillId="6" borderId="4" xfId="0" applyFont="true" applyBorder="true" applyFill="true" applyNumberFormat="true">
      <protection locked="false"/>
    </xf>
    <xf numFmtId="4" fontId="11" fillId="0" borderId="4" xfId="0" applyFont="true" applyBorder="true" applyNumberFormat="true">
      <protection locked="false"/>
    </xf>
    <xf numFmtId="4" fontId="12" fillId="4" borderId="4" xfId="0" applyFont="true" applyBorder="true" applyFill="true" applyNumberFormat="true">
      <protection locked="true"/>
    </xf>
    <xf numFmtId="164" fontId="13" fillId="4" borderId="4" xfId="0" applyFont="true" applyBorder="true" applyFill="true" applyNumberFormat="true">
      <protection locked="true"/>
    </xf>
    <xf xmlns:mc="http://schemas.openxmlformats.org/markup-compatibility/2006" xmlns:x14ac="http://schemas.microsoft.com/office/spreadsheetml/2009/9/ac" xmlns:main="http://schemas.openxmlformats.org/spreadsheetml/2006/main" numFmtId="0" fontId="14" fillId="7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5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7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8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6" fillId="7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 wrapText="1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8" fillId="0" borderId="9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8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0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9" xfId="0" applyNumberFormat="true" applyFont="true" applyFill="true" applyBorder="true" applyAlignment="1" applyProtection="1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2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0" borderId="11" xfId="0" applyNumberFormat="true" applyFont="true" applyFill="true" applyBorder="true" applyAlignment="1" applyProtection="1">
      <main:alignment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8" fillId="7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9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7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4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5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5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6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7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0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2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1" xfId="0" applyFont="true" applyFill="true" applyBorder="true" applyAlignment="1" applyProtection="1" applyNumberFormat="true">
      <main:alignment horizontal="center" vertic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8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7" fillId="11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62" fillId="11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8" fillId="11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numFmtId="0" fontId="89" fillId="7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90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4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5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90" fillId="9" borderId="16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9" xfId="0" applyNumberFormat="true" applyFont="true" applyFill="true" applyBorder="true" applyAlignment="1" applyProtection="1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4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9" borderId="1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4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5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5" fillId="7" borderId="16" xfId="0" applyFont="true" applyFill="true" applyBorder="true" applyAlignment="1" applyProtection="1" applyNumberFormat="true">
      <main:alignment horizontal="left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1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3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7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7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6" fillId="0" borderId="0" xfId="0" applyFont="true" applyFill="true" applyBorder="true" applyProtection="1" applyNumberFormat="true"/>
    <xf xmlns:mc="http://schemas.openxmlformats.org/markup-compatibility/2006" xmlns:x14ac="http://schemas.microsoft.com/office/spreadsheetml/2009/9/ac" numFmtId="0" fontId="107" fillId="7" borderId="0" xfId="0" applyFont="true" applyFill="true" applyBorder="true" applyProtection="1" applyNumberFormat="true"/>
    <xf xmlns:mc="http://schemas.openxmlformats.org/markup-compatibility/2006" xmlns:x14ac="http://schemas.microsoft.com/office/spreadsheetml/2009/9/ac" xmlns:main="http://schemas.openxmlformats.org/spreadsheetml/2006/main" numFmtId="0" fontId="104" fillId="0" borderId="2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4" fillId="0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numFmtId="0" fontId="107" fillId="0" borderId="0" xfId="0" applyFont="true" applyFill="true" applyBorder="true" applyProtection="1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64"/>
  <sheetViews>
    <sheetView workbookViewId="0" tabSelected="true" zoomScale="80"/>
  </sheetViews>
  <sheetFormatPr defaultRowHeight="15.0"/>
  <cols>
    <col min="21" max="21" style="1" width="0.00390625" customWidth="true"/>
    <col min="20" max="20" style="1" width="0.00390625" customWidth="true"/>
    <col min="87" max="16384" style="1" width="8.0" customWidth="false"/>
    <col min="86" max="86" style="1" width="17.140625" customWidth="true"/>
    <col min="85" max="85" style="1" width="17.140625" customWidth="true"/>
    <col min="84" max="84" style="1" width="13.5703125" customWidth="true"/>
    <col min="83" max="83" style="1" width="12.7109375" customWidth="true"/>
    <col min="82" max="82" style="1" width="17.140625" customWidth="true"/>
    <col min="81" max="81" style="1" width="17.140625" customWidth="true"/>
    <col min="80" max="80" style="1" width="13.5703125" customWidth="true"/>
    <col min="79" max="79" style="1" width="12.7109375" customWidth="true"/>
    <col min="78" max="78" style="1" width="17.140625" customWidth="true"/>
    <col min="77" max="77" style="1" width="17.140625" customWidth="true"/>
    <col min="76" max="76" style="1" width="13.5703125" customWidth="true"/>
    <col min="75" max="75" style="1" width="12.7109375" customWidth="true"/>
    <col min="74" max="74" style="1" width="17.140625" customWidth="true"/>
    <col min="73" max="73" style="1" width="17.140625" customWidth="true"/>
    <col min="72" max="72" style="1" width="13.5703125" customWidth="true"/>
    <col min="71" max="71" style="1" width="12.7109375" customWidth="true"/>
    <col min="70" max="70" style="1" width="16.42578125" customWidth="true"/>
    <col min="69" max="69" style="1" width="13.140625" customWidth="true"/>
    <col min="68" max="68" style="1" width="16.42578125" customWidth="true"/>
    <col min="67" max="67" style="1" width="13.140625" customWidth="true"/>
    <col min="66" max="66" style="1" width="16.42578125" customWidth="true"/>
    <col min="65" max="65" style="1" width="13.140625" customWidth="true"/>
    <col min="64" max="64" style="1" width="16.42578125" customWidth="true"/>
    <col min="63" max="63" style="1" width="13.140625" customWidth="true"/>
    <col min="62" max="62" style="1" width="16.42578125" customWidth="true"/>
    <col min="61" max="61" style="1" width="13.140625" customWidth="true"/>
    <col min="60" max="60" style="1" width="16.42578125" customWidth="true"/>
    <col min="59" max="59" style="1" width="13.140625" customWidth="true"/>
    <col min="58" max="58" style="1" width="16.42578125" customWidth="true"/>
    <col min="57" max="57" style="1" width="13.140625" customWidth="true"/>
    <col min="56" max="56" style="1" width="16.42578125" customWidth="true"/>
    <col min="55" max="55" style="1" width="13.140625" customWidth="true"/>
    <col min="54" max="54" style="1" width="16.42578125" customWidth="true"/>
    <col min="53" max="53" style="1" width="13.140625" customWidth="true"/>
    <col min="52" max="52" style="1" width="16.42578125" customWidth="true"/>
    <col min="51" max="51" style="1" width="13.140625" customWidth="true"/>
    <col min="50" max="50" style="1" width="16.42578125" customWidth="true"/>
    <col min="49" max="49" style="1" width="13.140625" customWidth="true"/>
    <col min="48" max="48" style="1" width="16.42578125" customWidth="true"/>
    <col min="47" max="47" style="1" width="13.140625" customWidth="true"/>
    <col min="46" max="46" style="1" width="16.42578125" customWidth="true"/>
    <col min="45" max="45" style="1" width="13.140625" customWidth="true"/>
    <col min="44" max="44" style="1" width="16.42578125" customWidth="true"/>
    <col min="43" max="43" style="1" width="13.140625" customWidth="true"/>
    <col min="42" max="42" style="1" width="16.42578125" customWidth="true"/>
    <col min="41" max="41" style="1" width="13.140625" customWidth="true"/>
    <col min="40" max="40" style="1" width="16.42578125" customWidth="true"/>
    <col min="39" max="39" style="1" width="13.140625" customWidth="true"/>
    <col min="38" max="38" style="1" width="16.42578125" customWidth="true"/>
    <col min="37" max="37" style="1" width="13.140625" customWidth="true"/>
    <col min="36" max="36" style="1" width="16.42578125" customWidth="true"/>
    <col min="35" max="35" style="1" width="13.140625" customWidth="true"/>
    <col min="34" max="34" style="1" width="16.42578125" customWidth="true"/>
    <col min="33" max="33" style="1" width="13.140625" customWidth="true"/>
    <col min="32" max="32" style="1" width="16.42578125" customWidth="true"/>
    <col min="31" max="31" style="1" width="13.140625" customWidth="true"/>
    <col min="30" max="30" style="1" width="16.42578125" customWidth="true"/>
    <col min="29" max="29" style="1" width="13.140625" customWidth="true"/>
    <col min="28" max="28" style="1" width="16.42578125" customWidth="true"/>
    <col min="27" max="27" style="1" width="13.140625" customWidth="true"/>
    <col min="26" max="26" style="1" width="16.42578125" customWidth="true"/>
    <col min="25" max="25" style="1" width="13.140625" customWidth="true"/>
    <col min="24" max="24" style="1" width="16.7109375" customWidth="true"/>
    <col min="23" max="23" style="1" width="13.5703125" customWidth="true"/>
    <col min="19" max="19" style="1" width="0.00390625" customWidth="true"/>
    <col min="22" max="22" style="1" width="24.0" customWidth="true"/>
    <col min="17" max="17" style="1" width="0.00390625" customWidth="true"/>
    <col min="18" max="18" style="1" width="24.7109375" customWidth="true"/>
    <col min="16" max="16" style="1" width="22.42578125" customWidth="true"/>
    <col min="15" max="15" style="1" width="22.85546875" customWidth="true"/>
    <col min="14" max="14" style="1" width="22.85546875" customWidth="true"/>
    <col min="12" max="12" style="1" width="0.00390625" customWidth="true"/>
    <col min="13" max="13" style="1" width="22.85546875" customWidth="true"/>
    <col min="10" max="10" style="1" width="0.00390625" customWidth="true"/>
    <col min="11" max="11" style="1" width="35.85546875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M1" t="n" s="13">
        <v>32902.0</v>
      </c>
      <c r="AN1" t="n" s="13">
        <v>101100.0</v>
      </c>
      <c r="AO1" t="s" s="13">
        <v>259</v>
      </c>
    </row>
    <row r="2" ht="31.5" customHeight="true">
      <c r="B2" t="s" s="14">
        <v>260</v>
      </c>
      <c r="C2" s="15"/>
      <c r="D2" s="15"/>
      <c r="E2" s="15"/>
      <c r="F2" s="15"/>
      <c r="G2" s="15"/>
      <c r="H2" s="15"/>
      <c r="I2" s="15"/>
      <c r="J2" s="15"/>
      <c r="K2" s="15"/>
      <c r="L2" s="16"/>
    </row>
    <row r="3" ht="17.6" customHeight="true">
      <c r="D3" t="s" s="17">
        <v>261</v>
      </c>
      <c r="E3" s="18"/>
      <c r="F3" s="19" t="s">
        <v>262</v>
      </c>
      <c r="G3" s="20"/>
      <c r="H3" s="20"/>
      <c r="I3" s="20"/>
      <c r="J3" s="20"/>
      <c r="K3" s="21"/>
      <c r="L3" s="22"/>
      <c r="M3" s="23"/>
      <c r="N3" s="24"/>
      <c r="O3" s="24"/>
      <c r="P3" s="24"/>
      <c r="Q3" s="24"/>
      <c r="R3" s="24"/>
      <c r="S3" s="24"/>
    </row>
    <row r="4" ht="17.6" customHeight="true">
      <c r="B4" t="s" s="25">
        <v>263</v>
      </c>
      <c r="C4" s="25"/>
      <c r="D4" t="s" s="26">
        <v>264</v>
      </c>
      <c r="E4" s="27"/>
      <c r="F4" s="28" t="s">
        <v>265</v>
      </c>
      <c r="G4" s="29"/>
      <c r="H4" s="29"/>
      <c r="I4" s="29"/>
      <c r="J4" s="29"/>
      <c r="K4" s="30"/>
      <c r="L4" s="31"/>
      <c r="M4" s="23"/>
      <c r="N4" s="24"/>
      <c r="O4" s="24"/>
      <c r="P4" s="24"/>
      <c r="Q4" s="24"/>
      <c r="R4" s="24"/>
      <c r="S4" s="24"/>
    </row>
    <row r="5" ht="18.0" customHeight="true">
      <c r="B5" s="25"/>
      <c r="C5" s="25"/>
      <c r="D5" t="s" s="26">
        <v>266</v>
      </c>
      <c r="E5" s="27"/>
      <c r="F5" s="32" t="n">
        <v>2026.0</v>
      </c>
      <c r="G5" s="33"/>
      <c r="H5" s="33"/>
      <c r="I5" s="33"/>
      <c r="J5" s="33"/>
      <c r="K5" s="34"/>
      <c r="L5" s="35"/>
      <c r="M5" s="36"/>
      <c r="N5" s="24"/>
      <c r="O5" s="24"/>
      <c r="P5" s="24"/>
      <c r="Q5" s="24"/>
      <c r="R5" s="24"/>
      <c r="S5" s="24"/>
    </row>
    <row r="6" ht="0.05" customHeight="true">
      <c r="B6" s="25"/>
      <c r="C6" s="25"/>
      <c r="D6" t="s" s="26">
        <v>267</v>
      </c>
      <c r="E6" s="27"/>
      <c r="F6" t="s" s="37">
        <v>256</v>
      </c>
      <c r="G6" s="38"/>
      <c r="H6" s="38"/>
      <c r="I6" s="38"/>
      <c r="J6" s="38"/>
      <c r="K6" s="38"/>
      <c r="L6" s="31"/>
      <c r="M6" s="23"/>
      <c r="N6" s="24"/>
      <c r="O6" s="24"/>
      <c r="P6" s="24"/>
      <c r="Q6" s="24"/>
      <c r="R6" s="24"/>
      <c r="S6" s="24"/>
    </row>
    <row r="7" ht="18.0" customHeight="true">
      <c r="B7" s="25"/>
      <c r="C7" s="25"/>
      <c r="D7" t="s" s="26">
        <v>268</v>
      </c>
      <c r="E7" s="27"/>
      <c r="F7" t="s" s="39">
        <v>256</v>
      </c>
      <c r="G7" s="40"/>
      <c r="H7" s="40"/>
      <c r="I7" s="40"/>
      <c r="J7" s="40"/>
      <c r="K7" s="41"/>
      <c r="L7" s="42"/>
      <c r="M7" s="36"/>
      <c r="N7" s="24"/>
      <c r="O7" s="24"/>
      <c r="P7" s="24"/>
      <c r="Q7" s="24"/>
      <c r="R7" s="24"/>
      <c r="S7" s="24"/>
    </row>
    <row r="8" ht="18.0" customHeight="true">
      <c r="B8" s="25"/>
      <c r="C8" s="25"/>
      <c r="D8" t="s" s="26">
        <v>256</v>
      </c>
      <c r="E8" s="27"/>
      <c r="F8" t="s" s="43">
        <v>256</v>
      </c>
      <c r="G8" s="44"/>
      <c r="H8" s="44"/>
      <c r="I8" s="44"/>
      <c r="J8" s="44"/>
      <c r="K8" s="45"/>
      <c r="L8" s="35"/>
      <c r="M8" s="36"/>
      <c r="N8" s="24"/>
      <c r="O8" s="24"/>
      <c r="P8" s="24"/>
      <c r="Q8" s="24"/>
      <c r="R8" s="24"/>
      <c r="S8" s="24"/>
    </row>
    <row r="9" ht="18.0" customHeight="true">
      <c r="B9" s="25"/>
      <c r="C9" s="25"/>
      <c r="D9" t="s" s="46">
        <v>269</v>
      </c>
      <c r="E9" s="47"/>
      <c r="F9" t="s" s="48">
        <v>256</v>
      </c>
      <c r="G9" s="49"/>
      <c r="H9" s="49"/>
      <c r="I9" s="49"/>
      <c r="J9" s="49"/>
      <c r="K9" s="50"/>
      <c r="L9" s="51"/>
      <c r="M9" s="52"/>
      <c r="N9" s="24"/>
      <c r="O9" s="24"/>
      <c r="P9" s="24"/>
      <c r="Q9" s="24"/>
      <c r="R9" s="24"/>
      <c r="S9" s="24"/>
    </row>
    <row r="10" ht="0.05" customHeight="true">
      <c r="B10" s="25"/>
      <c r="C10" s="25"/>
      <c r="D10" t="s" s="46">
        <v>256</v>
      </c>
      <c r="E10" s="47"/>
      <c r="F10" t="s" s="53">
        <v>256</v>
      </c>
      <c r="G10" s="54"/>
      <c r="H10" s="54"/>
      <c r="I10" s="54"/>
      <c r="J10" s="54"/>
      <c r="K10" s="54"/>
      <c r="L10" s="55"/>
      <c r="M10" s="23"/>
      <c r="N10" s="24"/>
      <c r="O10" s="24"/>
      <c r="P10" s="24"/>
      <c r="Q10" s="24"/>
      <c r="R10" s="24"/>
      <c r="S10" s="24"/>
    </row>
    <row r="11" ht="18.0" customHeight="true">
      <c r="A11" s="1"/>
    </row>
    <row r="12" ht="28.5" customHeight="true">
      <c r="A12" t="s" s="56">
        <v>270</v>
      </c>
      <c r="B12" t="s" s="57">
        <v>271</v>
      </c>
      <c r="C12" t="s" s="57">
        <v>272</v>
      </c>
      <c r="D12" t="s" s="58">
        <v>273</v>
      </c>
      <c r="E12" s="59"/>
      <c r="F12" s="59"/>
      <c r="G12" s="60"/>
      <c r="H12" t="s" s="57">
        <v>274</v>
      </c>
      <c r="I12" t="s" s="61">
        <v>275</v>
      </c>
      <c r="J12" t="s" s="62">
        <v>276</v>
      </c>
      <c r="K12" t="s" s="62">
        <v>277</v>
      </c>
      <c r="L12" t="s" s="62">
        <v>278</v>
      </c>
      <c r="M12" t="s" s="58">
        <v>279</v>
      </c>
      <c r="N12" s="60"/>
      <c r="O12" t="s" s="62">
        <v>280</v>
      </c>
      <c r="P12" t="s" s="62">
        <v>281</v>
      </c>
      <c r="Q12" t="s" s="62">
        <v>282</v>
      </c>
      <c r="R12" t="s" s="62">
        <v>283</v>
      </c>
      <c r="S12" t="s" s="62">
        <v>284</v>
      </c>
      <c r="T12" t="s" s="62">
        <v>285</v>
      </c>
      <c r="U12" t="s" s="62">
        <v>286</v>
      </c>
      <c r="V12" t="s" s="62">
        <v>287</v>
      </c>
      <c r="W12" t="s" s="63">
        <v>288</v>
      </c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t="s" s="63">
        <v>289</v>
      </c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t="s" s="65">
        <v>290</v>
      </c>
      <c r="BT12" s="66"/>
      <c r="BU12" s="66"/>
      <c r="BV12" s="67"/>
      <c r="BW12" t="s" s="65">
        <v>291</v>
      </c>
      <c r="BX12" s="66"/>
      <c r="BY12" s="66"/>
      <c r="BZ12" s="67"/>
      <c r="CA12" t="s" s="65">
        <v>292</v>
      </c>
      <c r="CB12" s="66"/>
      <c r="CC12" s="66"/>
      <c r="CD12" s="67"/>
      <c r="CE12" t="s" s="65">
        <v>293</v>
      </c>
      <c r="CF12" s="66"/>
      <c r="CG12" s="66"/>
      <c r="CH12" s="67"/>
    </row>
    <row r="13" ht="29.25" customHeight="true">
      <c r="A13" s="56"/>
      <c r="B13" s="68"/>
      <c r="C13" s="68"/>
      <c r="D13" t="s" s="57">
        <v>294</v>
      </c>
      <c r="E13" t="s" s="57">
        <v>295</v>
      </c>
      <c r="F13" t="s" s="57">
        <v>296</v>
      </c>
      <c r="G13" t="s" s="57">
        <v>297</v>
      </c>
      <c r="H13" s="68"/>
      <c r="I13" s="69"/>
      <c r="J13" s="70"/>
      <c r="K13" s="70"/>
      <c r="L13" s="70"/>
      <c r="M13" t="s" s="57">
        <v>298</v>
      </c>
      <c r="N13" t="s" s="57">
        <v>297</v>
      </c>
      <c r="O13" s="70"/>
      <c r="P13" s="70"/>
      <c r="Q13" s="70"/>
      <c r="R13" s="70"/>
      <c r="S13" s="70"/>
      <c r="T13" s="70"/>
      <c r="U13" s="70"/>
      <c r="V13" s="70"/>
      <c r="W13" t="s" s="71">
        <v>299</v>
      </c>
      <c r="X13" s="72"/>
      <c r="Y13" t="s" s="71">
        <v>300</v>
      </c>
      <c r="Z13" s="72"/>
      <c r="AA13" t="s" s="71">
        <v>301</v>
      </c>
      <c r="AB13" s="72"/>
      <c r="AC13" t="s" s="71">
        <v>302</v>
      </c>
      <c r="AD13" s="72"/>
      <c r="AE13" t="s" s="71">
        <v>303</v>
      </c>
      <c r="AF13" s="72"/>
      <c r="AG13" t="s" s="71">
        <v>304</v>
      </c>
      <c r="AH13" s="72"/>
      <c r="AI13" t="s" s="71">
        <v>305</v>
      </c>
      <c r="AJ13" s="72"/>
      <c r="AK13" t="s" s="71">
        <v>306</v>
      </c>
      <c r="AL13" s="72"/>
      <c r="AM13" t="s" s="71">
        <v>307</v>
      </c>
      <c r="AN13" s="72"/>
      <c r="AO13" t="s" s="71">
        <v>308</v>
      </c>
      <c r="AP13" s="72"/>
      <c r="AQ13" t="s" s="71">
        <v>309</v>
      </c>
      <c r="AR13" s="72"/>
      <c r="AS13" t="s" s="71">
        <v>310</v>
      </c>
      <c r="AT13" s="72"/>
      <c r="AU13" t="s" s="71">
        <v>299</v>
      </c>
      <c r="AV13" s="72"/>
      <c r="AW13" t="s" s="71">
        <v>300</v>
      </c>
      <c r="AX13" s="72"/>
      <c r="AY13" t="s" s="71">
        <v>301</v>
      </c>
      <c r="AZ13" s="72"/>
      <c r="BA13" t="s" s="71">
        <v>302</v>
      </c>
      <c r="BB13" s="72"/>
      <c r="BC13" t="s" s="71">
        <v>303</v>
      </c>
      <c r="BD13" s="72"/>
      <c r="BE13" t="s" s="71">
        <v>304</v>
      </c>
      <c r="BF13" s="72"/>
      <c r="BG13" t="s" s="71">
        <v>305</v>
      </c>
      <c r="BH13" s="72"/>
      <c r="BI13" t="s" s="71">
        <v>306</v>
      </c>
      <c r="BJ13" s="72"/>
      <c r="BK13" t="s" s="71">
        <v>307</v>
      </c>
      <c r="BL13" s="72"/>
      <c r="BM13" t="s" s="71">
        <v>308</v>
      </c>
      <c r="BN13" s="72"/>
      <c r="BO13" t="s" s="71">
        <v>309</v>
      </c>
      <c r="BP13" s="72"/>
      <c r="BQ13" t="s" s="71">
        <v>310</v>
      </c>
      <c r="BR13" s="73"/>
      <c r="BS13" s="74"/>
      <c r="BT13" s="75"/>
      <c r="BU13" s="75"/>
      <c r="BV13" s="76"/>
      <c r="BW13" s="74"/>
      <c r="BX13" s="75"/>
      <c r="BY13" s="75"/>
      <c r="BZ13" s="76"/>
      <c r="CA13" s="74"/>
      <c r="CB13" s="75"/>
      <c r="CC13" s="75"/>
      <c r="CD13" s="76"/>
      <c r="CE13" s="74"/>
      <c r="CF13" s="75"/>
      <c r="CG13" s="75"/>
      <c r="CH13" s="76"/>
    </row>
    <row r="14" ht="30.0" customHeight="true">
      <c r="A14" s="56"/>
      <c r="B14" s="77"/>
      <c r="C14" s="77"/>
      <c r="D14" s="77"/>
      <c r="E14" s="77"/>
      <c r="F14" s="77"/>
      <c r="G14" s="77"/>
      <c r="H14" s="77"/>
      <c r="I14" s="78"/>
      <c r="J14" s="79"/>
      <c r="K14" s="79"/>
      <c r="L14" s="79"/>
      <c r="M14" s="77"/>
      <c r="N14" s="77"/>
      <c r="O14" s="79"/>
      <c r="P14" s="79"/>
      <c r="Q14" s="79"/>
      <c r="R14" s="79"/>
      <c r="S14" s="79"/>
      <c r="T14" s="79"/>
      <c r="U14" s="79"/>
      <c r="V14" s="79"/>
      <c r="W14" t="s" s="80">
        <v>311</v>
      </c>
      <c r="X14" t="s" s="80">
        <v>312</v>
      </c>
      <c r="Y14" t="s" s="80">
        <v>311</v>
      </c>
      <c r="Z14" t="s" s="80">
        <v>312</v>
      </c>
      <c r="AA14" t="s" s="80">
        <v>311</v>
      </c>
      <c r="AB14" t="s" s="80">
        <v>312</v>
      </c>
      <c r="AC14" t="s" s="80">
        <v>311</v>
      </c>
      <c r="AD14" t="s" s="80">
        <v>312</v>
      </c>
      <c r="AE14" t="s" s="80">
        <v>311</v>
      </c>
      <c r="AF14" t="s" s="80">
        <v>312</v>
      </c>
      <c r="AG14" t="s" s="80">
        <v>311</v>
      </c>
      <c r="AH14" t="s" s="80">
        <v>312</v>
      </c>
      <c r="AI14" t="s" s="80">
        <v>311</v>
      </c>
      <c r="AJ14" t="s" s="80">
        <v>312</v>
      </c>
      <c r="AK14" t="s" s="80">
        <v>311</v>
      </c>
      <c r="AL14" t="s" s="80">
        <v>312</v>
      </c>
      <c r="AM14" t="s" s="80">
        <v>311</v>
      </c>
      <c r="AN14" t="s" s="80">
        <v>312</v>
      </c>
      <c r="AO14" t="s" s="80">
        <v>311</v>
      </c>
      <c r="AP14" t="s" s="80">
        <v>312</v>
      </c>
      <c r="AQ14" t="s" s="80">
        <v>311</v>
      </c>
      <c r="AR14" t="s" s="80">
        <v>312</v>
      </c>
      <c r="AS14" t="s" s="80">
        <v>311</v>
      </c>
      <c r="AT14" t="s" s="80">
        <v>312</v>
      </c>
      <c r="AU14" t="s" s="80">
        <v>311</v>
      </c>
      <c r="AV14" t="s" s="80">
        <v>312</v>
      </c>
      <c r="AW14" t="s" s="80">
        <v>311</v>
      </c>
      <c r="AX14" t="s" s="80">
        <v>312</v>
      </c>
      <c r="AY14" t="s" s="80">
        <v>311</v>
      </c>
      <c r="AZ14" t="s" s="80">
        <v>312</v>
      </c>
      <c r="BA14" t="s" s="80">
        <v>311</v>
      </c>
      <c r="BB14" t="s" s="80">
        <v>312</v>
      </c>
      <c r="BC14" t="s" s="80">
        <v>311</v>
      </c>
      <c r="BD14" t="s" s="80">
        <v>312</v>
      </c>
      <c r="BE14" t="s" s="80">
        <v>311</v>
      </c>
      <c r="BF14" t="s" s="80">
        <v>312</v>
      </c>
      <c r="BG14" t="s" s="80">
        <v>311</v>
      </c>
      <c r="BH14" t="s" s="80">
        <v>312</v>
      </c>
      <c r="BI14" t="s" s="80">
        <v>311</v>
      </c>
      <c r="BJ14" t="s" s="80">
        <v>312</v>
      </c>
      <c r="BK14" t="s" s="80">
        <v>311</v>
      </c>
      <c r="BL14" t="s" s="80">
        <v>312</v>
      </c>
      <c r="BM14" t="s" s="80">
        <v>311</v>
      </c>
      <c r="BN14" t="s" s="80">
        <v>312</v>
      </c>
      <c r="BO14" t="s" s="80">
        <v>311</v>
      </c>
      <c r="BP14" t="s" s="80">
        <v>312</v>
      </c>
      <c r="BQ14" t="s" s="80">
        <v>311</v>
      </c>
      <c r="BR14" t="s" s="80">
        <v>312</v>
      </c>
      <c r="BS14" t="s" s="81">
        <v>313</v>
      </c>
      <c r="BT14" t="s" s="81">
        <v>314</v>
      </c>
      <c r="BU14" t="s" s="81">
        <v>315</v>
      </c>
      <c r="BV14" t="s" s="81">
        <v>316</v>
      </c>
      <c r="BW14" t="s" s="81">
        <v>313</v>
      </c>
      <c r="BX14" t="s" s="81">
        <v>314</v>
      </c>
      <c r="BY14" t="s" s="81">
        <v>315</v>
      </c>
      <c r="BZ14" t="s" s="81">
        <v>316</v>
      </c>
      <c r="CA14" t="s" s="81">
        <v>313</v>
      </c>
      <c r="CB14" t="s" s="81">
        <v>314</v>
      </c>
      <c r="CC14" t="s" s="81">
        <v>315</v>
      </c>
      <c r="CD14" t="s" s="81">
        <v>316</v>
      </c>
      <c r="CE14" t="s" s="81">
        <v>313</v>
      </c>
      <c r="CF14" t="s" s="81">
        <v>314</v>
      </c>
      <c r="CG14" t="s" s="81">
        <v>315</v>
      </c>
      <c r="CH14" t="s" s="81">
        <v>316</v>
      </c>
    </row>
    <row r="15" ht="15.0" customHeight="true">
      <c r="A15" s="82"/>
      <c r="B15" t="n" s="83">
        <v>1.0</v>
      </c>
      <c r="C15" t="n" s="83">
        <v>2.0</v>
      </c>
      <c r="D15" t="n" s="83">
        <v>3.0</v>
      </c>
      <c r="E15" t="n" s="83">
        <v>4.0</v>
      </c>
      <c r="F15" t="n" s="83">
        <v>5.0</v>
      </c>
      <c r="G15" t="n" s="83">
        <v>6.0</v>
      </c>
      <c r="H15" t="n" s="83">
        <v>7.0</v>
      </c>
      <c r="I15" t="n" s="84">
        <v>8.0</v>
      </c>
      <c r="J15" t="n" s="85">
        <v>0.0</v>
      </c>
      <c r="K15" t="n" s="85">
        <v>9.0</v>
      </c>
      <c r="L15" t="n" s="85">
        <v>0.0</v>
      </c>
      <c r="M15" t="n" s="85">
        <v>10.0</v>
      </c>
      <c r="N15" t="n" s="85">
        <v>11.0</v>
      </c>
      <c r="O15" t="n" s="83">
        <v>12.0</v>
      </c>
      <c r="P15" t="n" s="83">
        <v>13.0</v>
      </c>
      <c r="Q15" t="n" s="84">
        <v>0.0</v>
      </c>
      <c r="R15" t="n" s="85">
        <v>14.0</v>
      </c>
      <c r="S15" s="85"/>
      <c r="T15" s="85"/>
      <c r="U15" s="85"/>
      <c r="V15" t="n" s="85">
        <v>15.0</v>
      </c>
      <c r="W15" t="n" s="86">
        <v>16.0</v>
      </c>
      <c r="X15" t="n" s="86">
        <v>17.0</v>
      </c>
      <c r="Y15" t="n" s="86">
        <v>18.0</v>
      </c>
      <c r="Z15" t="n" s="86">
        <v>19.0</v>
      </c>
      <c r="AA15" t="n" s="86">
        <v>20.0</v>
      </c>
      <c r="AB15" t="n" s="86">
        <v>21.0</v>
      </c>
      <c r="AC15" t="n" s="86">
        <v>22.0</v>
      </c>
      <c r="AD15" t="n" s="86">
        <v>23.0</v>
      </c>
      <c r="AE15" t="n" s="86">
        <v>24.0</v>
      </c>
      <c r="AF15" t="n" s="86">
        <v>25.0</v>
      </c>
      <c r="AG15" t="n" s="86">
        <v>26.0</v>
      </c>
      <c r="AH15" t="n" s="86">
        <v>27.0</v>
      </c>
      <c r="AI15" t="n" s="86">
        <v>28.0</v>
      </c>
      <c r="AJ15" t="n" s="86">
        <v>29.0</v>
      </c>
      <c r="AK15" t="n" s="86">
        <v>30.0</v>
      </c>
      <c r="AL15" t="n" s="86">
        <v>31.0</v>
      </c>
      <c r="AM15" t="n" s="86">
        <v>32.0</v>
      </c>
      <c r="AN15" t="n" s="86">
        <v>33.0</v>
      </c>
      <c r="AO15" t="n" s="86">
        <v>34.0</v>
      </c>
      <c r="AP15" t="n" s="86">
        <v>35.0</v>
      </c>
      <c r="AQ15" t="n" s="86">
        <v>36.0</v>
      </c>
      <c r="AR15" t="n" s="86">
        <v>37.0</v>
      </c>
      <c r="AS15" t="n" s="86">
        <v>38.0</v>
      </c>
      <c r="AT15" t="n" s="86">
        <v>39.0</v>
      </c>
      <c r="AU15" t="n" s="86">
        <v>40.0</v>
      </c>
      <c r="AV15" t="n" s="86">
        <v>41.0</v>
      </c>
      <c r="AW15" t="n" s="86">
        <v>42.0</v>
      </c>
      <c r="AX15" t="n" s="86">
        <v>43.0</v>
      </c>
      <c r="AY15" t="n" s="86">
        <v>44.0</v>
      </c>
      <c r="AZ15" t="n" s="86">
        <v>45.0</v>
      </c>
      <c r="BA15" t="n" s="86">
        <v>46.0</v>
      </c>
      <c r="BB15" t="n" s="86">
        <v>47.0</v>
      </c>
      <c r="BC15" t="n" s="86">
        <v>48.0</v>
      </c>
      <c r="BD15" t="n" s="86">
        <v>49.0</v>
      </c>
      <c r="BE15" t="n" s="86">
        <v>50.0</v>
      </c>
      <c r="BF15" t="n" s="86">
        <v>51.0</v>
      </c>
      <c r="BG15" t="n" s="86">
        <v>52.0</v>
      </c>
      <c r="BH15" t="n" s="86">
        <v>53.0</v>
      </c>
      <c r="BI15" t="n" s="86">
        <v>54.0</v>
      </c>
      <c r="BJ15" t="n" s="86">
        <v>55.0</v>
      </c>
      <c r="BK15" t="n" s="86">
        <v>56.0</v>
      </c>
      <c r="BL15" t="n" s="86">
        <v>57.0</v>
      </c>
      <c r="BM15" t="n" s="86">
        <v>58.0</v>
      </c>
      <c r="BN15" t="n" s="86">
        <v>59.0</v>
      </c>
      <c r="BO15" t="n" s="86">
        <v>60.0</v>
      </c>
      <c r="BP15" t="n" s="86">
        <v>61.0</v>
      </c>
      <c r="BQ15" t="n" s="86">
        <v>62.0</v>
      </c>
      <c r="BR15" t="n" s="86">
        <v>63.0</v>
      </c>
      <c r="BS15" t="n" s="86">
        <v>64.0</v>
      </c>
      <c r="BT15" t="n" s="86">
        <v>65.0</v>
      </c>
      <c r="BU15" t="n" s="86">
        <v>66.0</v>
      </c>
      <c r="BV15" t="n" s="86">
        <v>67.0</v>
      </c>
      <c r="BW15" t="n" s="86">
        <v>68.0</v>
      </c>
      <c r="BX15" t="n" s="86">
        <v>69.0</v>
      </c>
      <c r="BY15" t="n" s="86">
        <v>70.0</v>
      </c>
      <c r="BZ15" t="n" s="86">
        <v>71.0</v>
      </c>
      <c r="CA15" t="n" s="87">
        <v>72.0</v>
      </c>
      <c r="CB15" t="n" s="87">
        <v>73.0</v>
      </c>
      <c r="CC15" t="n" s="87">
        <v>74.0</v>
      </c>
      <c r="CD15" t="n" s="87">
        <v>75.0</v>
      </c>
      <c r="CE15" t="n" s="87">
        <v>76.0</v>
      </c>
      <c r="CF15" t="n" s="87">
        <v>77.0</v>
      </c>
      <c r="CG15" t="n" s="87">
        <v>78.0</v>
      </c>
      <c r="CH15" t="n" s="87">
        <v>79.0</v>
      </c>
    </row>
    <row r="16">
      <c r="A16" s="10"/>
      <c r="B16" s="4" t="s">
        <v>317</v>
      </c>
      <c r="C16" s="4" t="n">
        <v>1.0</v>
      </c>
      <c r="D16" s="4" t="s">
        <v>318</v>
      </c>
      <c r="E16" s="4" t="s">
        <v>319</v>
      </c>
      <c r="F16" s="4" t="s">
        <v>320</v>
      </c>
      <c r="G16" s="4" t="s">
        <v>321</v>
      </c>
      <c r="H16" s="4" t="s">
        <v>322</v>
      </c>
      <c r="I16" s="4" t="s">
        <v>0</v>
      </c>
      <c r="J16" s="10"/>
      <c r="K16" s="12" t="n">
        <v>1150.0</v>
      </c>
      <c r="L16" s="10"/>
      <c r="M16" s="10"/>
      <c r="N16" s="10"/>
      <c r="O16" s="10"/>
      <c r="P16" s="10" t="n">
        <f>IF(OR(R16="Российская Федерация",R16="Армения",R16="Белоруссия",R16="Беларуь",R16="Казахстан",R16="Киргизия",R16="Кыргызстан",R16="ДНР",R16="ЛНР"), 1, 0)</f>
        <v>0.0</v>
      </c>
      <c r="Q16" s="10"/>
      <c r="R16" s="10" t="str">
        <f>IFERROR(IF(P16=1, "Российская Федерация", "Не заполнено"),"")</f>
        <v/>
      </c>
      <c r="S16" s="10"/>
      <c r="T16" s="10"/>
      <c r="U16" s="10"/>
      <c r="V16" s="12" t="n">
        <f>SUM(X16,Z16,AB16,AD16,AF16,AH16,AJ16,AL16,AN16,AP16,AR16,AT16,AV16,AX16,AZ16,BB16,BD16,BF16,BH16,BJ16,BL16,BN16,BP16,BR16,BV16,BZ16,CD16,CH16)</f>
        <v>1150.0</v>
      </c>
      <c r="W16" s="11" t="n">
        <v>0.0</v>
      </c>
      <c r="X16" s="10" t="n">
        <v>0.0</v>
      </c>
      <c r="Y16" s="11" t="n">
        <v>0.0</v>
      </c>
      <c r="Z16" s="10" t="n">
        <v>0.0</v>
      </c>
      <c r="AA16" s="11" t="n">
        <v>0.0</v>
      </c>
      <c r="AB16" s="10" t="n">
        <v>0.0</v>
      </c>
      <c r="AC16" s="11" t="n">
        <v>0.0</v>
      </c>
      <c r="AD16" s="10" t="n">
        <v>0.0</v>
      </c>
      <c r="AE16" s="11" t="n">
        <v>0.0</v>
      </c>
      <c r="AF16" s="10" t="n">
        <v>0.0</v>
      </c>
      <c r="AG16" s="11" t="n">
        <v>0.0</v>
      </c>
      <c r="AH16" s="10" t="n">
        <v>0.0</v>
      </c>
      <c r="AI16" s="11" t="n">
        <v>0.0</v>
      </c>
      <c r="AJ16" s="10" t="n">
        <v>0.0</v>
      </c>
      <c r="AK16" s="11" t="n">
        <v>0.0</v>
      </c>
      <c r="AL16" s="10" t="n">
        <v>0.0</v>
      </c>
      <c r="AM16" s="11" t="n">
        <v>0.0</v>
      </c>
      <c r="AN16" s="10" t="n">
        <v>0.0</v>
      </c>
      <c r="AO16" s="11" t="n">
        <v>0.0</v>
      </c>
      <c r="AP16" s="10" t="n">
        <v>0.0</v>
      </c>
      <c r="AQ16" s="11" t="n">
        <v>0.0</v>
      </c>
      <c r="AR16" s="10" t="n">
        <v>0.0</v>
      </c>
      <c r="AS16" s="11" t="n">
        <v>0.0</v>
      </c>
      <c r="AT16" s="10" t="n">
        <v>0.0</v>
      </c>
      <c r="AU16" s="11" t="n">
        <v>0.0</v>
      </c>
      <c r="AV16" s="10" t="n">
        <v>0.0</v>
      </c>
      <c r="AW16" s="11" t="n">
        <v>0.0</v>
      </c>
      <c r="AX16" s="10" t="n">
        <v>0.0</v>
      </c>
      <c r="AY16" s="11" t="n">
        <v>0.0</v>
      </c>
      <c r="AZ16" s="10" t="n">
        <v>0.0</v>
      </c>
      <c r="BA16" s="8" t="n">
        <v>1150.0</v>
      </c>
      <c r="BB16" s="9" t="n">
        <v>1150.0</v>
      </c>
      <c r="BC16" s="11" t="n">
        <v>0.0</v>
      </c>
      <c r="BD16" s="10" t="n">
        <v>0.0</v>
      </c>
      <c r="BE16" s="11" t="n">
        <v>0.0</v>
      </c>
      <c r="BF16" s="10" t="n">
        <v>0.0</v>
      </c>
      <c r="BG16" s="11" t="n">
        <v>0.0</v>
      </c>
      <c r="BH16" s="10" t="n">
        <v>0.0</v>
      </c>
      <c r="BI16" s="11" t="n">
        <v>0.0</v>
      </c>
      <c r="BJ16" s="10" t="n">
        <v>0.0</v>
      </c>
      <c r="BK16" s="11" t="n">
        <v>0.0</v>
      </c>
      <c r="BL16" s="10" t="n">
        <v>0.0</v>
      </c>
      <c r="BM16" s="11" t="n">
        <v>0.0</v>
      </c>
      <c r="BN16" s="10" t="n">
        <v>0.0</v>
      </c>
      <c r="BO16" s="11" t="n">
        <v>0.0</v>
      </c>
      <c r="BP16" s="10" t="n">
        <v>0.0</v>
      </c>
      <c r="BQ16" s="11" t="n">
        <v>0.0</v>
      </c>
      <c r="BR16" s="10" t="n">
        <v>0.0</v>
      </c>
      <c r="BS16" s="11"/>
      <c r="BT16" s="11" t="n">
        <v>0.0</v>
      </c>
      <c r="BU16" s="10"/>
      <c r="BV16" s="10" t="n">
        <v>0.0</v>
      </c>
      <c r="BW16" s="11"/>
      <c r="BX16" s="11" t="n">
        <v>0.0</v>
      </c>
      <c r="BY16" s="10"/>
      <c r="BZ16" s="10" t="n">
        <v>0.0</v>
      </c>
      <c r="CA16" s="11"/>
      <c r="CB16" s="11" t="n">
        <v>0.0</v>
      </c>
      <c r="CC16" s="10"/>
      <c r="CD16" s="10" t="n">
        <v>0.0</v>
      </c>
      <c r="CE16" s="11"/>
      <c r="CF16" s="11" t="n">
        <v>0.0</v>
      </c>
      <c r="CG16" s="10"/>
      <c r="CH16" s="10" t="n">
        <v>0.0</v>
      </c>
    </row>
    <row r="17">
      <c r="A17" s="10"/>
      <c r="B17" s="4" t="s">
        <v>317</v>
      </c>
      <c r="C17" s="4" t="n">
        <v>2.0</v>
      </c>
      <c r="D17" s="4" t="s">
        <v>323</v>
      </c>
      <c r="E17" s="4" t="s">
        <v>324</v>
      </c>
      <c r="F17" s="4" t="s">
        <v>325</v>
      </c>
      <c r="G17" s="4" t="s">
        <v>321</v>
      </c>
      <c r="H17" s="4" t="s">
        <v>322</v>
      </c>
      <c r="I17" s="4" t="s">
        <v>0</v>
      </c>
      <c r="J17" s="10"/>
      <c r="K17" s="12" t="n">
        <v>1640.0</v>
      </c>
      <c r="L17" s="10"/>
      <c r="M17" s="10"/>
      <c r="N17" s="10"/>
      <c r="O17" s="10"/>
      <c r="P17" s="10" t="n">
        <f>IF(OR(R17="Российская Федерация",R17="Армения",R17="Белоруссия",R17="Беларуь",R17="Казахстан",R17="Киргизия",R17="Кыргызстан",R17="ДНР",R17="ЛНР"), 1, 0)</f>
        <v>0.0</v>
      </c>
      <c r="Q17" s="10"/>
      <c r="R17" s="10" t="str">
        <f>IFERROR(IF(P17=1, "Российская Федерация", "Не заполнено"),"")</f>
        <v/>
      </c>
      <c r="S17" s="10"/>
      <c r="T17" s="10"/>
      <c r="U17" s="10"/>
      <c r="V17" s="12" t="n">
        <f>SUM(X17,Z17,AB17,AD17,AF17,AH17,AJ17,AL17,AN17,AP17,AR17,AT17,AV17,AX17,AZ17,BB17,BD17,BF17,BH17,BJ17,BL17,BN17,BP17,BR17,BV17,BZ17,CD17,CH17)</f>
        <v>1640.0</v>
      </c>
      <c r="W17" s="11" t="n">
        <v>0.0</v>
      </c>
      <c r="X17" s="10" t="n">
        <v>0.0</v>
      </c>
      <c r="Y17" s="11" t="n">
        <v>0.0</v>
      </c>
      <c r="Z17" s="10" t="n">
        <v>0.0</v>
      </c>
      <c r="AA17" s="11" t="n">
        <v>0.0</v>
      </c>
      <c r="AB17" s="10" t="n">
        <v>0.0</v>
      </c>
      <c r="AC17" s="11" t="n">
        <v>0.0</v>
      </c>
      <c r="AD17" s="10" t="n">
        <v>0.0</v>
      </c>
      <c r="AE17" s="11" t="n">
        <v>0.0</v>
      </c>
      <c r="AF17" s="10" t="n">
        <v>0.0</v>
      </c>
      <c r="AG17" s="11" t="n">
        <v>0.0</v>
      </c>
      <c r="AH17" s="10" t="n">
        <v>0.0</v>
      </c>
      <c r="AI17" s="11" t="n">
        <v>0.0</v>
      </c>
      <c r="AJ17" s="10" t="n">
        <v>0.0</v>
      </c>
      <c r="AK17" s="11" t="n">
        <v>0.0</v>
      </c>
      <c r="AL17" s="10" t="n">
        <v>0.0</v>
      </c>
      <c r="AM17" s="11" t="n">
        <v>0.0</v>
      </c>
      <c r="AN17" s="10" t="n">
        <v>0.0</v>
      </c>
      <c r="AO17" s="11" t="n">
        <v>0.0</v>
      </c>
      <c r="AP17" s="10" t="n">
        <v>0.0</v>
      </c>
      <c r="AQ17" s="11" t="n">
        <v>0.0</v>
      </c>
      <c r="AR17" s="10" t="n">
        <v>0.0</v>
      </c>
      <c r="AS17" s="11" t="n">
        <v>0.0</v>
      </c>
      <c r="AT17" s="10" t="n">
        <v>0.0</v>
      </c>
      <c r="AU17" s="11" t="n">
        <v>0.0</v>
      </c>
      <c r="AV17" s="10" t="n">
        <v>0.0</v>
      </c>
      <c r="AW17" s="11" t="n">
        <v>0.0</v>
      </c>
      <c r="AX17" s="10" t="n">
        <v>0.0</v>
      </c>
      <c r="AY17" s="11" t="n">
        <v>0.0</v>
      </c>
      <c r="AZ17" s="10" t="n">
        <v>0.0</v>
      </c>
      <c r="BA17" s="11" t="n">
        <v>0.0</v>
      </c>
      <c r="BB17" s="10" t="n">
        <v>0.0</v>
      </c>
      <c r="BC17" s="8" t="n">
        <v>1640.0</v>
      </c>
      <c r="BD17" s="9" t="n">
        <v>1640.0</v>
      </c>
      <c r="BE17" s="11" t="n">
        <v>0.0</v>
      </c>
      <c r="BF17" s="10" t="n">
        <v>0.0</v>
      </c>
      <c r="BG17" s="11" t="n">
        <v>0.0</v>
      </c>
      <c r="BH17" s="10" t="n">
        <v>0.0</v>
      </c>
      <c r="BI17" s="11" t="n">
        <v>0.0</v>
      </c>
      <c r="BJ17" s="10" t="n">
        <v>0.0</v>
      </c>
      <c r="BK17" s="11" t="n">
        <v>0.0</v>
      </c>
      <c r="BL17" s="10" t="n">
        <v>0.0</v>
      </c>
      <c r="BM17" s="11" t="n">
        <v>0.0</v>
      </c>
      <c r="BN17" s="10" t="n">
        <v>0.0</v>
      </c>
      <c r="BO17" s="11" t="n">
        <v>0.0</v>
      </c>
      <c r="BP17" s="10" t="n">
        <v>0.0</v>
      </c>
      <c r="BQ17" s="11" t="n">
        <v>0.0</v>
      </c>
      <c r="BR17" s="10" t="n">
        <v>0.0</v>
      </c>
      <c r="BS17" s="11"/>
      <c r="BT17" s="11" t="n">
        <v>0.0</v>
      </c>
      <c r="BU17" s="10"/>
      <c r="BV17" s="10" t="n">
        <v>0.0</v>
      </c>
      <c r="BW17" s="11"/>
      <c r="BX17" s="11" t="n">
        <v>0.0</v>
      </c>
      <c r="BY17" s="10"/>
      <c r="BZ17" s="10" t="n">
        <v>0.0</v>
      </c>
      <c r="CA17" s="11"/>
      <c r="CB17" s="11" t="n">
        <v>0.0</v>
      </c>
      <c r="CC17" s="10"/>
      <c r="CD17" s="10" t="n">
        <v>0.0</v>
      </c>
      <c r="CE17" s="11"/>
      <c r="CF17" s="11" t="n">
        <v>0.0</v>
      </c>
      <c r="CG17" s="10"/>
      <c r="CH17" s="10" t="n">
        <v>0.0</v>
      </c>
    </row>
    <row r="18">
      <c r="A18" s="10"/>
      <c r="B18" s="4" t="s">
        <v>317</v>
      </c>
      <c r="C18" s="4" t="n">
        <v>3.0</v>
      </c>
      <c r="D18" s="4" t="s">
        <v>326</v>
      </c>
      <c r="E18" s="4" t="s">
        <v>327</v>
      </c>
      <c r="F18" s="4" t="s">
        <v>328</v>
      </c>
      <c r="G18" s="4" t="s">
        <v>321</v>
      </c>
      <c r="H18" s="4" t="s">
        <v>322</v>
      </c>
      <c r="I18" s="4" t="s">
        <v>0</v>
      </c>
      <c r="J18" s="10"/>
      <c r="K18" s="12" t="n">
        <v>10.0</v>
      </c>
      <c r="L18" s="10"/>
      <c r="M18" s="10"/>
      <c r="N18" s="10"/>
      <c r="O18" s="10"/>
      <c r="P18" s="10" t="n">
        <f>IF(OR(R18="Российская Федерация",R18="Армения",R18="Белоруссия",R18="Беларуь",R18="Казахстан",R18="Киргизия",R18="Кыргызстан",R18="ДНР",R18="ЛНР"), 1, 0)</f>
        <v>0.0</v>
      </c>
      <c r="Q18" s="10"/>
      <c r="R18" s="10" t="str">
        <f>IFERROR(IF(P18=1, "Российская Федерация", "Не заполнено"),"")</f>
        <v/>
      </c>
      <c r="S18" s="10"/>
      <c r="T18" s="10"/>
      <c r="U18" s="10"/>
      <c r="V18" s="12" t="n">
        <f>SUM(X18,Z18,AB18,AD18,AF18,AH18,AJ18,AL18,AN18,AP18,AR18,AT18,AV18,AX18,AZ18,BB18,BD18,BF18,BH18,BJ18,BL18,BN18,BP18,BR18,BV18,BZ18,CD18,CH18)</f>
        <v>10.0</v>
      </c>
      <c r="W18" s="11" t="n">
        <v>0.0</v>
      </c>
      <c r="X18" s="10" t="n">
        <v>0.0</v>
      </c>
      <c r="Y18" s="11" t="n">
        <v>0.0</v>
      </c>
      <c r="Z18" s="10" t="n">
        <v>0.0</v>
      </c>
      <c r="AA18" s="11" t="n">
        <v>0.0</v>
      </c>
      <c r="AB18" s="10" t="n">
        <v>0.0</v>
      </c>
      <c r="AC18" s="11" t="n">
        <v>0.0</v>
      </c>
      <c r="AD18" s="10" t="n">
        <v>0.0</v>
      </c>
      <c r="AE18" s="11" t="n">
        <v>0.0</v>
      </c>
      <c r="AF18" s="10" t="n">
        <v>0.0</v>
      </c>
      <c r="AG18" s="11" t="n">
        <v>0.0</v>
      </c>
      <c r="AH18" s="10" t="n">
        <v>0.0</v>
      </c>
      <c r="AI18" s="11" t="n">
        <v>0.0</v>
      </c>
      <c r="AJ18" s="10" t="n">
        <v>0.0</v>
      </c>
      <c r="AK18" s="11" t="n">
        <v>0.0</v>
      </c>
      <c r="AL18" s="10" t="n">
        <v>0.0</v>
      </c>
      <c r="AM18" s="11" t="n">
        <v>0.0</v>
      </c>
      <c r="AN18" s="10" t="n">
        <v>0.0</v>
      </c>
      <c r="AO18" s="11" t="n">
        <v>0.0</v>
      </c>
      <c r="AP18" s="10" t="n">
        <v>0.0</v>
      </c>
      <c r="AQ18" s="11" t="n">
        <v>0.0</v>
      </c>
      <c r="AR18" s="10" t="n">
        <v>0.0</v>
      </c>
      <c r="AS18" s="11" t="n">
        <v>0.0</v>
      </c>
      <c r="AT18" s="10" t="n">
        <v>0.0</v>
      </c>
      <c r="AU18" s="11" t="n">
        <v>0.0</v>
      </c>
      <c r="AV18" s="10" t="n">
        <v>0.0</v>
      </c>
      <c r="AW18" s="11" t="n">
        <v>0.0</v>
      </c>
      <c r="AX18" s="10" t="n">
        <v>0.0</v>
      </c>
      <c r="AY18" s="11" t="n">
        <v>0.0</v>
      </c>
      <c r="AZ18" s="10" t="n">
        <v>0.0</v>
      </c>
      <c r="BA18" s="11" t="n">
        <v>0.0</v>
      </c>
      <c r="BB18" s="10" t="n">
        <v>0.0</v>
      </c>
      <c r="BC18" s="8" t="n">
        <v>10.0</v>
      </c>
      <c r="BD18" s="9" t="n">
        <v>10.0</v>
      </c>
      <c r="BE18" s="11" t="n">
        <v>0.0</v>
      </c>
      <c r="BF18" s="10" t="n">
        <v>0.0</v>
      </c>
      <c r="BG18" s="11" t="n">
        <v>0.0</v>
      </c>
      <c r="BH18" s="10" t="n">
        <v>0.0</v>
      </c>
      <c r="BI18" s="11" t="n">
        <v>0.0</v>
      </c>
      <c r="BJ18" s="10" t="n">
        <v>0.0</v>
      </c>
      <c r="BK18" s="11" t="n">
        <v>0.0</v>
      </c>
      <c r="BL18" s="10" t="n">
        <v>0.0</v>
      </c>
      <c r="BM18" s="11" t="n">
        <v>0.0</v>
      </c>
      <c r="BN18" s="10" t="n">
        <v>0.0</v>
      </c>
      <c r="BO18" s="11" t="n">
        <v>0.0</v>
      </c>
      <c r="BP18" s="10" t="n">
        <v>0.0</v>
      </c>
      <c r="BQ18" s="11" t="n">
        <v>0.0</v>
      </c>
      <c r="BR18" s="10" t="n">
        <v>0.0</v>
      </c>
      <c r="BS18" s="11"/>
      <c r="BT18" s="11" t="n">
        <v>0.0</v>
      </c>
      <c r="BU18" s="10"/>
      <c r="BV18" s="10" t="n">
        <v>0.0</v>
      </c>
      <c r="BW18" s="11"/>
      <c r="BX18" s="11" t="n">
        <v>0.0</v>
      </c>
      <c r="BY18" s="10"/>
      <c r="BZ18" s="10" t="n">
        <v>0.0</v>
      </c>
      <c r="CA18" s="11"/>
      <c r="CB18" s="11" t="n">
        <v>0.0</v>
      </c>
      <c r="CC18" s="10"/>
      <c r="CD18" s="10" t="n">
        <v>0.0</v>
      </c>
      <c r="CE18" s="11"/>
      <c r="CF18" s="11" t="n">
        <v>0.0</v>
      </c>
      <c r="CG18" s="10"/>
      <c r="CH18" s="10" t="n">
        <v>0.0</v>
      </c>
    </row>
    <row r="19">
      <c r="A19" s="10"/>
      <c r="B19" s="4" t="s">
        <v>317</v>
      </c>
      <c r="C19" s="4" t="n">
        <v>4.0</v>
      </c>
      <c r="D19" s="4" t="s">
        <v>326</v>
      </c>
      <c r="E19" s="4" t="s">
        <v>327</v>
      </c>
      <c r="F19" s="4" t="s">
        <v>328</v>
      </c>
      <c r="G19" s="4" t="s">
        <v>321</v>
      </c>
      <c r="H19" s="4" t="s">
        <v>322</v>
      </c>
      <c r="I19" s="4" t="s">
        <v>0</v>
      </c>
      <c r="J19" s="10"/>
      <c r="K19" s="12" t="n">
        <v>273.0</v>
      </c>
      <c r="L19" s="10"/>
      <c r="M19" s="10"/>
      <c r="N19" s="10"/>
      <c r="O19" s="10"/>
      <c r="P19" s="10" t="n">
        <f>IF(OR(R19="Российская Федерация",R19="Армения",R19="Белоруссия",R19="Беларуь",R19="Казахстан",R19="Киргизия",R19="Кыргызстан",R19="ДНР",R19="ЛНР"), 1, 0)</f>
        <v>0.0</v>
      </c>
      <c r="Q19" s="10"/>
      <c r="R19" s="10" t="str">
        <f>IFERROR(IF(P19=1, "Российская Федерация", "Не заполнено"),"")</f>
        <v/>
      </c>
      <c r="S19" s="10"/>
      <c r="T19" s="10"/>
      <c r="U19" s="10"/>
      <c r="V19" s="12" t="n">
        <f>SUM(X19,Z19,AB19,AD19,AF19,AH19,AJ19,AL19,AN19,AP19,AR19,AT19,AV19,AX19,AZ19,BB19,BD19,BF19,BH19,BJ19,BL19,BN19,BP19,BR19,BV19,BZ19,CD19,CH19)</f>
        <v>273.0</v>
      </c>
      <c r="W19" s="11" t="n">
        <v>0.0</v>
      </c>
      <c r="X19" s="10" t="n">
        <v>0.0</v>
      </c>
      <c r="Y19" s="11" t="n">
        <v>0.0</v>
      </c>
      <c r="Z19" s="10" t="n">
        <v>0.0</v>
      </c>
      <c r="AA19" s="11" t="n">
        <v>0.0</v>
      </c>
      <c r="AB19" s="10" t="n">
        <v>0.0</v>
      </c>
      <c r="AC19" s="11" t="n">
        <v>0.0</v>
      </c>
      <c r="AD19" s="10" t="n">
        <v>0.0</v>
      </c>
      <c r="AE19" s="11" t="n">
        <v>0.0</v>
      </c>
      <c r="AF19" s="10" t="n">
        <v>0.0</v>
      </c>
      <c r="AG19" s="11" t="n">
        <v>0.0</v>
      </c>
      <c r="AH19" s="10" t="n">
        <v>0.0</v>
      </c>
      <c r="AI19" s="11" t="n">
        <v>0.0</v>
      </c>
      <c r="AJ19" s="10" t="n">
        <v>0.0</v>
      </c>
      <c r="AK19" s="11" t="n">
        <v>0.0</v>
      </c>
      <c r="AL19" s="10" t="n">
        <v>0.0</v>
      </c>
      <c r="AM19" s="11" t="n">
        <v>0.0</v>
      </c>
      <c r="AN19" s="10" t="n">
        <v>0.0</v>
      </c>
      <c r="AO19" s="11" t="n">
        <v>0.0</v>
      </c>
      <c r="AP19" s="10" t="n">
        <v>0.0</v>
      </c>
      <c r="AQ19" s="11" t="n">
        <v>0.0</v>
      </c>
      <c r="AR19" s="10" t="n">
        <v>0.0</v>
      </c>
      <c r="AS19" s="11" t="n">
        <v>0.0</v>
      </c>
      <c r="AT19" s="10" t="n">
        <v>0.0</v>
      </c>
      <c r="AU19" s="11" t="n">
        <v>0.0</v>
      </c>
      <c r="AV19" s="10" t="n">
        <v>0.0</v>
      </c>
      <c r="AW19" s="11" t="n">
        <v>0.0</v>
      </c>
      <c r="AX19" s="10" t="n">
        <v>0.0</v>
      </c>
      <c r="AY19" s="11" t="n">
        <v>0.0</v>
      </c>
      <c r="AZ19" s="10" t="n">
        <v>0.0</v>
      </c>
      <c r="BA19" s="8" t="n">
        <v>32.0</v>
      </c>
      <c r="BB19" s="9" t="n">
        <v>32.0</v>
      </c>
      <c r="BC19" s="8" t="n">
        <v>41.0</v>
      </c>
      <c r="BD19" s="9" t="n">
        <v>41.0</v>
      </c>
      <c r="BE19" s="8" t="n">
        <v>200.0</v>
      </c>
      <c r="BF19" s="9" t="n">
        <v>200.0</v>
      </c>
      <c r="BG19" s="11" t="n">
        <v>0.0</v>
      </c>
      <c r="BH19" s="10" t="n">
        <v>0.0</v>
      </c>
      <c r="BI19" s="11" t="n">
        <v>0.0</v>
      </c>
      <c r="BJ19" s="10" t="n">
        <v>0.0</v>
      </c>
      <c r="BK19" s="11" t="n">
        <v>0.0</v>
      </c>
      <c r="BL19" s="10" t="n">
        <v>0.0</v>
      </c>
      <c r="BM19" s="11" t="n">
        <v>0.0</v>
      </c>
      <c r="BN19" s="10" t="n">
        <v>0.0</v>
      </c>
      <c r="BO19" s="11" t="n">
        <v>0.0</v>
      </c>
      <c r="BP19" s="10" t="n">
        <v>0.0</v>
      </c>
      <c r="BQ19" s="11" t="n">
        <v>0.0</v>
      </c>
      <c r="BR19" s="10" t="n">
        <v>0.0</v>
      </c>
      <c r="BS19" s="11"/>
      <c r="BT19" s="11" t="n">
        <v>0.0</v>
      </c>
      <c r="BU19" s="10"/>
      <c r="BV19" s="10" t="n">
        <v>0.0</v>
      </c>
      <c r="BW19" s="11"/>
      <c r="BX19" s="11" t="n">
        <v>0.0</v>
      </c>
      <c r="BY19" s="10"/>
      <c r="BZ19" s="10" t="n">
        <v>0.0</v>
      </c>
      <c r="CA19" s="11"/>
      <c r="CB19" s="11" t="n">
        <v>0.0</v>
      </c>
      <c r="CC19" s="10"/>
      <c r="CD19" s="10" t="n">
        <v>0.0</v>
      </c>
      <c r="CE19" s="11"/>
      <c r="CF19" s="11" t="n">
        <v>0.0</v>
      </c>
      <c r="CG19" s="10"/>
      <c r="CH19" s="10" t="n">
        <v>0.0</v>
      </c>
    </row>
    <row r="20">
      <c r="A20" s="10"/>
      <c r="B20" s="4" t="s">
        <v>317</v>
      </c>
      <c r="C20" s="4" t="n">
        <v>5.0</v>
      </c>
      <c r="D20" s="4" t="s">
        <v>329</v>
      </c>
      <c r="E20" s="4" t="s">
        <v>330</v>
      </c>
      <c r="F20" s="4" t="s">
        <v>331</v>
      </c>
      <c r="G20" s="4" t="s">
        <v>321</v>
      </c>
      <c r="H20" s="4" t="s">
        <v>322</v>
      </c>
      <c r="I20" s="4" t="s">
        <v>0</v>
      </c>
      <c r="J20" s="10"/>
      <c r="K20" s="12" t="n">
        <v>500.0</v>
      </c>
      <c r="L20" s="10"/>
      <c r="M20" s="10"/>
      <c r="N20" s="10"/>
      <c r="O20" s="10"/>
      <c r="P20" s="10" t="n">
        <f>IF(OR(R20="Российская Федерация",R20="Армения",R20="Белоруссия",R20="Беларуь",R20="Казахстан",R20="Киргизия",R20="Кыргызстан",R20="ДНР",R20="ЛНР"), 1, 0)</f>
        <v>0.0</v>
      </c>
      <c r="Q20" s="10"/>
      <c r="R20" s="10" t="str">
        <f>IFERROR(IF(P20=1, "Российская Федерация", "Не заполнено"),"")</f>
        <v/>
      </c>
      <c r="S20" s="10"/>
      <c r="T20" s="10"/>
      <c r="U20" s="10"/>
      <c r="V20" s="12" t="n">
        <f>SUM(X20,Z20,AB20,AD20,AF20,AH20,AJ20,AL20,AN20,AP20,AR20,AT20,AV20,AX20,AZ20,BB20,BD20,BF20,BH20,BJ20,BL20,BN20,BP20,BR20,BV20,BZ20,CD20,CH20)</f>
        <v>500.0</v>
      </c>
      <c r="W20" s="11" t="n">
        <v>0.0</v>
      </c>
      <c r="X20" s="10" t="n">
        <v>0.0</v>
      </c>
      <c r="Y20" s="11" t="n">
        <v>0.0</v>
      </c>
      <c r="Z20" s="10" t="n">
        <v>0.0</v>
      </c>
      <c r="AA20" s="11" t="n">
        <v>0.0</v>
      </c>
      <c r="AB20" s="10" t="n">
        <v>0.0</v>
      </c>
      <c r="AC20" s="11" t="n">
        <v>0.0</v>
      </c>
      <c r="AD20" s="10" t="n">
        <v>0.0</v>
      </c>
      <c r="AE20" s="11" t="n">
        <v>0.0</v>
      </c>
      <c r="AF20" s="10" t="n">
        <v>0.0</v>
      </c>
      <c r="AG20" s="11" t="n">
        <v>0.0</v>
      </c>
      <c r="AH20" s="10" t="n">
        <v>0.0</v>
      </c>
      <c r="AI20" s="11" t="n">
        <v>0.0</v>
      </c>
      <c r="AJ20" s="10" t="n">
        <v>0.0</v>
      </c>
      <c r="AK20" s="11" t="n">
        <v>0.0</v>
      </c>
      <c r="AL20" s="10" t="n">
        <v>0.0</v>
      </c>
      <c r="AM20" s="11" t="n">
        <v>0.0</v>
      </c>
      <c r="AN20" s="10" t="n">
        <v>0.0</v>
      </c>
      <c r="AO20" s="11" t="n">
        <v>0.0</v>
      </c>
      <c r="AP20" s="10" t="n">
        <v>0.0</v>
      </c>
      <c r="AQ20" s="11" t="n">
        <v>0.0</v>
      </c>
      <c r="AR20" s="10" t="n">
        <v>0.0</v>
      </c>
      <c r="AS20" s="11" t="n">
        <v>0.0</v>
      </c>
      <c r="AT20" s="10" t="n">
        <v>0.0</v>
      </c>
      <c r="AU20" s="11" t="n">
        <v>0.0</v>
      </c>
      <c r="AV20" s="10" t="n">
        <v>0.0</v>
      </c>
      <c r="AW20" s="11" t="n">
        <v>0.0</v>
      </c>
      <c r="AX20" s="10" t="n">
        <v>0.0</v>
      </c>
      <c r="AY20" s="11" t="n">
        <v>0.0</v>
      </c>
      <c r="AZ20" s="10" t="n">
        <v>0.0</v>
      </c>
      <c r="BA20" s="11" t="n">
        <v>0.0</v>
      </c>
      <c r="BB20" s="10" t="n">
        <v>0.0</v>
      </c>
      <c r="BC20" s="11" t="n">
        <v>0.0</v>
      </c>
      <c r="BD20" s="10" t="n">
        <v>0.0</v>
      </c>
      <c r="BE20" s="8" t="n">
        <v>500.0</v>
      </c>
      <c r="BF20" s="9" t="n">
        <v>500.0</v>
      </c>
      <c r="BG20" s="11" t="n">
        <v>0.0</v>
      </c>
      <c r="BH20" s="10" t="n">
        <v>0.0</v>
      </c>
      <c r="BI20" s="11" t="n">
        <v>0.0</v>
      </c>
      <c r="BJ20" s="10" t="n">
        <v>0.0</v>
      </c>
      <c r="BK20" s="11" t="n">
        <v>0.0</v>
      </c>
      <c r="BL20" s="10" t="n">
        <v>0.0</v>
      </c>
      <c r="BM20" s="11" t="n">
        <v>0.0</v>
      </c>
      <c r="BN20" s="10" t="n">
        <v>0.0</v>
      </c>
      <c r="BO20" s="11" t="n">
        <v>0.0</v>
      </c>
      <c r="BP20" s="10" t="n">
        <v>0.0</v>
      </c>
      <c r="BQ20" s="11" t="n">
        <v>0.0</v>
      </c>
      <c r="BR20" s="10" t="n">
        <v>0.0</v>
      </c>
      <c r="BS20" s="11"/>
      <c r="BT20" s="11" t="n">
        <v>0.0</v>
      </c>
      <c r="BU20" s="10"/>
      <c r="BV20" s="10" t="n">
        <v>0.0</v>
      </c>
      <c r="BW20" s="11"/>
      <c r="BX20" s="11" t="n">
        <v>0.0</v>
      </c>
      <c r="BY20" s="10"/>
      <c r="BZ20" s="10" t="n">
        <v>0.0</v>
      </c>
      <c r="CA20" s="11"/>
      <c r="CB20" s="11" t="n">
        <v>0.0</v>
      </c>
      <c r="CC20" s="10"/>
      <c r="CD20" s="10" t="n">
        <v>0.0</v>
      </c>
      <c r="CE20" s="11"/>
      <c r="CF20" s="11" t="n">
        <v>0.0</v>
      </c>
      <c r="CG20" s="10"/>
      <c r="CH20" s="10" t="n">
        <v>0.0</v>
      </c>
    </row>
    <row r="21">
      <c r="A21" s="10"/>
      <c r="B21" s="4" t="s">
        <v>317</v>
      </c>
      <c r="C21" s="4" t="n">
        <v>6.0</v>
      </c>
      <c r="D21" s="4" t="s">
        <v>332</v>
      </c>
      <c r="E21" s="4" t="s">
        <v>333</v>
      </c>
      <c r="F21" s="4" t="s">
        <v>334</v>
      </c>
      <c r="G21" s="4" t="s">
        <v>321</v>
      </c>
      <c r="H21" s="4" t="s">
        <v>322</v>
      </c>
      <c r="I21" s="4" t="s">
        <v>0</v>
      </c>
      <c r="J21" s="10"/>
      <c r="K21" s="12" t="n">
        <v>1020.0</v>
      </c>
      <c r="L21" s="10"/>
      <c r="M21" s="10"/>
      <c r="N21" s="10"/>
      <c r="O21" s="10"/>
      <c r="P21" s="10" t="n">
        <f>IF(OR(R21="Российская Федерация",R21="Армения",R21="Белоруссия",R21="Беларуь",R21="Казахстан",R21="Киргизия",R21="Кыргызстан",R21="ДНР",R21="ЛНР"), 1, 0)</f>
        <v>0.0</v>
      </c>
      <c r="Q21" s="10"/>
      <c r="R21" s="10" t="str">
        <f>IFERROR(IF(P21=1, "Российская Федерация", "Не заполнено"),"")</f>
        <v/>
      </c>
      <c r="S21" s="10"/>
      <c r="T21" s="10"/>
      <c r="U21" s="10"/>
      <c r="V21" s="12" t="n">
        <f>SUM(X21,Z21,AB21,AD21,AF21,AH21,AJ21,AL21,AN21,AP21,AR21,AT21,AV21,AX21,AZ21,BB21,BD21,BF21,BH21,BJ21,BL21,BN21,BP21,BR21,BV21,BZ21,CD21,CH21)</f>
        <v>1020.0</v>
      </c>
      <c r="W21" s="11" t="n">
        <v>0.0</v>
      </c>
      <c r="X21" s="10" t="n">
        <v>0.0</v>
      </c>
      <c r="Y21" s="11" t="n">
        <v>0.0</v>
      </c>
      <c r="Z21" s="10" t="n">
        <v>0.0</v>
      </c>
      <c r="AA21" s="11" t="n">
        <v>0.0</v>
      </c>
      <c r="AB21" s="10" t="n">
        <v>0.0</v>
      </c>
      <c r="AC21" s="11" t="n">
        <v>0.0</v>
      </c>
      <c r="AD21" s="10" t="n">
        <v>0.0</v>
      </c>
      <c r="AE21" s="11" t="n">
        <v>0.0</v>
      </c>
      <c r="AF21" s="10" t="n">
        <v>0.0</v>
      </c>
      <c r="AG21" s="11" t="n">
        <v>0.0</v>
      </c>
      <c r="AH21" s="10" t="n">
        <v>0.0</v>
      </c>
      <c r="AI21" s="11" t="n">
        <v>0.0</v>
      </c>
      <c r="AJ21" s="10" t="n">
        <v>0.0</v>
      </c>
      <c r="AK21" s="11" t="n">
        <v>0.0</v>
      </c>
      <c r="AL21" s="10" t="n">
        <v>0.0</v>
      </c>
      <c r="AM21" s="11" t="n">
        <v>0.0</v>
      </c>
      <c r="AN21" s="10" t="n">
        <v>0.0</v>
      </c>
      <c r="AO21" s="11" t="n">
        <v>0.0</v>
      </c>
      <c r="AP21" s="10" t="n">
        <v>0.0</v>
      </c>
      <c r="AQ21" s="11" t="n">
        <v>0.0</v>
      </c>
      <c r="AR21" s="10" t="n">
        <v>0.0</v>
      </c>
      <c r="AS21" s="11" t="n">
        <v>0.0</v>
      </c>
      <c r="AT21" s="10" t="n">
        <v>0.0</v>
      </c>
      <c r="AU21" s="11" t="n">
        <v>0.0</v>
      </c>
      <c r="AV21" s="10" t="n">
        <v>0.0</v>
      </c>
      <c r="AW21" s="11" t="n">
        <v>0.0</v>
      </c>
      <c r="AX21" s="10" t="n">
        <v>0.0</v>
      </c>
      <c r="AY21" s="11" t="n">
        <v>0.0</v>
      </c>
      <c r="AZ21" s="10" t="n">
        <v>0.0</v>
      </c>
      <c r="BA21" s="11" t="n">
        <v>0.0</v>
      </c>
      <c r="BB21" s="10" t="n">
        <v>0.0</v>
      </c>
      <c r="BC21" s="8" t="n">
        <v>1020.0</v>
      </c>
      <c r="BD21" s="9" t="n">
        <v>1020.0</v>
      </c>
      <c r="BE21" s="11" t="n">
        <v>0.0</v>
      </c>
      <c r="BF21" s="10" t="n">
        <v>0.0</v>
      </c>
      <c r="BG21" s="11" t="n">
        <v>0.0</v>
      </c>
      <c r="BH21" s="10" t="n">
        <v>0.0</v>
      </c>
      <c r="BI21" s="11" t="n">
        <v>0.0</v>
      </c>
      <c r="BJ21" s="10" t="n">
        <v>0.0</v>
      </c>
      <c r="BK21" s="11" t="n">
        <v>0.0</v>
      </c>
      <c r="BL21" s="10" t="n">
        <v>0.0</v>
      </c>
      <c r="BM21" s="11" t="n">
        <v>0.0</v>
      </c>
      <c r="BN21" s="10" t="n">
        <v>0.0</v>
      </c>
      <c r="BO21" s="11" t="n">
        <v>0.0</v>
      </c>
      <c r="BP21" s="10" t="n">
        <v>0.0</v>
      </c>
      <c r="BQ21" s="11" t="n">
        <v>0.0</v>
      </c>
      <c r="BR21" s="10" t="n">
        <v>0.0</v>
      </c>
      <c r="BS21" s="11"/>
      <c r="BT21" s="11" t="n">
        <v>0.0</v>
      </c>
      <c r="BU21" s="10"/>
      <c r="BV21" s="10" t="n">
        <v>0.0</v>
      </c>
      <c r="BW21" s="11"/>
      <c r="BX21" s="11" t="n">
        <v>0.0</v>
      </c>
      <c r="BY21" s="10"/>
      <c r="BZ21" s="10" t="n">
        <v>0.0</v>
      </c>
      <c r="CA21" s="11"/>
      <c r="CB21" s="11" t="n">
        <v>0.0</v>
      </c>
      <c r="CC21" s="10"/>
      <c r="CD21" s="10" t="n">
        <v>0.0</v>
      </c>
      <c r="CE21" s="11"/>
      <c r="CF21" s="11" t="n">
        <v>0.0</v>
      </c>
      <c r="CG21" s="10"/>
      <c r="CH21" s="10" t="n">
        <v>0.0</v>
      </c>
    </row>
    <row r="22">
      <c r="A22" s="10"/>
      <c r="B22" s="4" t="s">
        <v>317</v>
      </c>
      <c r="C22" s="4" t="n">
        <v>7.0</v>
      </c>
      <c r="D22" s="4" t="s">
        <v>335</v>
      </c>
      <c r="E22" s="4" t="s">
        <v>336</v>
      </c>
      <c r="F22" s="4" t="s">
        <v>337</v>
      </c>
      <c r="G22" s="4" t="s">
        <v>321</v>
      </c>
      <c r="H22" s="4" t="s">
        <v>322</v>
      </c>
      <c r="I22" s="4" t="s">
        <v>0</v>
      </c>
      <c r="J22" s="10"/>
      <c r="K22" s="12" t="n">
        <v>50.0</v>
      </c>
      <c r="L22" s="10"/>
      <c r="M22" s="10"/>
      <c r="N22" s="10"/>
      <c r="O22" s="10"/>
      <c r="P22" s="10" t="n">
        <f>IF(OR(R22="Российская Федерация",R22="Армения",R22="Белоруссия",R22="Беларуь",R22="Казахстан",R22="Киргизия",R22="Кыргызстан",R22="ДНР",R22="ЛНР"), 1, 0)</f>
        <v>0.0</v>
      </c>
      <c r="Q22" s="10"/>
      <c r="R22" s="10" t="str">
        <f>IFERROR(IF(P22=1, "Российская Федерация", "Не заполнено"),"")</f>
        <v/>
      </c>
      <c r="S22" s="10"/>
      <c r="T22" s="10"/>
      <c r="U22" s="10"/>
      <c r="V22" s="12" t="n">
        <f>SUM(X22,Z22,AB22,AD22,AF22,AH22,AJ22,AL22,AN22,AP22,AR22,AT22,AV22,AX22,AZ22,BB22,BD22,BF22,BH22,BJ22,BL22,BN22,BP22,BR22,BV22,BZ22,CD22,CH22)</f>
        <v>50.0</v>
      </c>
      <c r="W22" s="11" t="n">
        <v>0.0</v>
      </c>
      <c r="X22" s="10" t="n">
        <v>0.0</v>
      </c>
      <c r="Y22" s="11" t="n">
        <v>0.0</v>
      </c>
      <c r="Z22" s="10" t="n">
        <v>0.0</v>
      </c>
      <c r="AA22" s="11" t="n">
        <v>0.0</v>
      </c>
      <c r="AB22" s="10" t="n">
        <v>0.0</v>
      </c>
      <c r="AC22" s="11" t="n">
        <v>0.0</v>
      </c>
      <c r="AD22" s="10" t="n">
        <v>0.0</v>
      </c>
      <c r="AE22" s="11" t="n">
        <v>0.0</v>
      </c>
      <c r="AF22" s="10" t="n">
        <v>0.0</v>
      </c>
      <c r="AG22" s="11" t="n">
        <v>0.0</v>
      </c>
      <c r="AH22" s="10" t="n">
        <v>0.0</v>
      </c>
      <c r="AI22" s="11" t="n">
        <v>0.0</v>
      </c>
      <c r="AJ22" s="10" t="n">
        <v>0.0</v>
      </c>
      <c r="AK22" s="11" t="n">
        <v>0.0</v>
      </c>
      <c r="AL22" s="10" t="n">
        <v>0.0</v>
      </c>
      <c r="AM22" s="11" t="n">
        <v>0.0</v>
      </c>
      <c r="AN22" s="10" t="n">
        <v>0.0</v>
      </c>
      <c r="AO22" s="11" t="n">
        <v>0.0</v>
      </c>
      <c r="AP22" s="10" t="n">
        <v>0.0</v>
      </c>
      <c r="AQ22" s="11" t="n">
        <v>0.0</v>
      </c>
      <c r="AR22" s="10" t="n">
        <v>0.0</v>
      </c>
      <c r="AS22" s="11" t="n">
        <v>0.0</v>
      </c>
      <c r="AT22" s="10" t="n">
        <v>0.0</v>
      </c>
      <c r="AU22" s="11" t="n">
        <v>0.0</v>
      </c>
      <c r="AV22" s="10" t="n">
        <v>0.0</v>
      </c>
      <c r="AW22" s="11" t="n">
        <v>0.0</v>
      </c>
      <c r="AX22" s="10" t="n">
        <v>0.0</v>
      </c>
      <c r="AY22" s="11" t="n">
        <v>0.0</v>
      </c>
      <c r="AZ22" s="10" t="n">
        <v>0.0</v>
      </c>
      <c r="BA22" s="11" t="n">
        <v>0.0</v>
      </c>
      <c r="BB22" s="10" t="n">
        <v>0.0</v>
      </c>
      <c r="BC22" s="8" t="n">
        <v>50.0</v>
      </c>
      <c r="BD22" s="9" t="n">
        <v>50.0</v>
      </c>
      <c r="BE22" s="11" t="n">
        <v>0.0</v>
      </c>
      <c r="BF22" s="10" t="n">
        <v>0.0</v>
      </c>
      <c r="BG22" s="11" t="n">
        <v>0.0</v>
      </c>
      <c r="BH22" s="10" t="n">
        <v>0.0</v>
      </c>
      <c r="BI22" s="11" t="n">
        <v>0.0</v>
      </c>
      <c r="BJ22" s="10" t="n">
        <v>0.0</v>
      </c>
      <c r="BK22" s="11" t="n">
        <v>0.0</v>
      </c>
      <c r="BL22" s="10" t="n">
        <v>0.0</v>
      </c>
      <c r="BM22" s="11" t="n">
        <v>0.0</v>
      </c>
      <c r="BN22" s="10" t="n">
        <v>0.0</v>
      </c>
      <c r="BO22" s="11" t="n">
        <v>0.0</v>
      </c>
      <c r="BP22" s="10" t="n">
        <v>0.0</v>
      </c>
      <c r="BQ22" s="11" t="n">
        <v>0.0</v>
      </c>
      <c r="BR22" s="10" t="n">
        <v>0.0</v>
      </c>
      <c r="BS22" s="11"/>
      <c r="BT22" s="11" t="n">
        <v>0.0</v>
      </c>
      <c r="BU22" s="10"/>
      <c r="BV22" s="10" t="n">
        <v>0.0</v>
      </c>
      <c r="BW22" s="11"/>
      <c r="BX22" s="11" t="n">
        <v>0.0</v>
      </c>
      <c r="BY22" s="10"/>
      <c r="BZ22" s="10" t="n">
        <v>0.0</v>
      </c>
      <c r="CA22" s="11"/>
      <c r="CB22" s="11" t="n">
        <v>0.0</v>
      </c>
      <c r="CC22" s="10"/>
      <c r="CD22" s="10" t="n">
        <v>0.0</v>
      </c>
      <c r="CE22" s="11"/>
      <c r="CF22" s="11" t="n">
        <v>0.0</v>
      </c>
      <c r="CG22" s="10"/>
      <c r="CH22" s="10" t="n">
        <v>0.0</v>
      </c>
    </row>
    <row r="23">
      <c r="A23" s="10"/>
      <c r="B23" s="4" t="s">
        <v>317</v>
      </c>
      <c r="C23" s="4" t="n">
        <v>8.0</v>
      </c>
      <c r="D23" s="4" t="s">
        <v>335</v>
      </c>
      <c r="E23" s="4" t="s">
        <v>336</v>
      </c>
      <c r="F23" s="4" t="s">
        <v>337</v>
      </c>
      <c r="G23" s="4" t="s">
        <v>321</v>
      </c>
      <c r="H23" s="4" t="s">
        <v>322</v>
      </c>
      <c r="I23" s="4" t="s">
        <v>0</v>
      </c>
      <c r="J23" s="10"/>
      <c r="K23" s="12" t="n">
        <v>640.25</v>
      </c>
      <c r="L23" s="10"/>
      <c r="M23" s="10"/>
      <c r="N23" s="10"/>
      <c r="O23" s="10"/>
      <c r="P23" s="10" t="n">
        <f>IF(OR(R23="Российская Федерация",R23="Армения",R23="Белоруссия",R23="Беларуь",R23="Казахстан",R23="Киргизия",R23="Кыргызстан",R23="ДНР",R23="ЛНР"), 1, 0)</f>
        <v>0.0</v>
      </c>
      <c r="Q23" s="10"/>
      <c r="R23" s="10" t="str">
        <f>IFERROR(IF(P23=1, "Российская Федерация", "Не заполнено"),"")</f>
        <v/>
      </c>
      <c r="S23" s="10"/>
      <c r="T23" s="10"/>
      <c r="U23" s="10"/>
      <c r="V23" s="12" t="n">
        <f>SUM(X23,Z23,AB23,AD23,AF23,AH23,AJ23,AL23,AN23,AP23,AR23,AT23,AV23,AX23,AZ23,BB23,BD23,BF23,BH23,BJ23,BL23,BN23,BP23,BR23,BV23,BZ23,CD23,CH23)</f>
        <v>640.25</v>
      </c>
      <c r="W23" s="11" t="n">
        <v>0.0</v>
      </c>
      <c r="X23" s="10" t="n">
        <v>0.0</v>
      </c>
      <c r="Y23" s="11" t="n">
        <v>0.0</v>
      </c>
      <c r="Z23" s="10" t="n">
        <v>0.0</v>
      </c>
      <c r="AA23" s="11" t="n">
        <v>0.0</v>
      </c>
      <c r="AB23" s="10" t="n">
        <v>0.0</v>
      </c>
      <c r="AC23" s="11" t="n">
        <v>0.0</v>
      </c>
      <c r="AD23" s="10" t="n">
        <v>0.0</v>
      </c>
      <c r="AE23" s="11" t="n">
        <v>0.0</v>
      </c>
      <c r="AF23" s="10" t="n">
        <v>0.0</v>
      </c>
      <c r="AG23" s="11" t="n">
        <v>0.0</v>
      </c>
      <c r="AH23" s="10" t="n">
        <v>0.0</v>
      </c>
      <c r="AI23" s="11" t="n">
        <v>0.0</v>
      </c>
      <c r="AJ23" s="10" t="n">
        <v>0.0</v>
      </c>
      <c r="AK23" s="11" t="n">
        <v>0.0</v>
      </c>
      <c r="AL23" s="10" t="n">
        <v>0.0</v>
      </c>
      <c r="AM23" s="11" t="n">
        <v>0.0</v>
      </c>
      <c r="AN23" s="10" t="n">
        <v>0.0</v>
      </c>
      <c r="AO23" s="11" t="n">
        <v>0.0</v>
      </c>
      <c r="AP23" s="10" t="n">
        <v>0.0</v>
      </c>
      <c r="AQ23" s="11" t="n">
        <v>0.0</v>
      </c>
      <c r="AR23" s="10" t="n">
        <v>0.0</v>
      </c>
      <c r="AS23" s="11" t="n">
        <v>0.0</v>
      </c>
      <c r="AT23" s="10" t="n">
        <v>0.0</v>
      </c>
      <c r="AU23" s="11" t="n">
        <v>0.0</v>
      </c>
      <c r="AV23" s="10" t="n">
        <v>0.0</v>
      </c>
      <c r="AW23" s="8" t="n">
        <v>430.25</v>
      </c>
      <c r="AX23" s="9" t="n">
        <v>430.25</v>
      </c>
      <c r="AY23" s="11" t="n">
        <v>0.0</v>
      </c>
      <c r="AZ23" s="10" t="n">
        <v>0.0</v>
      </c>
      <c r="BA23" s="8" t="n">
        <v>80.0</v>
      </c>
      <c r="BB23" s="9" t="n">
        <v>80.0</v>
      </c>
      <c r="BC23" s="11" t="n">
        <v>0.0</v>
      </c>
      <c r="BD23" s="10" t="n">
        <v>0.0</v>
      </c>
      <c r="BE23" s="11" t="n">
        <v>0.0</v>
      </c>
      <c r="BF23" s="10" t="n">
        <v>0.0</v>
      </c>
      <c r="BG23" s="8" t="n">
        <v>80.0</v>
      </c>
      <c r="BH23" s="9" t="n">
        <v>80.0</v>
      </c>
      <c r="BI23" s="8" t="n">
        <v>50.0</v>
      </c>
      <c r="BJ23" s="9" t="n">
        <v>50.0</v>
      </c>
      <c r="BK23" s="11" t="n">
        <v>0.0</v>
      </c>
      <c r="BL23" s="10" t="n">
        <v>0.0</v>
      </c>
      <c r="BM23" s="11" t="n">
        <v>0.0</v>
      </c>
      <c r="BN23" s="10" t="n">
        <v>0.0</v>
      </c>
      <c r="BO23" s="11" t="n">
        <v>0.0</v>
      </c>
      <c r="BP23" s="10" t="n">
        <v>0.0</v>
      </c>
      <c r="BQ23" s="11" t="n">
        <v>0.0</v>
      </c>
      <c r="BR23" s="10" t="n">
        <v>0.0</v>
      </c>
      <c r="BS23" s="11"/>
      <c r="BT23" s="11" t="n">
        <v>0.0</v>
      </c>
      <c r="BU23" s="10"/>
      <c r="BV23" s="10" t="n">
        <v>0.0</v>
      </c>
      <c r="BW23" s="11"/>
      <c r="BX23" s="11" t="n">
        <v>0.0</v>
      </c>
      <c r="BY23" s="10"/>
      <c r="BZ23" s="10" t="n">
        <v>0.0</v>
      </c>
      <c r="CA23" s="11"/>
      <c r="CB23" s="11" t="n">
        <v>0.0</v>
      </c>
      <c r="CC23" s="10"/>
      <c r="CD23" s="10" t="n">
        <v>0.0</v>
      </c>
      <c r="CE23" s="11"/>
      <c r="CF23" s="11" t="n">
        <v>0.0</v>
      </c>
      <c r="CG23" s="10"/>
      <c r="CH23" s="10" t="n">
        <v>0.0</v>
      </c>
    </row>
    <row r="24">
      <c r="A24" s="10"/>
      <c r="B24" s="4" t="s">
        <v>317</v>
      </c>
      <c r="C24" s="4" t="n">
        <v>9.0</v>
      </c>
      <c r="D24" s="4" t="s">
        <v>338</v>
      </c>
      <c r="E24" s="4" t="s">
        <v>339</v>
      </c>
      <c r="F24" s="4" t="s">
        <v>340</v>
      </c>
      <c r="G24" s="4" t="s">
        <v>321</v>
      </c>
      <c r="H24" s="4" t="s">
        <v>322</v>
      </c>
      <c r="I24" s="4" t="s">
        <v>0</v>
      </c>
      <c r="J24" s="10"/>
      <c r="K24" s="12" t="n">
        <v>50.0</v>
      </c>
      <c r="L24" s="10"/>
      <c r="M24" s="10"/>
      <c r="N24" s="10"/>
      <c r="O24" s="10"/>
      <c r="P24" s="10" t="n">
        <f>IF(OR(R24="Российская Федерация",R24="Армения",R24="Белоруссия",R24="Беларуь",R24="Казахстан",R24="Киргизия",R24="Кыргызстан",R24="ДНР",R24="ЛНР"), 1, 0)</f>
        <v>0.0</v>
      </c>
      <c r="Q24" s="10"/>
      <c r="R24" s="10" t="str">
        <f>IFERROR(IF(P24=1, "Российская Федерация", "Не заполнено"),"")</f>
        <v/>
      </c>
      <c r="S24" s="10"/>
      <c r="T24" s="10"/>
      <c r="U24" s="10"/>
      <c r="V24" s="12" t="n">
        <f>SUM(X24,Z24,AB24,AD24,AF24,AH24,AJ24,AL24,AN24,AP24,AR24,AT24,AV24,AX24,AZ24,BB24,BD24,BF24,BH24,BJ24,BL24,BN24,BP24,BR24,BV24,BZ24,CD24,CH24)</f>
        <v>50.0</v>
      </c>
      <c r="W24" s="11" t="n">
        <v>0.0</v>
      </c>
      <c r="X24" s="10" t="n">
        <v>0.0</v>
      </c>
      <c r="Y24" s="11" t="n">
        <v>0.0</v>
      </c>
      <c r="Z24" s="10" t="n">
        <v>0.0</v>
      </c>
      <c r="AA24" s="11" t="n">
        <v>0.0</v>
      </c>
      <c r="AB24" s="10" t="n">
        <v>0.0</v>
      </c>
      <c r="AC24" s="11" t="n">
        <v>0.0</v>
      </c>
      <c r="AD24" s="10" t="n">
        <v>0.0</v>
      </c>
      <c r="AE24" s="11" t="n">
        <v>0.0</v>
      </c>
      <c r="AF24" s="10" t="n">
        <v>0.0</v>
      </c>
      <c r="AG24" s="11" t="n">
        <v>0.0</v>
      </c>
      <c r="AH24" s="10" t="n">
        <v>0.0</v>
      </c>
      <c r="AI24" s="11" t="n">
        <v>0.0</v>
      </c>
      <c r="AJ24" s="10" t="n">
        <v>0.0</v>
      </c>
      <c r="AK24" s="11" t="n">
        <v>0.0</v>
      </c>
      <c r="AL24" s="10" t="n">
        <v>0.0</v>
      </c>
      <c r="AM24" s="11" t="n">
        <v>0.0</v>
      </c>
      <c r="AN24" s="10" t="n">
        <v>0.0</v>
      </c>
      <c r="AO24" s="11" t="n">
        <v>0.0</v>
      </c>
      <c r="AP24" s="10" t="n">
        <v>0.0</v>
      </c>
      <c r="AQ24" s="11" t="n">
        <v>0.0</v>
      </c>
      <c r="AR24" s="10" t="n">
        <v>0.0</v>
      </c>
      <c r="AS24" s="11" t="n">
        <v>0.0</v>
      </c>
      <c r="AT24" s="10" t="n">
        <v>0.0</v>
      </c>
      <c r="AU24" s="11" t="n">
        <v>0.0</v>
      </c>
      <c r="AV24" s="10" t="n">
        <v>0.0</v>
      </c>
      <c r="AW24" s="11" t="n">
        <v>0.0</v>
      </c>
      <c r="AX24" s="10" t="n">
        <v>0.0</v>
      </c>
      <c r="AY24" s="11" t="n">
        <v>0.0</v>
      </c>
      <c r="AZ24" s="10" t="n">
        <v>0.0</v>
      </c>
      <c r="BA24" s="11" t="n">
        <v>0.0</v>
      </c>
      <c r="BB24" s="10" t="n">
        <v>0.0</v>
      </c>
      <c r="BC24" s="8" t="n">
        <v>50.0</v>
      </c>
      <c r="BD24" s="9" t="n">
        <v>50.0</v>
      </c>
      <c r="BE24" s="11" t="n">
        <v>0.0</v>
      </c>
      <c r="BF24" s="10" t="n">
        <v>0.0</v>
      </c>
      <c r="BG24" s="11" t="n">
        <v>0.0</v>
      </c>
      <c r="BH24" s="10" t="n">
        <v>0.0</v>
      </c>
      <c r="BI24" s="11" t="n">
        <v>0.0</v>
      </c>
      <c r="BJ24" s="10" t="n">
        <v>0.0</v>
      </c>
      <c r="BK24" s="11" t="n">
        <v>0.0</v>
      </c>
      <c r="BL24" s="10" t="n">
        <v>0.0</v>
      </c>
      <c r="BM24" s="11" t="n">
        <v>0.0</v>
      </c>
      <c r="BN24" s="10" t="n">
        <v>0.0</v>
      </c>
      <c r="BO24" s="11" t="n">
        <v>0.0</v>
      </c>
      <c r="BP24" s="10" t="n">
        <v>0.0</v>
      </c>
      <c r="BQ24" s="11" t="n">
        <v>0.0</v>
      </c>
      <c r="BR24" s="10" t="n">
        <v>0.0</v>
      </c>
      <c r="BS24" s="11"/>
      <c r="BT24" s="11" t="n">
        <v>0.0</v>
      </c>
      <c r="BU24" s="10"/>
      <c r="BV24" s="10" t="n">
        <v>0.0</v>
      </c>
      <c r="BW24" s="11"/>
      <c r="BX24" s="11" t="n">
        <v>0.0</v>
      </c>
      <c r="BY24" s="10"/>
      <c r="BZ24" s="10" t="n">
        <v>0.0</v>
      </c>
      <c r="CA24" s="11"/>
      <c r="CB24" s="11" t="n">
        <v>0.0</v>
      </c>
      <c r="CC24" s="10"/>
      <c r="CD24" s="10" t="n">
        <v>0.0</v>
      </c>
      <c r="CE24" s="11"/>
      <c r="CF24" s="11" t="n">
        <v>0.0</v>
      </c>
      <c r="CG24" s="10"/>
      <c r="CH24" s="10" t="n">
        <v>0.0</v>
      </c>
    </row>
    <row r="25">
      <c r="A25" s="10"/>
      <c r="B25" s="4" t="s">
        <v>317</v>
      </c>
      <c r="C25" s="4" t="n">
        <v>10.0</v>
      </c>
      <c r="D25" s="4" t="s">
        <v>341</v>
      </c>
      <c r="E25" s="4" t="s">
        <v>342</v>
      </c>
      <c r="F25" s="4" t="s">
        <v>343</v>
      </c>
      <c r="G25" s="4" t="s">
        <v>321</v>
      </c>
      <c r="H25" s="4" t="s">
        <v>322</v>
      </c>
      <c r="I25" s="4" t="s">
        <v>0</v>
      </c>
      <c r="J25" s="10"/>
      <c r="K25" s="12" t="n">
        <v>2118.04</v>
      </c>
      <c r="L25" s="10"/>
      <c r="M25" s="10"/>
      <c r="N25" s="10"/>
      <c r="O25" s="10"/>
      <c r="P25" s="10" t="n">
        <f>IF(OR(R25="Российская Федерация",R25="Армения",R25="Белоруссия",R25="Беларуь",R25="Казахстан",R25="Киргизия",R25="Кыргызстан",R25="ДНР",R25="ЛНР"), 1, 0)</f>
        <v>0.0</v>
      </c>
      <c r="Q25" s="10"/>
      <c r="R25" s="10" t="str">
        <f>IFERROR(IF(P25=1, "Российская Федерация", "Не заполнено"),"")</f>
        <v/>
      </c>
      <c r="S25" s="10"/>
      <c r="T25" s="10"/>
      <c r="U25" s="10"/>
      <c r="V25" s="12" t="n">
        <f>SUM(X25,Z25,AB25,AD25,AF25,AH25,AJ25,AL25,AN25,AP25,AR25,AT25,AV25,AX25,AZ25,BB25,BD25,BF25,BH25,BJ25,BL25,BN25,BP25,BR25,BV25,BZ25,CD25,CH25)</f>
        <v>2118.04</v>
      </c>
      <c r="W25" s="11" t="n">
        <v>0.0</v>
      </c>
      <c r="X25" s="10" t="n">
        <v>0.0</v>
      </c>
      <c r="Y25" s="11" t="n">
        <v>0.0</v>
      </c>
      <c r="Z25" s="10" t="n">
        <v>0.0</v>
      </c>
      <c r="AA25" s="11" t="n">
        <v>0.0</v>
      </c>
      <c r="AB25" s="10" t="n">
        <v>0.0</v>
      </c>
      <c r="AC25" s="11" t="n">
        <v>0.0</v>
      </c>
      <c r="AD25" s="10" t="n">
        <v>0.0</v>
      </c>
      <c r="AE25" s="11" t="n">
        <v>0.0</v>
      </c>
      <c r="AF25" s="10" t="n">
        <v>0.0</v>
      </c>
      <c r="AG25" s="11" t="n">
        <v>0.0</v>
      </c>
      <c r="AH25" s="10" t="n">
        <v>0.0</v>
      </c>
      <c r="AI25" s="11" t="n">
        <v>0.0</v>
      </c>
      <c r="AJ25" s="10" t="n">
        <v>0.0</v>
      </c>
      <c r="AK25" s="11" t="n">
        <v>0.0</v>
      </c>
      <c r="AL25" s="10" t="n">
        <v>0.0</v>
      </c>
      <c r="AM25" s="11" t="n">
        <v>0.0</v>
      </c>
      <c r="AN25" s="10" t="n">
        <v>0.0</v>
      </c>
      <c r="AO25" s="11" t="n">
        <v>0.0</v>
      </c>
      <c r="AP25" s="10" t="n">
        <v>0.0</v>
      </c>
      <c r="AQ25" s="11" t="n">
        <v>0.0</v>
      </c>
      <c r="AR25" s="10" t="n">
        <v>0.0</v>
      </c>
      <c r="AS25" s="11" t="n">
        <v>0.0</v>
      </c>
      <c r="AT25" s="10" t="n">
        <v>0.0</v>
      </c>
      <c r="AU25" s="11" t="n">
        <v>0.0</v>
      </c>
      <c r="AV25" s="10" t="n">
        <v>0.0</v>
      </c>
      <c r="AW25" s="8" t="n">
        <v>1934.04</v>
      </c>
      <c r="AX25" s="9" t="n">
        <v>1934.04</v>
      </c>
      <c r="AY25" s="11" t="n">
        <v>0.0</v>
      </c>
      <c r="AZ25" s="10" t="n">
        <v>0.0</v>
      </c>
      <c r="BA25" s="8" t="n">
        <v>92.0</v>
      </c>
      <c r="BB25" s="9" t="n">
        <v>92.0</v>
      </c>
      <c r="BC25" s="8" t="n">
        <v>12.0</v>
      </c>
      <c r="BD25" s="9" t="n">
        <v>12.0</v>
      </c>
      <c r="BE25" s="11" t="n">
        <v>0.0</v>
      </c>
      <c r="BF25" s="10" t="n">
        <v>0.0</v>
      </c>
      <c r="BG25" s="8" t="n">
        <v>80.0</v>
      </c>
      <c r="BH25" s="9" t="n">
        <v>80.0</v>
      </c>
      <c r="BI25" s="11" t="n">
        <v>0.0</v>
      </c>
      <c r="BJ25" s="10" t="n">
        <v>0.0</v>
      </c>
      <c r="BK25" s="11" t="n">
        <v>0.0</v>
      </c>
      <c r="BL25" s="10" t="n">
        <v>0.0</v>
      </c>
      <c r="BM25" s="11" t="n">
        <v>0.0</v>
      </c>
      <c r="BN25" s="10" t="n">
        <v>0.0</v>
      </c>
      <c r="BO25" s="11" t="n">
        <v>0.0</v>
      </c>
      <c r="BP25" s="10" t="n">
        <v>0.0</v>
      </c>
      <c r="BQ25" s="11" t="n">
        <v>0.0</v>
      </c>
      <c r="BR25" s="10" t="n">
        <v>0.0</v>
      </c>
      <c r="BS25" s="11"/>
      <c r="BT25" s="11" t="n">
        <v>0.0</v>
      </c>
      <c r="BU25" s="10"/>
      <c r="BV25" s="10" t="n">
        <v>0.0</v>
      </c>
      <c r="BW25" s="11"/>
      <c r="BX25" s="11" t="n">
        <v>0.0</v>
      </c>
      <c r="BY25" s="10"/>
      <c r="BZ25" s="10" t="n">
        <v>0.0</v>
      </c>
      <c r="CA25" s="11"/>
      <c r="CB25" s="11" t="n">
        <v>0.0</v>
      </c>
      <c r="CC25" s="10"/>
      <c r="CD25" s="10" t="n">
        <v>0.0</v>
      </c>
      <c r="CE25" s="11"/>
      <c r="CF25" s="11" t="n">
        <v>0.0</v>
      </c>
      <c r="CG25" s="10"/>
      <c r="CH25" s="10" t="n">
        <v>0.0</v>
      </c>
    </row>
    <row r="26">
      <c r="A26" s="10"/>
      <c r="B26" s="4" t="s">
        <v>317</v>
      </c>
      <c r="C26" s="4" t="n">
        <v>11.0</v>
      </c>
      <c r="D26" s="4" t="s">
        <v>341</v>
      </c>
      <c r="E26" s="4" t="s">
        <v>342</v>
      </c>
      <c r="F26" s="4" t="s">
        <v>343</v>
      </c>
      <c r="G26" s="4" t="s">
        <v>321</v>
      </c>
      <c r="H26" s="4" t="s">
        <v>322</v>
      </c>
      <c r="I26" s="4" t="s">
        <v>0</v>
      </c>
      <c r="J26" s="10"/>
      <c r="K26" s="12" t="n">
        <v>50.0</v>
      </c>
      <c r="L26" s="10"/>
      <c r="M26" s="10"/>
      <c r="N26" s="10"/>
      <c r="O26" s="10"/>
      <c r="P26" s="10" t="n">
        <f>IF(OR(R26="Российская Федерация",R26="Армения",R26="Белоруссия",R26="Беларуь",R26="Казахстан",R26="Киргизия",R26="Кыргызстан",R26="ДНР",R26="ЛНР"), 1, 0)</f>
        <v>0.0</v>
      </c>
      <c r="Q26" s="10"/>
      <c r="R26" s="10" t="str">
        <f>IFERROR(IF(P26=1, "Российская Федерация", "Не заполнено"),"")</f>
        <v/>
      </c>
      <c r="S26" s="10"/>
      <c r="T26" s="10"/>
      <c r="U26" s="10"/>
      <c r="V26" s="12" t="n">
        <f>SUM(X26,Z26,AB26,AD26,AF26,AH26,AJ26,AL26,AN26,AP26,AR26,AT26,AV26,AX26,AZ26,BB26,BD26,BF26,BH26,BJ26,BL26,BN26,BP26,BR26,BV26,BZ26,CD26,CH26)</f>
        <v>50.0</v>
      </c>
      <c r="W26" s="11" t="n">
        <v>0.0</v>
      </c>
      <c r="X26" s="10" t="n">
        <v>0.0</v>
      </c>
      <c r="Y26" s="11" t="n">
        <v>0.0</v>
      </c>
      <c r="Z26" s="10" t="n">
        <v>0.0</v>
      </c>
      <c r="AA26" s="11" t="n">
        <v>0.0</v>
      </c>
      <c r="AB26" s="10" t="n">
        <v>0.0</v>
      </c>
      <c r="AC26" s="11" t="n">
        <v>0.0</v>
      </c>
      <c r="AD26" s="10" t="n">
        <v>0.0</v>
      </c>
      <c r="AE26" s="11" t="n">
        <v>0.0</v>
      </c>
      <c r="AF26" s="10" t="n">
        <v>0.0</v>
      </c>
      <c r="AG26" s="11" t="n">
        <v>0.0</v>
      </c>
      <c r="AH26" s="10" t="n">
        <v>0.0</v>
      </c>
      <c r="AI26" s="11" t="n">
        <v>0.0</v>
      </c>
      <c r="AJ26" s="10" t="n">
        <v>0.0</v>
      </c>
      <c r="AK26" s="11" t="n">
        <v>0.0</v>
      </c>
      <c r="AL26" s="10" t="n">
        <v>0.0</v>
      </c>
      <c r="AM26" s="11" t="n">
        <v>0.0</v>
      </c>
      <c r="AN26" s="10" t="n">
        <v>0.0</v>
      </c>
      <c r="AO26" s="11" t="n">
        <v>0.0</v>
      </c>
      <c r="AP26" s="10" t="n">
        <v>0.0</v>
      </c>
      <c r="AQ26" s="11" t="n">
        <v>0.0</v>
      </c>
      <c r="AR26" s="10" t="n">
        <v>0.0</v>
      </c>
      <c r="AS26" s="11" t="n">
        <v>0.0</v>
      </c>
      <c r="AT26" s="10" t="n">
        <v>0.0</v>
      </c>
      <c r="AU26" s="11" t="n">
        <v>0.0</v>
      </c>
      <c r="AV26" s="10" t="n">
        <v>0.0</v>
      </c>
      <c r="AW26" s="11" t="n">
        <v>0.0</v>
      </c>
      <c r="AX26" s="10" t="n">
        <v>0.0</v>
      </c>
      <c r="AY26" s="11" t="n">
        <v>0.0</v>
      </c>
      <c r="AZ26" s="10" t="n">
        <v>0.0</v>
      </c>
      <c r="BA26" s="11" t="n">
        <v>0.0</v>
      </c>
      <c r="BB26" s="10" t="n">
        <v>0.0</v>
      </c>
      <c r="BC26" s="8" t="n">
        <v>50.0</v>
      </c>
      <c r="BD26" s="9" t="n">
        <v>50.0</v>
      </c>
      <c r="BE26" s="11" t="n">
        <v>0.0</v>
      </c>
      <c r="BF26" s="10" t="n">
        <v>0.0</v>
      </c>
      <c r="BG26" s="11" t="n">
        <v>0.0</v>
      </c>
      <c r="BH26" s="10" t="n">
        <v>0.0</v>
      </c>
      <c r="BI26" s="11" t="n">
        <v>0.0</v>
      </c>
      <c r="BJ26" s="10" t="n">
        <v>0.0</v>
      </c>
      <c r="BK26" s="11" t="n">
        <v>0.0</v>
      </c>
      <c r="BL26" s="10" t="n">
        <v>0.0</v>
      </c>
      <c r="BM26" s="11" t="n">
        <v>0.0</v>
      </c>
      <c r="BN26" s="10" t="n">
        <v>0.0</v>
      </c>
      <c r="BO26" s="11" t="n">
        <v>0.0</v>
      </c>
      <c r="BP26" s="10" t="n">
        <v>0.0</v>
      </c>
      <c r="BQ26" s="11" t="n">
        <v>0.0</v>
      </c>
      <c r="BR26" s="10" t="n">
        <v>0.0</v>
      </c>
      <c r="BS26" s="11"/>
      <c r="BT26" s="11" t="n">
        <v>0.0</v>
      </c>
      <c r="BU26" s="10"/>
      <c r="BV26" s="10" t="n">
        <v>0.0</v>
      </c>
      <c r="BW26" s="11"/>
      <c r="BX26" s="11" t="n">
        <v>0.0</v>
      </c>
      <c r="BY26" s="10"/>
      <c r="BZ26" s="10" t="n">
        <v>0.0</v>
      </c>
      <c r="CA26" s="11"/>
      <c r="CB26" s="11" t="n">
        <v>0.0</v>
      </c>
      <c r="CC26" s="10"/>
      <c r="CD26" s="10" t="n">
        <v>0.0</v>
      </c>
      <c r="CE26" s="11"/>
      <c r="CF26" s="11" t="n">
        <v>0.0</v>
      </c>
      <c r="CG26" s="10"/>
      <c r="CH26" s="10" t="n">
        <v>0.0</v>
      </c>
    </row>
    <row r="27">
      <c r="A27" s="10"/>
      <c r="B27" s="4" t="s">
        <v>317</v>
      </c>
      <c r="C27" s="4" t="n">
        <v>12.0</v>
      </c>
      <c r="D27" s="4" t="s">
        <v>344</v>
      </c>
      <c r="E27" s="4" t="s">
        <v>345</v>
      </c>
      <c r="F27" s="4" t="s">
        <v>346</v>
      </c>
      <c r="G27" s="4" t="s">
        <v>321</v>
      </c>
      <c r="H27" s="4" t="s">
        <v>322</v>
      </c>
      <c r="I27" s="4" t="s">
        <v>0</v>
      </c>
      <c r="J27" s="10"/>
      <c r="K27" s="12" t="n">
        <v>720.0</v>
      </c>
      <c r="L27" s="10"/>
      <c r="M27" s="10"/>
      <c r="N27" s="10"/>
      <c r="O27" s="10"/>
      <c r="P27" s="10" t="n">
        <f>IF(OR(R27="Российская Федерация",R27="Армения",R27="Белоруссия",R27="Беларуь",R27="Казахстан",R27="Киргизия",R27="Кыргызстан",R27="ДНР",R27="ЛНР"), 1, 0)</f>
        <v>0.0</v>
      </c>
      <c r="Q27" s="10"/>
      <c r="R27" s="10" t="str">
        <f>IFERROR(IF(P27=1, "Российская Федерация", "Не заполнено"),"")</f>
        <v/>
      </c>
      <c r="S27" s="10"/>
      <c r="T27" s="10"/>
      <c r="U27" s="10"/>
      <c r="V27" s="12" t="n">
        <f>SUM(X27,Z27,AB27,AD27,AF27,AH27,AJ27,AL27,AN27,AP27,AR27,AT27,AV27,AX27,AZ27,BB27,BD27,BF27,BH27,BJ27,BL27,BN27,BP27,BR27,BV27,BZ27,CD27,CH27)</f>
        <v>720.0</v>
      </c>
      <c r="W27" s="11" t="n">
        <v>0.0</v>
      </c>
      <c r="X27" s="10" t="n">
        <v>0.0</v>
      </c>
      <c r="Y27" s="11" t="n">
        <v>0.0</v>
      </c>
      <c r="Z27" s="10" t="n">
        <v>0.0</v>
      </c>
      <c r="AA27" s="11" t="n">
        <v>0.0</v>
      </c>
      <c r="AB27" s="10" t="n">
        <v>0.0</v>
      </c>
      <c r="AC27" s="11" t="n">
        <v>0.0</v>
      </c>
      <c r="AD27" s="10" t="n">
        <v>0.0</v>
      </c>
      <c r="AE27" s="11" t="n">
        <v>0.0</v>
      </c>
      <c r="AF27" s="10" t="n">
        <v>0.0</v>
      </c>
      <c r="AG27" s="11" t="n">
        <v>0.0</v>
      </c>
      <c r="AH27" s="10" t="n">
        <v>0.0</v>
      </c>
      <c r="AI27" s="11" t="n">
        <v>0.0</v>
      </c>
      <c r="AJ27" s="10" t="n">
        <v>0.0</v>
      </c>
      <c r="AK27" s="11" t="n">
        <v>0.0</v>
      </c>
      <c r="AL27" s="10" t="n">
        <v>0.0</v>
      </c>
      <c r="AM27" s="11" t="n">
        <v>0.0</v>
      </c>
      <c r="AN27" s="10" t="n">
        <v>0.0</v>
      </c>
      <c r="AO27" s="11" t="n">
        <v>0.0</v>
      </c>
      <c r="AP27" s="10" t="n">
        <v>0.0</v>
      </c>
      <c r="AQ27" s="11" t="n">
        <v>0.0</v>
      </c>
      <c r="AR27" s="10" t="n">
        <v>0.0</v>
      </c>
      <c r="AS27" s="11" t="n">
        <v>0.0</v>
      </c>
      <c r="AT27" s="10" t="n">
        <v>0.0</v>
      </c>
      <c r="AU27" s="11" t="n">
        <v>0.0</v>
      </c>
      <c r="AV27" s="10" t="n">
        <v>0.0</v>
      </c>
      <c r="AW27" s="11" t="n">
        <v>0.0</v>
      </c>
      <c r="AX27" s="10" t="n">
        <v>0.0</v>
      </c>
      <c r="AY27" s="11" t="n">
        <v>0.0</v>
      </c>
      <c r="AZ27" s="10" t="n">
        <v>0.0</v>
      </c>
      <c r="BA27" s="11" t="n">
        <v>0.0</v>
      </c>
      <c r="BB27" s="10" t="n">
        <v>0.0</v>
      </c>
      <c r="BC27" s="8" t="n">
        <v>360.0</v>
      </c>
      <c r="BD27" s="9" t="n">
        <v>360.0</v>
      </c>
      <c r="BE27" s="11" t="n">
        <v>0.0</v>
      </c>
      <c r="BF27" s="10" t="n">
        <v>0.0</v>
      </c>
      <c r="BG27" s="11" t="n">
        <v>0.0</v>
      </c>
      <c r="BH27" s="10" t="n">
        <v>0.0</v>
      </c>
      <c r="BI27" s="8" t="n">
        <v>360.0</v>
      </c>
      <c r="BJ27" s="9" t="n">
        <v>360.0</v>
      </c>
      <c r="BK27" s="11" t="n">
        <v>0.0</v>
      </c>
      <c r="BL27" s="10" t="n">
        <v>0.0</v>
      </c>
      <c r="BM27" s="11" t="n">
        <v>0.0</v>
      </c>
      <c r="BN27" s="10" t="n">
        <v>0.0</v>
      </c>
      <c r="BO27" s="11" t="n">
        <v>0.0</v>
      </c>
      <c r="BP27" s="10" t="n">
        <v>0.0</v>
      </c>
      <c r="BQ27" s="11" t="n">
        <v>0.0</v>
      </c>
      <c r="BR27" s="10" t="n">
        <v>0.0</v>
      </c>
      <c r="BS27" s="11"/>
      <c r="BT27" s="11" t="n">
        <v>0.0</v>
      </c>
      <c r="BU27" s="10"/>
      <c r="BV27" s="10" t="n">
        <v>0.0</v>
      </c>
      <c r="BW27" s="11"/>
      <c r="BX27" s="11" t="n">
        <v>0.0</v>
      </c>
      <c r="BY27" s="10"/>
      <c r="BZ27" s="10" t="n">
        <v>0.0</v>
      </c>
      <c r="CA27" s="11"/>
      <c r="CB27" s="11" t="n">
        <v>0.0</v>
      </c>
      <c r="CC27" s="10"/>
      <c r="CD27" s="10" t="n">
        <v>0.0</v>
      </c>
      <c r="CE27" s="11"/>
      <c r="CF27" s="11" t="n">
        <v>0.0</v>
      </c>
      <c r="CG27" s="10"/>
      <c r="CH27" s="10" t="n">
        <v>0.0</v>
      </c>
    </row>
    <row r="28">
      <c r="A28" s="10"/>
      <c r="B28" s="4" t="s">
        <v>317</v>
      </c>
      <c r="C28" s="4" t="n">
        <v>13.0</v>
      </c>
      <c r="D28" s="4" t="s">
        <v>347</v>
      </c>
      <c r="E28" s="4" t="s">
        <v>348</v>
      </c>
      <c r="F28" s="4" t="s">
        <v>349</v>
      </c>
      <c r="G28" s="4" t="s">
        <v>321</v>
      </c>
      <c r="H28" s="4" t="s">
        <v>322</v>
      </c>
      <c r="I28" s="4" t="s">
        <v>0</v>
      </c>
      <c r="J28" s="10"/>
      <c r="K28" s="12" t="n">
        <v>80.0</v>
      </c>
      <c r="L28" s="10"/>
      <c r="M28" s="10"/>
      <c r="N28" s="10"/>
      <c r="O28" s="10"/>
      <c r="P28" s="10" t="n">
        <f>IF(OR(R28="Российская Федерация",R28="Армения",R28="Белоруссия",R28="Беларуь",R28="Казахстан",R28="Киргизия",R28="Кыргызстан",R28="ДНР",R28="ЛНР"), 1, 0)</f>
        <v>0.0</v>
      </c>
      <c r="Q28" s="10"/>
      <c r="R28" s="10" t="str">
        <f>IFERROR(IF(P28=1, "Российская Федерация", "Не заполнено"),"")</f>
        <v/>
      </c>
      <c r="S28" s="10"/>
      <c r="T28" s="10"/>
      <c r="U28" s="10"/>
      <c r="V28" s="12" t="n">
        <f>SUM(X28,Z28,AB28,AD28,AF28,AH28,AJ28,AL28,AN28,AP28,AR28,AT28,AV28,AX28,AZ28,BB28,BD28,BF28,BH28,BJ28,BL28,BN28,BP28,BR28,BV28,BZ28,CD28,CH28)</f>
        <v>80.0</v>
      </c>
      <c r="W28" s="11" t="n">
        <v>0.0</v>
      </c>
      <c r="X28" s="10" t="n">
        <v>0.0</v>
      </c>
      <c r="Y28" s="11" t="n">
        <v>0.0</v>
      </c>
      <c r="Z28" s="10" t="n">
        <v>0.0</v>
      </c>
      <c r="AA28" s="11" t="n">
        <v>0.0</v>
      </c>
      <c r="AB28" s="10" t="n">
        <v>0.0</v>
      </c>
      <c r="AC28" s="11" t="n">
        <v>0.0</v>
      </c>
      <c r="AD28" s="10" t="n">
        <v>0.0</v>
      </c>
      <c r="AE28" s="11" t="n">
        <v>0.0</v>
      </c>
      <c r="AF28" s="10" t="n">
        <v>0.0</v>
      </c>
      <c r="AG28" s="11" t="n">
        <v>0.0</v>
      </c>
      <c r="AH28" s="10" t="n">
        <v>0.0</v>
      </c>
      <c r="AI28" s="11" t="n">
        <v>0.0</v>
      </c>
      <c r="AJ28" s="10" t="n">
        <v>0.0</v>
      </c>
      <c r="AK28" s="11" t="n">
        <v>0.0</v>
      </c>
      <c r="AL28" s="10" t="n">
        <v>0.0</v>
      </c>
      <c r="AM28" s="11" t="n">
        <v>0.0</v>
      </c>
      <c r="AN28" s="10" t="n">
        <v>0.0</v>
      </c>
      <c r="AO28" s="11" t="n">
        <v>0.0</v>
      </c>
      <c r="AP28" s="10" t="n">
        <v>0.0</v>
      </c>
      <c r="AQ28" s="11" t="n">
        <v>0.0</v>
      </c>
      <c r="AR28" s="10" t="n">
        <v>0.0</v>
      </c>
      <c r="AS28" s="11" t="n">
        <v>0.0</v>
      </c>
      <c r="AT28" s="10" t="n">
        <v>0.0</v>
      </c>
      <c r="AU28" s="11" t="n">
        <v>0.0</v>
      </c>
      <c r="AV28" s="10" t="n">
        <v>0.0</v>
      </c>
      <c r="AW28" s="11" t="n">
        <v>0.0</v>
      </c>
      <c r="AX28" s="10" t="n">
        <v>0.0</v>
      </c>
      <c r="AY28" s="11" t="n">
        <v>0.0</v>
      </c>
      <c r="AZ28" s="10" t="n">
        <v>0.0</v>
      </c>
      <c r="BA28" s="11" t="n">
        <v>0.0</v>
      </c>
      <c r="BB28" s="10" t="n">
        <v>0.0</v>
      </c>
      <c r="BC28" s="11" t="n">
        <v>0.0</v>
      </c>
      <c r="BD28" s="10" t="n">
        <v>0.0</v>
      </c>
      <c r="BE28" s="8" t="n">
        <v>80.0</v>
      </c>
      <c r="BF28" s="9" t="n">
        <v>80.0</v>
      </c>
      <c r="BG28" s="11" t="n">
        <v>0.0</v>
      </c>
      <c r="BH28" s="10" t="n">
        <v>0.0</v>
      </c>
      <c r="BI28" s="11" t="n">
        <v>0.0</v>
      </c>
      <c r="BJ28" s="10" t="n">
        <v>0.0</v>
      </c>
      <c r="BK28" s="11" t="n">
        <v>0.0</v>
      </c>
      <c r="BL28" s="10" t="n">
        <v>0.0</v>
      </c>
      <c r="BM28" s="11" t="n">
        <v>0.0</v>
      </c>
      <c r="BN28" s="10" t="n">
        <v>0.0</v>
      </c>
      <c r="BO28" s="11" t="n">
        <v>0.0</v>
      </c>
      <c r="BP28" s="10" t="n">
        <v>0.0</v>
      </c>
      <c r="BQ28" s="11" t="n">
        <v>0.0</v>
      </c>
      <c r="BR28" s="10" t="n">
        <v>0.0</v>
      </c>
      <c r="BS28" s="11"/>
      <c r="BT28" s="11" t="n">
        <v>0.0</v>
      </c>
      <c r="BU28" s="10"/>
      <c r="BV28" s="10" t="n">
        <v>0.0</v>
      </c>
      <c r="BW28" s="11"/>
      <c r="BX28" s="11" t="n">
        <v>0.0</v>
      </c>
      <c r="BY28" s="10"/>
      <c r="BZ28" s="10" t="n">
        <v>0.0</v>
      </c>
      <c r="CA28" s="11"/>
      <c r="CB28" s="11" t="n">
        <v>0.0</v>
      </c>
      <c r="CC28" s="10"/>
      <c r="CD28" s="10" t="n">
        <v>0.0</v>
      </c>
      <c r="CE28" s="11"/>
      <c r="CF28" s="11" t="n">
        <v>0.0</v>
      </c>
      <c r="CG28" s="10"/>
      <c r="CH28" s="10" t="n">
        <v>0.0</v>
      </c>
    </row>
    <row r="29">
      <c r="A29" s="10"/>
      <c r="B29" s="4" t="s">
        <v>317</v>
      </c>
      <c r="C29" s="4" t="n">
        <v>14.0</v>
      </c>
      <c r="D29" s="4" t="s">
        <v>347</v>
      </c>
      <c r="E29" s="4" t="s">
        <v>348</v>
      </c>
      <c r="F29" s="4" t="s">
        <v>349</v>
      </c>
      <c r="G29" s="4" t="s">
        <v>321</v>
      </c>
      <c r="H29" s="4" t="s">
        <v>322</v>
      </c>
      <c r="I29" s="4" t="s">
        <v>0</v>
      </c>
      <c r="J29" s="10"/>
      <c r="K29" s="12" t="n">
        <v>1247.0</v>
      </c>
      <c r="L29" s="10"/>
      <c r="M29" s="10"/>
      <c r="N29" s="10"/>
      <c r="O29" s="10"/>
      <c r="P29" s="10" t="n">
        <f>IF(OR(R29="Российская Федерация",R29="Армения",R29="Белоруссия",R29="Беларуь",R29="Казахстан",R29="Киргизия",R29="Кыргызстан",R29="ДНР",R29="ЛНР"), 1, 0)</f>
        <v>0.0</v>
      </c>
      <c r="Q29" s="10"/>
      <c r="R29" s="10" t="str">
        <f>IFERROR(IF(P29=1, "Российская Федерация", "Не заполнено"),"")</f>
        <v/>
      </c>
      <c r="S29" s="10"/>
      <c r="T29" s="10"/>
      <c r="U29" s="10"/>
      <c r="V29" s="12" t="n">
        <f>SUM(X29,Z29,AB29,AD29,AF29,AH29,AJ29,AL29,AN29,AP29,AR29,AT29,AV29,AX29,AZ29,BB29,BD29,BF29,BH29,BJ29,BL29,BN29,BP29,BR29,BV29,BZ29,CD29,CH29)</f>
        <v>1247.0</v>
      </c>
      <c r="W29" s="11" t="n">
        <v>0.0</v>
      </c>
      <c r="X29" s="10" t="n">
        <v>0.0</v>
      </c>
      <c r="Y29" s="11" t="n">
        <v>0.0</v>
      </c>
      <c r="Z29" s="10" t="n">
        <v>0.0</v>
      </c>
      <c r="AA29" s="11" t="n">
        <v>0.0</v>
      </c>
      <c r="AB29" s="10" t="n">
        <v>0.0</v>
      </c>
      <c r="AC29" s="11" t="n">
        <v>0.0</v>
      </c>
      <c r="AD29" s="10" t="n">
        <v>0.0</v>
      </c>
      <c r="AE29" s="11" t="n">
        <v>0.0</v>
      </c>
      <c r="AF29" s="10" t="n">
        <v>0.0</v>
      </c>
      <c r="AG29" s="11" t="n">
        <v>0.0</v>
      </c>
      <c r="AH29" s="10" t="n">
        <v>0.0</v>
      </c>
      <c r="AI29" s="11" t="n">
        <v>0.0</v>
      </c>
      <c r="AJ29" s="10" t="n">
        <v>0.0</v>
      </c>
      <c r="AK29" s="11" t="n">
        <v>0.0</v>
      </c>
      <c r="AL29" s="10" t="n">
        <v>0.0</v>
      </c>
      <c r="AM29" s="11" t="n">
        <v>0.0</v>
      </c>
      <c r="AN29" s="10" t="n">
        <v>0.0</v>
      </c>
      <c r="AO29" s="11" t="n">
        <v>0.0</v>
      </c>
      <c r="AP29" s="10" t="n">
        <v>0.0</v>
      </c>
      <c r="AQ29" s="11" t="n">
        <v>0.0</v>
      </c>
      <c r="AR29" s="10" t="n">
        <v>0.0</v>
      </c>
      <c r="AS29" s="11" t="n">
        <v>0.0</v>
      </c>
      <c r="AT29" s="10" t="n">
        <v>0.0</v>
      </c>
      <c r="AU29" s="11" t="n">
        <v>0.0</v>
      </c>
      <c r="AV29" s="10" t="n">
        <v>0.0</v>
      </c>
      <c r="AW29" s="11" t="n">
        <v>0.0</v>
      </c>
      <c r="AX29" s="10" t="n">
        <v>0.0</v>
      </c>
      <c r="AY29" s="11" t="n">
        <v>0.0</v>
      </c>
      <c r="AZ29" s="10" t="n">
        <v>0.0</v>
      </c>
      <c r="BA29" s="11" t="n">
        <v>0.0</v>
      </c>
      <c r="BB29" s="10" t="n">
        <v>0.0</v>
      </c>
      <c r="BC29" s="8" t="n">
        <v>1247.0</v>
      </c>
      <c r="BD29" s="9" t="n">
        <v>1247.0</v>
      </c>
      <c r="BE29" s="11" t="n">
        <v>0.0</v>
      </c>
      <c r="BF29" s="10" t="n">
        <v>0.0</v>
      </c>
      <c r="BG29" s="11" t="n">
        <v>0.0</v>
      </c>
      <c r="BH29" s="10" t="n">
        <v>0.0</v>
      </c>
      <c r="BI29" s="11" t="n">
        <v>0.0</v>
      </c>
      <c r="BJ29" s="10" t="n">
        <v>0.0</v>
      </c>
      <c r="BK29" s="11" t="n">
        <v>0.0</v>
      </c>
      <c r="BL29" s="10" t="n">
        <v>0.0</v>
      </c>
      <c r="BM29" s="11" t="n">
        <v>0.0</v>
      </c>
      <c r="BN29" s="10" t="n">
        <v>0.0</v>
      </c>
      <c r="BO29" s="11" t="n">
        <v>0.0</v>
      </c>
      <c r="BP29" s="10" t="n">
        <v>0.0</v>
      </c>
      <c r="BQ29" s="11" t="n">
        <v>0.0</v>
      </c>
      <c r="BR29" s="10" t="n">
        <v>0.0</v>
      </c>
      <c r="BS29" s="11"/>
      <c r="BT29" s="11" t="n">
        <v>0.0</v>
      </c>
      <c r="BU29" s="10"/>
      <c r="BV29" s="10" t="n">
        <v>0.0</v>
      </c>
      <c r="BW29" s="11"/>
      <c r="BX29" s="11" t="n">
        <v>0.0</v>
      </c>
      <c r="BY29" s="10"/>
      <c r="BZ29" s="10" t="n">
        <v>0.0</v>
      </c>
      <c r="CA29" s="11"/>
      <c r="CB29" s="11" t="n">
        <v>0.0</v>
      </c>
      <c r="CC29" s="10"/>
      <c r="CD29" s="10" t="n">
        <v>0.0</v>
      </c>
      <c r="CE29" s="11"/>
      <c r="CF29" s="11" t="n">
        <v>0.0</v>
      </c>
      <c r="CG29" s="10"/>
      <c r="CH29" s="10" t="n">
        <v>0.0</v>
      </c>
    </row>
    <row r="30">
      <c r="A30" s="10"/>
      <c r="B30" s="4" t="s">
        <v>317</v>
      </c>
      <c r="C30" s="4" t="n">
        <v>15.0</v>
      </c>
      <c r="D30" s="4" t="s">
        <v>350</v>
      </c>
      <c r="E30" s="4" t="s">
        <v>351</v>
      </c>
      <c r="F30" s="4" t="s">
        <v>352</v>
      </c>
      <c r="G30" s="4" t="s">
        <v>321</v>
      </c>
      <c r="H30" s="4" t="s">
        <v>322</v>
      </c>
      <c r="I30" s="4" t="s">
        <v>0</v>
      </c>
      <c r="J30" s="10"/>
      <c r="K30" s="12" t="n">
        <v>167.0</v>
      </c>
      <c r="L30" s="10"/>
      <c r="M30" s="10"/>
      <c r="N30" s="10"/>
      <c r="O30" s="10"/>
      <c r="P30" s="10" t="n">
        <f>IF(OR(R30="Российская Федерация",R30="Армения",R30="Белоруссия",R30="Беларуь",R30="Казахстан",R30="Киргизия",R30="Кыргызстан",R30="ДНР",R30="ЛНР"), 1, 0)</f>
        <v>0.0</v>
      </c>
      <c r="Q30" s="10"/>
      <c r="R30" s="10" t="str">
        <f>IFERROR(IF(P30=1, "Российская Федерация", "Не заполнено"),"")</f>
        <v/>
      </c>
      <c r="S30" s="10"/>
      <c r="T30" s="10"/>
      <c r="U30" s="10"/>
      <c r="V30" s="12" t="n">
        <f>SUM(X30,Z30,AB30,AD30,AF30,AH30,AJ30,AL30,AN30,AP30,AR30,AT30,AV30,AX30,AZ30,BB30,BD30,BF30,BH30,BJ30,BL30,BN30,BP30,BR30,BV30,BZ30,CD30,CH30)</f>
        <v>167.0</v>
      </c>
      <c r="W30" s="11" t="n">
        <v>0.0</v>
      </c>
      <c r="X30" s="10" t="n">
        <v>0.0</v>
      </c>
      <c r="Y30" s="11" t="n">
        <v>0.0</v>
      </c>
      <c r="Z30" s="10" t="n">
        <v>0.0</v>
      </c>
      <c r="AA30" s="11" t="n">
        <v>0.0</v>
      </c>
      <c r="AB30" s="10" t="n">
        <v>0.0</v>
      </c>
      <c r="AC30" s="11" t="n">
        <v>0.0</v>
      </c>
      <c r="AD30" s="10" t="n">
        <v>0.0</v>
      </c>
      <c r="AE30" s="11" t="n">
        <v>0.0</v>
      </c>
      <c r="AF30" s="10" t="n">
        <v>0.0</v>
      </c>
      <c r="AG30" s="11" t="n">
        <v>0.0</v>
      </c>
      <c r="AH30" s="10" t="n">
        <v>0.0</v>
      </c>
      <c r="AI30" s="11" t="n">
        <v>0.0</v>
      </c>
      <c r="AJ30" s="10" t="n">
        <v>0.0</v>
      </c>
      <c r="AK30" s="11" t="n">
        <v>0.0</v>
      </c>
      <c r="AL30" s="10" t="n">
        <v>0.0</v>
      </c>
      <c r="AM30" s="11" t="n">
        <v>0.0</v>
      </c>
      <c r="AN30" s="10" t="n">
        <v>0.0</v>
      </c>
      <c r="AO30" s="11" t="n">
        <v>0.0</v>
      </c>
      <c r="AP30" s="10" t="n">
        <v>0.0</v>
      </c>
      <c r="AQ30" s="11" t="n">
        <v>0.0</v>
      </c>
      <c r="AR30" s="10" t="n">
        <v>0.0</v>
      </c>
      <c r="AS30" s="11" t="n">
        <v>0.0</v>
      </c>
      <c r="AT30" s="10" t="n">
        <v>0.0</v>
      </c>
      <c r="AU30" s="11" t="n">
        <v>0.0</v>
      </c>
      <c r="AV30" s="10" t="n">
        <v>0.0</v>
      </c>
      <c r="AW30" s="8" t="n">
        <v>5.0</v>
      </c>
      <c r="AX30" s="9" t="n">
        <v>5.0</v>
      </c>
      <c r="AY30" s="11" t="n">
        <v>0.0</v>
      </c>
      <c r="AZ30" s="10" t="n">
        <v>0.0</v>
      </c>
      <c r="BA30" s="8" t="n">
        <v>138.0</v>
      </c>
      <c r="BB30" s="9" t="n">
        <v>138.0</v>
      </c>
      <c r="BC30" s="8" t="n">
        <v>24.0</v>
      </c>
      <c r="BD30" s="9" t="n">
        <v>24.0</v>
      </c>
      <c r="BE30" s="11" t="n">
        <v>0.0</v>
      </c>
      <c r="BF30" s="10" t="n">
        <v>0.0</v>
      </c>
      <c r="BG30" s="11" t="n">
        <v>0.0</v>
      </c>
      <c r="BH30" s="10" t="n">
        <v>0.0</v>
      </c>
      <c r="BI30" s="11" t="n">
        <v>0.0</v>
      </c>
      <c r="BJ30" s="10" t="n">
        <v>0.0</v>
      </c>
      <c r="BK30" s="11" t="n">
        <v>0.0</v>
      </c>
      <c r="BL30" s="10" t="n">
        <v>0.0</v>
      </c>
      <c r="BM30" s="11" t="n">
        <v>0.0</v>
      </c>
      <c r="BN30" s="10" t="n">
        <v>0.0</v>
      </c>
      <c r="BO30" s="11" t="n">
        <v>0.0</v>
      </c>
      <c r="BP30" s="10" t="n">
        <v>0.0</v>
      </c>
      <c r="BQ30" s="11" t="n">
        <v>0.0</v>
      </c>
      <c r="BR30" s="10" t="n">
        <v>0.0</v>
      </c>
      <c r="BS30" s="11"/>
      <c r="BT30" s="11" t="n">
        <v>0.0</v>
      </c>
      <c r="BU30" s="10"/>
      <c r="BV30" s="10" t="n">
        <v>0.0</v>
      </c>
      <c r="BW30" s="11"/>
      <c r="BX30" s="11" t="n">
        <v>0.0</v>
      </c>
      <c r="BY30" s="10"/>
      <c r="BZ30" s="10" t="n">
        <v>0.0</v>
      </c>
      <c r="CA30" s="11"/>
      <c r="CB30" s="11" t="n">
        <v>0.0</v>
      </c>
      <c r="CC30" s="10"/>
      <c r="CD30" s="10" t="n">
        <v>0.0</v>
      </c>
      <c r="CE30" s="11"/>
      <c r="CF30" s="11" t="n">
        <v>0.0</v>
      </c>
      <c r="CG30" s="10"/>
      <c r="CH30" s="10" t="n">
        <v>0.0</v>
      </c>
    </row>
    <row r="31">
      <c r="A31" s="10"/>
      <c r="B31" s="4" t="s">
        <v>317</v>
      </c>
      <c r="C31" s="4" t="n">
        <v>16.0</v>
      </c>
      <c r="D31" s="4" t="s">
        <v>350</v>
      </c>
      <c r="E31" s="4" t="s">
        <v>351</v>
      </c>
      <c r="F31" s="4" t="s">
        <v>352</v>
      </c>
      <c r="G31" s="4" t="s">
        <v>321</v>
      </c>
      <c r="H31" s="4" t="s">
        <v>322</v>
      </c>
      <c r="I31" s="4" t="s">
        <v>0</v>
      </c>
      <c r="J31" s="10"/>
      <c r="K31" s="12" t="n">
        <v>7.0</v>
      </c>
      <c r="L31" s="10"/>
      <c r="M31" s="10"/>
      <c r="N31" s="10"/>
      <c r="O31" s="10"/>
      <c r="P31" s="10" t="n">
        <f>IF(OR(R31="Российская Федерация",R31="Армения",R31="Белоруссия",R31="Беларуь",R31="Казахстан",R31="Киргизия",R31="Кыргызстан",R31="ДНР",R31="ЛНР"), 1, 0)</f>
        <v>0.0</v>
      </c>
      <c r="Q31" s="10"/>
      <c r="R31" s="10" t="str">
        <f>IFERROR(IF(P31=1, "Российская Федерация", "Не заполнено"),"")</f>
        <v/>
      </c>
      <c r="S31" s="10"/>
      <c r="T31" s="10"/>
      <c r="U31" s="10"/>
      <c r="V31" s="12" t="n">
        <f>SUM(X31,Z31,AB31,AD31,AF31,AH31,AJ31,AL31,AN31,AP31,AR31,AT31,AV31,AX31,AZ31,BB31,BD31,BF31,BH31,BJ31,BL31,BN31,BP31,BR31,BV31,BZ31,CD31,CH31)</f>
        <v>7.0</v>
      </c>
      <c r="W31" s="11" t="n">
        <v>0.0</v>
      </c>
      <c r="X31" s="10" t="n">
        <v>0.0</v>
      </c>
      <c r="Y31" s="11" t="n">
        <v>0.0</v>
      </c>
      <c r="Z31" s="10" t="n">
        <v>0.0</v>
      </c>
      <c r="AA31" s="11" t="n">
        <v>0.0</v>
      </c>
      <c r="AB31" s="10" t="n">
        <v>0.0</v>
      </c>
      <c r="AC31" s="11" t="n">
        <v>0.0</v>
      </c>
      <c r="AD31" s="10" t="n">
        <v>0.0</v>
      </c>
      <c r="AE31" s="11" t="n">
        <v>0.0</v>
      </c>
      <c r="AF31" s="10" t="n">
        <v>0.0</v>
      </c>
      <c r="AG31" s="11" t="n">
        <v>0.0</v>
      </c>
      <c r="AH31" s="10" t="n">
        <v>0.0</v>
      </c>
      <c r="AI31" s="11" t="n">
        <v>0.0</v>
      </c>
      <c r="AJ31" s="10" t="n">
        <v>0.0</v>
      </c>
      <c r="AK31" s="11" t="n">
        <v>0.0</v>
      </c>
      <c r="AL31" s="10" t="n">
        <v>0.0</v>
      </c>
      <c r="AM31" s="11" t="n">
        <v>0.0</v>
      </c>
      <c r="AN31" s="10" t="n">
        <v>0.0</v>
      </c>
      <c r="AO31" s="11" t="n">
        <v>0.0</v>
      </c>
      <c r="AP31" s="10" t="n">
        <v>0.0</v>
      </c>
      <c r="AQ31" s="11" t="n">
        <v>0.0</v>
      </c>
      <c r="AR31" s="10" t="n">
        <v>0.0</v>
      </c>
      <c r="AS31" s="11" t="n">
        <v>0.0</v>
      </c>
      <c r="AT31" s="10" t="n">
        <v>0.0</v>
      </c>
      <c r="AU31" s="11" t="n">
        <v>0.0</v>
      </c>
      <c r="AV31" s="10" t="n">
        <v>0.0</v>
      </c>
      <c r="AW31" s="11" t="n">
        <v>0.0</v>
      </c>
      <c r="AX31" s="10" t="n">
        <v>0.0</v>
      </c>
      <c r="AY31" s="11" t="n">
        <v>0.0</v>
      </c>
      <c r="AZ31" s="10" t="n">
        <v>0.0</v>
      </c>
      <c r="BA31" s="11" t="n">
        <v>0.0</v>
      </c>
      <c r="BB31" s="10" t="n">
        <v>0.0</v>
      </c>
      <c r="BC31" s="8" t="n">
        <v>7.0</v>
      </c>
      <c r="BD31" s="9" t="n">
        <v>7.0</v>
      </c>
      <c r="BE31" s="11" t="n">
        <v>0.0</v>
      </c>
      <c r="BF31" s="10" t="n">
        <v>0.0</v>
      </c>
      <c r="BG31" s="11" t="n">
        <v>0.0</v>
      </c>
      <c r="BH31" s="10" t="n">
        <v>0.0</v>
      </c>
      <c r="BI31" s="11" t="n">
        <v>0.0</v>
      </c>
      <c r="BJ31" s="10" t="n">
        <v>0.0</v>
      </c>
      <c r="BK31" s="11" t="n">
        <v>0.0</v>
      </c>
      <c r="BL31" s="10" t="n">
        <v>0.0</v>
      </c>
      <c r="BM31" s="11" t="n">
        <v>0.0</v>
      </c>
      <c r="BN31" s="10" t="n">
        <v>0.0</v>
      </c>
      <c r="BO31" s="11" t="n">
        <v>0.0</v>
      </c>
      <c r="BP31" s="10" t="n">
        <v>0.0</v>
      </c>
      <c r="BQ31" s="11" t="n">
        <v>0.0</v>
      </c>
      <c r="BR31" s="10" t="n">
        <v>0.0</v>
      </c>
      <c r="BS31" s="11"/>
      <c r="BT31" s="11" t="n">
        <v>0.0</v>
      </c>
      <c r="BU31" s="10"/>
      <c r="BV31" s="10" t="n">
        <v>0.0</v>
      </c>
      <c r="BW31" s="11"/>
      <c r="BX31" s="11" t="n">
        <v>0.0</v>
      </c>
      <c r="BY31" s="10"/>
      <c r="BZ31" s="10" t="n">
        <v>0.0</v>
      </c>
      <c r="CA31" s="11"/>
      <c r="CB31" s="11" t="n">
        <v>0.0</v>
      </c>
      <c r="CC31" s="10"/>
      <c r="CD31" s="10" t="n">
        <v>0.0</v>
      </c>
      <c r="CE31" s="11"/>
      <c r="CF31" s="11" t="n">
        <v>0.0</v>
      </c>
      <c r="CG31" s="10"/>
      <c r="CH31" s="10" t="n">
        <v>0.0</v>
      </c>
    </row>
    <row r="32">
      <c r="A32" s="10"/>
      <c r="B32" s="4" t="s">
        <v>317</v>
      </c>
      <c r="C32" s="4" t="n">
        <v>17.0</v>
      </c>
      <c r="D32" s="4" t="s">
        <v>353</v>
      </c>
      <c r="E32" s="4" t="s">
        <v>354</v>
      </c>
      <c r="F32" s="4" t="s">
        <v>355</v>
      </c>
      <c r="G32" s="4" t="s">
        <v>356</v>
      </c>
      <c r="H32" s="4" t="s">
        <v>322</v>
      </c>
      <c r="I32" s="4" t="s">
        <v>0</v>
      </c>
      <c r="J32" s="10"/>
      <c r="K32" s="12" t="n">
        <v>10.0</v>
      </c>
      <c r="L32" s="10"/>
      <c r="M32" s="10"/>
      <c r="N32" s="10"/>
      <c r="O32" s="10"/>
      <c r="P32" s="10" t="n">
        <f>IF(OR(R32="Российская Федерация",R32="Армения",R32="Белоруссия",R32="Беларуь",R32="Казахстан",R32="Киргизия",R32="Кыргызстан",R32="ДНР",R32="ЛНР"), 1, 0)</f>
        <v>0.0</v>
      </c>
      <c r="Q32" s="10"/>
      <c r="R32" s="10" t="str">
        <f>IFERROR(IF(P32=1, "Российская Федерация", "Не заполнено"),"")</f>
        <v/>
      </c>
      <c r="S32" s="10"/>
      <c r="T32" s="10"/>
      <c r="U32" s="10"/>
      <c r="V32" s="12" t="n">
        <f>SUM(X32,Z32,AB32,AD32,AF32,AH32,AJ32,AL32,AN32,AP32,AR32,AT32,AV32,AX32,AZ32,BB32,BD32,BF32,BH32,BJ32,BL32,BN32,BP32,BR32,BV32,BZ32,CD32,CH32)</f>
        <v>10.0</v>
      </c>
      <c r="W32" s="11" t="n">
        <v>0.0</v>
      </c>
      <c r="X32" s="10" t="n">
        <v>0.0</v>
      </c>
      <c r="Y32" s="11" t="n">
        <v>0.0</v>
      </c>
      <c r="Z32" s="10" t="n">
        <v>0.0</v>
      </c>
      <c r="AA32" s="11" t="n">
        <v>0.0</v>
      </c>
      <c r="AB32" s="10" t="n">
        <v>0.0</v>
      </c>
      <c r="AC32" s="11" t="n">
        <v>0.0</v>
      </c>
      <c r="AD32" s="10" t="n">
        <v>0.0</v>
      </c>
      <c r="AE32" s="11" t="n">
        <v>0.0</v>
      </c>
      <c r="AF32" s="10" t="n">
        <v>0.0</v>
      </c>
      <c r="AG32" s="11" t="n">
        <v>0.0</v>
      </c>
      <c r="AH32" s="10" t="n">
        <v>0.0</v>
      </c>
      <c r="AI32" s="11" t="n">
        <v>0.0</v>
      </c>
      <c r="AJ32" s="10" t="n">
        <v>0.0</v>
      </c>
      <c r="AK32" s="11" t="n">
        <v>0.0</v>
      </c>
      <c r="AL32" s="10" t="n">
        <v>0.0</v>
      </c>
      <c r="AM32" s="11" t="n">
        <v>0.0</v>
      </c>
      <c r="AN32" s="10" t="n">
        <v>0.0</v>
      </c>
      <c r="AO32" s="11" t="n">
        <v>0.0</v>
      </c>
      <c r="AP32" s="10" t="n">
        <v>0.0</v>
      </c>
      <c r="AQ32" s="11" t="n">
        <v>0.0</v>
      </c>
      <c r="AR32" s="10" t="n">
        <v>0.0</v>
      </c>
      <c r="AS32" s="11" t="n">
        <v>0.0</v>
      </c>
      <c r="AT32" s="10" t="n">
        <v>0.0</v>
      </c>
      <c r="AU32" s="11" t="n">
        <v>0.0</v>
      </c>
      <c r="AV32" s="10" t="n">
        <v>0.0</v>
      </c>
      <c r="AW32" s="8" t="n">
        <v>10.0</v>
      </c>
      <c r="AX32" s="9" t="n">
        <v>10.0</v>
      </c>
      <c r="AY32" s="11" t="n">
        <v>0.0</v>
      </c>
      <c r="AZ32" s="10" t="n">
        <v>0.0</v>
      </c>
      <c r="BA32" s="11" t="n">
        <v>0.0</v>
      </c>
      <c r="BB32" s="10" t="n">
        <v>0.0</v>
      </c>
      <c r="BC32" s="11" t="n">
        <v>0.0</v>
      </c>
      <c r="BD32" s="10" t="n">
        <v>0.0</v>
      </c>
      <c r="BE32" s="11" t="n">
        <v>0.0</v>
      </c>
      <c r="BF32" s="10" t="n">
        <v>0.0</v>
      </c>
      <c r="BG32" s="11" t="n">
        <v>0.0</v>
      </c>
      <c r="BH32" s="10" t="n">
        <v>0.0</v>
      </c>
      <c r="BI32" s="11" t="n">
        <v>0.0</v>
      </c>
      <c r="BJ32" s="10" t="n">
        <v>0.0</v>
      </c>
      <c r="BK32" s="11" t="n">
        <v>0.0</v>
      </c>
      <c r="BL32" s="10" t="n">
        <v>0.0</v>
      </c>
      <c r="BM32" s="11" t="n">
        <v>0.0</v>
      </c>
      <c r="BN32" s="10" t="n">
        <v>0.0</v>
      </c>
      <c r="BO32" s="11" t="n">
        <v>0.0</v>
      </c>
      <c r="BP32" s="10" t="n">
        <v>0.0</v>
      </c>
      <c r="BQ32" s="11" t="n">
        <v>0.0</v>
      </c>
      <c r="BR32" s="10" t="n">
        <v>0.0</v>
      </c>
      <c r="BS32" s="11"/>
      <c r="BT32" s="11" t="n">
        <v>0.0</v>
      </c>
      <c r="BU32" s="10"/>
      <c r="BV32" s="10" t="n">
        <v>0.0</v>
      </c>
      <c r="BW32" s="11"/>
      <c r="BX32" s="11" t="n">
        <v>0.0</v>
      </c>
      <c r="BY32" s="10"/>
      <c r="BZ32" s="10" t="n">
        <v>0.0</v>
      </c>
      <c r="CA32" s="11"/>
      <c r="CB32" s="11" t="n">
        <v>0.0</v>
      </c>
      <c r="CC32" s="10"/>
      <c r="CD32" s="10" t="n">
        <v>0.0</v>
      </c>
      <c r="CE32" s="11"/>
      <c r="CF32" s="11" t="n">
        <v>0.0</v>
      </c>
      <c r="CG32" s="10"/>
      <c r="CH32" s="10" t="n">
        <v>0.0</v>
      </c>
    </row>
    <row r="33">
      <c r="A33" s="10"/>
      <c r="B33" s="4" t="s">
        <v>317</v>
      </c>
      <c r="C33" s="4" t="n">
        <v>18.0</v>
      </c>
      <c r="D33" s="4" t="s">
        <v>353</v>
      </c>
      <c r="E33" s="4" t="s">
        <v>354</v>
      </c>
      <c r="F33" s="4" t="s">
        <v>355</v>
      </c>
      <c r="G33" s="4" t="s">
        <v>356</v>
      </c>
      <c r="H33" s="4" t="s">
        <v>322</v>
      </c>
      <c r="I33" s="4" t="s">
        <v>0</v>
      </c>
      <c r="J33" s="10"/>
      <c r="K33" s="12" t="n">
        <v>10.0</v>
      </c>
      <c r="L33" s="10"/>
      <c r="M33" s="10"/>
      <c r="N33" s="10"/>
      <c r="O33" s="10"/>
      <c r="P33" s="10" t="n">
        <f>IF(OR(R33="Российская Федерация",R33="Армения",R33="Белоруссия",R33="Беларуь",R33="Казахстан",R33="Киргизия",R33="Кыргызстан",R33="ДНР",R33="ЛНР"), 1, 0)</f>
        <v>0.0</v>
      </c>
      <c r="Q33" s="10"/>
      <c r="R33" s="10" t="str">
        <f>IFERROR(IF(P33=1, "Российская Федерация", "Не заполнено"),"")</f>
        <v/>
      </c>
      <c r="S33" s="10"/>
      <c r="T33" s="10"/>
      <c r="U33" s="10"/>
      <c r="V33" s="12" t="n">
        <f>SUM(X33,Z33,AB33,AD33,AF33,AH33,AJ33,AL33,AN33,AP33,AR33,AT33,AV33,AX33,AZ33,BB33,BD33,BF33,BH33,BJ33,BL33,BN33,BP33,BR33,BV33,BZ33,CD33,CH33)</f>
        <v>10.0</v>
      </c>
      <c r="W33" s="11" t="n">
        <v>0.0</v>
      </c>
      <c r="X33" s="10" t="n">
        <v>0.0</v>
      </c>
      <c r="Y33" s="11" t="n">
        <v>0.0</v>
      </c>
      <c r="Z33" s="10" t="n">
        <v>0.0</v>
      </c>
      <c r="AA33" s="11" t="n">
        <v>0.0</v>
      </c>
      <c r="AB33" s="10" t="n">
        <v>0.0</v>
      </c>
      <c r="AC33" s="11" t="n">
        <v>0.0</v>
      </c>
      <c r="AD33" s="10" t="n">
        <v>0.0</v>
      </c>
      <c r="AE33" s="11" t="n">
        <v>0.0</v>
      </c>
      <c r="AF33" s="10" t="n">
        <v>0.0</v>
      </c>
      <c r="AG33" s="11" t="n">
        <v>0.0</v>
      </c>
      <c r="AH33" s="10" t="n">
        <v>0.0</v>
      </c>
      <c r="AI33" s="11" t="n">
        <v>0.0</v>
      </c>
      <c r="AJ33" s="10" t="n">
        <v>0.0</v>
      </c>
      <c r="AK33" s="11" t="n">
        <v>0.0</v>
      </c>
      <c r="AL33" s="10" t="n">
        <v>0.0</v>
      </c>
      <c r="AM33" s="11" t="n">
        <v>0.0</v>
      </c>
      <c r="AN33" s="10" t="n">
        <v>0.0</v>
      </c>
      <c r="AO33" s="11" t="n">
        <v>0.0</v>
      </c>
      <c r="AP33" s="10" t="n">
        <v>0.0</v>
      </c>
      <c r="AQ33" s="11" t="n">
        <v>0.0</v>
      </c>
      <c r="AR33" s="10" t="n">
        <v>0.0</v>
      </c>
      <c r="AS33" s="11" t="n">
        <v>0.0</v>
      </c>
      <c r="AT33" s="10" t="n">
        <v>0.0</v>
      </c>
      <c r="AU33" s="11" t="n">
        <v>0.0</v>
      </c>
      <c r="AV33" s="10" t="n">
        <v>0.0</v>
      </c>
      <c r="AW33" s="11" t="n">
        <v>0.0</v>
      </c>
      <c r="AX33" s="10" t="n">
        <v>0.0</v>
      </c>
      <c r="AY33" s="8" t="n">
        <v>10.0</v>
      </c>
      <c r="AZ33" s="9" t="n">
        <v>10.0</v>
      </c>
      <c r="BA33" s="11" t="n">
        <v>0.0</v>
      </c>
      <c r="BB33" s="10" t="n">
        <v>0.0</v>
      </c>
      <c r="BC33" s="11" t="n">
        <v>0.0</v>
      </c>
      <c r="BD33" s="10" t="n">
        <v>0.0</v>
      </c>
      <c r="BE33" s="11" t="n">
        <v>0.0</v>
      </c>
      <c r="BF33" s="10" t="n">
        <v>0.0</v>
      </c>
      <c r="BG33" s="11" t="n">
        <v>0.0</v>
      </c>
      <c r="BH33" s="10" t="n">
        <v>0.0</v>
      </c>
      <c r="BI33" s="11" t="n">
        <v>0.0</v>
      </c>
      <c r="BJ33" s="10" t="n">
        <v>0.0</v>
      </c>
      <c r="BK33" s="11" t="n">
        <v>0.0</v>
      </c>
      <c r="BL33" s="10" t="n">
        <v>0.0</v>
      </c>
      <c r="BM33" s="11" t="n">
        <v>0.0</v>
      </c>
      <c r="BN33" s="10" t="n">
        <v>0.0</v>
      </c>
      <c r="BO33" s="11" t="n">
        <v>0.0</v>
      </c>
      <c r="BP33" s="10" t="n">
        <v>0.0</v>
      </c>
      <c r="BQ33" s="11" t="n">
        <v>0.0</v>
      </c>
      <c r="BR33" s="10" t="n">
        <v>0.0</v>
      </c>
      <c r="BS33" s="11"/>
      <c r="BT33" s="11" t="n">
        <v>0.0</v>
      </c>
      <c r="BU33" s="10"/>
      <c r="BV33" s="10" t="n">
        <v>0.0</v>
      </c>
      <c r="BW33" s="11"/>
      <c r="BX33" s="11" t="n">
        <v>0.0</v>
      </c>
      <c r="BY33" s="10"/>
      <c r="BZ33" s="10" t="n">
        <v>0.0</v>
      </c>
      <c r="CA33" s="11"/>
      <c r="CB33" s="11" t="n">
        <v>0.0</v>
      </c>
      <c r="CC33" s="10"/>
      <c r="CD33" s="10" t="n">
        <v>0.0</v>
      </c>
      <c r="CE33" s="11"/>
      <c r="CF33" s="11" t="n">
        <v>0.0</v>
      </c>
      <c r="CG33" s="10"/>
      <c r="CH33" s="10" t="n">
        <v>0.0</v>
      </c>
    </row>
    <row r="34" ht="15.0" customHeight="true">
      <c r="A34" s="1"/>
    </row>
    <row r="35" ht="0.05" customHeight="true">
      <c r="B35" t="s" s="88">
        <v>357</v>
      </c>
    </row>
    <row r="36" ht="0.05" customHeight="true">
      <c r="C36" t="s" s="89">
        <v>358</v>
      </c>
      <c r="D36" t="s" s="90">
        <v>359</v>
      </c>
      <c r="E36" s="91"/>
      <c r="F36" s="91"/>
      <c r="G36" s="92"/>
      <c r="H36" t="s" s="90">
        <v>360</v>
      </c>
      <c r="I36" s="91"/>
      <c r="J36" s="91"/>
      <c r="K36" s="91"/>
      <c r="L36" s="91"/>
      <c r="M36" s="92"/>
    </row>
    <row r="37" ht="20.25" customHeight="true">
      <c r="C37" t="n" s="93">
        <v>1.0</v>
      </c>
      <c r="D37" t="s" s="94">
        <v>361</v>
      </c>
      <c r="E37" s="95"/>
      <c r="F37" s="95"/>
      <c r="G37" s="96"/>
      <c r="H37" s="97"/>
      <c r="I37" s="98"/>
      <c r="J37" s="98"/>
      <c r="K37" s="98"/>
      <c r="L37" s="98"/>
      <c r="M37" s="99"/>
    </row>
    <row r="38" ht="18.75" customHeight="true">
      <c r="C38" t="n" s="93">
        <v>2.0</v>
      </c>
      <c r="D38" t="s" s="94">
        <v>362</v>
      </c>
      <c r="E38" s="95"/>
      <c r="F38" s="95"/>
      <c r="G38" s="96"/>
      <c r="H38" s="97"/>
      <c r="I38" s="98"/>
      <c r="J38" s="98"/>
      <c r="K38" s="98"/>
      <c r="L38" s="98"/>
      <c r="M38" s="99"/>
    </row>
    <row r="39" ht="35.1" customHeight="true">
      <c r="C39" t="n" s="93">
        <v>3.0</v>
      </c>
      <c r="D39" t="s" s="94">
        <v>363</v>
      </c>
      <c r="E39" s="95"/>
      <c r="F39" s="95"/>
      <c r="G39" s="96"/>
      <c r="H39" t="s" s="97">
        <v>256</v>
      </c>
      <c r="I39" s="98"/>
      <c r="J39" s="98"/>
      <c r="K39" s="98"/>
      <c r="L39" s="98"/>
      <c r="M39" s="99"/>
    </row>
    <row r="40" ht="50.1" customHeight="true">
      <c r="C40" t="n" s="93">
        <v>4.0</v>
      </c>
      <c r="D40" t="s" s="94">
        <v>364</v>
      </c>
      <c r="E40" s="95"/>
      <c r="F40" s="95"/>
      <c r="G40" s="96"/>
      <c r="H40" t="s" s="97">
        <v>256</v>
      </c>
      <c r="I40" s="98"/>
      <c r="J40" s="98"/>
      <c r="K40" s="98"/>
      <c r="L40" s="98"/>
      <c r="M40" s="99"/>
    </row>
    <row r="41" ht="35.1" customHeight="true">
      <c r="C41" t="n" s="93">
        <v>5.0</v>
      </c>
      <c r="D41" t="s" s="94">
        <v>365</v>
      </c>
      <c r="E41" s="95"/>
      <c r="F41" s="95"/>
      <c r="G41" s="96"/>
      <c r="H41" t="s" s="97">
        <v>256</v>
      </c>
      <c r="I41" s="98"/>
      <c r="J41" s="98"/>
      <c r="K41" s="98"/>
      <c r="L41" s="98"/>
      <c r="M41" s="99"/>
    </row>
    <row r="42" ht="12.75" customHeight="true">
      <c r="C42" t="n" s="93">
        <v>6.0</v>
      </c>
      <c r="D42" t="s" s="97">
        <v>256</v>
      </c>
      <c r="E42" s="98"/>
      <c r="F42" s="98"/>
      <c r="G42" s="99"/>
      <c r="H42" t="s" s="97">
        <v>256</v>
      </c>
      <c r="I42" s="98"/>
      <c r="J42" s="98"/>
      <c r="K42" s="98"/>
      <c r="L42" s="98"/>
      <c r="M42" s="99"/>
    </row>
    <row r="43" ht="12.75" customHeight="true">
      <c r="C43" t="n" s="93">
        <v>7.0</v>
      </c>
      <c r="D43" t="s" s="97">
        <v>256</v>
      </c>
      <c r="E43" s="98"/>
      <c r="F43" s="98"/>
      <c r="G43" s="99"/>
      <c r="H43" t="s" s="97">
        <v>256</v>
      </c>
      <c r="I43" s="98"/>
      <c r="J43" s="98"/>
      <c r="K43" s="98"/>
      <c r="L43" s="98"/>
      <c r="M43" s="99"/>
    </row>
    <row r="44" ht="12.75" customHeight="true">
      <c r="C44" t="n" s="93">
        <v>8.0</v>
      </c>
      <c r="D44" t="s" s="97">
        <v>256</v>
      </c>
      <c r="E44" s="98"/>
      <c r="F44" s="98"/>
      <c r="G44" s="99"/>
      <c r="H44" t="s" s="97">
        <v>256</v>
      </c>
      <c r="I44" s="98"/>
      <c r="J44" s="98"/>
      <c r="K44" s="98"/>
      <c r="L44" s="98"/>
      <c r="M44" s="99"/>
    </row>
    <row r="45" ht="12.75" customHeight="true">
      <c r="C45" t="n" s="93">
        <v>8.0</v>
      </c>
      <c r="D45" t="s" s="97">
        <v>256</v>
      </c>
      <c r="E45" s="98"/>
      <c r="F45" s="98"/>
      <c r="G45" s="99"/>
      <c r="H45" t="s" s="97">
        <v>256</v>
      </c>
      <c r="I45" s="98"/>
      <c r="J45" s="98"/>
      <c r="K45" s="98"/>
      <c r="L45" s="98"/>
      <c r="M45" s="99"/>
    </row>
    <row r="46" ht="12.75" customHeight="true">
      <c r="C46" t="n" s="93">
        <v>10.0</v>
      </c>
      <c r="D46" t="s" s="97">
        <v>256</v>
      </c>
      <c r="E46" s="98"/>
      <c r="F46" s="98"/>
      <c r="G46" s="99"/>
      <c r="H46" t="s" s="97">
        <v>256</v>
      </c>
      <c r="I46" s="98"/>
      <c r="J46" s="98"/>
      <c r="K46" s="98"/>
      <c r="L46" s="98"/>
      <c r="M46" s="99"/>
    </row>
    <row r="47" ht="12.75" customHeight="true">
      <c r="C47" t="n" s="93">
        <v>11.0</v>
      </c>
      <c r="D47" t="s" s="97">
        <v>256</v>
      </c>
      <c r="E47" s="98"/>
      <c r="F47" s="98"/>
      <c r="G47" s="99"/>
      <c r="H47" t="s" s="97">
        <v>256</v>
      </c>
      <c r="I47" s="98"/>
      <c r="J47" s="98"/>
      <c r="K47" s="98"/>
      <c r="L47" s="98"/>
      <c r="M47" s="99"/>
    </row>
    <row r="48" ht="12.75" customHeight="true">
      <c r="C48" t="n" s="93">
        <v>12.0</v>
      </c>
      <c r="D48" t="s" s="97">
        <v>256</v>
      </c>
      <c r="E48" s="98"/>
      <c r="F48" s="98"/>
      <c r="G48" s="99"/>
      <c r="H48" t="s" s="97">
        <v>256</v>
      </c>
      <c r="I48" s="98"/>
      <c r="J48" s="98"/>
      <c r="K48" s="98"/>
      <c r="L48" s="98"/>
      <c r="M48" s="99"/>
    </row>
    <row r="49" ht="12.75" customHeight="true">
      <c r="C49" t="n" s="93">
        <v>13.0</v>
      </c>
      <c r="D49" t="s" s="97">
        <v>256</v>
      </c>
      <c r="E49" s="98"/>
      <c r="F49" s="98"/>
      <c r="G49" s="99"/>
      <c r="H49" t="s" s="97">
        <v>256</v>
      </c>
      <c r="I49" s="98"/>
      <c r="J49" s="98"/>
      <c r="K49" s="98"/>
      <c r="L49" s="98"/>
      <c r="M49" s="99"/>
    </row>
    <row r="50" ht="12.75" customHeight="true">
      <c r="C50" t="n" s="93">
        <v>14.0</v>
      </c>
      <c r="D50" t="s" s="97">
        <v>256</v>
      </c>
      <c r="E50" s="98"/>
      <c r="F50" s="98"/>
      <c r="G50" s="99"/>
      <c r="H50" t="s" s="97">
        <v>256</v>
      </c>
      <c r="I50" s="98"/>
      <c r="J50" s="98"/>
      <c r="K50" s="98"/>
      <c r="L50" s="98"/>
      <c r="M50" s="99"/>
    </row>
    <row r="51" ht="12.75" customHeight="true">
      <c r="C51" t="n" s="93">
        <v>15.0</v>
      </c>
      <c r="D51" t="s" s="97">
        <v>256</v>
      </c>
      <c r="E51" s="98"/>
      <c r="F51" s="98"/>
      <c r="G51" s="99"/>
      <c r="H51" t="s" s="97">
        <v>256</v>
      </c>
      <c r="I51" s="98"/>
      <c r="J51" s="98"/>
      <c r="K51" s="98"/>
      <c r="L51" s="98"/>
      <c r="M51" s="99"/>
    </row>
    <row r="52"/>
    <row r="53" ht="15.0" customHeight="true">
      <c r="B53" t="s" s="100">
        <v>366</v>
      </c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2"/>
    </row>
    <row r="54" ht="30.0" customHeight="true">
      <c r="B54" t="s" s="103">
        <v>367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2"/>
    </row>
    <row r="55" ht="30.0" customHeight="true">
      <c r="B55" t="s" s="103">
        <v>368</v>
      </c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2"/>
    </row>
    <row r="56" ht="15.75" customHeight="true">
      <c r="B56" t="s" s="103">
        <v>369</v>
      </c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5"/>
    </row>
    <row r="57" ht="15.75" customHeight="true">
      <c r="B57" t="s" s="103">
        <v>370</v>
      </c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2"/>
    </row>
    <row r="58" ht="15.75" customHeight="true">
      <c r="B58" t="s" s="103">
        <v>371</v>
      </c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2"/>
    </row>
    <row r="59" ht="15.0" customHeight="true">
      <c r="B59" t="s" s="103">
        <v>372</v>
      </c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6"/>
    </row>
    <row r="60" ht="35.25" customHeight="true">
      <c r="B60" t="s" s="103">
        <v>373</v>
      </c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6"/>
    </row>
    <row r="61" ht="50.25" customHeight="true">
      <c r="B61" t="s" s="107">
        <v>374</v>
      </c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9"/>
    </row>
    <row r="62" ht="37.5" customHeight="true">
      <c r="B62" t="s" s="103">
        <v>375</v>
      </c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9"/>
    </row>
    <row r="63" ht="34.5" customHeight="true">
      <c r="B63" t="s" s="107">
        <v>376</v>
      </c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9"/>
    </row>
    <row r="64" ht="15.0" customHeight="true">
      <c r="B64" t="s" s="103">
        <v>377</v>
      </c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</row>
  </sheetData>
  <sheetProtection autoFilter="false" sort="false" password="CDB0" sheet="true" scenarios="true" objects="true"/>
  <autoFilter ref="B15:R33"/>
  <mergeCells count="115">
    <mergeCell ref="B59:P59"/>
    <mergeCell ref="B60:P60"/>
    <mergeCell ref="B61:P61"/>
    <mergeCell ref="B62:P62"/>
    <mergeCell ref="B63:P63"/>
    <mergeCell ref="B64:P64"/>
    <mergeCell ref="B53:P53"/>
    <mergeCell ref="B54:P54"/>
    <mergeCell ref="B55:P55"/>
    <mergeCell ref="B56:P56"/>
    <mergeCell ref="B57:P57"/>
    <mergeCell ref="B58:P58"/>
    <mergeCell ref="D49:G49"/>
    <mergeCell ref="H49:M49"/>
    <mergeCell ref="D50:G50"/>
    <mergeCell ref="H50:M50"/>
    <mergeCell ref="D51:G51"/>
    <mergeCell ref="H51:M51"/>
    <mergeCell ref="D46:G46"/>
    <mergeCell ref="H46:M46"/>
    <mergeCell ref="D47:G47"/>
    <mergeCell ref="H47:M47"/>
    <mergeCell ref="D48:G48"/>
    <mergeCell ref="H48:M48"/>
    <mergeCell ref="D43:G43"/>
    <mergeCell ref="H43:M43"/>
    <mergeCell ref="D44:G44"/>
    <mergeCell ref="H44:M44"/>
    <mergeCell ref="D45:G45"/>
    <mergeCell ref="H45:M45"/>
    <mergeCell ref="D40:G40"/>
    <mergeCell ref="H40:M40"/>
    <mergeCell ref="D41:G41"/>
    <mergeCell ref="H41:M41"/>
    <mergeCell ref="D42:G42"/>
    <mergeCell ref="H42:M42"/>
    <mergeCell ref="D38:G38"/>
    <mergeCell ref="H38:M38"/>
    <mergeCell ref="D39:G39"/>
    <mergeCell ref="H39:M39"/>
    <mergeCell ref="BO13:BP13"/>
    <mergeCell ref="BQ13:BR13"/>
    <mergeCell ref="D36:G36"/>
    <mergeCell ref="H36:M36"/>
    <mergeCell ref="BC13:BD13"/>
    <mergeCell ref="BE13:BF13"/>
    <mergeCell ref="BG13:BH13"/>
    <mergeCell ref="BI13:BJ13"/>
    <mergeCell ref="BK13:BL13"/>
    <mergeCell ref="BM13:BN13"/>
    <mergeCell ref="AQ13:AR13"/>
    <mergeCell ref="AS13:AT13"/>
    <mergeCell ref="AU13:AV13"/>
    <mergeCell ref="AW13:AX13"/>
    <mergeCell ref="AY13:AZ13"/>
    <mergeCell ref="BA13:BB13"/>
    <mergeCell ref="AI13:AJ13"/>
    <mergeCell ref="AK13:AL13"/>
    <mergeCell ref="AM13:AN13"/>
    <mergeCell ref="AO13:AP13"/>
    <mergeCell ref="BS12:BV13"/>
    <mergeCell ref="BW12:BZ13"/>
    <mergeCell ref="CA12:CD13"/>
    <mergeCell ref="D37:G37"/>
    <mergeCell ref="H37:M37"/>
    <mergeCell ref="AC13:AD13"/>
    <mergeCell ref="L12:L14"/>
    <mergeCell ref="M12:N12"/>
    <mergeCell ref="O12:O14"/>
    <mergeCell ref="P12:P14"/>
    <mergeCell ref="Q12:Q14"/>
    <mergeCell ref="R12:R14"/>
    <mergeCell ref="AE13:AF13"/>
    <mergeCell ref="AG13:AH13"/>
    <mergeCell ref="A12:A14"/>
    <mergeCell ref="B12:B14"/>
    <mergeCell ref="C12:C14"/>
    <mergeCell ref="D12:G12"/>
    <mergeCell ref="H12:H14"/>
    <mergeCell ref="I12:I14"/>
    <mergeCell ref="J12:J14"/>
    <mergeCell ref="K12:K14"/>
    <mergeCell ref="CE12:CH13"/>
    <mergeCell ref="D13:D14"/>
    <mergeCell ref="E13:E14"/>
    <mergeCell ref="F13:F14"/>
    <mergeCell ref="G13:G14"/>
    <mergeCell ref="M13:M14"/>
    <mergeCell ref="N13:N14"/>
    <mergeCell ref="S12:S14"/>
    <mergeCell ref="T12:T14"/>
    <mergeCell ref="U12:U14"/>
    <mergeCell ref="V12:V14"/>
    <mergeCell ref="W12:AT12"/>
    <mergeCell ref="AU12:BR12"/>
    <mergeCell ref="W13:X13"/>
    <mergeCell ref="Y13:Z13"/>
    <mergeCell ref="AA13:AB13"/>
    <mergeCell ref="D7:E7"/>
    <mergeCell ref="D8:E8"/>
    <mergeCell ref="D9:E9"/>
    <mergeCell ref="B2:L2"/>
    <mergeCell ref="D3:E3"/>
    <mergeCell ref="B4:C10"/>
    <mergeCell ref="D4:E4"/>
    <mergeCell ref="D5:E5"/>
    <mergeCell ref="D6:E6"/>
    <mergeCell ref="F3:K3"/>
    <mergeCell ref="F4:K4"/>
    <mergeCell ref="F5:K5"/>
    <mergeCell ref="F7:K7"/>
    <mergeCell ref="F8:K8"/>
    <mergeCell ref="F9:K9"/>
    <mergeCell ref="D10:E10"/>
    <mergeCell ref="F10:L10"/>
  </mergeCells>
  <dataValidations count="18">
    <dataValidation type="list" sqref="R1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3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4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5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6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7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29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0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1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2" allowBlank="true" errorStyle="stop" promptTitle="" prompt="Выберите страну из списка" showInputMessage="true" showDropDown="false" showErrorMessage="true">
      <formula1>countries</formula1>
    </dataValidation>
    <dataValidation type="list" sqref="R33" allowBlank="true" errorStyle="stop" promptTitle="" prompt="Выберите страну из списка" showInputMessage="true" showDropDown="false" showErrorMessage="true">
      <formula1>countries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2026-09-24T11:30:38Z</dcterms:created>
  <dc:creator>Apache POI</dc:creator>
</cp:coreProperties>
</file>