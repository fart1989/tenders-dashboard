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Шаблон" r:id="rId3" sheetId="1"/>
    <sheet name="data" r:id="rId4" sheetId="2" state="hidden"/>
  </sheets>
  <definedNames>
    <definedName name="countries">data!$A$1:$A$256</definedName>
    <definedName name="yes_no">data!$B$1:$B$2</definedName>
    <definedName name="rep">data!$C$1:$C$2</definedName>
    <definedName name="_xlnm._FilterDatabase" localSheetId="0" hidden="true">Шаблон!$B$15:$R$44</definedName>
  </definedNames>
</workbook>
</file>

<file path=xl/sharedStrings.xml><?xml version="1.0" encoding="utf-8"?>
<sst xmlns="http://schemas.openxmlformats.org/spreadsheetml/2006/main" count="821" uniqueCount="418">
  <si>
    <t>Российская Федерация</t>
  </si>
  <si>
    <t>Андорра</t>
  </si>
  <si>
    <t>Объединенные Арабские Эмираты</t>
  </si>
  <si>
    <t>Афганистан</t>
  </si>
  <si>
    <t>Армения</t>
  </si>
  <si>
    <t>Ангола</t>
  </si>
  <si>
    <t>Аргентина</t>
  </si>
  <si>
    <t>Австрия</t>
  </si>
  <si>
    <t>Австралия</t>
  </si>
  <si>
    <t>Азербайджан</t>
  </si>
  <si>
    <t>Босния и Герцеговина</t>
  </si>
  <si>
    <t>Барбадос</t>
  </si>
  <si>
    <t>Бангладеш</t>
  </si>
  <si>
    <t>Бельгия</t>
  </si>
  <si>
    <t>Болгария</t>
  </si>
  <si>
    <t>Бразилия</t>
  </si>
  <si>
    <t>Белоруссия</t>
  </si>
  <si>
    <t>Канада</t>
  </si>
  <si>
    <t>Швейцария</t>
  </si>
  <si>
    <t>Чили</t>
  </si>
  <si>
    <t>Камерун</t>
  </si>
  <si>
    <t>Китай</t>
  </si>
  <si>
    <t>Куба</t>
  </si>
  <si>
    <t>Кипр</t>
  </si>
  <si>
    <t>Чешская Республика</t>
  </si>
  <si>
    <t>Германия</t>
  </si>
  <si>
    <t>Дания</t>
  </si>
  <si>
    <t>Доминиканская Республика</t>
  </si>
  <si>
    <t>Алжир</t>
  </si>
  <si>
    <t>Эквадор</t>
  </si>
  <si>
    <t>Эстония</t>
  </si>
  <si>
    <t>Египет</t>
  </si>
  <si>
    <t>Испания</t>
  </si>
  <si>
    <t>Финляндия</t>
  </si>
  <si>
    <t>Франция</t>
  </si>
  <si>
    <t>Великобритания</t>
  </si>
  <si>
    <t>Грузия</t>
  </si>
  <si>
    <t>Греция</t>
  </si>
  <si>
    <t>Гонконг</t>
  </si>
  <si>
    <t>Хорватия</t>
  </si>
  <si>
    <t>Венгрия</t>
  </si>
  <si>
    <t>Индонезия</t>
  </si>
  <si>
    <t>Республика Ирландия</t>
  </si>
  <si>
    <t>Израиль</t>
  </si>
  <si>
    <t>Индия</t>
  </si>
  <si>
    <t>Ирак</t>
  </si>
  <si>
    <t>Иран (Исламская Республика)</t>
  </si>
  <si>
    <t>Исландия</t>
  </si>
  <si>
    <t>Италия</t>
  </si>
  <si>
    <t>Иордания</t>
  </si>
  <si>
    <t>Япония</t>
  </si>
  <si>
    <t>Киргизия</t>
  </si>
  <si>
    <t>Корея, Республика</t>
  </si>
  <si>
    <t>Кувейт</t>
  </si>
  <si>
    <t>Казахстан</t>
  </si>
  <si>
    <t>Ливан</t>
  </si>
  <si>
    <t>Лихтенштейн</t>
  </si>
  <si>
    <t>Шри-Ланка</t>
  </si>
  <si>
    <t>Люксембург</t>
  </si>
  <si>
    <t>Латвия</t>
  </si>
  <si>
    <t>Литва</t>
  </si>
  <si>
    <t>Ливийская Арабская Джамахирия</t>
  </si>
  <si>
    <t>Марокко</t>
  </si>
  <si>
    <t>Молдова, Республика</t>
  </si>
  <si>
    <t>Македония</t>
  </si>
  <si>
    <t>Монголия</t>
  </si>
  <si>
    <t>Мексика</t>
  </si>
  <si>
    <t>Малайзия</t>
  </si>
  <si>
    <t>Нидерланды</t>
  </si>
  <si>
    <t>Норвегия</t>
  </si>
  <si>
    <t>Новая Зеландия</t>
  </si>
  <si>
    <t>Филиппины</t>
  </si>
  <si>
    <t>Пакистан</t>
  </si>
  <si>
    <t>Польша</t>
  </si>
  <si>
    <t>Португалия</t>
  </si>
  <si>
    <t>Румыния</t>
  </si>
  <si>
    <t>Саудовская Аравия</t>
  </si>
  <si>
    <t>Швеция</t>
  </si>
  <si>
    <t>Сингапур</t>
  </si>
  <si>
    <t>Словения</t>
  </si>
  <si>
    <t>Словакия</t>
  </si>
  <si>
    <t>Сирийская Арабская Республика</t>
  </si>
  <si>
    <t>Таиланд</t>
  </si>
  <si>
    <t>Кения</t>
  </si>
  <si>
    <t>Княжество Монако</t>
  </si>
  <si>
    <t>Таджикистан</t>
  </si>
  <si>
    <t>Туркменистан</t>
  </si>
  <si>
    <t>Тунис</t>
  </si>
  <si>
    <t>Турция</t>
  </si>
  <si>
    <t>Тайвань, Республика Китай</t>
  </si>
  <si>
    <t>Украина</t>
  </si>
  <si>
    <t>США</t>
  </si>
  <si>
    <t>Узбекистан</t>
  </si>
  <si>
    <t>Венесуэла</t>
  </si>
  <si>
    <t>Вьетнам</t>
  </si>
  <si>
    <t>ЮАР</t>
  </si>
  <si>
    <t>Сербия</t>
  </si>
  <si>
    <t>Гамбия</t>
  </si>
  <si>
    <t>Гвинея</t>
  </si>
  <si>
    <t>Гваделупа</t>
  </si>
  <si>
    <t>Экваториальная Гвинея</t>
  </si>
  <si>
    <t>о. Южная Георгия и Южные Сандвичевы о-ва</t>
  </si>
  <si>
    <t>Гватемала</t>
  </si>
  <si>
    <t>Гуам</t>
  </si>
  <si>
    <t>Гвинея-Биссау</t>
  </si>
  <si>
    <t>Гайана</t>
  </si>
  <si>
    <t>о-ва Херд и Мак-Дональд</t>
  </si>
  <si>
    <t>Гондурас</t>
  </si>
  <si>
    <t>Гаити</t>
  </si>
  <si>
    <t>Британская Территория Индийского Океана</t>
  </si>
  <si>
    <t>Ямайка</t>
  </si>
  <si>
    <t>Камбоджа</t>
  </si>
  <si>
    <t>Кирибати</t>
  </si>
  <si>
    <t>Коморы</t>
  </si>
  <si>
    <t>Сент-Китс и Невис</t>
  </si>
  <si>
    <t>Корея, Демократическая Народная Республика</t>
  </si>
  <si>
    <t>Острова Кайман</t>
  </si>
  <si>
    <t>Лаосская НДР</t>
  </si>
  <si>
    <t>Сент-Люсия</t>
  </si>
  <si>
    <t>Либерия</t>
  </si>
  <si>
    <t>Лесото</t>
  </si>
  <si>
    <t>Мадагаскар</t>
  </si>
  <si>
    <t>Маршалловы острова</t>
  </si>
  <si>
    <t>Мали</t>
  </si>
  <si>
    <t>Мьянма</t>
  </si>
  <si>
    <t>Макао</t>
  </si>
  <si>
    <t>Северные Марианские острова</t>
  </si>
  <si>
    <t>Мартиника</t>
  </si>
  <si>
    <t>Мавритания</t>
  </si>
  <si>
    <t>Монтсеррат</t>
  </si>
  <si>
    <t>Мальта</t>
  </si>
  <si>
    <t>Маврикий</t>
  </si>
  <si>
    <t>Мальдивы</t>
  </si>
  <si>
    <t>Малави</t>
  </si>
  <si>
    <t>Мозамбик</t>
  </si>
  <si>
    <t>Намибия</t>
  </si>
  <si>
    <t>Новая Каледония</t>
  </si>
  <si>
    <t>Нигер</t>
  </si>
  <si>
    <t>Остров Норфолк</t>
  </si>
  <si>
    <t>Нигерия</t>
  </si>
  <si>
    <t>Никарагуа</t>
  </si>
  <si>
    <t>Непал</t>
  </si>
  <si>
    <t>Науру</t>
  </si>
  <si>
    <t>Ниуэ</t>
  </si>
  <si>
    <t>Оман</t>
  </si>
  <si>
    <t>Панама</t>
  </si>
  <si>
    <t>Перу</t>
  </si>
  <si>
    <t>Французская Полинезия</t>
  </si>
  <si>
    <t>Папуа Новая Гвинея</t>
  </si>
  <si>
    <t>Сент-Пьер и Микелон</t>
  </si>
  <si>
    <t>Питкэрн</t>
  </si>
  <si>
    <t>Пуэрто-Рико</t>
  </si>
  <si>
    <t>Оккупированная территория Палестины</t>
  </si>
  <si>
    <t>Палау</t>
  </si>
  <si>
    <t>Парагвай</t>
  </si>
  <si>
    <t>Катар</t>
  </si>
  <si>
    <t>Реюньон</t>
  </si>
  <si>
    <t>Руанда</t>
  </si>
  <si>
    <t>Соломоновы острова</t>
  </si>
  <si>
    <t>Сейшелы</t>
  </si>
  <si>
    <t>Судан</t>
  </si>
  <si>
    <t>Святая Елена</t>
  </si>
  <si>
    <t>о-ва Шпицберген и Ян-Майен</t>
  </si>
  <si>
    <t>Сьерра-Леоне</t>
  </si>
  <si>
    <t>Сан-Марино</t>
  </si>
  <si>
    <t>Сенегал</t>
  </si>
  <si>
    <t>Сомали</t>
  </si>
  <si>
    <t>Суринам</t>
  </si>
  <si>
    <t>Сан-Томе и Принсипи</t>
  </si>
  <si>
    <t>Сальвадор</t>
  </si>
  <si>
    <t>Свазиленд</t>
  </si>
  <si>
    <t>о-ва Теркс и Кайкос</t>
  </si>
  <si>
    <t>Чад</t>
  </si>
  <si>
    <t>Французские Южные Территории</t>
  </si>
  <si>
    <t>Того</t>
  </si>
  <si>
    <t>Токелау</t>
  </si>
  <si>
    <t>Тонга</t>
  </si>
  <si>
    <t>Тринидад и Тобаго</t>
  </si>
  <si>
    <t>Тувалу</t>
  </si>
  <si>
    <t>Объединенная Республика Танзания</t>
  </si>
  <si>
    <t>Уганда</t>
  </si>
  <si>
    <t>Малые Внешние Острова США</t>
  </si>
  <si>
    <t>Уругвай</t>
  </si>
  <si>
    <t>Ватикан</t>
  </si>
  <si>
    <t>Сент-Винсент и Гренадины</t>
  </si>
  <si>
    <t>Виргинские Острова, Британские</t>
  </si>
  <si>
    <t>Виргинские Острова, США</t>
  </si>
  <si>
    <t>Вануату</t>
  </si>
  <si>
    <t>Уоллис и Футуна</t>
  </si>
  <si>
    <t>Самоа</t>
  </si>
  <si>
    <t>Йемен</t>
  </si>
  <si>
    <t>Майотта</t>
  </si>
  <si>
    <t>Замбия</t>
  </si>
  <si>
    <t>Зимбабве</t>
  </si>
  <si>
    <t>Тимор-Лесте</t>
  </si>
  <si>
    <t>Сен-Бартельми</t>
  </si>
  <si>
    <t>Сен-Мартен (французская часть)</t>
  </si>
  <si>
    <t>Черногория</t>
  </si>
  <si>
    <t>Аландские острова</t>
  </si>
  <si>
    <t>Джерси</t>
  </si>
  <si>
    <t>Гернси</t>
  </si>
  <si>
    <t>Остров Мэн</t>
  </si>
  <si>
    <t>Антигуа и Барбуда</t>
  </si>
  <si>
    <t>Ангилья</t>
  </si>
  <si>
    <t>Албания</t>
  </si>
  <si>
    <t>Нидерландские Антильские острова</t>
  </si>
  <si>
    <t>Антарктика</t>
  </si>
  <si>
    <t>Американское Самоа</t>
  </si>
  <si>
    <t>Аруба</t>
  </si>
  <si>
    <t>Буркина Фасо</t>
  </si>
  <si>
    <t>Бахрейн</t>
  </si>
  <si>
    <t>Бурунди</t>
  </si>
  <si>
    <t>Бенин</t>
  </si>
  <si>
    <t>Бермуды</t>
  </si>
  <si>
    <t>Султанат Бруней</t>
  </si>
  <si>
    <t>Боливия, Многонациональное Государство</t>
  </si>
  <si>
    <t>Багамы</t>
  </si>
  <si>
    <t>Бутан</t>
  </si>
  <si>
    <t>Остров Буве</t>
  </si>
  <si>
    <t>Ботсвана</t>
  </si>
  <si>
    <t>Белиз</t>
  </si>
  <si>
    <t>Кокосовые (Килинг) о-ва</t>
  </si>
  <si>
    <t>Конго, Демократическая Республика</t>
  </si>
  <si>
    <t>Центральноафриканская Республика</t>
  </si>
  <si>
    <t>Конго</t>
  </si>
  <si>
    <t>Кот-д-Ивуар</t>
  </si>
  <si>
    <t>Острова Кука</t>
  </si>
  <si>
    <t>Колумбия</t>
  </si>
  <si>
    <t>Коста-Рика</t>
  </si>
  <si>
    <t>Кабо Верде</t>
  </si>
  <si>
    <t>о. Рождества</t>
  </si>
  <si>
    <t>Джибути</t>
  </si>
  <si>
    <t>Доминика</t>
  </si>
  <si>
    <t>Западная Сахара</t>
  </si>
  <si>
    <t>Эритрея</t>
  </si>
  <si>
    <t>Эфиопия</t>
  </si>
  <si>
    <t>Фиджи</t>
  </si>
  <si>
    <t>Фолклендские (Мальвинские) о-ва</t>
  </si>
  <si>
    <t>Микронезия (Федеративные Штаты)</t>
  </si>
  <si>
    <t>Фарерские острова</t>
  </si>
  <si>
    <t>Габон</t>
  </si>
  <si>
    <t>Гренада</t>
  </si>
  <si>
    <t>Французская Гвиана</t>
  </si>
  <si>
    <t>Гана</t>
  </si>
  <si>
    <t>Гибралтар</t>
  </si>
  <si>
    <t>Гренландия</t>
  </si>
  <si>
    <t>ЭЛАНДСКИЕ ОСТРОВА</t>
  </si>
  <si>
    <t>КЮРАСАО</t>
  </si>
  <si>
    <t>СЕН-МАРТЕН (нидерландская часть)</t>
  </si>
  <si>
    <t>БОНЭЙР, СИНТ-ЭСТАТИУС И САБА</t>
  </si>
  <si>
    <t>АБХАЗИЯ</t>
  </si>
  <si>
    <t>ЮЖНАЯ ОСЕТИЯ</t>
  </si>
  <si>
    <t>ЮЖНЫЙ СУДАН</t>
  </si>
  <si>
    <t>ДНР</t>
  </si>
  <si>
    <t>ЛНР</t>
  </si>
  <si>
    <t>Да</t>
  </si>
  <si>
    <t/>
  </si>
  <si>
    <t>РЭП</t>
  </si>
  <si>
    <t>ПО</t>
  </si>
  <si>
    <t>223.1</t>
  </si>
  <si>
    <t>Спецификация (Техническая часть)</t>
  </si>
  <si>
    <t>Название закупки</t>
  </si>
  <si>
    <t>Поставка труб малого диаметра электросварных</t>
  </si>
  <si>
    <t>Внимание!!!  Обязательно прочитайте инструкцию по заполнению в конце таблицы.</t>
  </si>
  <si>
    <t>Лот</t>
  </si>
  <si>
    <t>192.26.00972 Поставка труб малого диаметра электросварных для нужд АО «ТГК-11»</t>
  </si>
  <si>
    <t>Год поставки</t>
  </si>
  <si>
    <t>Предложение от</t>
  </si>
  <si>
    <t>Дата предложения</t>
  </si>
  <si>
    <t>Номер альтернативного предложения</t>
  </si>
  <si>
    <t>Gkpz Line Id</t>
  </si>
  <si>
    <t>Филиал заказчика</t>
  </si>
  <si>
    <t>№ позиции</t>
  </si>
  <si>
    <t>Номенклатурная позиция заказчика</t>
  </si>
  <si>
    <t>Ед. изм.</t>
  </si>
  <si>
    <t>Страна происхождения товара (план)</t>
  </si>
  <si>
    <t>Плановая цена за единицу</t>
  </si>
  <si>
    <t>Общее количество, требуемое</t>
  </si>
  <si>
    <t>Общая стоимость (план)</t>
  </si>
  <si>
    <t>Аналог участника</t>
  </si>
  <si>
    <t>Наименование изготовителя (предложение участника)</t>
  </si>
  <si>
    <t>Уровень локализации</t>
  </si>
  <si>
    <t>Цена за единицу (предложение участника) без НДС</t>
  </si>
  <si>
    <t>Страна происхождения товара (предложение участника)</t>
  </si>
  <si>
    <t>Цена за единицу (с коэфф. изм. нач. (макс.) цены)</t>
  </si>
  <si>
    <t>Общая стоимость (с коэфф. изм. нач. (макс.) цены)</t>
  </si>
  <si>
    <t>Общая стоимость (предложение участника)</t>
  </si>
  <si>
    <t>Общее количество, предлагаемое</t>
  </si>
  <si>
    <t>Количество по месяцам поставки</t>
  </si>
  <si>
    <t>Количество по месяцам поставки последующий год</t>
  </si>
  <si>
    <t>Объем  поставок на 3 год</t>
  </si>
  <si>
    <t>Объем  поставок на 4 год</t>
  </si>
  <si>
    <t>Объем  поставок на 5 год</t>
  </si>
  <si>
    <t>Переходящий остаток</t>
  </si>
  <si>
    <t>КСУ НСИ</t>
  </si>
  <si>
    <t xml:space="preserve">Наименование позиции </t>
  </si>
  <si>
    <t>Наименование позиции (краткое)</t>
  </si>
  <si>
    <t>ГОСТ, ОСТ, ТУ, чертеж</t>
  </si>
  <si>
    <t>Наименование позиции</t>
  </si>
  <si>
    <t>Январь</t>
  </si>
  <si>
    <t>Февраль</t>
  </si>
  <si>
    <t>Март</t>
  </si>
  <si>
    <t>Апрель</t>
  </si>
  <si>
    <t xml:space="preserve">Май 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</si>
  <si>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</si>
  <si>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</si>
  <si>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</si>
  <si>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</si>
  <si>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</si>
  <si>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</si>
  <si>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</si>
  <si>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Требуемое </t>
  </si>
  <si>
    <t>Предлагаемое</t>
  </si>
  <si>
    <t>Требуемая  дата</t>
  </si>
  <si>
    <t>Требуемое  количество</t>
  </si>
  <si>
    <t>Предлагаемая  дата</t>
  </si>
  <si>
    <t>Предлагаемое количество</t>
  </si>
  <si>
    <t>ТГК-11-&gt;ТГК-11 (филиал)-&gt;192 Отдел обеспечения МТР</t>
  </si>
  <si>
    <t>565177</t>
  </si>
  <si>
    <t>Труба стальная прямошовная, электросварная, наружный диаметр 102мм, толщина стенки 4мм, длина немерная, предельные отклонения: по наружному диаметру +/-0,8% (точность изготовления обычная), по толщине стенки +/-10%, материал сталь 10, с нормированием механических свойств и химического состава (группа В), 102х4/В-10 ГОСТ 10704-91, ГОСТ 10705-80</t>
  </si>
  <si>
    <t>Труба 102х4/В-10 ГОСТ 10704-91, ГОСТ 10705-80</t>
  </si>
  <si>
    <t>ГОСТ 10704-91,ГОСТ 10705-80</t>
  </si>
  <si>
    <t>Килограмм</t>
  </si>
  <si>
    <t>475849</t>
  </si>
  <si>
    <t>Труба стальная прямошовная, электросварная, наружный диаметр 108мм, толщина стенки 4мм, длина немерная, предельные отклонения: по наружному диаметру +/-0,8% (точность изготовления обычная), по толщине стенки +/-10%, материал сталь 20, с нормированием механических свойств и химического состава (группа В), 108х4/В-20 ГОСТ 10704-91, ГОСТ 10705-80</t>
  </si>
  <si>
    <t>Труба 108х4/В-20 ГОСТ 10704-91, ГОСТ 10705-80</t>
  </si>
  <si>
    <t>475773</t>
  </si>
  <si>
    <t>Труба стальная прямошовная, электросварная, наружный диаметр 108мм, толщина стенки 4мм, длина немерная, предельные отклонения: по наружному диаметру +/-0,8% (точность изготовления обычная), по толщине стенки +/-10%, материал сталь Ст3сп, с нормированием механических свойств и химического состава (группа В), 108х4/В-Ст3сп ГОСТ 10704-91, ГОСТ 10705-80</t>
  </si>
  <si>
    <t>Труба 108х4/В-Ст3сп ГОСТ 10704-91, ГОСТ 10705-80</t>
  </si>
  <si>
    <t>539526</t>
  </si>
  <si>
    <t>Труба стальная прямошовная, электросварная, наружный диаметр 108мм, толщина стенки 5мм, длина немерная, предельные отклонения: по наружному диаметру +/-0,8% (точность изготовления обычная), по толщине стенки +/-10%, материал сталь 20, с нормированием механических свойств и химического состава (группа В), 108х5/В-20 ГОСТ 10704-91, ГОСТ 10705-80</t>
  </si>
  <si>
    <t>Труба 108х5/В-20 ГОСТ 10704-91, ГОСТ 10705-80</t>
  </si>
  <si>
    <t>446264</t>
  </si>
  <si>
    <t>Труба стальная электросварная прямошовная, наружный диаметр 133мм, толщина стенки 4,5мм, точность изготовления обычная, длина немерная, группа качества В, марка материала Ст3сп, категория 5, группа качества В, 133х4,5/В-Ст3сп5 ГОСТ 10704-91, ГОСТ 10705-80</t>
  </si>
  <si>
    <t>Труба 133х4,5/В-Ст3сп5 ГОСТ 10704-91, ГОСТ 10705-80</t>
  </si>
  <si>
    <t>622037</t>
  </si>
  <si>
    <t>Труба стальная прямошовная, электросварная, наружный диаметр 133мм, толщина стенки 4мм, длина немерная, предельные отклонения: по наружному диаметру +/-0,8% (точность изготовления обычная), по толщине стенки +/-10%, материал сталь Ст3сп, с нормированием механических свойств и химического состава (группа В), 133х4/В-Ст3сп ГОСТ 10704-91, ГОСТ 10705-80</t>
  </si>
  <si>
    <t>Труба 133х4/В-Ст3сп ГОСТ 10704-91, ГОСТ 10705-80</t>
  </si>
  <si>
    <t>476348</t>
  </si>
  <si>
    <t>Труба стальная прямошовная, электросварная, наружный диаметр 159мм, толщина стенки 4,5мм, длина немерная, предельные отклонения: по наружному диаметру +/-0,8% (точность изготовления обычная), по толщине стенки +0,45/-0,5мм, материал сталь Ст3сп, с нормированием механических свойств и химического состава (группа В), 159х4,5/В-Ст3сп ГОСТ 10704-91, ГОСТ 10705-80</t>
  </si>
  <si>
    <t>Труба 159х4,5/В-Ст3сп ГОСТ 10704-91, ГОСТ 10705-80</t>
  </si>
  <si>
    <t>476347</t>
  </si>
  <si>
    <t>Труба стальная прямошовная, электросварная, наружный диаметр 159мм, толщина стенки 4мм, длина немерная, предельные отклонения: по наружному диаметру +/-0,8% (точность изготовления обычная), по толщине стенки +0,45/-0,5мм, материал сталь Ст3сп, с нормированием механических свойств и химического состава (группа В), 159х4/В-Ст3сп ГОСТ 10704-91, ГОСТ 10705-80</t>
  </si>
  <si>
    <t>Труба 159х4/В-Ст3сп ГОСТ 10704-91, ГОСТ 10705-80</t>
  </si>
  <si>
    <t>443174</t>
  </si>
  <si>
    <t>Труба стальная прямошовная, электросварная, наружный диаметр 159мм, толщина стенки 6мм, длина немерная, предельные отклонения: по наружному диаметру +/-0,8% (точность изготовления обычная), по толщине стенки +0,45/-0,6мм, материал сталь 20, с нормированием механических свойств и химического состава (группа В), 159х6/В-20 ГОСТ 10704-91, ГОСТ 10705-80</t>
  </si>
  <si>
    <t>Труба 159х6/В-20 ГОСТ 10704-91, ГОСТ 10705-80</t>
  </si>
  <si>
    <t>476113</t>
  </si>
  <si>
    <t>Труба стальная сварная, водогазопроводная, обыкновенная, условный проход 15мм, толщина стенки 2,8мм, длина немерная, предельные отклонения: по наружному диаметру +0,4/-0,5мм, по толщине стенки -0,15% (точность изготовления по диаметру и толщине стенки обычная), 15х2,8 ГОСТ 3262-75</t>
  </si>
  <si>
    <t>Труба 15х2,8 ГОСТ 3262-75</t>
  </si>
  <si>
    <t>ГОСТ 3262-75</t>
  </si>
  <si>
    <t>476466</t>
  </si>
  <si>
    <t>Труба стальная прямошовная, электросварная, наружный диаметр 219мм, толщина стенки 6мм, длина немерная, предельные отклонения: по наружному диаметру +/-0,75% (точность изготовления обычная), по толщине стенки +0,45/-0,6мм, материал сталь 20, с нормированием механических свойств и химического состава (группа В), 219х6/В-20 ГОСТ 10704-91, ГОСТ 10705-80</t>
  </si>
  <si>
    <t>Труба 219х6/В-20 ГОСТ 10704-91, ГОСТ 10705-80</t>
  </si>
  <si>
    <t>506252</t>
  </si>
  <si>
    <t>Труба стальная прямошовная, электросварная, наружный диаметр 219мм, толщина стенки 8мм, длина немерная, предельные отклонения: по наружному диаметру +/-0,75% (точность изготовления обычная), по толщине стенки +0,6/-0,8мм, материал сталь 20, с нормированием механических свойств и химического состава (группа В), 219х8/В-20 ГОСТ 10704-91, ГОСТ 10705-80</t>
  </si>
  <si>
    <t>Труба 219х8/В-20 ГОСТ 10704-91, ГОСТ 10705-80</t>
  </si>
  <si>
    <t>476541</t>
  </si>
  <si>
    <t>Труба стальная прямошовная, электросварная, наружный диаметр 325мм, толщина стенки 6мм, длина немерная, предельные отклонения: по наружному диаметру +/-0,75% (точность изготовления обычная), по толщине стенки +0,45/-0,6мм, материал сталь 20, с нормированием механических свойств и химического состава (группа В), 325х6/В-20 ГОСТ 10704-91, ГОСТ 10705-80</t>
  </si>
  <si>
    <t>Труба 325х6/В-20 ГОСТ 10704-91, ГОСТ 10705-80</t>
  </si>
  <si>
    <t>476291</t>
  </si>
  <si>
    <t>Труба стальная сварная, водогазопроводная, легкая, условный проход 32мм, толщина стенки 2,8мм, длина немерная, предельные отклонения: по наружному диаметру +0,4/-0,5мм, по толщине стенки -0,15% (точность изготовления по диаметру и толщине стенки обычная), 32х2,8 ГОСТ 3262-75</t>
  </si>
  <si>
    <t>Труба 32х2,8 ГОСТ 3262-75</t>
  </si>
  <si>
    <t>476117</t>
  </si>
  <si>
    <t>Труба стальная сварная, водогазопроводная, обыкновенная, условный проход 32мм, толщина стенки 3,2мм, длина немерная, предельные отклонения: по наружному диаметру +0,4/-0,5мм, по толщине стенки -0,15% (точность изготовления по диаметру и толщине стенки обычная), 32х3,2 ГОСТ 3262-75</t>
  </si>
  <si>
    <t>Труба 32х3,2 ГОСТ 3262-75</t>
  </si>
  <si>
    <t>639882</t>
  </si>
  <si>
    <t>Труба стальная прямошовная, электросварная, наружный диаметр 40мм, толщина стенки 2,5мм, длина немерная, предельные отклонения: по наружному диаметру +/-0,4мм (точность изготовления обычная), по толщине стенки +/-10%, материал сталь Ст2кп, с нормированием механических свойств и химического состава (группа В), 40х2,5/В-Ст2кп ГОСТ 10704-91, ГОСТ 10705-80</t>
  </si>
  <si>
    <t>Труба 40х2,5/В-Ст2кп ГОСТ 10704-91, ГОСТ 10705-80</t>
  </si>
  <si>
    <t>ГОСТ 10705-80,ГОСТ 10704-91</t>
  </si>
  <si>
    <t>487777</t>
  </si>
  <si>
    <t>Труба стальная, прямошовная, электросварная, наружный диаметр 426мм, толщина стенки 10мм, длина немерная, материал сталь 20, с нормированием механических свойств и химического состава (В), 426х10/В-20 ГОСТ 10704-91, ГОСТ 10705-80</t>
  </si>
  <si>
    <t>Труба 426х10/В-20 ГОСТ 10704-91, ГОСТ 10705-80</t>
  </si>
  <si>
    <t>568920</t>
  </si>
  <si>
    <t>Труба стальная прямошовная, электросварная, наружный диаметр 426мм, толщина стенки 7мм, длина немерная, предельные отклонения: по наружному диаметру +/-0,75% (точность изготовления обычная), по толщине стенки +0,45/-0,6мм, материал сталь 20, с нормированием механических свойств и химического состава (группа В), 426х7/В-20 ГОСТ 10704-91, ГОСТ 10705-80</t>
  </si>
  <si>
    <t>Труба 426х7/В-20 ГОСТ 10704-91, ГОСТ 10705-80</t>
  </si>
  <si>
    <t>627980</t>
  </si>
  <si>
    <t>Труба стальная прямошовная, электросварная, наружный диаметр 48мм, толщина стенки 3мм, длина немерная, предельные отклонения: по наружному диаметру +/-0,4% (точность изготовления обычная), по толщине стенки +/-10%, материал сталь Ст3сп, с нормированием механических свойств и химического состава (группа В), 48х3/В-Ст3сп ГОСТ 10704-91, ГОСТ 10705-80</t>
  </si>
  <si>
    <t>Труба 48х3/В-Ст3сп ГОСТ 10704-91, ГОСТ 10705-80</t>
  </si>
  <si>
    <t>476197</t>
  </si>
  <si>
    <t>Труба стальная сварная, водогазопроводная, усиленная, условный проход 50мм, толщина стенки 4,5мм, длина немерная, предельные отклонения: по наружному диаметру +0,8/-1%, по толщине стенки -0,15% (точность изготовления по диаметру и толщине стенки обычная), 50х4,5 ГОСТ 3262-75</t>
  </si>
  <si>
    <t>Труба 50х4,5 ГОСТ 3262-75</t>
  </si>
  <si>
    <t>628092</t>
  </si>
  <si>
    <t>Труба стальная прямошовная, электросварная, наружный диаметр 51мм, толщина стенки 3мм, длина немерная, предельные отклонения: по наружному диаметру +/-0,4% (точность изготовления обычная), по толщине стенки +/-10%, материал сталь Ст3сп, с нормированием механических свойств и химического состава (группа В), 51х3/В-Ст3сп ГОСТ 10704-91, ГОСТ 10705-80</t>
  </si>
  <si>
    <t>Труба 51х3/В-Ст3сп ГОСТ 10704-91, ГОСТ 10705-80</t>
  </si>
  <si>
    <t>476467</t>
  </si>
  <si>
    <t>Труба стальная прямошовная, электросварная, наружный диаметр 57мм, толщина стенки 3мм, длина немерная, предельные отклонения: по наружному диаметру +/-0,8% (точность изготовления обычная), по толщине стенки +/-10%, материал сталь 20, с нормированием механических свойств и химического состава (группа В), 57х3/В-20 ГОСТ 10704-91, ГОСТ 10705-80</t>
  </si>
  <si>
    <t>Труба 57х3/В-20 ГОСТ 10704-91, ГОСТ 10705-80</t>
  </si>
  <si>
    <t>572872</t>
  </si>
  <si>
    <t>Труба стальная прямошовная, электросварная, наружный диаметр 57мм, толщина стенки 4мм, длина немерная, предельные отклонения: по наружному диаметру +/-0,8% (точность изготовления обычная), по толщине стенки +/-10%, материал сталь 20, с нормированием механических свойств и химического состава (группа В), 57х4/В-20 ГОСТ 10704-91, ГОСТ 10705-80</t>
  </si>
  <si>
    <t>Труба 57х4/В-20 ГОСТ 10704-91, ГОСТ 10705-80</t>
  </si>
  <si>
    <t>506944</t>
  </si>
  <si>
    <t>Труба стальная прямошовная, электросварная, наружный диаметр 89мм, толщина стенки 3,5мм, длина немерная, предельные отклонения: по наружному диаметру +/-0,8% (точность изготовления обычная), по толщине стенки +/-10%, материал сталь 20, с нормированием механических свойств и химического состава (группа В), 89х3,5/В-20 ГОСТ 10704-91, ГОСТ 10705-80</t>
  </si>
  <si>
    <t>Труба 89х3,5/В-20 ГОСТ 10704-91, ГОСТ 10705-80</t>
  </si>
  <si>
    <t>476368</t>
  </si>
  <si>
    <t>Труба стальная прямошовная, электросварная, наружный диаметр 89мм, толщина стенки 4мм, длина немерная, предельные отклонения: по наружному диаметру +/-0,8% (точность изготовления обычная), по толщине стенки +/-10%, материал сталь Ст3сп, с нормированием механических свойств и химического состава (группа В), 89х4/В-Ст3сп ГОСТ 10704-91, ГОСТ 10705-80</t>
  </si>
  <si>
    <t>Труба 89х4/В-Ст3сп ГОСТ 10704-91, ГОСТ 10705-80</t>
  </si>
  <si>
    <t>Прочие коммерческие условия поставки:</t>
  </si>
  <si>
    <t>№ п/п</t>
  </si>
  <si>
    <t>Наименование</t>
  </si>
  <si>
    <t>Значение</t>
  </si>
  <si>
    <t>Срок поставки (Начало)</t>
  </si>
  <si>
    <t>Срок поставки (Окончание)</t>
  </si>
  <si>
    <t>Гарантийный срок</t>
  </si>
  <si>
    <t>Адрес доставки товара [стоимость доставки включена в стоимость товара]</t>
  </si>
  <si>
    <t>Дополнительные услуги [расшифровать, какие дополнительные услуги включены в стоимость товара, например: страхование, разгрузка, шеф-монтаж, обучение  и т.п.]</t>
  </si>
  <si>
    <r>
      <t xml:space="preserve">1) </t>
    </r>
    <r>
      <rPr>
        <b/>
        <sz val="12"/>
        <color indexed="10"/>
        <rFont val="Arial"/>
        <family val="2"/>
        <charset val="204"/>
      </rPr>
      <t>Внимание!</t>
    </r>
    <r>
      <rPr>
        <sz val="12"/>
        <color indexed="10"/>
        <rFont val="Arial"/>
        <family val="2"/>
        <charset val="204"/>
      </rPr>
      <t xml:space="preserve"> Поля с синей заливкой не подлежат изменению и содержат справочную информацию по закупке заказчика, строчки спецификации нельзя корректировать, менять местами, удалять, добавлять новые.</t>
    </r>
  </si>
  <si>
    <r>
      <t>2) Поле "</t>
    </r>
    <r>
      <rPr>
        <b/>
        <sz val="12"/>
        <color indexed="56"/>
        <rFont val="Arial"/>
        <family val="2"/>
        <charset val="204"/>
      </rPr>
      <t>Аналог участника</t>
    </r>
    <r>
      <rPr>
        <sz val="12"/>
        <color indexed="56"/>
        <rFont val="Arial"/>
        <family val="2"/>
        <charset val="204"/>
      </rPr>
      <t xml:space="preserve">" заполняется, </t>
    </r>
    <r>
      <rPr>
        <b/>
        <u/>
        <sz val="12"/>
        <color indexed="10"/>
        <rFont val="Arial"/>
        <family val="2"/>
        <charset val="204"/>
      </rPr>
      <t>только если</t>
    </r>
    <r>
      <rPr>
        <sz val="12"/>
        <color indexed="56"/>
        <rFont val="Arial"/>
        <family val="2"/>
        <charset val="204"/>
      </rPr>
      <t xml:space="preserve"> поставщик предлагает вместо исходной позиции (указанной в поле наименование) - аналог, в таком случае в этом поле необходимо указать полное наименование предлагаемого аналога и Нормативную документацию (ГОСТ, ТУ, чертёж, ОСТ).</t>
    </r>
  </si>
  <si>
    <r>
      <t xml:space="preserve">3) </t>
    </r>
    <r>
      <rPr>
        <b/>
        <sz val="12"/>
        <color indexed="10"/>
        <rFont val="Arial"/>
        <family val="2"/>
        <charset val="204"/>
      </rPr>
      <t xml:space="preserve">Внимание! Поля: "Наименование изготовителя (предложение участника)", </t>
    </r>
    <r>
      <rPr>
        <sz val="12"/>
        <color indexed="10"/>
        <rFont val="Arial"/>
        <family val="2"/>
        <charset val="204"/>
      </rPr>
      <t>"</t>
    </r>
    <r>
      <rPr>
        <b/>
        <sz val="12"/>
        <color indexed="10"/>
        <rFont val="Arial"/>
        <family val="2"/>
        <charset val="204"/>
      </rPr>
      <t>Страна происхождения товара (предложение участника)" и "Уровень локализации"</t>
    </r>
    <r>
      <rPr>
        <sz val="12"/>
        <color indexed="10"/>
        <rFont val="Arial"/>
        <family val="2"/>
        <charset val="204"/>
      </rPr>
      <t xml:space="preserve"> обязательны для заполнения участником. </t>
    </r>
    <r>
      <rPr>
        <sz val="12"/>
        <color indexed="56"/>
        <rFont val="Arial"/>
        <family val="2"/>
        <charset val="204"/>
      </rPr>
      <t>В случае предоставления Сертификата ТР ТС на данный вид продукции наименования производителя в настоящей таблице и в Сертификате должны совпадать.</t>
    </r>
  </si>
  <si>
    <r>
      <t>4) В белых полях колонок с месяцами "</t>
    </r>
    <r>
      <rPr>
        <b/>
        <sz val="12"/>
        <color indexed="56"/>
        <rFont val="Arial"/>
        <family val="2"/>
        <charset val="204"/>
      </rPr>
      <t>Предлагаемое</t>
    </r>
    <r>
      <rPr>
        <sz val="12"/>
        <color indexed="56"/>
        <rFont val="Arial"/>
        <family val="2"/>
        <charset val="204"/>
      </rPr>
      <t>", в случае необходимости, требуется скорректировать срок (т.е. перенести предлагаемое количество товара) в соответствующий срокам поставки участника месяц.</t>
    </r>
  </si>
  <si>
    <r>
      <t>5) В столбце "</t>
    </r>
    <r>
      <rPr>
        <b/>
        <sz val="12"/>
        <color indexed="56"/>
        <rFont val="Arial"/>
        <family val="2"/>
        <charset val="204"/>
      </rPr>
      <t>Переходящие периоды</t>
    </r>
    <r>
      <rPr>
        <sz val="12"/>
        <color indexed="56"/>
        <rFont val="Arial"/>
        <family val="2"/>
        <charset val="204"/>
      </rPr>
      <t>" заполняются данные по предложению на период, который не вошел в планируемый год.</t>
    </r>
  </si>
  <si>
    <r>
      <t>6) В заголовке предложения, поле "</t>
    </r>
    <r>
      <rPr>
        <b/>
        <sz val="12"/>
        <color indexed="56"/>
        <rFont val="Arial"/>
        <family val="2"/>
        <charset val="204"/>
      </rPr>
      <t>Номер альтернативного предложения</t>
    </r>
    <r>
      <rPr>
        <sz val="12"/>
        <color indexed="56"/>
        <rFont val="Arial"/>
        <family val="2"/>
        <charset val="204"/>
      </rPr>
      <t>", заполняется, если данное предложение является дополнительным/альтернативным (необходимо указывать его номер в числовом виде).</t>
    </r>
  </si>
  <si>
    <r>
      <t xml:space="preserve">7) В таблице "Прочие условия поставки" приводятся </t>
    </r>
    <r>
      <rPr>
        <b/>
        <u/>
        <sz val="12"/>
        <color indexed="56"/>
        <rFont val="Arial"/>
        <family val="2"/>
        <charset val="204"/>
      </rPr>
      <t>основные</t>
    </r>
    <r>
      <rPr>
        <sz val="12"/>
        <color indexed="56"/>
        <rFont val="Arial"/>
        <family val="2"/>
        <charset val="204"/>
      </rPr>
      <t xml:space="preserve"> параметры предложения Участника закупки.</t>
    </r>
  </si>
  <si>
    <r>
      <t xml:space="preserve">8) Столбцы </t>
    </r>
    <r>
      <rPr>
        <b/>
        <sz val="12"/>
        <color indexed="56"/>
        <rFont val="Arial"/>
        <family val="2"/>
        <charset val="204"/>
      </rPr>
      <t>"Страна происхождения товара (предложение участника)", "Уровень локализации"</t>
    </r>
    <r>
      <rPr>
        <sz val="12"/>
        <color indexed="56"/>
        <rFont val="Arial"/>
        <family val="2"/>
        <charset val="204"/>
      </rPr>
      <t xml:space="preserve"> необходимы для заполнения, для принятия решения о применении Преференций, в случае если такое требование указано в Извещении Закупочной документации. При незаполнении </t>
    </r>
    <r>
      <rPr>
        <u/>
        <sz val="12"/>
        <color indexed="56"/>
        <rFont val="Arial"/>
        <family val="2"/>
        <charset val="204"/>
      </rPr>
      <t>любой</t>
    </r>
    <r>
      <rPr>
        <sz val="12"/>
        <color indexed="56"/>
        <rFont val="Arial"/>
        <family val="2"/>
        <charset val="204"/>
      </rPr>
      <t xml:space="preserve"> из ячеек данных столбцов, продукция будет приравниваться к импортной.</t>
    </r>
  </si>
  <si>
    <r>
      <t xml:space="preserve">8.1) В случае если первоначально заполняется (выбирается из выпадающего списка), столбец "Страна происхождения товара (предложение участника)"значением "Российская Федерация" или «Армения/Белоруссия/ДНР/Казахстан/Киргизия/ЛНР»,  то в столбце "Уровень локализации" автоматически устанавливается значение 1. Если указываются другие страны, то участнику </t>
    </r>
    <r>
      <rPr>
        <b/>
        <sz val="12"/>
        <color rgb="FFFF0000"/>
        <rFont val="Arial"/>
        <family val="2"/>
        <charset val="204"/>
      </rPr>
      <t>НЕОБХОДИМО</t>
    </r>
    <r>
      <rPr>
        <sz val="12"/>
        <color indexed="56"/>
        <rFont val="Arial"/>
        <family val="2"/>
        <charset val="204"/>
      </rPr>
      <t xml:space="preserve"> в ручном режиме указать "Уровень локализации", полученный в результате расчета, в соответствии с Методикой "Расчет уровня локализации товаров, работ, услуг".</t>
    </r>
  </si>
  <si>
    <r>
      <t xml:space="preserve">8.2) В случае если первоначально заполняется (выбирается из выпадающего списка), столбец "Страна происхождения товара (предложение участника)", то в столбце "Уровень локализации" участнику </t>
    </r>
    <r>
      <rPr>
        <b/>
        <u/>
        <sz val="12"/>
        <color indexed="10"/>
        <rFont val="Arial"/>
        <family val="2"/>
        <charset val="204"/>
      </rPr>
      <t>НЕОБХОДИМО</t>
    </r>
    <r>
      <rPr>
        <b/>
        <u/>
        <sz val="12"/>
        <color indexed="56"/>
        <rFont val="Arial"/>
        <family val="2"/>
        <charset val="204"/>
      </rPr>
      <t xml:space="preserve"> в ручном режиме указать "Уровень локализации"</t>
    </r>
    <r>
      <rPr>
        <sz val="12"/>
        <color indexed="56"/>
        <rFont val="Arial"/>
        <family val="2"/>
        <charset val="204"/>
      </rPr>
      <t>, полученный в результате расчета, в соответствии с Методикой "Расчет уровня локализации товаров, работ, услуг".</t>
    </r>
  </si>
  <si>
    <t>9) Данные в столбцах "Страна происхождения товара (предложение участника)", "Наименование изготовителя (предложение участника)", "Уровень локализации", "Общее количество, предлагаемое" должны быть полностью идентичны как в технической части, так и в коммерческой части Спецификации. В случае выявления разночтения в данных, предложение участника может быть отклонено, в связи с предоставлением заведомо ложной информации.</t>
  </si>
  <si>
    <t>10) В состав заявки (предложения)  должна быть приложена электронная версия Спецификации (Техническое предложение)</t>
  </si>
</sst>
</file>

<file path=xl/styles.xml><?xml version="1.0" encoding="utf-8"?>
<styleSheet xmlns="http://schemas.openxmlformats.org/spreadsheetml/2006/main">
  <numFmts count="1">
    <numFmt numFmtId="164" formatCode="#,##0.00#"/>
  </numFmts>
  <fonts count="111">
    <font>
      <sz val="11.0"/>
      <color indexed="8"/>
      <name val="Calibri"/>
      <family val="2"/>
      <scheme val="minor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Calibri"/>
      <sz val="11.0"/>
      <color indexed="1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  <color indexed="10"/>
    </font>
    <font>
      <name val="Arial Cyr"/>
      <sz val="10.0"/>
      <color indexed="10"/>
    </font>
    <font>
      <name val="Arial Cyr"/>
      <sz val="10.0"/>
      <color indexed="10"/>
    </font>
    <font>
      <name val="Arial Cyr"/>
      <sz val="10.0"/>
    </font>
    <font>
      <name val="Arial Cyr"/>
      <sz val="10.0"/>
    </font>
    <font>
      <name val="Arial Cyr"/>
      <sz val="10.0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9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u/>
      <main:sz val="14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56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56"/>
      <main:name val="Arial Cyr"/>
      <main:charset val="204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13"/>
      </patternFill>
    </fill>
    <fill>
      <patternFill patternType="solid">
        <fgColor indexed="43"/>
      </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FFFF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0C0C0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CCC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BFBFB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DAEEF3"/>
        <main:bgColor indexed="64"/>
      </main:patternFill>
    </fill>
  </fills>
  <borders count="21">
    <border>
      <left/>
      <right/>
      <top/>
      <bottom/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medium">
        <main:color auto="1"/>
      </main:left>
      <main:right/>
      <main:top/>
      <main:bottom/>
      <main:diagonal/>
    </border>
  </borders>
  <cellStyleXfs count="1">
    <xf numFmtId="0" fontId="0" fillId="0" borderId="0"/>
  </cellStyleXfs>
  <cellXfs count="110">
    <xf numFmtId="0" fontId="1" fillId="3" borderId="0" xfId="0" applyFont="true" applyBorder="true" applyFill="true"/>
    <xf numFmtId="0" fontId="1" fillId="3" borderId="0" xfId="0" applyFont="true" applyBorder="true" applyFill="true"/>
    <xf numFmtId="0" fontId="2" fillId="3" borderId="0" xfId="0" applyFont="true" applyBorder="true" applyFill="true"/>
    <xf numFmtId="0" fontId="3" fillId="3" borderId="0" xfId="0" applyFont="true" applyBorder="true" applyFill="true">
      <protection locked="true"/>
    </xf>
    <xf numFmtId="0" fontId="5" fillId="4" borderId="4" xfId="0" applyFont="true" applyBorder="true" applyFill="true">
      <alignment wrapText="true"/>
      <protection locked="true"/>
    </xf>
    <xf numFmtId="0" fontId="6" fillId="5" borderId="4" xfId="0" applyFont="true" applyBorder="true" applyFill="true"/>
    <xf numFmtId="0" fontId="7" fillId="6" borderId="4" xfId="0" applyFont="true" applyBorder="true" applyFill="true"/>
    <xf numFmtId="0" fontId="8" fillId="6" borderId="4" xfId="0" applyFont="true" applyBorder="true" applyFill="true"/>
    <xf numFmtId="4" fontId="9" fillId="5" borderId="4" xfId="0" applyFont="true" applyBorder="true" applyFill="true" applyNumberFormat="true">
      <protection locked="true"/>
    </xf>
    <xf numFmtId="4" fontId="10" fillId="6" borderId="4" xfId="0" applyFont="true" applyBorder="true" applyFill="true" applyNumberFormat="true">
      <protection locked="false"/>
    </xf>
    <xf numFmtId="4" fontId="11" fillId="0" borderId="4" xfId="0" applyFont="true" applyBorder="true" applyNumberFormat="true">
      <protection locked="false"/>
    </xf>
    <xf numFmtId="4" fontId="12" fillId="4" borderId="4" xfId="0" applyFont="true" applyBorder="true" applyFill="true" applyNumberFormat="true">
      <protection locked="true"/>
    </xf>
    <xf numFmtId="164" fontId="13" fillId="4" borderId="4" xfId="0" applyFont="true" applyBorder="true" applyFill="true" applyNumberFormat="true">
      <protection locked="true"/>
    </xf>
    <xf xmlns:mc="http://schemas.openxmlformats.org/markup-compatibility/2006" xmlns:x14ac="http://schemas.microsoft.com/office/spreadsheetml/2009/9/ac" xmlns:main="http://schemas.openxmlformats.org/spreadsheetml/2006/main" numFmtId="0" fontId="14" fillId="7" borderId="0" xfId="0" applyFont="true" applyFill="true" applyProtection="1" applyBorder="true" applyNumberFormat="true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5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7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7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7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numFmtId="0" fontId="18" fillId="7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26" fillId="7" borderId="0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8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9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7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8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9" xfId="0" applyNumberFormat="true" applyFont="true" applyFill="true" applyBorder="true" applyAlignment="1" applyProtection="1">
      <main:alignment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2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1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1" xfId="0" applyNumberFormat="true" applyFont="true" applyFill="true" applyBorder="true" applyAlignment="1" applyProtection="1">
      <main:alignment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7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2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1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7" fillId="7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4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5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6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3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4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5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5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6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7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7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2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2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7" fillId="11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1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1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numFmtId="0" fontId="89" fillId="7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90" fillId="9" borderId="19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4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5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6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9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4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4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5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6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01" fillId="7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1" fillId="7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3" fillId="7" borderId="0" xfId="0" applyFont="true" applyFill="true" applyBorder="true" applyProtection="1" applyNumberFormat="true"/>
    <xf xmlns:mc="http://schemas.openxmlformats.org/markup-compatibility/2006" xmlns:x14ac="http://schemas.microsoft.com/office/spreadsheetml/2009/9/ac" xmlns:main="http://schemas.openxmlformats.org/spreadsheetml/2006/main" numFmtId="0" fontId="104" fillId="7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4" fillId="7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6" fillId="0" borderId="0" xfId="0" applyFont="true" applyFill="true" applyBorder="true" applyProtection="1" applyNumberFormat="true"/>
    <xf xmlns:mc="http://schemas.openxmlformats.org/markup-compatibility/2006" xmlns:x14ac="http://schemas.microsoft.com/office/spreadsheetml/2009/9/ac" numFmtId="0" fontId="107" fillId="7" borderId="0" xfId="0" applyFont="true" applyFill="true" applyBorder="true" applyProtection="1" applyNumberFormat="true"/>
    <xf xmlns:mc="http://schemas.openxmlformats.org/markup-compatibility/2006" xmlns:x14ac="http://schemas.microsoft.com/office/spreadsheetml/2009/9/ac" xmlns:main="http://schemas.openxmlformats.org/spreadsheetml/2006/main" numFmtId="0" fontId="104" fillId="0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4" fillId="0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7" fillId="0" borderId="0" xfId="0" applyFont="true" applyFill="true" applyBorder="true" applyProtection="1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H75"/>
  <sheetViews>
    <sheetView workbookViewId="0" tabSelected="true" zoomScale="80"/>
  </sheetViews>
  <sheetFormatPr defaultRowHeight="15.0"/>
  <cols>
    <col min="21" max="21" style="1" width="0.00390625" customWidth="true"/>
    <col min="20" max="20" style="1" width="0.00390625" customWidth="true"/>
    <col min="87" max="16384" style="1" width="8.0" customWidth="false"/>
    <col min="86" max="86" style="1" width="17.140625" customWidth="true"/>
    <col min="85" max="85" style="1" width="17.140625" customWidth="true"/>
    <col min="84" max="84" style="1" width="13.5703125" customWidth="true"/>
    <col min="83" max="83" style="1" width="12.7109375" customWidth="true"/>
    <col min="82" max="82" style="1" width="17.140625" customWidth="true"/>
    <col min="81" max="81" style="1" width="17.140625" customWidth="true"/>
    <col min="80" max="80" style="1" width="13.5703125" customWidth="true"/>
    <col min="79" max="79" style="1" width="12.7109375" customWidth="true"/>
    <col min="78" max="78" style="1" width="17.140625" customWidth="true"/>
    <col min="77" max="77" style="1" width="17.140625" customWidth="true"/>
    <col min="76" max="76" style="1" width="13.5703125" customWidth="true"/>
    <col min="75" max="75" style="1" width="12.7109375" customWidth="true"/>
    <col min="74" max="74" style="1" width="17.140625" customWidth="true"/>
    <col min="73" max="73" style="1" width="17.140625" customWidth="true"/>
    <col min="72" max="72" style="1" width="13.5703125" customWidth="true"/>
    <col min="71" max="71" style="1" width="12.7109375" customWidth="true"/>
    <col min="70" max="70" style="1" width="16.42578125" customWidth="true"/>
    <col min="69" max="69" style="1" width="13.140625" customWidth="true"/>
    <col min="68" max="68" style="1" width="16.42578125" customWidth="true"/>
    <col min="67" max="67" style="1" width="13.140625" customWidth="true"/>
    <col min="66" max="66" style="1" width="16.42578125" customWidth="true"/>
    <col min="65" max="65" style="1" width="13.140625" customWidth="true"/>
    <col min="64" max="64" style="1" width="16.42578125" customWidth="true"/>
    <col min="63" max="63" style="1" width="13.140625" customWidth="true"/>
    <col min="62" max="62" style="1" width="16.42578125" customWidth="true"/>
    <col min="61" max="61" style="1" width="13.140625" customWidth="true"/>
    <col min="60" max="60" style="1" width="16.42578125" customWidth="true"/>
    <col min="59" max="59" style="1" width="13.140625" customWidth="true"/>
    <col min="58" max="58" style="1" width="16.42578125" customWidth="true"/>
    <col min="57" max="57" style="1" width="13.140625" customWidth="true"/>
    <col min="56" max="56" style="1" width="16.42578125" customWidth="true"/>
    <col min="55" max="55" style="1" width="13.140625" customWidth="true"/>
    <col min="54" max="54" style="1" width="16.42578125" customWidth="true"/>
    <col min="53" max="53" style="1" width="13.140625" customWidth="true"/>
    <col min="52" max="52" style="1" width="16.42578125" customWidth="true"/>
    <col min="51" max="51" style="1" width="13.140625" customWidth="true"/>
    <col min="50" max="50" style="1" width="16.42578125" customWidth="true"/>
    <col min="49" max="49" style="1" width="13.140625" customWidth="true"/>
    <col min="48" max="48" style="1" width="16.42578125" customWidth="true"/>
    <col min="47" max="47" style="1" width="13.140625" customWidth="true"/>
    <col min="46" max="46" style="1" width="16.42578125" customWidth="true"/>
    <col min="45" max="45" style="1" width="13.140625" customWidth="true"/>
    <col min="44" max="44" style="1" width="16.42578125" customWidth="true"/>
    <col min="43" max="43" style="1" width="13.140625" customWidth="true"/>
    <col min="42" max="42" style="1" width="16.42578125" customWidth="true"/>
    <col min="41" max="41" style="1" width="13.140625" customWidth="true"/>
    <col min="40" max="40" style="1" width="16.42578125" customWidth="true"/>
    <col min="39" max="39" style="1" width="13.140625" customWidth="true"/>
    <col min="38" max="38" style="1" width="16.42578125" customWidth="true"/>
    <col min="37" max="37" style="1" width="13.140625" customWidth="true"/>
    <col min="36" max="36" style="1" width="16.42578125" customWidth="true"/>
    <col min="35" max="35" style="1" width="13.140625" customWidth="true"/>
    <col min="34" max="34" style="1" width="16.42578125" customWidth="true"/>
    <col min="33" max="33" style="1" width="13.140625" customWidth="true"/>
    <col min="32" max="32" style="1" width="16.42578125" customWidth="true"/>
    <col min="31" max="31" style="1" width="13.140625" customWidth="true"/>
    <col min="30" max="30" style="1" width="16.42578125" customWidth="true"/>
    <col min="29" max="29" style="1" width="13.140625" customWidth="true"/>
    <col min="28" max="28" style="1" width="16.42578125" customWidth="true"/>
    <col min="27" max="27" style="1" width="13.140625" customWidth="true"/>
    <col min="26" max="26" style="1" width="16.42578125" customWidth="true"/>
    <col min="25" max="25" style="1" width="13.140625" customWidth="true"/>
    <col min="24" max="24" style="1" width="16.7109375" customWidth="true"/>
    <col min="23" max="23" style="1" width="13.5703125" customWidth="true"/>
    <col min="19" max="19" style="1" width="0.00390625" customWidth="true"/>
    <col min="22" max="22" style="1" width="24.0" customWidth="true"/>
    <col min="17" max="17" style="1" width="0.00390625" customWidth="true"/>
    <col min="18" max="18" style="1" width="24.7109375" customWidth="true"/>
    <col min="16" max="16" style="1" width="22.42578125" customWidth="true"/>
    <col min="15" max="15" style="1" width="22.85546875" customWidth="true"/>
    <col min="14" max="14" style="1" width="22.85546875" customWidth="true"/>
    <col min="12" max="12" style="1" width="0.00390625" customWidth="true"/>
    <col min="13" max="13" style="1" width="22.85546875" customWidth="true"/>
    <col min="10" max="10" style="1" width="0.00390625" customWidth="true"/>
    <col min="11" max="11" style="1" width="35.85546875" customWidth="true"/>
    <col min="9" max="9" style="1" width="23.85546875" customWidth="true"/>
    <col min="8" max="8" style="1" width="10.5703125" customWidth="true"/>
    <col min="7" max="7" style="1" width="17.7109375" customWidth="true"/>
    <col min="6" max="6" style="1" width="50.140625" customWidth="true"/>
    <col min="5" max="5" style="1" width="50.140625" customWidth="true"/>
    <col min="4" max="4" style="1" width="15.7109375" customWidth="true"/>
    <col min="3" max="3" style="1" width="12.5703125" customWidth="true"/>
    <col min="1" max="1" style="1" width="0.00390625" customWidth="true"/>
    <col min="2" max="2" style="1" width="31.5703125" customWidth="true"/>
  </cols>
  <sheetData>
    <row r="1" ht="0.05" customHeight="true">
      <c r="AM1" t="n" s="13">
        <v>32902.0</v>
      </c>
      <c r="AN1" t="n" s="13">
        <v>101100.0</v>
      </c>
      <c r="AO1" t="s" s="13">
        <v>259</v>
      </c>
    </row>
    <row r="2" ht="31.5" customHeight="true">
      <c r="B2" t="s" s="14">
        <v>260</v>
      </c>
      <c r="C2" s="15"/>
      <c r="D2" s="15"/>
      <c r="E2" s="15"/>
      <c r="F2" s="15"/>
      <c r="G2" s="15"/>
      <c r="H2" s="15"/>
      <c r="I2" s="15"/>
      <c r="J2" s="15"/>
      <c r="K2" s="15"/>
      <c r="L2" s="16"/>
    </row>
    <row r="3" ht="17.6" customHeight="true">
      <c r="D3" t="s" s="17">
        <v>261</v>
      </c>
      <c r="E3" s="18"/>
      <c r="F3" s="19" t="s">
        <v>262</v>
      </c>
      <c r="G3" s="20"/>
      <c r="H3" s="20"/>
      <c r="I3" s="20"/>
      <c r="J3" s="20"/>
      <c r="K3" s="21"/>
      <c r="L3" s="22"/>
      <c r="M3" s="23"/>
      <c r="N3" s="24"/>
      <c r="O3" s="24"/>
      <c r="P3" s="24"/>
      <c r="Q3" s="24"/>
      <c r="R3" s="24"/>
      <c r="S3" s="24"/>
    </row>
    <row r="4" ht="17.6" customHeight="true">
      <c r="B4" t="s" s="25">
        <v>263</v>
      </c>
      <c r="C4" s="25"/>
      <c r="D4" t="s" s="26">
        <v>264</v>
      </c>
      <c r="E4" s="27"/>
      <c r="F4" s="28" t="s">
        <v>265</v>
      </c>
      <c r="G4" s="29"/>
      <c r="H4" s="29"/>
      <c r="I4" s="29"/>
      <c r="J4" s="29"/>
      <c r="K4" s="30"/>
      <c r="L4" s="31"/>
      <c r="M4" s="23"/>
      <c r="N4" s="24"/>
      <c r="O4" s="24"/>
      <c r="P4" s="24"/>
      <c r="Q4" s="24"/>
      <c r="R4" s="24"/>
      <c r="S4" s="24"/>
    </row>
    <row r="5" ht="18.0" customHeight="true">
      <c r="B5" s="25"/>
      <c r="C5" s="25"/>
      <c r="D5" t="s" s="26">
        <v>266</v>
      </c>
      <c r="E5" s="27"/>
      <c r="F5" s="32" t="n">
        <v>2026.0</v>
      </c>
      <c r="G5" s="33"/>
      <c r="H5" s="33"/>
      <c r="I5" s="33"/>
      <c r="J5" s="33"/>
      <c r="K5" s="34"/>
      <c r="L5" s="35"/>
      <c r="M5" s="36"/>
      <c r="N5" s="24"/>
      <c r="O5" s="24"/>
      <c r="P5" s="24"/>
      <c r="Q5" s="24"/>
      <c r="R5" s="24"/>
      <c r="S5" s="24"/>
    </row>
    <row r="6" ht="0.05" customHeight="true">
      <c r="B6" s="25"/>
      <c r="C6" s="25"/>
      <c r="D6" t="s" s="26">
        <v>267</v>
      </c>
      <c r="E6" s="27"/>
      <c r="F6" t="s" s="37">
        <v>256</v>
      </c>
      <c r="G6" s="38"/>
      <c r="H6" s="38"/>
      <c r="I6" s="38"/>
      <c r="J6" s="38"/>
      <c r="K6" s="38"/>
      <c r="L6" s="31"/>
      <c r="M6" s="23"/>
      <c r="N6" s="24"/>
      <c r="O6" s="24"/>
      <c r="P6" s="24"/>
      <c r="Q6" s="24"/>
      <c r="R6" s="24"/>
      <c r="S6" s="24"/>
    </row>
    <row r="7" ht="18.0" customHeight="true">
      <c r="B7" s="25"/>
      <c r="C7" s="25"/>
      <c r="D7" t="s" s="26">
        <v>268</v>
      </c>
      <c r="E7" s="27"/>
      <c r="F7" t="s" s="39">
        <v>256</v>
      </c>
      <c r="G7" s="40"/>
      <c r="H7" s="40"/>
      <c r="I7" s="40"/>
      <c r="J7" s="40"/>
      <c r="K7" s="41"/>
      <c r="L7" s="42"/>
      <c r="M7" s="36"/>
      <c r="N7" s="24"/>
      <c r="O7" s="24"/>
      <c r="P7" s="24"/>
      <c r="Q7" s="24"/>
      <c r="R7" s="24"/>
      <c r="S7" s="24"/>
    </row>
    <row r="8" ht="18.0" customHeight="true">
      <c r="B8" s="25"/>
      <c r="C8" s="25"/>
      <c r="D8" t="s" s="26">
        <v>256</v>
      </c>
      <c r="E8" s="27"/>
      <c r="F8" t="s" s="43">
        <v>256</v>
      </c>
      <c r="G8" s="44"/>
      <c r="H8" s="44"/>
      <c r="I8" s="44"/>
      <c r="J8" s="44"/>
      <c r="K8" s="45"/>
      <c r="L8" s="35"/>
      <c r="M8" s="36"/>
      <c r="N8" s="24"/>
      <c r="O8" s="24"/>
      <c r="P8" s="24"/>
      <c r="Q8" s="24"/>
      <c r="R8" s="24"/>
      <c r="S8" s="24"/>
    </row>
    <row r="9" ht="18.0" customHeight="true">
      <c r="B9" s="25"/>
      <c r="C9" s="25"/>
      <c r="D9" t="s" s="46">
        <v>269</v>
      </c>
      <c r="E9" s="47"/>
      <c r="F9" t="s" s="48">
        <v>256</v>
      </c>
      <c r="G9" s="49"/>
      <c r="H9" s="49"/>
      <c r="I9" s="49"/>
      <c r="J9" s="49"/>
      <c r="K9" s="50"/>
      <c r="L9" s="51"/>
      <c r="M9" s="52"/>
      <c r="N9" s="24"/>
      <c r="O9" s="24"/>
      <c r="P9" s="24"/>
      <c r="Q9" s="24"/>
      <c r="R9" s="24"/>
      <c r="S9" s="24"/>
    </row>
    <row r="10" ht="0.05" customHeight="true">
      <c r="B10" s="25"/>
      <c r="C10" s="25"/>
      <c r="D10" t="s" s="46">
        <v>256</v>
      </c>
      <c r="E10" s="47"/>
      <c r="F10" t="s" s="53">
        <v>256</v>
      </c>
      <c r="G10" s="54"/>
      <c r="H10" s="54"/>
      <c r="I10" s="54"/>
      <c r="J10" s="54"/>
      <c r="K10" s="54"/>
      <c r="L10" s="55"/>
      <c r="M10" s="23"/>
      <c r="N10" s="24"/>
      <c r="O10" s="24"/>
      <c r="P10" s="24"/>
      <c r="Q10" s="24"/>
      <c r="R10" s="24"/>
      <c r="S10" s="24"/>
    </row>
    <row r="11" ht="18.0" customHeight="true">
      <c r="A11" s="1"/>
    </row>
    <row r="12" ht="28.5" customHeight="true">
      <c r="A12" t="s" s="56">
        <v>270</v>
      </c>
      <c r="B12" t="s" s="57">
        <v>271</v>
      </c>
      <c r="C12" t="s" s="57">
        <v>272</v>
      </c>
      <c r="D12" t="s" s="58">
        <v>273</v>
      </c>
      <c r="E12" s="59"/>
      <c r="F12" s="59"/>
      <c r="G12" s="60"/>
      <c r="H12" t="s" s="57">
        <v>274</v>
      </c>
      <c r="I12" t="s" s="61">
        <v>275</v>
      </c>
      <c r="J12" t="s" s="62">
        <v>276</v>
      </c>
      <c r="K12" t="s" s="62">
        <v>277</v>
      </c>
      <c r="L12" t="s" s="62">
        <v>278</v>
      </c>
      <c r="M12" t="s" s="58">
        <v>279</v>
      </c>
      <c r="N12" s="60"/>
      <c r="O12" t="s" s="62">
        <v>280</v>
      </c>
      <c r="P12" t="s" s="62">
        <v>281</v>
      </c>
      <c r="Q12" t="s" s="62">
        <v>282</v>
      </c>
      <c r="R12" t="s" s="62">
        <v>283</v>
      </c>
      <c r="S12" t="s" s="62">
        <v>284</v>
      </c>
      <c r="T12" t="s" s="62">
        <v>285</v>
      </c>
      <c r="U12" t="s" s="62">
        <v>286</v>
      </c>
      <c r="V12" t="s" s="62">
        <v>287</v>
      </c>
      <c r="W12" t="s" s="63">
        <v>288</v>
      </c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t="s" s="63">
        <v>289</v>
      </c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t="s" s="65">
        <v>290</v>
      </c>
      <c r="BT12" s="66"/>
      <c r="BU12" s="66"/>
      <c r="BV12" s="67"/>
      <c r="BW12" t="s" s="65">
        <v>291</v>
      </c>
      <c r="BX12" s="66"/>
      <c r="BY12" s="66"/>
      <c r="BZ12" s="67"/>
      <c r="CA12" t="s" s="65">
        <v>292</v>
      </c>
      <c r="CB12" s="66"/>
      <c r="CC12" s="66"/>
      <c r="CD12" s="67"/>
      <c r="CE12" t="s" s="65">
        <v>293</v>
      </c>
      <c r="CF12" s="66"/>
      <c r="CG12" s="66"/>
      <c r="CH12" s="67"/>
    </row>
    <row r="13" ht="29.25" customHeight="true">
      <c r="A13" s="56"/>
      <c r="B13" s="68"/>
      <c r="C13" s="68"/>
      <c r="D13" t="s" s="57">
        <v>294</v>
      </c>
      <c r="E13" t="s" s="57">
        <v>295</v>
      </c>
      <c r="F13" t="s" s="57">
        <v>296</v>
      </c>
      <c r="G13" t="s" s="57">
        <v>297</v>
      </c>
      <c r="H13" s="68"/>
      <c r="I13" s="69"/>
      <c r="J13" s="70"/>
      <c r="K13" s="70"/>
      <c r="L13" s="70"/>
      <c r="M13" t="s" s="57">
        <v>298</v>
      </c>
      <c r="N13" t="s" s="57">
        <v>297</v>
      </c>
      <c r="O13" s="70"/>
      <c r="P13" s="70"/>
      <c r="Q13" s="70"/>
      <c r="R13" s="70"/>
      <c r="S13" s="70"/>
      <c r="T13" s="70"/>
      <c r="U13" s="70"/>
      <c r="V13" s="70"/>
      <c r="W13" t="s" s="71">
        <v>299</v>
      </c>
      <c r="X13" s="72"/>
      <c r="Y13" t="s" s="71">
        <v>300</v>
      </c>
      <c r="Z13" s="72"/>
      <c r="AA13" t="s" s="71">
        <v>301</v>
      </c>
      <c r="AB13" s="72"/>
      <c r="AC13" t="s" s="71">
        <v>302</v>
      </c>
      <c r="AD13" s="72"/>
      <c r="AE13" t="s" s="71">
        <v>303</v>
      </c>
      <c r="AF13" s="72"/>
      <c r="AG13" t="s" s="71">
        <v>304</v>
      </c>
      <c r="AH13" s="72"/>
      <c r="AI13" t="s" s="71">
        <v>305</v>
      </c>
      <c r="AJ13" s="72"/>
      <c r="AK13" t="s" s="71">
        <v>306</v>
      </c>
      <c r="AL13" s="72"/>
      <c r="AM13" t="s" s="71">
        <v>307</v>
      </c>
      <c r="AN13" s="72"/>
      <c r="AO13" t="s" s="71">
        <v>308</v>
      </c>
      <c r="AP13" s="72"/>
      <c r="AQ13" t="s" s="71">
        <v>309</v>
      </c>
      <c r="AR13" s="72"/>
      <c r="AS13" t="s" s="71">
        <v>310</v>
      </c>
      <c r="AT13" s="72"/>
      <c r="AU13" t="s" s="71">
        <v>299</v>
      </c>
      <c r="AV13" s="72"/>
      <c r="AW13" t="s" s="71">
        <v>300</v>
      </c>
      <c r="AX13" s="72"/>
      <c r="AY13" t="s" s="71">
        <v>301</v>
      </c>
      <c r="AZ13" s="72"/>
      <c r="BA13" t="s" s="71">
        <v>302</v>
      </c>
      <c r="BB13" s="72"/>
      <c r="BC13" t="s" s="71">
        <v>303</v>
      </c>
      <c r="BD13" s="72"/>
      <c r="BE13" t="s" s="71">
        <v>304</v>
      </c>
      <c r="BF13" s="72"/>
      <c r="BG13" t="s" s="71">
        <v>305</v>
      </c>
      <c r="BH13" s="72"/>
      <c r="BI13" t="s" s="71">
        <v>306</v>
      </c>
      <c r="BJ13" s="72"/>
      <c r="BK13" t="s" s="71">
        <v>307</v>
      </c>
      <c r="BL13" s="72"/>
      <c r="BM13" t="s" s="71">
        <v>308</v>
      </c>
      <c r="BN13" s="72"/>
      <c r="BO13" t="s" s="71">
        <v>309</v>
      </c>
      <c r="BP13" s="72"/>
      <c r="BQ13" t="s" s="71">
        <v>310</v>
      </c>
      <c r="BR13" s="73"/>
      <c r="BS13" s="74"/>
      <c r="BT13" s="75"/>
      <c r="BU13" s="75"/>
      <c r="BV13" s="76"/>
      <c r="BW13" s="74"/>
      <c r="BX13" s="75"/>
      <c r="BY13" s="75"/>
      <c r="BZ13" s="76"/>
      <c r="CA13" s="74"/>
      <c r="CB13" s="75"/>
      <c r="CC13" s="75"/>
      <c r="CD13" s="76"/>
      <c r="CE13" s="74"/>
      <c r="CF13" s="75"/>
      <c r="CG13" s="75"/>
      <c r="CH13" s="76"/>
    </row>
    <row r="14" ht="30.0" customHeight="true">
      <c r="A14" s="56"/>
      <c r="B14" s="77"/>
      <c r="C14" s="77"/>
      <c r="D14" s="77"/>
      <c r="E14" s="77"/>
      <c r="F14" s="77"/>
      <c r="G14" s="77"/>
      <c r="H14" s="77"/>
      <c r="I14" s="78"/>
      <c r="J14" s="79"/>
      <c r="K14" s="79"/>
      <c r="L14" s="79"/>
      <c r="M14" s="77"/>
      <c r="N14" s="77"/>
      <c r="O14" s="79"/>
      <c r="P14" s="79"/>
      <c r="Q14" s="79"/>
      <c r="R14" s="79"/>
      <c r="S14" s="79"/>
      <c r="T14" s="79"/>
      <c r="U14" s="79"/>
      <c r="V14" s="79"/>
      <c r="W14" t="s" s="80">
        <v>311</v>
      </c>
      <c r="X14" t="s" s="80">
        <v>312</v>
      </c>
      <c r="Y14" t="s" s="80">
        <v>311</v>
      </c>
      <c r="Z14" t="s" s="80">
        <v>312</v>
      </c>
      <c r="AA14" t="s" s="80">
        <v>311</v>
      </c>
      <c r="AB14" t="s" s="80">
        <v>312</v>
      </c>
      <c r="AC14" t="s" s="80">
        <v>311</v>
      </c>
      <c r="AD14" t="s" s="80">
        <v>312</v>
      </c>
      <c r="AE14" t="s" s="80">
        <v>311</v>
      </c>
      <c r="AF14" t="s" s="80">
        <v>312</v>
      </c>
      <c r="AG14" t="s" s="80">
        <v>311</v>
      </c>
      <c r="AH14" t="s" s="80">
        <v>312</v>
      </c>
      <c r="AI14" t="s" s="80">
        <v>311</v>
      </c>
      <c r="AJ14" t="s" s="80">
        <v>312</v>
      </c>
      <c r="AK14" t="s" s="80">
        <v>311</v>
      </c>
      <c r="AL14" t="s" s="80">
        <v>312</v>
      </c>
      <c r="AM14" t="s" s="80">
        <v>311</v>
      </c>
      <c r="AN14" t="s" s="80">
        <v>312</v>
      </c>
      <c r="AO14" t="s" s="80">
        <v>311</v>
      </c>
      <c r="AP14" t="s" s="80">
        <v>312</v>
      </c>
      <c r="AQ14" t="s" s="80">
        <v>311</v>
      </c>
      <c r="AR14" t="s" s="80">
        <v>312</v>
      </c>
      <c r="AS14" t="s" s="80">
        <v>311</v>
      </c>
      <c r="AT14" t="s" s="80">
        <v>312</v>
      </c>
      <c r="AU14" t="s" s="80">
        <v>311</v>
      </c>
      <c r="AV14" t="s" s="80">
        <v>312</v>
      </c>
      <c r="AW14" t="s" s="80">
        <v>311</v>
      </c>
      <c r="AX14" t="s" s="80">
        <v>312</v>
      </c>
      <c r="AY14" t="s" s="80">
        <v>311</v>
      </c>
      <c r="AZ14" t="s" s="80">
        <v>312</v>
      </c>
      <c r="BA14" t="s" s="80">
        <v>311</v>
      </c>
      <c r="BB14" t="s" s="80">
        <v>312</v>
      </c>
      <c r="BC14" t="s" s="80">
        <v>311</v>
      </c>
      <c r="BD14" t="s" s="80">
        <v>312</v>
      </c>
      <c r="BE14" t="s" s="80">
        <v>311</v>
      </c>
      <c r="BF14" t="s" s="80">
        <v>312</v>
      </c>
      <c r="BG14" t="s" s="80">
        <v>311</v>
      </c>
      <c r="BH14" t="s" s="80">
        <v>312</v>
      </c>
      <c r="BI14" t="s" s="80">
        <v>311</v>
      </c>
      <c r="BJ14" t="s" s="80">
        <v>312</v>
      </c>
      <c r="BK14" t="s" s="80">
        <v>311</v>
      </c>
      <c r="BL14" t="s" s="80">
        <v>312</v>
      </c>
      <c r="BM14" t="s" s="80">
        <v>311</v>
      </c>
      <c r="BN14" t="s" s="80">
        <v>312</v>
      </c>
      <c r="BO14" t="s" s="80">
        <v>311</v>
      </c>
      <c r="BP14" t="s" s="80">
        <v>312</v>
      </c>
      <c r="BQ14" t="s" s="80">
        <v>311</v>
      </c>
      <c r="BR14" t="s" s="80">
        <v>312</v>
      </c>
      <c r="BS14" t="s" s="81">
        <v>313</v>
      </c>
      <c r="BT14" t="s" s="81">
        <v>314</v>
      </c>
      <c r="BU14" t="s" s="81">
        <v>315</v>
      </c>
      <c r="BV14" t="s" s="81">
        <v>316</v>
      </c>
      <c r="BW14" t="s" s="81">
        <v>313</v>
      </c>
      <c r="BX14" t="s" s="81">
        <v>314</v>
      </c>
      <c r="BY14" t="s" s="81">
        <v>315</v>
      </c>
      <c r="BZ14" t="s" s="81">
        <v>316</v>
      </c>
      <c r="CA14" t="s" s="81">
        <v>313</v>
      </c>
      <c r="CB14" t="s" s="81">
        <v>314</v>
      </c>
      <c r="CC14" t="s" s="81">
        <v>315</v>
      </c>
      <c r="CD14" t="s" s="81">
        <v>316</v>
      </c>
      <c r="CE14" t="s" s="81">
        <v>313</v>
      </c>
      <c r="CF14" t="s" s="81">
        <v>314</v>
      </c>
      <c r="CG14" t="s" s="81">
        <v>315</v>
      </c>
      <c r="CH14" t="s" s="81">
        <v>316</v>
      </c>
    </row>
    <row r="15" ht="15.0" customHeight="true">
      <c r="A15" s="82"/>
      <c r="B15" t="n" s="83">
        <v>1.0</v>
      </c>
      <c r="C15" t="n" s="83">
        <v>2.0</v>
      </c>
      <c r="D15" t="n" s="83">
        <v>3.0</v>
      </c>
      <c r="E15" t="n" s="83">
        <v>4.0</v>
      </c>
      <c r="F15" t="n" s="83">
        <v>5.0</v>
      </c>
      <c r="G15" t="n" s="83">
        <v>6.0</v>
      </c>
      <c r="H15" t="n" s="83">
        <v>7.0</v>
      </c>
      <c r="I15" t="n" s="84">
        <v>8.0</v>
      </c>
      <c r="J15" t="n" s="85">
        <v>0.0</v>
      </c>
      <c r="K15" t="n" s="85">
        <v>9.0</v>
      </c>
      <c r="L15" t="n" s="85">
        <v>0.0</v>
      </c>
      <c r="M15" t="n" s="85">
        <v>10.0</v>
      </c>
      <c r="N15" t="n" s="85">
        <v>11.0</v>
      </c>
      <c r="O15" t="n" s="83">
        <v>12.0</v>
      </c>
      <c r="P15" t="n" s="83">
        <v>13.0</v>
      </c>
      <c r="Q15" t="n" s="84">
        <v>0.0</v>
      </c>
      <c r="R15" t="n" s="85">
        <v>14.0</v>
      </c>
      <c r="S15" s="85"/>
      <c r="T15" s="85"/>
      <c r="U15" s="85"/>
      <c r="V15" t="n" s="85">
        <v>15.0</v>
      </c>
      <c r="W15" t="n" s="86">
        <v>16.0</v>
      </c>
      <c r="X15" t="n" s="86">
        <v>17.0</v>
      </c>
      <c r="Y15" t="n" s="86">
        <v>18.0</v>
      </c>
      <c r="Z15" t="n" s="86">
        <v>19.0</v>
      </c>
      <c r="AA15" t="n" s="86">
        <v>20.0</v>
      </c>
      <c r="AB15" t="n" s="86">
        <v>21.0</v>
      </c>
      <c r="AC15" t="n" s="86">
        <v>22.0</v>
      </c>
      <c r="AD15" t="n" s="86">
        <v>23.0</v>
      </c>
      <c r="AE15" t="n" s="86">
        <v>24.0</v>
      </c>
      <c r="AF15" t="n" s="86">
        <v>25.0</v>
      </c>
      <c r="AG15" t="n" s="86">
        <v>26.0</v>
      </c>
      <c r="AH15" t="n" s="86">
        <v>27.0</v>
      </c>
      <c r="AI15" t="n" s="86">
        <v>28.0</v>
      </c>
      <c r="AJ15" t="n" s="86">
        <v>29.0</v>
      </c>
      <c r="AK15" t="n" s="86">
        <v>30.0</v>
      </c>
      <c r="AL15" t="n" s="86">
        <v>31.0</v>
      </c>
      <c r="AM15" t="n" s="86">
        <v>32.0</v>
      </c>
      <c r="AN15" t="n" s="86">
        <v>33.0</v>
      </c>
      <c r="AO15" t="n" s="86">
        <v>34.0</v>
      </c>
      <c r="AP15" t="n" s="86">
        <v>35.0</v>
      </c>
      <c r="AQ15" t="n" s="86">
        <v>36.0</v>
      </c>
      <c r="AR15" t="n" s="86">
        <v>37.0</v>
      </c>
      <c r="AS15" t="n" s="86">
        <v>38.0</v>
      </c>
      <c r="AT15" t="n" s="86">
        <v>39.0</v>
      </c>
      <c r="AU15" t="n" s="86">
        <v>40.0</v>
      </c>
      <c r="AV15" t="n" s="86">
        <v>41.0</v>
      </c>
      <c r="AW15" t="n" s="86">
        <v>42.0</v>
      </c>
      <c r="AX15" t="n" s="86">
        <v>43.0</v>
      </c>
      <c r="AY15" t="n" s="86">
        <v>44.0</v>
      </c>
      <c r="AZ15" t="n" s="86">
        <v>45.0</v>
      </c>
      <c r="BA15" t="n" s="86">
        <v>46.0</v>
      </c>
      <c r="BB15" t="n" s="86">
        <v>47.0</v>
      </c>
      <c r="BC15" t="n" s="86">
        <v>48.0</v>
      </c>
      <c r="BD15" t="n" s="86">
        <v>49.0</v>
      </c>
      <c r="BE15" t="n" s="86">
        <v>50.0</v>
      </c>
      <c r="BF15" t="n" s="86">
        <v>51.0</v>
      </c>
      <c r="BG15" t="n" s="86">
        <v>52.0</v>
      </c>
      <c r="BH15" t="n" s="86">
        <v>53.0</v>
      </c>
      <c r="BI15" t="n" s="86">
        <v>54.0</v>
      </c>
      <c r="BJ15" t="n" s="86">
        <v>55.0</v>
      </c>
      <c r="BK15" t="n" s="86">
        <v>56.0</v>
      </c>
      <c r="BL15" t="n" s="86">
        <v>57.0</v>
      </c>
      <c r="BM15" t="n" s="86">
        <v>58.0</v>
      </c>
      <c r="BN15" t="n" s="86">
        <v>59.0</v>
      </c>
      <c r="BO15" t="n" s="86">
        <v>60.0</v>
      </c>
      <c r="BP15" t="n" s="86">
        <v>61.0</v>
      </c>
      <c r="BQ15" t="n" s="86">
        <v>62.0</v>
      </c>
      <c r="BR15" t="n" s="86">
        <v>63.0</v>
      </c>
      <c r="BS15" t="n" s="86">
        <v>64.0</v>
      </c>
      <c r="BT15" t="n" s="86">
        <v>65.0</v>
      </c>
      <c r="BU15" t="n" s="86">
        <v>66.0</v>
      </c>
      <c r="BV15" t="n" s="86">
        <v>67.0</v>
      </c>
      <c r="BW15" t="n" s="86">
        <v>68.0</v>
      </c>
      <c r="BX15" t="n" s="86">
        <v>69.0</v>
      </c>
      <c r="BY15" t="n" s="86">
        <v>70.0</v>
      </c>
      <c r="BZ15" t="n" s="86">
        <v>71.0</v>
      </c>
      <c r="CA15" t="n" s="87">
        <v>72.0</v>
      </c>
      <c r="CB15" t="n" s="87">
        <v>73.0</v>
      </c>
      <c r="CC15" t="n" s="87">
        <v>74.0</v>
      </c>
      <c r="CD15" t="n" s="87">
        <v>75.0</v>
      </c>
      <c r="CE15" t="n" s="87">
        <v>76.0</v>
      </c>
      <c r="CF15" t="n" s="87">
        <v>77.0</v>
      </c>
      <c r="CG15" t="n" s="87">
        <v>78.0</v>
      </c>
      <c r="CH15" t="n" s="87">
        <v>79.0</v>
      </c>
    </row>
    <row r="16">
      <c r="A16" s="10"/>
      <c r="B16" s="4" t="s">
        <v>317</v>
      </c>
      <c r="C16" s="4" t="n">
        <v>1.0</v>
      </c>
      <c r="D16" s="4" t="s">
        <v>318</v>
      </c>
      <c r="E16" s="4" t="s">
        <v>319</v>
      </c>
      <c r="F16" s="4" t="s">
        <v>320</v>
      </c>
      <c r="G16" s="4" t="s">
        <v>321</v>
      </c>
      <c r="H16" s="4" t="s">
        <v>322</v>
      </c>
      <c r="I16" s="4" t="s">
        <v>0</v>
      </c>
      <c r="J16" s="10"/>
      <c r="K16" s="12" t="n">
        <v>2240.0</v>
      </c>
      <c r="L16" s="10"/>
      <c r="M16" s="10"/>
      <c r="N16" s="10"/>
      <c r="O16" s="10"/>
      <c r="P16" s="10" t="n">
        <f>IF(OR(R16="Российская Федерация",R16="Армения",R16="Белоруссия",R16="Беларуь",R16="Казахстан",R16="Киргизия",R16="Кыргызстан",R16="ДНР",R16="ЛНР"), 1, 0)</f>
        <v>0.0</v>
      </c>
      <c r="Q16" s="10"/>
      <c r="R16" s="10" t="str">
        <f>IFERROR(IF(P16=1, "Российская Федерация", "Не заполнено"),"")</f>
        <v/>
      </c>
      <c r="S16" s="10"/>
      <c r="T16" s="10"/>
      <c r="U16" s="10"/>
      <c r="V16" s="12" t="n">
        <f>SUM(X16,Z16,AB16,AD16,AF16,AH16,AJ16,AL16,AN16,AP16,AR16,AT16,AV16,AX16,AZ16,BB16,BD16,BF16,BH16,BJ16,BL16,BN16,BP16,BR16,BV16,BZ16,CD16,CH16)</f>
        <v>2240.0</v>
      </c>
      <c r="W16" s="11" t="n">
        <v>0.0</v>
      </c>
      <c r="X16" s="10" t="n">
        <v>0.0</v>
      </c>
      <c r="Y16" s="11" t="n">
        <v>0.0</v>
      </c>
      <c r="Z16" s="10" t="n">
        <v>0.0</v>
      </c>
      <c r="AA16" s="11" t="n">
        <v>0.0</v>
      </c>
      <c r="AB16" s="10" t="n">
        <v>0.0</v>
      </c>
      <c r="AC16" s="11" t="n">
        <v>0.0</v>
      </c>
      <c r="AD16" s="10" t="n">
        <v>0.0</v>
      </c>
      <c r="AE16" s="11" t="n">
        <v>0.0</v>
      </c>
      <c r="AF16" s="10" t="n">
        <v>0.0</v>
      </c>
      <c r="AG16" s="11" t="n">
        <v>0.0</v>
      </c>
      <c r="AH16" s="10" t="n">
        <v>0.0</v>
      </c>
      <c r="AI16" s="11" t="n">
        <v>0.0</v>
      </c>
      <c r="AJ16" s="10" t="n">
        <v>0.0</v>
      </c>
      <c r="AK16" s="11" t="n">
        <v>0.0</v>
      </c>
      <c r="AL16" s="10" t="n">
        <v>0.0</v>
      </c>
      <c r="AM16" s="11" t="n">
        <v>0.0</v>
      </c>
      <c r="AN16" s="10" t="n">
        <v>0.0</v>
      </c>
      <c r="AO16" s="11" t="n">
        <v>0.0</v>
      </c>
      <c r="AP16" s="10" t="n">
        <v>0.0</v>
      </c>
      <c r="AQ16" s="11" t="n">
        <v>0.0</v>
      </c>
      <c r="AR16" s="10" t="n">
        <v>0.0</v>
      </c>
      <c r="AS16" s="11" t="n">
        <v>0.0</v>
      </c>
      <c r="AT16" s="10" t="n">
        <v>0.0</v>
      </c>
      <c r="AU16" s="8" t="n">
        <v>2240.0</v>
      </c>
      <c r="AV16" s="9" t="n">
        <v>2240.0</v>
      </c>
      <c r="AW16" s="11" t="n">
        <v>0.0</v>
      </c>
      <c r="AX16" s="10" t="n">
        <v>0.0</v>
      </c>
      <c r="AY16" s="11" t="n">
        <v>0.0</v>
      </c>
      <c r="AZ16" s="10" t="n">
        <v>0.0</v>
      </c>
      <c r="BA16" s="11" t="n">
        <v>0.0</v>
      </c>
      <c r="BB16" s="10" t="n">
        <v>0.0</v>
      </c>
      <c r="BC16" s="11" t="n">
        <v>0.0</v>
      </c>
      <c r="BD16" s="10" t="n">
        <v>0.0</v>
      </c>
      <c r="BE16" s="11" t="n">
        <v>0.0</v>
      </c>
      <c r="BF16" s="10" t="n">
        <v>0.0</v>
      </c>
      <c r="BG16" s="11" t="n">
        <v>0.0</v>
      </c>
      <c r="BH16" s="10" t="n">
        <v>0.0</v>
      </c>
      <c r="BI16" s="11" t="n">
        <v>0.0</v>
      </c>
      <c r="BJ16" s="10" t="n">
        <v>0.0</v>
      </c>
      <c r="BK16" s="11" t="n">
        <v>0.0</v>
      </c>
      <c r="BL16" s="10" t="n">
        <v>0.0</v>
      </c>
      <c r="BM16" s="11" t="n">
        <v>0.0</v>
      </c>
      <c r="BN16" s="10" t="n">
        <v>0.0</v>
      </c>
      <c r="BO16" s="11" t="n">
        <v>0.0</v>
      </c>
      <c r="BP16" s="10" t="n">
        <v>0.0</v>
      </c>
      <c r="BQ16" s="11" t="n">
        <v>0.0</v>
      </c>
      <c r="BR16" s="10" t="n">
        <v>0.0</v>
      </c>
      <c r="BS16" s="11"/>
      <c r="BT16" s="11" t="n">
        <v>0.0</v>
      </c>
      <c r="BU16" s="10"/>
      <c r="BV16" s="10" t="n">
        <v>0.0</v>
      </c>
      <c r="BW16" s="11"/>
      <c r="BX16" s="11" t="n">
        <v>0.0</v>
      </c>
      <c r="BY16" s="10"/>
      <c r="BZ16" s="10" t="n">
        <v>0.0</v>
      </c>
      <c r="CA16" s="11"/>
      <c r="CB16" s="11" t="n">
        <v>0.0</v>
      </c>
      <c r="CC16" s="10"/>
      <c r="CD16" s="10" t="n">
        <v>0.0</v>
      </c>
      <c r="CE16" s="11"/>
      <c r="CF16" s="11" t="n">
        <v>0.0</v>
      </c>
      <c r="CG16" s="10"/>
      <c r="CH16" s="10" t="n">
        <v>0.0</v>
      </c>
    </row>
    <row r="17">
      <c r="A17" s="10"/>
      <c r="B17" s="4" t="s">
        <v>317</v>
      </c>
      <c r="C17" s="4" t="n">
        <v>2.0</v>
      </c>
      <c r="D17" s="4" t="s">
        <v>323</v>
      </c>
      <c r="E17" s="4" t="s">
        <v>324</v>
      </c>
      <c r="F17" s="4" t="s">
        <v>325</v>
      </c>
      <c r="G17" s="4" t="s">
        <v>321</v>
      </c>
      <c r="H17" s="4" t="s">
        <v>322</v>
      </c>
      <c r="I17" s="4" t="s">
        <v>0</v>
      </c>
      <c r="J17" s="10"/>
      <c r="K17" s="12" t="n">
        <v>8507.0</v>
      </c>
      <c r="L17" s="10"/>
      <c r="M17" s="10"/>
      <c r="N17" s="10"/>
      <c r="O17" s="10"/>
      <c r="P17" s="10" t="n">
        <f>IF(OR(R17="Российская Федерация",R17="Армения",R17="Белоруссия",R17="Беларуь",R17="Казахстан",R17="Киргизия",R17="Кыргызстан",R17="ДНР",R17="ЛНР"), 1, 0)</f>
        <v>0.0</v>
      </c>
      <c r="Q17" s="10"/>
      <c r="R17" s="10" t="str">
        <f>IFERROR(IF(P17=1, "Российская Федерация", "Не заполнено"),"")</f>
        <v/>
      </c>
      <c r="S17" s="10"/>
      <c r="T17" s="10"/>
      <c r="U17" s="10"/>
      <c r="V17" s="12" t="n">
        <f>SUM(X17,Z17,AB17,AD17,AF17,AH17,AJ17,AL17,AN17,AP17,AR17,AT17,AV17,AX17,AZ17,BB17,BD17,BF17,BH17,BJ17,BL17,BN17,BP17,BR17,BV17,BZ17,CD17,CH17)</f>
        <v>8507.0</v>
      </c>
      <c r="W17" s="11" t="n">
        <v>0.0</v>
      </c>
      <c r="X17" s="10" t="n">
        <v>0.0</v>
      </c>
      <c r="Y17" s="11" t="n">
        <v>0.0</v>
      </c>
      <c r="Z17" s="10" t="n">
        <v>0.0</v>
      </c>
      <c r="AA17" s="11" t="n">
        <v>0.0</v>
      </c>
      <c r="AB17" s="10" t="n">
        <v>0.0</v>
      </c>
      <c r="AC17" s="11" t="n">
        <v>0.0</v>
      </c>
      <c r="AD17" s="10" t="n">
        <v>0.0</v>
      </c>
      <c r="AE17" s="11" t="n">
        <v>0.0</v>
      </c>
      <c r="AF17" s="10" t="n">
        <v>0.0</v>
      </c>
      <c r="AG17" s="11" t="n">
        <v>0.0</v>
      </c>
      <c r="AH17" s="10" t="n">
        <v>0.0</v>
      </c>
      <c r="AI17" s="11" t="n">
        <v>0.0</v>
      </c>
      <c r="AJ17" s="10" t="n">
        <v>0.0</v>
      </c>
      <c r="AK17" s="11" t="n">
        <v>0.0</v>
      </c>
      <c r="AL17" s="10" t="n">
        <v>0.0</v>
      </c>
      <c r="AM17" s="11" t="n">
        <v>0.0</v>
      </c>
      <c r="AN17" s="10" t="n">
        <v>0.0</v>
      </c>
      <c r="AO17" s="11" t="n">
        <v>0.0</v>
      </c>
      <c r="AP17" s="10" t="n">
        <v>0.0</v>
      </c>
      <c r="AQ17" s="11" t="n">
        <v>0.0</v>
      </c>
      <c r="AR17" s="10" t="n">
        <v>0.0</v>
      </c>
      <c r="AS17" s="11" t="n">
        <v>0.0</v>
      </c>
      <c r="AT17" s="10" t="n">
        <v>0.0</v>
      </c>
      <c r="AU17" s="8" t="n">
        <v>8507.0</v>
      </c>
      <c r="AV17" s="9" t="n">
        <v>8507.0</v>
      </c>
      <c r="AW17" s="11" t="n">
        <v>0.0</v>
      </c>
      <c r="AX17" s="10" t="n">
        <v>0.0</v>
      </c>
      <c r="AY17" s="11" t="n">
        <v>0.0</v>
      </c>
      <c r="AZ17" s="10" t="n">
        <v>0.0</v>
      </c>
      <c r="BA17" s="11" t="n">
        <v>0.0</v>
      </c>
      <c r="BB17" s="10" t="n">
        <v>0.0</v>
      </c>
      <c r="BC17" s="11" t="n">
        <v>0.0</v>
      </c>
      <c r="BD17" s="10" t="n">
        <v>0.0</v>
      </c>
      <c r="BE17" s="11" t="n">
        <v>0.0</v>
      </c>
      <c r="BF17" s="10" t="n">
        <v>0.0</v>
      </c>
      <c r="BG17" s="11" t="n">
        <v>0.0</v>
      </c>
      <c r="BH17" s="10" t="n">
        <v>0.0</v>
      </c>
      <c r="BI17" s="11" t="n">
        <v>0.0</v>
      </c>
      <c r="BJ17" s="10" t="n">
        <v>0.0</v>
      </c>
      <c r="BK17" s="11" t="n">
        <v>0.0</v>
      </c>
      <c r="BL17" s="10" t="n">
        <v>0.0</v>
      </c>
      <c r="BM17" s="11" t="n">
        <v>0.0</v>
      </c>
      <c r="BN17" s="10" t="n">
        <v>0.0</v>
      </c>
      <c r="BO17" s="11" t="n">
        <v>0.0</v>
      </c>
      <c r="BP17" s="10" t="n">
        <v>0.0</v>
      </c>
      <c r="BQ17" s="11" t="n">
        <v>0.0</v>
      </c>
      <c r="BR17" s="10" t="n">
        <v>0.0</v>
      </c>
      <c r="BS17" s="11"/>
      <c r="BT17" s="11" t="n">
        <v>0.0</v>
      </c>
      <c r="BU17" s="10"/>
      <c r="BV17" s="10" t="n">
        <v>0.0</v>
      </c>
      <c r="BW17" s="11"/>
      <c r="BX17" s="11" t="n">
        <v>0.0</v>
      </c>
      <c r="BY17" s="10"/>
      <c r="BZ17" s="10" t="n">
        <v>0.0</v>
      </c>
      <c r="CA17" s="11"/>
      <c r="CB17" s="11" t="n">
        <v>0.0</v>
      </c>
      <c r="CC17" s="10"/>
      <c r="CD17" s="10" t="n">
        <v>0.0</v>
      </c>
      <c r="CE17" s="11"/>
      <c r="CF17" s="11" t="n">
        <v>0.0</v>
      </c>
      <c r="CG17" s="10"/>
      <c r="CH17" s="10" t="n">
        <v>0.0</v>
      </c>
    </row>
    <row r="18">
      <c r="A18" s="10"/>
      <c r="B18" s="4" t="s">
        <v>317</v>
      </c>
      <c r="C18" s="4" t="n">
        <v>3.0</v>
      </c>
      <c r="D18" s="4" t="s">
        <v>326</v>
      </c>
      <c r="E18" s="4" t="s">
        <v>327</v>
      </c>
      <c r="F18" s="4" t="s">
        <v>328</v>
      </c>
      <c r="G18" s="4" t="s">
        <v>321</v>
      </c>
      <c r="H18" s="4" t="s">
        <v>322</v>
      </c>
      <c r="I18" s="4" t="s">
        <v>0</v>
      </c>
      <c r="J18" s="10"/>
      <c r="K18" s="12" t="n">
        <v>2565.0</v>
      </c>
      <c r="L18" s="10"/>
      <c r="M18" s="10"/>
      <c r="N18" s="10"/>
      <c r="O18" s="10"/>
      <c r="P18" s="10" t="n">
        <f>IF(OR(R18="Российская Федерация",R18="Армения",R18="Белоруссия",R18="Беларуь",R18="Казахстан",R18="Киргизия",R18="Кыргызстан",R18="ДНР",R18="ЛНР"), 1, 0)</f>
        <v>0.0</v>
      </c>
      <c r="Q18" s="10"/>
      <c r="R18" s="10" t="str">
        <f>IFERROR(IF(P18=1, "Российская Федерация", "Не заполнено"),"")</f>
        <v/>
      </c>
      <c r="S18" s="10"/>
      <c r="T18" s="10"/>
      <c r="U18" s="10"/>
      <c r="V18" s="12" t="n">
        <f>SUM(X18,Z18,AB18,AD18,AF18,AH18,AJ18,AL18,AN18,AP18,AR18,AT18,AV18,AX18,AZ18,BB18,BD18,BF18,BH18,BJ18,BL18,BN18,BP18,BR18,BV18,BZ18,CD18,CH18)</f>
        <v>2565.0</v>
      </c>
      <c r="W18" s="11" t="n">
        <v>0.0</v>
      </c>
      <c r="X18" s="10" t="n">
        <v>0.0</v>
      </c>
      <c r="Y18" s="11" t="n">
        <v>0.0</v>
      </c>
      <c r="Z18" s="10" t="n">
        <v>0.0</v>
      </c>
      <c r="AA18" s="11" t="n">
        <v>0.0</v>
      </c>
      <c r="AB18" s="10" t="n">
        <v>0.0</v>
      </c>
      <c r="AC18" s="11" t="n">
        <v>0.0</v>
      </c>
      <c r="AD18" s="10" t="n">
        <v>0.0</v>
      </c>
      <c r="AE18" s="11" t="n">
        <v>0.0</v>
      </c>
      <c r="AF18" s="10" t="n">
        <v>0.0</v>
      </c>
      <c r="AG18" s="11" t="n">
        <v>0.0</v>
      </c>
      <c r="AH18" s="10" t="n">
        <v>0.0</v>
      </c>
      <c r="AI18" s="11" t="n">
        <v>0.0</v>
      </c>
      <c r="AJ18" s="10" t="n">
        <v>0.0</v>
      </c>
      <c r="AK18" s="11" t="n">
        <v>0.0</v>
      </c>
      <c r="AL18" s="10" t="n">
        <v>0.0</v>
      </c>
      <c r="AM18" s="11" t="n">
        <v>0.0</v>
      </c>
      <c r="AN18" s="10" t="n">
        <v>0.0</v>
      </c>
      <c r="AO18" s="11" t="n">
        <v>0.0</v>
      </c>
      <c r="AP18" s="10" t="n">
        <v>0.0</v>
      </c>
      <c r="AQ18" s="11" t="n">
        <v>0.0</v>
      </c>
      <c r="AR18" s="10" t="n">
        <v>0.0</v>
      </c>
      <c r="AS18" s="11" t="n">
        <v>0.0</v>
      </c>
      <c r="AT18" s="10" t="n">
        <v>0.0</v>
      </c>
      <c r="AU18" s="8" t="n">
        <v>2565.0</v>
      </c>
      <c r="AV18" s="9" t="n">
        <v>2565.0</v>
      </c>
      <c r="AW18" s="11" t="n">
        <v>0.0</v>
      </c>
      <c r="AX18" s="10" t="n">
        <v>0.0</v>
      </c>
      <c r="AY18" s="11" t="n">
        <v>0.0</v>
      </c>
      <c r="AZ18" s="10" t="n">
        <v>0.0</v>
      </c>
      <c r="BA18" s="11" t="n">
        <v>0.0</v>
      </c>
      <c r="BB18" s="10" t="n">
        <v>0.0</v>
      </c>
      <c r="BC18" s="11" t="n">
        <v>0.0</v>
      </c>
      <c r="BD18" s="10" t="n">
        <v>0.0</v>
      </c>
      <c r="BE18" s="11" t="n">
        <v>0.0</v>
      </c>
      <c r="BF18" s="10" t="n">
        <v>0.0</v>
      </c>
      <c r="BG18" s="11" t="n">
        <v>0.0</v>
      </c>
      <c r="BH18" s="10" t="n">
        <v>0.0</v>
      </c>
      <c r="BI18" s="11" t="n">
        <v>0.0</v>
      </c>
      <c r="BJ18" s="10" t="n">
        <v>0.0</v>
      </c>
      <c r="BK18" s="11" t="n">
        <v>0.0</v>
      </c>
      <c r="BL18" s="10" t="n">
        <v>0.0</v>
      </c>
      <c r="BM18" s="11" t="n">
        <v>0.0</v>
      </c>
      <c r="BN18" s="10" t="n">
        <v>0.0</v>
      </c>
      <c r="BO18" s="11" t="n">
        <v>0.0</v>
      </c>
      <c r="BP18" s="10" t="n">
        <v>0.0</v>
      </c>
      <c r="BQ18" s="11" t="n">
        <v>0.0</v>
      </c>
      <c r="BR18" s="10" t="n">
        <v>0.0</v>
      </c>
      <c r="BS18" s="11"/>
      <c r="BT18" s="11" t="n">
        <v>0.0</v>
      </c>
      <c r="BU18" s="10"/>
      <c r="BV18" s="10" t="n">
        <v>0.0</v>
      </c>
      <c r="BW18" s="11"/>
      <c r="BX18" s="11" t="n">
        <v>0.0</v>
      </c>
      <c r="BY18" s="10"/>
      <c r="BZ18" s="10" t="n">
        <v>0.0</v>
      </c>
      <c r="CA18" s="11"/>
      <c r="CB18" s="11" t="n">
        <v>0.0</v>
      </c>
      <c r="CC18" s="10"/>
      <c r="CD18" s="10" t="n">
        <v>0.0</v>
      </c>
      <c r="CE18" s="11"/>
      <c r="CF18" s="11" t="n">
        <v>0.0</v>
      </c>
      <c r="CG18" s="10"/>
      <c r="CH18" s="10" t="n">
        <v>0.0</v>
      </c>
    </row>
    <row r="19">
      <c r="A19" s="10"/>
      <c r="B19" s="4" t="s">
        <v>317</v>
      </c>
      <c r="C19" s="4" t="n">
        <v>4.0</v>
      </c>
      <c r="D19" s="4" t="s">
        <v>329</v>
      </c>
      <c r="E19" s="4" t="s">
        <v>330</v>
      </c>
      <c r="F19" s="4" t="s">
        <v>331</v>
      </c>
      <c r="G19" s="4" t="s">
        <v>321</v>
      </c>
      <c r="H19" s="4" t="s">
        <v>322</v>
      </c>
      <c r="I19" s="4" t="s">
        <v>0</v>
      </c>
      <c r="J19" s="10"/>
      <c r="K19" s="12" t="n">
        <v>110.0</v>
      </c>
      <c r="L19" s="10"/>
      <c r="M19" s="10"/>
      <c r="N19" s="10"/>
      <c r="O19" s="10"/>
      <c r="P19" s="10" t="n">
        <f>IF(OR(R19="Российская Федерация",R19="Армения",R19="Белоруссия",R19="Беларуь",R19="Казахстан",R19="Киргизия",R19="Кыргызстан",R19="ДНР",R19="ЛНР"), 1, 0)</f>
        <v>0.0</v>
      </c>
      <c r="Q19" s="10"/>
      <c r="R19" s="10" t="str">
        <f>IFERROR(IF(P19=1, "Российская Федерация", "Не заполнено"),"")</f>
        <v/>
      </c>
      <c r="S19" s="10"/>
      <c r="T19" s="10"/>
      <c r="U19" s="10"/>
      <c r="V19" s="12" t="n">
        <f>SUM(X19,Z19,AB19,AD19,AF19,AH19,AJ19,AL19,AN19,AP19,AR19,AT19,AV19,AX19,AZ19,BB19,BD19,BF19,BH19,BJ19,BL19,BN19,BP19,BR19,BV19,BZ19,CD19,CH19)</f>
        <v>110.0</v>
      </c>
      <c r="W19" s="11" t="n">
        <v>0.0</v>
      </c>
      <c r="X19" s="10" t="n">
        <v>0.0</v>
      </c>
      <c r="Y19" s="11" t="n">
        <v>0.0</v>
      </c>
      <c r="Z19" s="10" t="n">
        <v>0.0</v>
      </c>
      <c r="AA19" s="11" t="n">
        <v>0.0</v>
      </c>
      <c r="AB19" s="10" t="n">
        <v>0.0</v>
      </c>
      <c r="AC19" s="11" t="n">
        <v>0.0</v>
      </c>
      <c r="AD19" s="10" t="n">
        <v>0.0</v>
      </c>
      <c r="AE19" s="11" t="n">
        <v>0.0</v>
      </c>
      <c r="AF19" s="10" t="n">
        <v>0.0</v>
      </c>
      <c r="AG19" s="11" t="n">
        <v>0.0</v>
      </c>
      <c r="AH19" s="10" t="n">
        <v>0.0</v>
      </c>
      <c r="AI19" s="11" t="n">
        <v>0.0</v>
      </c>
      <c r="AJ19" s="10" t="n">
        <v>0.0</v>
      </c>
      <c r="AK19" s="11" t="n">
        <v>0.0</v>
      </c>
      <c r="AL19" s="10" t="n">
        <v>0.0</v>
      </c>
      <c r="AM19" s="11" t="n">
        <v>0.0</v>
      </c>
      <c r="AN19" s="10" t="n">
        <v>0.0</v>
      </c>
      <c r="AO19" s="11" t="n">
        <v>0.0</v>
      </c>
      <c r="AP19" s="10" t="n">
        <v>0.0</v>
      </c>
      <c r="AQ19" s="11" t="n">
        <v>0.0</v>
      </c>
      <c r="AR19" s="10" t="n">
        <v>0.0</v>
      </c>
      <c r="AS19" s="11" t="n">
        <v>0.0</v>
      </c>
      <c r="AT19" s="10" t="n">
        <v>0.0</v>
      </c>
      <c r="AU19" s="8" t="n">
        <v>110.0</v>
      </c>
      <c r="AV19" s="9" t="n">
        <v>110.0</v>
      </c>
      <c r="AW19" s="11" t="n">
        <v>0.0</v>
      </c>
      <c r="AX19" s="10" t="n">
        <v>0.0</v>
      </c>
      <c r="AY19" s="11" t="n">
        <v>0.0</v>
      </c>
      <c r="AZ19" s="10" t="n">
        <v>0.0</v>
      </c>
      <c r="BA19" s="11" t="n">
        <v>0.0</v>
      </c>
      <c r="BB19" s="10" t="n">
        <v>0.0</v>
      </c>
      <c r="BC19" s="11" t="n">
        <v>0.0</v>
      </c>
      <c r="BD19" s="10" t="n">
        <v>0.0</v>
      </c>
      <c r="BE19" s="11" t="n">
        <v>0.0</v>
      </c>
      <c r="BF19" s="10" t="n">
        <v>0.0</v>
      </c>
      <c r="BG19" s="11" t="n">
        <v>0.0</v>
      </c>
      <c r="BH19" s="10" t="n">
        <v>0.0</v>
      </c>
      <c r="BI19" s="11" t="n">
        <v>0.0</v>
      </c>
      <c r="BJ19" s="10" t="n">
        <v>0.0</v>
      </c>
      <c r="BK19" s="11" t="n">
        <v>0.0</v>
      </c>
      <c r="BL19" s="10" t="n">
        <v>0.0</v>
      </c>
      <c r="BM19" s="11" t="n">
        <v>0.0</v>
      </c>
      <c r="BN19" s="10" t="n">
        <v>0.0</v>
      </c>
      <c r="BO19" s="11" t="n">
        <v>0.0</v>
      </c>
      <c r="BP19" s="10" t="n">
        <v>0.0</v>
      </c>
      <c r="BQ19" s="11" t="n">
        <v>0.0</v>
      </c>
      <c r="BR19" s="10" t="n">
        <v>0.0</v>
      </c>
      <c r="BS19" s="11"/>
      <c r="BT19" s="11" t="n">
        <v>0.0</v>
      </c>
      <c r="BU19" s="10"/>
      <c r="BV19" s="10" t="n">
        <v>0.0</v>
      </c>
      <c r="BW19" s="11"/>
      <c r="BX19" s="11" t="n">
        <v>0.0</v>
      </c>
      <c r="BY19" s="10"/>
      <c r="BZ19" s="10" t="n">
        <v>0.0</v>
      </c>
      <c r="CA19" s="11"/>
      <c r="CB19" s="11" t="n">
        <v>0.0</v>
      </c>
      <c r="CC19" s="10"/>
      <c r="CD19" s="10" t="n">
        <v>0.0</v>
      </c>
      <c r="CE19" s="11"/>
      <c r="CF19" s="11" t="n">
        <v>0.0</v>
      </c>
      <c r="CG19" s="10"/>
      <c r="CH19" s="10" t="n">
        <v>0.0</v>
      </c>
    </row>
    <row r="20">
      <c r="A20" s="10"/>
      <c r="B20" s="4" t="s">
        <v>317</v>
      </c>
      <c r="C20" s="4" t="n">
        <v>5.0</v>
      </c>
      <c r="D20" s="4" t="s">
        <v>332</v>
      </c>
      <c r="E20" s="4" t="s">
        <v>333</v>
      </c>
      <c r="F20" s="4" t="s">
        <v>334</v>
      </c>
      <c r="G20" s="4" t="s">
        <v>321</v>
      </c>
      <c r="H20" s="4" t="s">
        <v>322</v>
      </c>
      <c r="I20" s="4" t="s">
        <v>0</v>
      </c>
      <c r="J20" s="10"/>
      <c r="K20" s="12" t="n">
        <v>713.0</v>
      </c>
      <c r="L20" s="10"/>
      <c r="M20" s="10"/>
      <c r="N20" s="10"/>
      <c r="O20" s="10"/>
      <c r="P20" s="10" t="n">
        <f>IF(OR(R20="Российская Федерация",R20="Армения",R20="Белоруссия",R20="Беларуь",R20="Казахстан",R20="Киргизия",R20="Кыргызстан",R20="ДНР",R20="ЛНР"), 1, 0)</f>
        <v>0.0</v>
      </c>
      <c r="Q20" s="10"/>
      <c r="R20" s="10" t="str">
        <f>IFERROR(IF(P20=1, "Российская Федерация", "Не заполнено"),"")</f>
        <v/>
      </c>
      <c r="S20" s="10"/>
      <c r="T20" s="10"/>
      <c r="U20" s="10"/>
      <c r="V20" s="12" t="n">
        <f>SUM(X20,Z20,AB20,AD20,AF20,AH20,AJ20,AL20,AN20,AP20,AR20,AT20,AV20,AX20,AZ20,BB20,BD20,BF20,BH20,BJ20,BL20,BN20,BP20,BR20,BV20,BZ20,CD20,CH20)</f>
        <v>713.0</v>
      </c>
      <c r="W20" s="11" t="n">
        <v>0.0</v>
      </c>
      <c r="X20" s="10" t="n">
        <v>0.0</v>
      </c>
      <c r="Y20" s="11" t="n">
        <v>0.0</v>
      </c>
      <c r="Z20" s="10" t="n">
        <v>0.0</v>
      </c>
      <c r="AA20" s="11" t="n">
        <v>0.0</v>
      </c>
      <c r="AB20" s="10" t="n">
        <v>0.0</v>
      </c>
      <c r="AC20" s="11" t="n">
        <v>0.0</v>
      </c>
      <c r="AD20" s="10" t="n">
        <v>0.0</v>
      </c>
      <c r="AE20" s="11" t="n">
        <v>0.0</v>
      </c>
      <c r="AF20" s="10" t="n">
        <v>0.0</v>
      </c>
      <c r="AG20" s="11" t="n">
        <v>0.0</v>
      </c>
      <c r="AH20" s="10" t="n">
        <v>0.0</v>
      </c>
      <c r="AI20" s="11" t="n">
        <v>0.0</v>
      </c>
      <c r="AJ20" s="10" t="n">
        <v>0.0</v>
      </c>
      <c r="AK20" s="11" t="n">
        <v>0.0</v>
      </c>
      <c r="AL20" s="10" t="n">
        <v>0.0</v>
      </c>
      <c r="AM20" s="11" t="n">
        <v>0.0</v>
      </c>
      <c r="AN20" s="10" t="n">
        <v>0.0</v>
      </c>
      <c r="AO20" s="11" t="n">
        <v>0.0</v>
      </c>
      <c r="AP20" s="10" t="n">
        <v>0.0</v>
      </c>
      <c r="AQ20" s="11" t="n">
        <v>0.0</v>
      </c>
      <c r="AR20" s="10" t="n">
        <v>0.0</v>
      </c>
      <c r="AS20" s="11" t="n">
        <v>0.0</v>
      </c>
      <c r="AT20" s="10" t="n">
        <v>0.0</v>
      </c>
      <c r="AU20" s="8" t="n">
        <v>713.0</v>
      </c>
      <c r="AV20" s="9" t="n">
        <v>713.0</v>
      </c>
      <c r="AW20" s="11" t="n">
        <v>0.0</v>
      </c>
      <c r="AX20" s="10" t="n">
        <v>0.0</v>
      </c>
      <c r="AY20" s="11" t="n">
        <v>0.0</v>
      </c>
      <c r="AZ20" s="10" t="n">
        <v>0.0</v>
      </c>
      <c r="BA20" s="11" t="n">
        <v>0.0</v>
      </c>
      <c r="BB20" s="10" t="n">
        <v>0.0</v>
      </c>
      <c r="BC20" s="11" t="n">
        <v>0.0</v>
      </c>
      <c r="BD20" s="10" t="n">
        <v>0.0</v>
      </c>
      <c r="BE20" s="11" t="n">
        <v>0.0</v>
      </c>
      <c r="BF20" s="10" t="n">
        <v>0.0</v>
      </c>
      <c r="BG20" s="11" t="n">
        <v>0.0</v>
      </c>
      <c r="BH20" s="10" t="n">
        <v>0.0</v>
      </c>
      <c r="BI20" s="11" t="n">
        <v>0.0</v>
      </c>
      <c r="BJ20" s="10" t="n">
        <v>0.0</v>
      </c>
      <c r="BK20" s="11" t="n">
        <v>0.0</v>
      </c>
      <c r="BL20" s="10" t="n">
        <v>0.0</v>
      </c>
      <c r="BM20" s="11" t="n">
        <v>0.0</v>
      </c>
      <c r="BN20" s="10" t="n">
        <v>0.0</v>
      </c>
      <c r="BO20" s="11" t="n">
        <v>0.0</v>
      </c>
      <c r="BP20" s="10" t="n">
        <v>0.0</v>
      </c>
      <c r="BQ20" s="11" t="n">
        <v>0.0</v>
      </c>
      <c r="BR20" s="10" t="n">
        <v>0.0</v>
      </c>
      <c r="BS20" s="11"/>
      <c r="BT20" s="11" t="n">
        <v>0.0</v>
      </c>
      <c r="BU20" s="10"/>
      <c r="BV20" s="10" t="n">
        <v>0.0</v>
      </c>
      <c r="BW20" s="11"/>
      <c r="BX20" s="11" t="n">
        <v>0.0</v>
      </c>
      <c r="BY20" s="10"/>
      <c r="BZ20" s="10" t="n">
        <v>0.0</v>
      </c>
      <c r="CA20" s="11"/>
      <c r="CB20" s="11" t="n">
        <v>0.0</v>
      </c>
      <c r="CC20" s="10"/>
      <c r="CD20" s="10" t="n">
        <v>0.0</v>
      </c>
      <c r="CE20" s="11"/>
      <c r="CF20" s="11" t="n">
        <v>0.0</v>
      </c>
      <c r="CG20" s="10"/>
      <c r="CH20" s="10" t="n">
        <v>0.0</v>
      </c>
    </row>
    <row r="21">
      <c r="A21" s="10"/>
      <c r="B21" s="4" t="s">
        <v>317</v>
      </c>
      <c r="C21" s="4" t="n">
        <v>6.0</v>
      </c>
      <c r="D21" s="4" t="s">
        <v>335</v>
      </c>
      <c r="E21" s="4" t="s">
        <v>336</v>
      </c>
      <c r="F21" s="4" t="s">
        <v>337</v>
      </c>
      <c r="G21" s="4" t="s">
        <v>321</v>
      </c>
      <c r="H21" s="4" t="s">
        <v>322</v>
      </c>
      <c r="I21" s="4" t="s">
        <v>0</v>
      </c>
      <c r="J21" s="10"/>
      <c r="K21" s="12" t="n">
        <v>36.0</v>
      </c>
      <c r="L21" s="10"/>
      <c r="M21" s="10"/>
      <c r="N21" s="10"/>
      <c r="O21" s="10"/>
      <c r="P21" s="10" t="n">
        <f>IF(OR(R21="Российская Федерация",R21="Армения",R21="Белоруссия",R21="Беларуь",R21="Казахстан",R21="Киргизия",R21="Кыргызстан",R21="ДНР",R21="ЛНР"), 1, 0)</f>
        <v>0.0</v>
      </c>
      <c r="Q21" s="10"/>
      <c r="R21" s="10" t="str">
        <f>IFERROR(IF(P21=1, "Российская Федерация", "Не заполнено"),"")</f>
        <v/>
      </c>
      <c r="S21" s="10"/>
      <c r="T21" s="10"/>
      <c r="U21" s="10"/>
      <c r="V21" s="12" t="n">
        <f>SUM(X21,Z21,AB21,AD21,AF21,AH21,AJ21,AL21,AN21,AP21,AR21,AT21,AV21,AX21,AZ21,BB21,BD21,BF21,BH21,BJ21,BL21,BN21,BP21,BR21,BV21,BZ21,CD21,CH21)</f>
        <v>36.0</v>
      </c>
      <c r="W21" s="11" t="n">
        <v>0.0</v>
      </c>
      <c r="X21" s="10" t="n">
        <v>0.0</v>
      </c>
      <c r="Y21" s="11" t="n">
        <v>0.0</v>
      </c>
      <c r="Z21" s="10" t="n">
        <v>0.0</v>
      </c>
      <c r="AA21" s="11" t="n">
        <v>0.0</v>
      </c>
      <c r="AB21" s="10" t="n">
        <v>0.0</v>
      </c>
      <c r="AC21" s="11" t="n">
        <v>0.0</v>
      </c>
      <c r="AD21" s="10" t="n">
        <v>0.0</v>
      </c>
      <c r="AE21" s="11" t="n">
        <v>0.0</v>
      </c>
      <c r="AF21" s="10" t="n">
        <v>0.0</v>
      </c>
      <c r="AG21" s="11" t="n">
        <v>0.0</v>
      </c>
      <c r="AH21" s="10" t="n">
        <v>0.0</v>
      </c>
      <c r="AI21" s="11" t="n">
        <v>0.0</v>
      </c>
      <c r="AJ21" s="10" t="n">
        <v>0.0</v>
      </c>
      <c r="AK21" s="11" t="n">
        <v>0.0</v>
      </c>
      <c r="AL21" s="10" t="n">
        <v>0.0</v>
      </c>
      <c r="AM21" s="11" t="n">
        <v>0.0</v>
      </c>
      <c r="AN21" s="10" t="n">
        <v>0.0</v>
      </c>
      <c r="AO21" s="11" t="n">
        <v>0.0</v>
      </c>
      <c r="AP21" s="10" t="n">
        <v>0.0</v>
      </c>
      <c r="AQ21" s="11" t="n">
        <v>0.0</v>
      </c>
      <c r="AR21" s="10" t="n">
        <v>0.0</v>
      </c>
      <c r="AS21" s="11" t="n">
        <v>0.0</v>
      </c>
      <c r="AT21" s="10" t="n">
        <v>0.0</v>
      </c>
      <c r="AU21" s="8" t="n">
        <v>36.0</v>
      </c>
      <c r="AV21" s="9" t="n">
        <v>36.0</v>
      </c>
      <c r="AW21" s="11" t="n">
        <v>0.0</v>
      </c>
      <c r="AX21" s="10" t="n">
        <v>0.0</v>
      </c>
      <c r="AY21" s="11" t="n">
        <v>0.0</v>
      </c>
      <c r="AZ21" s="10" t="n">
        <v>0.0</v>
      </c>
      <c r="BA21" s="11" t="n">
        <v>0.0</v>
      </c>
      <c r="BB21" s="10" t="n">
        <v>0.0</v>
      </c>
      <c r="BC21" s="11" t="n">
        <v>0.0</v>
      </c>
      <c r="BD21" s="10" t="n">
        <v>0.0</v>
      </c>
      <c r="BE21" s="11" t="n">
        <v>0.0</v>
      </c>
      <c r="BF21" s="10" t="n">
        <v>0.0</v>
      </c>
      <c r="BG21" s="11" t="n">
        <v>0.0</v>
      </c>
      <c r="BH21" s="10" t="n">
        <v>0.0</v>
      </c>
      <c r="BI21" s="11" t="n">
        <v>0.0</v>
      </c>
      <c r="BJ21" s="10" t="n">
        <v>0.0</v>
      </c>
      <c r="BK21" s="11" t="n">
        <v>0.0</v>
      </c>
      <c r="BL21" s="10" t="n">
        <v>0.0</v>
      </c>
      <c r="BM21" s="11" t="n">
        <v>0.0</v>
      </c>
      <c r="BN21" s="10" t="n">
        <v>0.0</v>
      </c>
      <c r="BO21" s="11" t="n">
        <v>0.0</v>
      </c>
      <c r="BP21" s="10" t="n">
        <v>0.0</v>
      </c>
      <c r="BQ21" s="11" t="n">
        <v>0.0</v>
      </c>
      <c r="BR21" s="10" t="n">
        <v>0.0</v>
      </c>
      <c r="BS21" s="11"/>
      <c r="BT21" s="11" t="n">
        <v>0.0</v>
      </c>
      <c r="BU21" s="10"/>
      <c r="BV21" s="10" t="n">
        <v>0.0</v>
      </c>
      <c r="BW21" s="11"/>
      <c r="BX21" s="11" t="n">
        <v>0.0</v>
      </c>
      <c r="BY21" s="10"/>
      <c r="BZ21" s="10" t="n">
        <v>0.0</v>
      </c>
      <c r="CA21" s="11"/>
      <c r="CB21" s="11" t="n">
        <v>0.0</v>
      </c>
      <c r="CC21" s="10"/>
      <c r="CD21" s="10" t="n">
        <v>0.0</v>
      </c>
      <c r="CE21" s="11"/>
      <c r="CF21" s="11" t="n">
        <v>0.0</v>
      </c>
      <c r="CG21" s="10"/>
      <c r="CH21" s="10" t="n">
        <v>0.0</v>
      </c>
    </row>
    <row r="22">
      <c r="A22" s="10"/>
      <c r="B22" s="4" t="s">
        <v>317</v>
      </c>
      <c r="C22" s="4" t="n">
        <v>7.0</v>
      </c>
      <c r="D22" s="4" t="s">
        <v>338</v>
      </c>
      <c r="E22" s="4" t="s">
        <v>339</v>
      </c>
      <c r="F22" s="4" t="s">
        <v>340</v>
      </c>
      <c r="G22" s="4" t="s">
        <v>321</v>
      </c>
      <c r="H22" s="4" t="s">
        <v>322</v>
      </c>
      <c r="I22" s="4" t="s">
        <v>0</v>
      </c>
      <c r="J22" s="10"/>
      <c r="K22" s="12" t="n">
        <v>857.0</v>
      </c>
      <c r="L22" s="10"/>
      <c r="M22" s="10"/>
      <c r="N22" s="10"/>
      <c r="O22" s="10"/>
      <c r="P22" s="10" t="n">
        <f>IF(OR(R22="Российская Федерация",R22="Армения",R22="Белоруссия",R22="Беларуь",R22="Казахстан",R22="Киргизия",R22="Кыргызстан",R22="ДНР",R22="ЛНР"), 1, 0)</f>
        <v>0.0</v>
      </c>
      <c r="Q22" s="10"/>
      <c r="R22" s="10" t="str">
        <f>IFERROR(IF(P22=1, "Российская Федерация", "Не заполнено"),"")</f>
        <v/>
      </c>
      <c r="S22" s="10"/>
      <c r="T22" s="10"/>
      <c r="U22" s="10"/>
      <c r="V22" s="12" t="n">
        <f>SUM(X22,Z22,AB22,AD22,AF22,AH22,AJ22,AL22,AN22,AP22,AR22,AT22,AV22,AX22,AZ22,BB22,BD22,BF22,BH22,BJ22,BL22,BN22,BP22,BR22,BV22,BZ22,CD22,CH22)</f>
        <v>857.0</v>
      </c>
      <c r="W22" s="11" t="n">
        <v>0.0</v>
      </c>
      <c r="X22" s="10" t="n">
        <v>0.0</v>
      </c>
      <c r="Y22" s="11" t="n">
        <v>0.0</v>
      </c>
      <c r="Z22" s="10" t="n">
        <v>0.0</v>
      </c>
      <c r="AA22" s="11" t="n">
        <v>0.0</v>
      </c>
      <c r="AB22" s="10" t="n">
        <v>0.0</v>
      </c>
      <c r="AC22" s="11" t="n">
        <v>0.0</v>
      </c>
      <c r="AD22" s="10" t="n">
        <v>0.0</v>
      </c>
      <c r="AE22" s="11" t="n">
        <v>0.0</v>
      </c>
      <c r="AF22" s="10" t="n">
        <v>0.0</v>
      </c>
      <c r="AG22" s="11" t="n">
        <v>0.0</v>
      </c>
      <c r="AH22" s="10" t="n">
        <v>0.0</v>
      </c>
      <c r="AI22" s="11" t="n">
        <v>0.0</v>
      </c>
      <c r="AJ22" s="10" t="n">
        <v>0.0</v>
      </c>
      <c r="AK22" s="11" t="n">
        <v>0.0</v>
      </c>
      <c r="AL22" s="10" t="n">
        <v>0.0</v>
      </c>
      <c r="AM22" s="11" t="n">
        <v>0.0</v>
      </c>
      <c r="AN22" s="10" t="n">
        <v>0.0</v>
      </c>
      <c r="AO22" s="11" t="n">
        <v>0.0</v>
      </c>
      <c r="AP22" s="10" t="n">
        <v>0.0</v>
      </c>
      <c r="AQ22" s="11" t="n">
        <v>0.0</v>
      </c>
      <c r="AR22" s="10" t="n">
        <v>0.0</v>
      </c>
      <c r="AS22" s="11" t="n">
        <v>0.0</v>
      </c>
      <c r="AT22" s="10" t="n">
        <v>0.0</v>
      </c>
      <c r="AU22" s="8" t="n">
        <v>857.0</v>
      </c>
      <c r="AV22" s="9" t="n">
        <v>857.0</v>
      </c>
      <c r="AW22" s="11" t="n">
        <v>0.0</v>
      </c>
      <c r="AX22" s="10" t="n">
        <v>0.0</v>
      </c>
      <c r="AY22" s="11" t="n">
        <v>0.0</v>
      </c>
      <c r="AZ22" s="10" t="n">
        <v>0.0</v>
      </c>
      <c r="BA22" s="11" t="n">
        <v>0.0</v>
      </c>
      <c r="BB22" s="10" t="n">
        <v>0.0</v>
      </c>
      <c r="BC22" s="11" t="n">
        <v>0.0</v>
      </c>
      <c r="BD22" s="10" t="n">
        <v>0.0</v>
      </c>
      <c r="BE22" s="11" t="n">
        <v>0.0</v>
      </c>
      <c r="BF22" s="10" t="n">
        <v>0.0</v>
      </c>
      <c r="BG22" s="11" t="n">
        <v>0.0</v>
      </c>
      <c r="BH22" s="10" t="n">
        <v>0.0</v>
      </c>
      <c r="BI22" s="11" t="n">
        <v>0.0</v>
      </c>
      <c r="BJ22" s="10" t="n">
        <v>0.0</v>
      </c>
      <c r="BK22" s="11" t="n">
        <v>0.0</v>
      </c>
      <c r="BL22" s="10" t="n">
        <v>0.0</v>
      </c>
      <c r="BM22" s="11" t="n">
        <v>0.0</v>
      </c>
      <c r="BN22" s="10" t="n">
        <v>0.0</v>
      </c>
      <c r="BO22" s="11" t="n">
        <v>0.0</v>
      </c>
      <c r="BP22" s="10" t="n">
        <v>0.0</v>
      </c>
      <c r="BQ22" s="11" t="n">
        <v>0.0</v>
      </c>
      <c r="BR22" s="10" t="n">
        <v>0.0</v>
      </c>
      <c r="BS22" s="11"/>
      <c r="BT22" s="11" t="n">
        <v>0.0</v>
      </c>
      <c r="BU22" s="10"/>
      <c r="BV22" s="10" t="n">
        <v>0.0</v>
      </c>
      <c r="BW22" s="11"/>
      <c r="BX22" s="11" t="n">
        <v>0.0</v>
      </c>
      <c r="BY22" s="10"/>
      <c r="BZ22" s="10" t="n">
        <v>0.0</v>
      </c>
      <c r="CA22" s="11"/>
      <c r="CB22" s="11" t="n">
        <v>0.0</v>
      </c>
      <c r="CC22" s="10"/>
      <c r="CD22" s="10" t="n">
        <v>0.0</v>
      </c>
      <c r="CE22" s="11"/>
      <c r="CF22" s="11" t="n">
        <v>0.0</v>
      </c>
      <c r="CG22" s="10"/>
      <c r="CH22" s="10" t="n">
        <v>0.0</v>
      </c>
    </row>
    <row r="23">
      <c r="A23" s="10"/>
      <c r="B23" s="4" t="s">
        <v>317</v>
      </c>
      <c r="C23" s="4" t="n">
        <v>8.0</v>
      </c>
      <c r="D23" s="4" t="s">
        <v>341</v>
      </c>
      <c r="E23" s="4" t="s">
        <v>342</v>
      </c>
      <c r="F23" s="4" t="s">
        <v>343</v>
      </c>
      <c r="G23" s="4" t="s">
        <v>321</v>
      </c>
      <c r="H23" s="4" t="s">
        <v>322</v>
      </c>
      <c r="I23" s="4" t="s">
        <v>0</v>
      </c>
      <c r="J23" s="10"/>
      <c r="K23" s="12" t="n">
        <v>300.0</v>
      </c>
      <c r="L23" s="10"/>
      <c r="M23" s="10"/>
      <c r="N23" s="10"/>
      <c r="O23" s="10"/>
      <c r="P23" s="10" t="n">
        <f>IF(OR(R23="Российская Федерация",R23="Армения",R23="Белоруссия",R23="Беларуь",R23="Казахстан",R23="Киргизия",R23="Кыргызстан",R23="ДНР",R23="ЛНР"), 1, 0)</f>
        <v>0.0</v>
      </c>
      <c r="Q23" s="10"/>
      <c r="R23" s="10" t="str">
        <f>IFERROR(IF(P23=1, "Российская Федерация", "Не заполнено"),"")</f>
        <v/>
      </c>
      <c r="S23" s="10"/>
      <c r="T23" s="10"/>
      <c r="U23" s="10"/>
      <c r="V23" s="12" t="n">
        <f>SUM(X23,Z23,AB23,AD23,AF23,AH23,AJ23,AL23,AN23,AP23,AR23,AT23,AV23,AX23,AZ23,BB23,BD23,BF23,BH23,BJ23,BL23,BN23,BP23,BR23,BV23,BZ23,CD23,CH23)</f>
        <v>300.0</v>
      </c>
      <c r="W23" s="11" t="n">
        <v>0.0</v>
      </c>
      <c r="X23" s="10" t="n">
        <v>0.0</v>
      </c>
      <c r="Y23" s="11" t="n">
        <v>0.0</v>
      </c>
      <c r="Z23" s="10" t="n">
        <v>0.0</v>
      </c>
      <c r="AA23" s="11" t="n">
        <v>0.0</v>
      </c>
      <c r="AB23" s="10" t="n">
        <v>0.0</v>
      </c>
      <c r="AC23" s="11" t="n">
        <v>0.0</v>
      </c>
      <c r="AD23" s="10" t="n">
        <v>0.0</v>
      </c>
      <c r="AE23" s="11" t="n">
        <v>0.0</v>
      </c>
      <c r="AF23" s="10" t="n">
        <v>0.0</v>
      </c>
      <c r="AG23" s="11" t="n">
        <v>0.0</v>
      </c>
      <c r="AH23" s="10" t="n">
        <v>0.0</v>
      </c>
      <c r="AI23" s="11" t="n">
        <v>0.0</v>
      </c>
      <c r="AJ23" s="10" t="n">
        <v>0.0</v>
      </c>
      <c r="AK23" s="11" t="n">
        <v>0.0</v>
      </c>
      <c r="AL23" s="10" t="n">
        <v>0.0</v>
      </c>
      <c r="AM23" s="11" t="n">
        <v>0.0</v>
      </c>
      <c r="AN23" s="10" t="n">
        <v>0.0</v>
      </c>
      <c r="AO23" s="11" t="n">
        <v>0.0</v>
      </c>
      <c r="AP23" s="10" t="n">
        <v>0.0</v>
      </c>
      <c r="AQ23" s="11" t="n">
        <v>0.0</v>
      </c>
      <c r="AR23" s="10" t="n">
        <v>0.0</v>
      </c>
      <c r="AS23" s="11" t="n">
        <v>0.0</v>
      </c>
      <c r="AT23" s="10" t="n">
        <v>0.0</v>
      </c>
      <c r="AU23" s="8" t="n">
        <v>300.0</v>
      </c>
      <c r="AV23" s="9" t="n">
        <v>300.0</v>
      </c>
      <c r="AW23" s="11" t="n">
        <v>0.0</v>
      </c>
      <c r="AX23" s="10" t="n">
        <v>0.0</v>
      </c>
      <c r="AY23" s="11" t="n">
        <v>0.0</v>
      </c>
      <c r="AZ23" s="10" t="n">
        <v>0.0</v>
      </c>
      <c r="BA23" s="11" t="n">
        <v>0.0</v>
      </c>
      <c r="BB23" s="10" t="n">
        <v>0.0</v>
      </c>
      <c r="BC23" s="11" t="n">
        <v>0.0</v>
      </c>
      <c r="BD23" s="10" t="n">
        <v>0.0</v>
      </c>
      <c r="BE23" s="11" t="n">
        <v>0.0</v>
      </c>
      <c r="BF23" s="10" t="n">
        <v>0.0</v>
      </c>
      <c r="BG23" s="11" t="n">
        <v>0.0</v>
      </c>
      <c r="BH23" s="10" t="n">
        <v>0.0</v>
      </c>
      <c r="BI23" s="11" t="n">
        <v>0.0</v>
      </c>
      <c r="BJ23" s="10" t="n">
        <v>0.0</v>
      </c>
      <c r="BK23" s="11" t="n">
        <v>0.0</v>
      </c>
      <c r="BL23" s="10" t="n">
        <v>0.0</v>
      </c>
      <c r="BM23" s="11" t="n">
        <v>0.0</v>
      </c>
      <c r="BN23" s="10" t="n">
        <v>0.0</v>
      </c>
      <c r="BO23" s="11" t="n">
        <v>0.0</v>
      </c>
      <c r="BP23" s="10" t="n">
        <v>0.0</v>
      </c>
      <c r="BQ23" s="11" t="n">
        <v>0.0</v>
      </c>
      <c r="BR23" s="10" t="n">
        <v>0.0</v>
      </c>
      <c r="BS23" s="11"/>
      <c r="BT23" s="11" t="n">
        <v>0.0</v>
      </c>
      <c r="BU23" s="10"/>
      <c r="BV23" s="10" t="n">
        <v>0.0</v>
      </c>
      <c r="BW23" s="11"/>
      <c r="BX23" s="11" t="n">
        <v>0.0</v>
      </c>
      <c r="BY23" s="10"/>
      <c r="BZ23" s="10" t="n">
        <v>0.0</v>
      </c>
      <c r="CA23" s="11"/>
      <c r="CB23" s="11" t="n">
        <v>0.0</v>
      </c>
      <c r="CC23" s="10"/>
      <c r="CD23" s="10" t="n">
        <v>0.0</v>
      </c>
      <c r="CE23" s="11"/>
      <c r="CF23" s="11" t="n">
        <v>0.0</v>
      </c>
      <c r="CG23" s="10"/>
      <c r="CH23" s="10" t="n">
        <v>0.0</v>
      </c>
    </row>
    <row r="24">
      <c r="A24" s="10"/>
      <c r="B24" s="4" t="s">
        <v>317</v>
      </c>
      <c r="C24" s="4" t="n">
        <v>9.0</v>
      </c>
      <c r="D24" s="4" t="s">
        <v>344</v>
      </c>
      <c r="E24" s="4" t="s">
        <v>345</v>
      </c>
      <c r="F24" s="4" t="s">
        <v>346</v>
      </c>
      <c r="G24" s="4" t="s">
        <v>321</v>
      </c>
      <c r="H24" s="4" t="s">
        <v>322</v>
      </c>
      <c r="I24" s="4" t="s">
        <v>0</v>
      </c>
      <c r="J24" s="10"/>
      <c r="K24" s="12" t="n">
        <v>996.0</v>
      </c>
      <c r="L24" s="10"/>
      <c r="M24" s="10"/>
      <c r="N24" s="10"/>
      <c r="O24" s="10"/>
      <c r="P24" s="10" t="n">
        <f>IF(OR(R24="Российская Федерация",R24="Армения",R24="Белоруссия",R24="Беларуь",R24="Казахстан",R24="Киргизия",R24="Кыргызстан",R24="ДНР",R24="ЛНР"), 1, 0)</f>
        <v>0.0</v>
      </c>
      <c r="Q24" s="10"/>
      <c r="R24" s="10" t="str">
        <f>IFERROR(IF(P24=1, "Российская Федерация", "Не заполнено"),"")</f>
        <v/>
      </c>
      <c r="S24" s="10"/>
      <c r="T24" s="10"/>
      <c r="U24" s="10"/>
      <c r="V24" s="12" t="n">
        <f>SUM(X24,Z24,AB24,AD24,AF24,AH24,AJ24,AL24,AN24,AP24,AR24,AT24,AV24,AX24,AZ24,BB24,BD24,BF24,BH24,BJ24,BL24,BN24,BP24,BR24,BV24,BZ24,CD24,CH24)</f>
        <v>996.0</v>
      </c>
      <c r="W24" s="11" t="n">
        <v>0.0</v>
      </c>
      <c r="X24" s="10" t="n">
        <v>0.0</v>
      </c>
      <c r="Y24" s="11" t="n">
        <v>0.0</v>
      </c>
      <c r="Z24" s="10" t="n">
        <v>0.0</v>
      </c>
      <c r="AA24" s="11" t="n">
        <v>0.0</v>
      </c>
      <c r="AB24" s="10" t="n">
        <v>0.0</v>
      </c>
      <c r="AC24" s="11" t="n">
        <v>0.0</v>
      </c>
      <c r="AD24" s="10" t="n">
        <v>0.0</v>
      </c>
      <c r="AE24" s="11" t="n">
        <v>0.0</v>
      </c>
      <c r="AF24" s="10" t="n">
        <v>0.0</v>
      </c>
      <c r="AG24" s="11" t="n">
        <v>0.0</v>
      </c>
      <c r="AH24" s="10" t="n">
        <v>0.0</v>
      </c>
      <c r="AI24" s="11" t="n">
        <v>0.0</v>
      </c>
      <c r="AJ24" s="10" t="n">
        <v>0.0</v>
      </c>
      <c r="AK24" s="11" t="n">
        <v>0.0</v>
      </c>
      <c r="AL24" s="10" t="n">
        <v>0.0</v>
      </c>
      <c r="AM24" s="11" t="n">
        <v>0.0</v>
      </c>
      <c r="AN24" s="10" t="n">
        <v>0.0</v>
      </c>
      <c r="AO24" s="11" t="n">
        <v>0.0</v>
      </c>
      <c r="AP24" s="10" t="n">
        <v>0.0</v>
      </c>
      <c r="AQ24" s="11" t="n">
        <v>0.0</v>
      </c>
      <c r="AR24" s="10" t="n">
        <v>0.0</v>
      </c>
      <c r="AS24" s="11" t="n">
        <v>0.0</v>
      </c>
      <c r="AT24" s="10" t="n">
        <v>0.0</v>
      </c>
      <c r="AU24" s="8" t="n">
        <v>996.0</v>
      </c>
      <c r="AV24" s="9" t="n">
        <v>996.0</v>
      </c>
      <c r="AW24" s="11" t="n">
        <v>0.0</v>
      </c>
      <c r="AX24" s="10" t="n">
        <v>0.0</v>
      </c>
      <c r="AY24" s="11" t="n">
        <v>0.0</v>
      </c>
      <c r="AZ24" s="10" t="n">
        <v>0.0</v>
      </c>
      <c r="BA24" s="11" t="n">
        <v>0.0</v>
      </c>
      <c r="BB24" s="10" t="n">
        <v>0.0</v>
      </c>
      <c r="BC24" s="11" t="n">
        <v>0.0</v>
      </c>
      <c r="BD24" s="10" t="n">
        <v>0.0</v>
      </c>
      <c r="BE24" s="11" t="n">
        <v>0.0</v>
      </c>
      <c r="BF24" s="10" t="n">
        <v>0.0</v>
      </c>
      <c r="BG24" s="11" t="n">
        <v>0.0</v>
      </c>
      <c r="BH24" s="10" t="n">
        <v>0.0</v>
      </c>
      <c r="BI24" s="11" t="n">
        <v>0.0</v>
      </c>
      <c r="BJ24" s="10" t="n">
        <v>0.0</v>
      </c>
      <c r="BK24" s="11" t="n">
        <v>0.0</v>
      </c>
      <c r="BL24" s="10" t="n">
        <v>0.0</v>
      </c>
      <c r="BM24" s="11" t="n">
        <v>0.0</v>
      </c>
      <c r="BN24" s="10" t="n">
        <v>0.0</v>
      </c>
      <c r="BO24" s="11" t="n">
        <v>0.0</v>
      </c>
      <c r="BP24" s="10" t="n">
        <v>0.0</v>
      </c>
      <c r="BQ24" s="11" t="n">
        <v>0.0</v>
      </c>
      <c r="BR24" s="10" t="n">
        <v>0.0</v>
      </c>
      <c r="BS24" s="11"/>
      <c r="BT24" s="11" t="n">
        <v>0.0</v>
      </c>
      <c r="BU24" s="10"/>
      <c r="BV24" s="10" t="n">
        <v>0.0</v>
      </c>
      <c r="BW24" s="11"/>
      <c r="BX24" s="11" t="n">
        <v>0.0</v>
      </c>
      <c r="BY24" s="10"/>
      <c r="BZ24" s="10" t="n">
        <v>0.0</v>
      </c>
      <c r="CA24" s="11"/>
      <c r="CB24" s="11" t="n">
        <v>0.0</v>
      </c>
      <c r="CC24" s="10"/>
      <c r="CD24" s="10" t="n">
        <v>0.0</v>
      </c>
      <c r="CE24" s="11"/>
      <c r="CF24" s="11" t="n">
        <v>0.0</v>
      </c>
      <c r="CG24" s="10"/>
      <c r="CH24" s="10" t="n">
        <v>0.0</v>
      </c>
    </row>
    <row r="25">
      <c r="A25" s="10"/>
      <c r="B25" s="4" t="s">
        <v>317</v>
      </c>
      <c r="C25" s="4" t="n">
        <v>10.0</v>
      </c>
      <c r="D25" s="4" t="s">
        <v>347</v>
      </c>
      <c r="E25" s="4" t="s">
        <v>348</v>
      </c>
      <c r="F25" s="4" t="s">
        <v>349</v>
      </c>
      <c r="G25" s="4" t="s">
        <v>350</v>
      </c>
      <c r="H25" s="4" t="s">
        <v>322</v>
      </c>
      <c r="I25" s="4" t="s">
        <v>0</v>
      </c>
      <c r="J25" s="10"/>
      <c r="K25" s="12" t="n">
        <v>930.0</v>
      </c>
      <c r="L25" s="10"/>
      <c r="M25" s="10"/>
      <c r="N25" s="10"/>
      <c r="O25" s="10"/>
      <c r="P25" s="10" t="n">
        <f>IF(OR(R25="Российская Федерация",R25="Армения",R25="Белоруссия",R25="Беларуь",R25="Казахстан",R25="Киргизия",R25="Кыргызстан",R25="ДНР",R25="ЛНР"), 1, 0)</f>
        <v>0.0</v>
      </c>
      <c r="Q25" s="10"/>
      <c r="R25" s="10" t="str">
        <f>IFERROR(IF(P25=1, "Российская Федерация", "Не заполнено"),"")</f>
        <v/>
      </c>
      <c r="S25" s="10"/>
      <c r="T25" s="10"/>
      <c r="U25" s="10"/>
      <c r="V25" s="12" t="n">
        <f>SUM(X25,Z25,AB25,AD25,AF25,AH25,AJ25,AL25,AN25,AP25,AR25,AT25,AV25,AX25,AZ25,BB25,BD25,BF25,BH25,BJ25,BL25,BN25,BP25,BR25,BV25,BZ25,CD25,CH25)</f>
        <v>930.0</v>
      </c>
      <c r="W25" s="11" t="n">
        <v>0.0</v>
      </c>
      <c r="X25" s="10" t="n">
        <v>0.0</v>
      </c>
      <c r="Y25" s="11" t="n">
        <v>0.0</v>
      </c>
      <c r="Z25" s="10" t="n">
        <v>0.0</v>
      </c>
      <c r="AA25" s="11" t="n">
        <v>0.0</v>
      </c>
      <c r="AB25" s="10" t="n">
        <v>0.0</v>
      </c>
      <c r="AC25" s="11" t="n">
        <v>0.0</v>
      </c>
      <c r="AD25" s="10" t="n">
        <v>0.0</v>
      </c>
      <c r="AE25" s="11" t="n">
        <v>0.0</v>
      </c>
      <c r="AF25" s="10" t="n">
        <v>0.0</v>
      </c>
      <c r="AG25" s="11" t="n">
        <v>0.0</v>
      </c>
      <c r="AH25" s="10" t="n">
        <v>0.0</v>
      </c>
      <c r="AI25" s="11" t="n">
        <v>0.0</v>
      </c>
      <c r="AJ25" s="10" t="n">
        <v>0.0</v>
      </c>
      <c r="AK25" s="11" t="n">
        <v>0.0</v>
      </c>
      <c r="AL25" s="10" t="n">
        <v>0.0</v>
      </c>
      <c r="AM25" s="11" t="n">
        <v>0.0</v>
      </c>
      <c r="AN25" s="10" t="n">
        <v>0.0</v>
      </c>
      <c r="AO25" s="11" t="n">
        <v>0.0</v>
      </c>
      <c r="AP25" s="10" t="n">
        <v>0.0</v>
      </c>
      <c r="AQ25" s="11" t="n">
        <v>0.0</v>
      </c>
      <c r="AR25" s="10" t="n">
        <v>0.0</v>
      </c>
      <c r="AS25" s="11" t="n">
        <v>0.0</v>
      </c>
      <c r="AT25" s="10" t="n">
        <v>0.0</v>
      </c>
      <c r="AU25" s="8" t="n">
        <v>930.0</v>
      </c>
      <c r="AV25" s="9" t="n">
        <v>930.0</v>
      </c>
      <c r="AW25" s="11" t="n">
        <v>0.0</v>
      </c>
      <c r="AX25" s="10" t="n">
        <v>0.0</v>
      </c>
      <c r="AY25" s="11" t="n">
        <v>0.0</v>
      </c>
      <c r="AZ25" s="10" t="n">
        <v>0.0</v>
      </c>
      <c r="BA25" s="11" t="n">
        <v>0.0</v>
      </c>
      <c r="BB25" s="10" t="n">
        <v>0.0</v>
      </c>
      <c r="BC25" s="11" t="n">
        <v>0.0</v>
      </c>
      <c r="BD25" s="10" t="n">
        <v>0.0</v>
      </c>
      <c r="BE25" s="11" t="n">
        <v>0.0</v>
      </c>
      <c r="BF25" s="10" t="n">
        <v>0.0</v>
      </c>
      <c r="BG25" s="11" t="n">
        <v>0.0</v>
      </c>
      <c r="BH25" s="10" t="n">
        <v>0.0</v>
      </c>
      <c r="BI25" s="11" t="n">
        <v>0.0</v>
      </c>
      <c r="BJ25" s="10" t="n">
        <v>0.0</v>
      </c>
      <c r="BK25" s="11" t="n">
        <v>0.0</v>
      </c>
      <c r="BL25" s="10" t="n">
        <v>0.0</v>
      </c>
      <c r="BM25" s="11" t="n">
        <v>0.0</v>
      </c>
      <c r="BN25" s="10" t="n">
        <v>0.0</v>
      </c>
      <c r="BO25" s="11" t="n">
        <v>0.0</v>
      </c>
      <c r="BP25" s="10" t="n">
        <v>0.0</v>
      </c>
      <c r="BQ25" s="11" t="n">
        <v>0.0</v>
      </c>
      <c r="BR25" s="10" t="n">
        <v>0.0</v>
      </c>
      <c r="BS25" s="11"/>
      <c r="BT25" s="11" t="n">
        <v>0.0</v>
      </c>
      <c r="BU25" s="10"/>
      <c r="BV25" s="10" t="n">
        <v>0.0</v>
      </c>
      <c r="BW25" s="11"/>
      <c r="BX25" s="11" t="n">
        <v>0.0</v>
      </c>
      <c r="BY25" s="10"/>
      <c r="BZ25" s="10" t="n">
        <v>0.0</v>
      </c>
      <c r="CA25" s="11"/>
      <c r="CB25" s="11" t="n">
        <v>0.0</v>
      </c>
      <c r="CC25" s="10"/>
      <c r="CD25" s="10" t="n">
        <v>0.0</v>
      </c>
      <c r="CE25" s="11"/>
      <c r="CF25" s="11" t="n">
        <v>0.0</v>
      </c>
      <c r="CG25" s="10"/>
      <c r="CH25" s="10" t="n">
        <v>0.0</v>
      </c>
    </row>
    <row r="26">
      <c r="A26" s="10"/>
      <c r="B26" s="4" t="s">
        <v>317</v>
      </c>
      <c r="C26" s="4" t="n">
        <v>11.0</v>
      </c>
      <c r="D26" s="4" t="s">
        <v>351</v>
      </c>
      <c r="E26" s="4" t="s">
        <v>352</v>
      </c>
      <c r="F26" s="4" t="s">
        <v>353</v>
      </c>
      <c r="G26" s="4" t="s">
        <v>321</v>
      </c>
      <c r="H26" s="4" t="s">
        <v>322</v>
      </c>
      <c r="I26" s="4" t="s">
        <v>0</v>
      </c>
      <c r="J26" s="10"/>
      <c r="K26" s="12" t="n">
        <v>4285.0</v>
      </c>
      <c r="L26" s="10"/>
      <c r="M26" s="10"/>
      <c r="N26" s="10"/>
      <c r="O26" s="10"/>
      <c r="P26" s="10" t="n">
        <f>IF(OR(R26="Российская Федерация",R26="Армения",R26="Белоруссия",R26="Беларуь",R26="Казахстан",R26="Киргизия",R26="Кыргызстан",R26="ДНР",R26="ЛНР"), 1, 0)</f>
        <v>0.0</v>
      </c>
      <c r="Q26" s="10"/>
      <c r="R26" s="10" t="str">
        <f>IFERROR(IF(P26=1, "Российская Федерация", "Не заполнено"),"")</f>
        <v/>
      </c>
      <c r="S26" s="10"/>
      <c r="T26" s="10"/>
      <c r="U26" s="10"/>
      <c r="V26" s="12" t="n">
        <f>SUM(X26,Z26,AB26,AD26,AF26,AH26,AJ26,AL26,AN26,AP26,AR26,AT26,AV26,AX26,AZ26,BB26,BD26,BF26,BH26,BJ26,BL26,BN26,BP26,BR26,BV26,BZ26,CD26,CH26)</f>
        <v>4285.0</v>
      </c>
      <c r="W26" s="11" t="n">
        <v>0.0</v>
      </c>
      <c r="X26" s="10" t="n">
        <v>0.0</v>
      </c>
      <c r="Y26" s="11" t="n">
        <v>0.0</v>
      </c>
      <c r="Z26" s="10" t="n">
        <v>0.0</v>
      </c>
      <c r="AA26" s="11" t="n">
        <v>0.0</v>
      </c>
      <c r="AB26" s="10" t="n">
        <v>0.0</v>
      </c>
      <c r="AC26" s="11" t="n">
        <v>0.0</v>
      </c>
      <c r="AD26" s="10" t="n">
        <v>0.0</v>
      </c>
      <c r="AE26" s="11" t="n">
        <v>0.0</v>
      </c>
      <c r="AF26" s="10" t="n">
        <v>0.0</v>
      </c>
      <c r="AG26" s="11" t="n">
        <v>0.0</v>
      </c>
      <c r="AH26" s="10" t="n">
        <v>0.0</v>
      </c>
      <c r="AI26" s="11" t="n">
        <v>0.0</v>
      </c>
      <c r="AJ26" s="10" t="n">
        <v>0.0</v>
      </c>
      <c r="AK26" s="11" t="n">
        <v>0.0</v>
      </c>
      <c r="AL26" s="10" t="n">
        <v>0.0</v>
      </c>
      <c r="AM26" s="11" t="n">
        <v>0.0</v>
      </c>
      <c r="AN26" s="10" t="n">
        <v>0.0</v>
      </c>
      <c r="AO26" s="11" t="n">
        <v>0.0</v>
      </c>
      <c r="AP26" s="10" t="n">
        <v>0.0</v>
      </c>
      <c r="AQ26" s="11" t="n">
        <v>0.0</v>
      </c>
      <c r="AR26" s="10" t="n">
        <v>0.0</v>
      </c>
      <c r="AS26" s="11" t="n">
        <v>0.0</v>
      </c>
      <c r="AT26" s="10" t="n">
        <v>0.0</v>
      </c>
      <c r="AU26" s="8" t="n">
        <v>4285.0</v>
      </c>
      <c r="AV26" s="9" t="n">
        <v>4285.0</v>
      </c>
      <c r="AW26" s="11" t="n">
        <v>0.0</v>
      </c>
      <c r="AX26" s="10" t="n">
        <v>0.0</v>
      </c>
      <c r="AY26" s="11" t="n">
        <v>0.0</v>
      </c>
      <c r="AZ26" s="10" t="n">
        <v>0.0</v>
      </c>
      <c r="BA26" s="11" t="n">
        <v>0.0</v>
      </c>
      <c r="BB26" s="10" t="n">
        <v>0.0</v>
      </c>
      <c r="BC26" s="11" t="n">
        <v>0.0</v>
      </c>
      <c r="BD26" s="10" t="n">
        <v>0.0</v>
      </c>
      <c r="BE26" s="11" t="n">
        <v>0.0</v>
      </c>
      <c r="BF26" s="10" t="n">
        <v>0.0</v>
      </c>
      <c r="BG26" s="11" t="n">
        <v>0.0</v>
      </c>
      <c r="BH26" s="10" t="n">
        <v>0.0</v>
      </c>
      <c r="BI26" s="11" t="n">
        <v>0.0</v>
      </c>
      <c r="BJ26" s="10" t="n">
        <v>0.0</v>
      </c>
      <c r="BK26" s="11" t="n">
        <v>0.0</v>
      </c>
      <c r="BL26" s="10" t="n">
        <v>0.0</v>
      </c>
      <c r="BM26" s="11" t="n">
        <v>0.0</v>
      </c>
      <c r="BN26" s="10" t="n">
        <v>0.0</v>
      </c>
      <c r="BO26" s="11" t="n">
        <v>0.0</v>
      </c>
      <c r="BP26" s="10" t="n">
        <v>0.0</v>
      </c>
      <c r="BQ26" s="11" t="n">
        <v>0.0</v>
      </c>
      <c r="BR26" s="10" t="n">
        <v>0.0</v>
      </c>
      <c r="BS26" s="11"/>
      <c r="BT26" s="11" t="n">
        <v>0.0</v>
      </c>
      <c r="BU26" s="10"/>
      <c r="BV26" s="10" t="n">
        <v>0.0</v>
      </c>
      <c r="BW26" s="11"/>
      <c r="BX26" s="11" t="n">
        <v>0.0</v>
      </c>
      <c r="BY26" s="10"/>
      <c r="BZ26" s="10" t="n">
        <v>0.0</v>
      </c>
      <c r="CA26" s="11"/>
      <c r="CB26" s="11" t="n">
        <v>0.0</v>
      </c>
      <c r="CC26" s="10"/>
      <c r="CD26" s="10" t="n">
        <v>0.0</v>
      </c>
      <c r="CE26" s="11"/>
      <c r="CF26" s="11" t="n">
        <v>0.0</v>
      </c>
      <c r="CG26" s="10"/>
      <c r="CH26" s="10" t="n">
        <v>0.0</v>
      </c>
    </row>
    <row r="27">
      <c r="A27" s="10"/>
      <c r="B27" s="4" t="s">
        <v>317</v>
      </c>
      <c r="C27" s="4" t="n">
        <v>12.0</v>
      </c>
      <c r="D27" s="4" t="s">
        <v>354</v>
      </c>
      <c r="E27" s="4" t="s">
        <v>355</v>
      </c>
      <c r="F27" s="4" t="s">
        <v>356</v>
      </c>
      <c r="G27" s="4" t="s">
        <v>321</v>
      </c>
      <c r="H27" s="4" t="s">
        <v>322</v>
      </c>
      <c r="I27" s="4" t="s">
        <v>0</v>
      </c>
      <c r="J27" s="10"/>
      <c r="K27" s="12" t="n">
        <v>3429.9</v>
      </c>
      <c r="L27" s="10"/>
      <c r="M27" s="10"/>
      <c r="N27" s="10"/>
      <c r="O27" s="10"/>
      <c r="P27" s="10" t="n">
        <f>IF(OR(R27="Российская Федерация",R27="Армения",R27="Белоруссия",R27="Беларуь",R27="Казахстан",R27="Киргизия",R27="Кыргызстан",R27="ДНР",R27="ЛНР"), 1, 0)</f>
        <v>0.0</v>
      </c>
      <c r="Q27" s="10"/>
      <c r="R27" s="10" t="str">
        <f>IFERROR(IF(P27=1, "Российская Федерация", "Не заполнено"),"")</f>
        <v/>
      </c>
      <c r="S27" s="10"/>
      <c r="T27" s="10"/>
      <c r="U27" s="10"/>
      <c r="V27" s="12" t="n">
        <f>SUM(X27,Z27,AB27,AD27,AF27,AH27,AJ27,AL27,AN27,AP27,AR27,AT27,AV27,AX27,AZ27,BB27,BD27,BF27,BH27,BJ27,BL27,BN27,BP27,BR27,BV27,BZ27,CD27,CH27)</f>
        <v>3429.9</v>
      </c>
      <c r="W27" s="11" t="n">
        <v>0.0</v>
      </c>
      <c r="X27" s="10" t="n">
        <v>0.0</v>
      </c>
      <c r="Y27" s="11" t="n">
        <v>0.0</v>
      </c>
      <c r="Z27" s="10" t="n">
        <v>0.0</v>
      </c>
      <c r="AA27" s="11" t="n">
        <v>0.0</v>
      </c>
      <c r="AB27" s="10" t="n">
        <v>0.0</v>
      </c>
      <c r="AC27" s="11" t="n">
        <v>0.0</v>
      </c>
      <c r="AD27" s="10" t="n">
        <v>0.0</v>
      </c>
      <c r="AE27" s="11" t="n">
        <v>0.0</v>
      </c>
      <c r="AF27" s="10" t="n">
        <v>0.0</v>
      </c>
      <c r="AG27" s="11" t="n">
        <v>0.0</v>
      </c>
      <c r="AH27" s="10" t="n">
        <v>0.0</v>
      </c>
      <c r="AI27" s="11" t="n">
        <v>0.0</v>
      </c>
      <c r="AJ27" s="10" t="n">
        <v>0.0</v>
      </c>
      <c r="AK27" s="11" t="n">
        <v>0.0</v>
      </c>
      <c r="AL27" s="10" t="n">
        <v>0.0</v>
      </c>
      <c r="AM27" s="11" t="n">
        <v>0.0</v>
      </c>
      <c r="AN27" s="10" t="n">
        <v>0.0</v>
      </c>
      <c r="AO27" s="11" t="n">
        <v>0.0</v>
      </c>
      <c r="AP27" s="10" t="n">
        <v>0.0</v>
      </c>
      <c r="AQ27" s="11" t="n">
        <v>0.0</v>
      </c>
      <c r="AR27" s="10" t="n">
        <v>0.0</v>
      </c>
      <c r="AS27" s="11" t="n">
        <v>0.0</v>
      </c>
      <c r="AT27" s="10" t="n">
        <v>0.0</v>
      </c>
      <c r="AU27" s="8" t="n">
        <v>3429.9</v>
      </c>
      <c r="AV27" s="9" t="n">
        <v>3429.9</v>
      </c>
      <c r="AW27" s="11" t="n">
        <v>0.0</v>
      </c>
      <c r="AX27" s="10" t="n">
        <v>0.0</v>
      </c>
      <c r="AY27" s="11" t="n">
        <v>0.0</v>
      </c>
      <c r="AZ27" s="10" t="n">
        <v>0.0</v>
      </c>
      <c r="BA27" s="11" t="n">
        <v>0.0</v>
      </c>
      <c r="BB27" s="10" t="n">
        <v>0.0</v>
      </c>
      <c r="BC27" s="11" t="n">
        <v>0.0</v>
      </c>
      <c r="BD27" s="10" t="n">
        <v>0.0</v>
      </c>
      <c r="BE27" s="11" t="n">
        <v>0.0</v>
      </c>
      <c r="BF27" s="10" t="n">
        <v>0.0</v>
      </c>
      <c r="BG27" s="11" t="n">
        <v>0.0</v>
      </c>
      <c r="BH27" s="10" t="n">
        <v>0.0</v>
      </c>
      <c r="BI27" s="11" t="n">
        <v>0.0</v>
      </c>
      <c r="BJ27" s="10" t="n">
        <v>0.0</v>
      </c>
      <c r="BK27" s="11" t="n">
        <v>0.0</v>
      </c>
      <c r="BL27" s="10" t="n">
        <v>0.0</v>
      </c>
      <c r="BM27" s="11" t="n">
        <v>0.0</v>
      </c>
      <c r="BN27" s="10" t="n">
        <v>0.0</v>
      </c>
      <c r="BO27" s="11" t="n">
        <v>0.0</v>
      </c>
      <c r="BP27" s="10" t="n">
        <v>0.0</v>
      </c>
      <c r="BQ27" s="11" t="n">
        <v>0.0</v>
      </c>
      <c r="BR27" s="10" t="n">
        <v>0.0</v>
      </c>
      <c r="BS27" s="11"/>
      <c r="BT27" s="11" t="n">
        <v>0.0</v>
      </c>
      <c r="BU27" s="10"/>
      <c r="BV27" s="10" t="n">
        <v>0.0</v>
      </c>
      <c r="BW27" s="11"/>
      <c r="BX27" s="11" t="n">
        <v>0.0</v>
      </c>
      <c r="BY27" s="10"/>
      <c r="BZ27" s="10" t="n">
        <v>0.0</v>
      </c>
      <c r="CA27" s="11"/>
      <c r="CB27" s="11" t="n">
        <v>0.0</v>
      </c>
      <c r="CC27" s="10"/>
      <c r="CD27" s="10" t="n">
        <v>0.0</v>
      </c>
      <c r="CE27" s="11"/>
      <c r="CF27" s="11" t="n">
        <v>0.0</v>
      </c>
      <c r="CG27" s="10"/>
      <c r="CH27" s="10" t="n">
        <v>0.0</v>
      </c>
    </row>
    <row r="28">
      <c r="A28" s="10"/>
      <c r="B28" s="4" t="s">
        <v>317</v>
      </c>
      <c r="C28" s="4" t="n">
        <v>13.0</v>
      </c>
      <c r="D28" s="4" t="s">
        <v>357</v>
      </c>
      <c r="E28" s="4" t="s">
        <v>358</v>
      </c>
      <c r="F28" s="4" t="s">
        <v>359</v>
      </c>
      <c r="G28" s="4" t="s">
        <v>321</v>
      </c>
      <c r="H28" s="4" t="s">
        <v>322</v>
      </c>
      <c r="I28" s="4" t="s">
        <v>0</v>
      </c>
      <c r="J28" s="10"/>
      <c r="K28" s="12" t="n">
        <v>21241.0</v>
      </c>
      <c r="L28" s="10"/>
      <c r="M28" s="10"/>
      <c r="N28" s="10"/>
      <c r="O28" s="10"/>
      <c r="P28" s="10" t="n">
        <f>IF(OR(R28="Российская Федерация",R28="Армения",R28="Белоруссия",R28="Беларуь",R28="Казахстан",R28="Киргизия",R28="Кыргызстан",R28="ДНР",R28="ЛНР"), 1, 0)</f>
        <v>0.0</v>
      </c>
      <c r="Q28" s="10"/>
      <c r="R28" s="10" t="str">
        <f>IFERROR(IF(P28=1, "Российская Федерация", "Не заполнено"),"")</f>
        <v/>
      </c>
      <c r="S28" s="10"/>
      <c r="T28" s="10"/>
      <c r="U28" s="10"/>
      <c r="V28" s="12" t="n">
        <f>SUM(X28,Z28,AB28,AD28,AF28,AH28,AJ28,AL28,AN28,AP28,AR28,AT28,AV28,AX28,AZ28,BB28,BD28,BF28,BH28,BJ28,BL28,BN28,BP28,BR28,BV28,BZ28,CD28,CH28)</f>
        <v>21241.0</v>
      </c>
      <c r="W28" s="11" t="n">
        <v>0.0</v>
      </c>
      <c r="X28" s="10" t="n">
        <v>0.0</v>
      </c>
      <c r="Y28" s="11" t="n">
        <v>0.0</v>
      </c>
      <c r="Z28" s="10" t="n">
        <v>0.0</v>
      </c>
      <c r="AA28" s="11" t="n">
        <v>0.0</v>
      </c>
      <c r="AB28" s="10" t="n">
        <v>0.0</v>
      </c>
      <c r="AC28" s="11" t="n">
        <v>0.0</v>
      </c>
      <c r="AD28" s="10" t="n">
        <v>0.0</v>
      </c>
      <c r="AE28" s="11" t="n">
        <v>0.0</v>
      </c>
      <c r="AF28" s="10" t="n">
        <v>0.0</v>
      </c>
      <c r="AG28" s="11" t="n">
        <v>0.0</v>
      </c>
      <c r="AH28" s="10" t="n">
        <v>0.0</v>
      </c>
      <c r="AI28" s="11" t="n">
        <v>0.0</v>
      </c>
      <c r="AJ28" s="10" t="n">
        <v>0.0</v>
      </c>
      <c r="AK28" s="11" t="n">
        <v>0.0</v>
      </c>
      <c r="AL28" s="10" t="n">
        <v>0.0</v>
      </c>
      <c r="AM28" s="11" t="n">
        <v>0.0</v>
      </c>
      <c r="AN28" s="10" t="n">
        <v>0.0</v>
      </c>
      <c r="AO28" s="11" t="n">
        <v>0.0</v>
      </c>
      <c r="AP28" s="10" t="n">
        <v>0.0</v>
      </c>
      <c r="AQ28" s="11" t="n">
        <v>0.0</v>
      </c>
      <c r="AR28" s="10" t="n">
        <v>0.0</v>
      </c>
      <c r="AS28" s="11" t="n">
        <v>0.0</v>
      </c>
      <c r="AT28" s="10" t="n">
        <v>0.0</v>
      </c>
      <c r="AU28" s="8" t="n">
        <v>21241.0</v>
      </c>
      <c r="AV28" s="9" t="n">
        <v>21241.0</v>
      </c>
      <c r="AW28" s="11" t="n">
        <v>0.0</v>
      </c>
      <c r="AX28" s="10" t="n">
        <v>0.0</v>
      </c>
      <c r="AY28" s="11" t="n">
        <v>0.0</v>
      </c>
      <c r="AZ28" s="10" t="n">
        <v>0.0</v>
      </c>
      <c r="BA28" s="11" t="n">
        <v>0.0</v>
      </c>
      <c r="BB28" s="10" t="n">
        <v>0.0</v>
      </c>
      <c r="BC28" s="11" t="n">
        <v>0.0</v>
      </c>
      <c r="BD28" s="10" t="n">
        <v>0.0</v>
      </c>
      <c r="BE28" s="11" t="n">
        <v>0.0</v>
      </c>
      <c r="BF28" s="10" t="n">
        <v>0.0</v>
      </c>
      <c r="BG28" s="11" t="n">
        <v>0.0</v>
      </c>
      <c r="BH28" s="10" t="n">
        <v>0.0</v>
      </c>
      <c r="BI28" s="11" t="n">
        <v>0.0</v>
      </c>
      <c r="BJ28" s="10" t="n">
        <v>0.0</v>
      </c>
      <c r="BK28" s="11" t="n">
        <v>0.0</v>
      </c>
      <c r="BL28" s="10" t="n">
        <v>0.0</v>
      </c>
      <c r="BM28" s="11" t="n">
        <v>0.0</v>
      </c>
      <c r="BN28" s="10" t="n">
        <v>0.0</v>
      </c>
      <c r="BO28" s="11" t="n">
        <v>0.0</v>
      </c>
      <c r="BP28" s="10" t="n">
        <v>0.0</v>
      </c>
      <c r="BQ28" s="11" t="n">
        <v>0.0</v>
      </c>
      <c r="BR28" s="10" t="n">
        <v>0.0</v>
      </c>
      <c r="BS28" s="11"/>
      <c r="BT28" s="11" t="n">
        <v>0.0</v>
      </c>
      <c r="BU28" s="10"/>
      <c r="BV28" s="10" t="n">
        <v>0.0</v>
      </c>
      <c r="BW28" s="11"/>
      <c r="BX28" s="11" t="n">
        <v>0.0</v>
      </c>
      <c r="BY28" s="10"/>
      <c r="BZ28" s="10" t="n">
        <v>0.0</v>
      </c>
      <c r="CA28" s="11"/>
      <c r="CB28" s="11" t="n">
        <v>0.0</v>
      </c>
      <c r="CC28" s="10"/>
      <c r="CD28" s="10" t="n">
        <v>0.0</v>
      </c>
      <c r="CE28" s="11"/>
      <c r="CF28" s="11" t="n">
        <v>0.0</v>
      </c>
      <c r="CG28" s="10"/>
      <c r="CH28" s="10" t="n">
        <v>0.0</v>
      </c>
    </row>
    <row r="29">
      <c r="A29" s="10"/>
      <c r="B29" s="4" t="s">
        <v>317</v>
      </c>
      <c r="C29" s="4" t="n">
        <v>14.0</v>
      </c>
      <c r="D29" s="4" t="s">
        <v>360</v>
      </c>
      <c r="E29" s="4" t="s">
        <v>361</v>
      </c>
      <c r="F29" s="4" t="s">
        <v>362</v>
      </c>
      <c r="G29" s="4" t="s">
        <v>350</v>
      </c>
      <c r="H29" s="4" t="s">
        <v>322</v>
      </c>
      <c r="I29" s="4" t="s">
        <v>0</v>
      </c>
      <c r="J29" s="10"/>
      <c r="K29" s="12" t="n">
        <v>130.0</v>
      </c>
      <c r="L29" s="10"/>
      <c r="M29" s="10"/>
      <c r="N29" s="10"/>
      <c r="O29" s="10"/>
      <c r="P29" s="10" t="n">
        <f>IF(OR(R29="Российская Федерация",R29="Армения",R29="Белоруссия",R29="Беларуь",R29="Казахстан",R29="Киргизия",R29="Кыргызстан",R29="ДНР",R29="ЛНР"), 1, 0)</f>
        <v>0.0</v>
      </c>
      <c r="Q29" s="10"/>
      <c r="R29" s="10" t="str">
        <f>IFERROR(IF(P29=1, "Российская Федерация", "Не заполнено"),"")</f>
        <v/>
      </c>
      <c r="S29" s="10"/>
      <c r="T29" s="10"/>
      <c r="U29" s="10"/>
      <c r="V29" s="12" t="n">
        <f>SUM(X29,Z29,AB29,AD29,AF29,AH29,AJ29,AL29,AN29,AP29,AR29,AT29,AV29,AX29,AZ29,BB29,BD29,BF29,BH29,BJ29,BL29,BN29,BP29,BR29,BV29,BZ29,CD29,CH29)</f>
        <v>130.0</v>
      </c>
      <c r="W29" s="11" t="n">
        <v>0.0</v>
      </c>
      <c r="X29" s="10" t="n">
        <v>0.0</v>
      </c>
      <c r="Y29" s="11" t="n">
        <v>0.0</v>
      </c>
      <c r="Z29" s="10" t="n">
        <v>0.0</v>
      </c>
      <c r="AA29" s="11" t="n">
        <v>0.0</v>
      </c>
      <c r="AB29" s="10" t="n">
        <v>0.0</v>
      </c>
      <c r="AC29" s="11" t="n">
        <v>0.0</v>
      </c>
      <c r="AD29" s="10" t="n">
        <v>0.0</v>
      </c>
      <c r="AE29" s="11" t="n">
        <v>0.0</v>
      </c>
      <c r="AF29" s="10" t="n">
        <v>0.0</v>
      </c>
      <c r="AG29" s="11" t="n">
        <v>0.0</v>
      </c>
      <c r="AH29" s="10" t="n">
        <v>0.0</v>
      </c>
      <c r="AI29" s="11" t="n">
        <v>0.0</v>
      </c>
      <c r="AJ29" s="10" t="n">
        <v>0.0</v>
      </c>
      <c r="AK29" s="11" t="n">
        <v>0.0</v>
      </c>
      <c r="AL29" s="10" t="n">
        <v>0.0</v>
      </c>
      <c r="AM29" s="11" t="n">
        <v>0.0</v>
      </c>
      <c r="AN29" s="10" t="n">
        <v>0.0</v>
      </c>
      <c r="AO29" s="11" t="n">
        <v>0.0</v>
      </c>
      <c r="AP29" s="10" t="n">
        <v>0.0</v>
      </c>
      <c r="AQ29" s="11" t="n">
        <v>0.0</v>
      </c>
      <c r="AR29" s="10" t="n">
        <v>0.0</v>
      </c>
      <c r="AS29" s="11" t="n">
        <v>0.0</v>
      </c>
      <c r="AT29" s="10" t="n">
        <v>0.0</v>
      </c>
      <c r="AU29" s="8" t="n">
        <v>130.0</v>
      </c>
      <c r="AV29" s="9" t="n">
        <v>130.0</v>
      </c>
      <c r="AW29" s="11" t="n">
        <v>0.0</v>
      </c>
      <c r="AX29" s="10" t="n">
        <v>0.0</v>
      </c>
      <c r="AY29" s="11" t="n">
        <v>0.0</v>
      </c>
      <c r="AZ29" s="10" t="n">
        <v>0.0</v>
      </c>
      <c r="BA29" s="11" t="n">
        <v>0.0</v>
      </c>
      <c r="BB29" s="10" t="n">
        <v>0.0</v>
      </c>
      <c r="BC29" s="11" t="n">
        <v>0.0</v>
      </c>
      <c r="BD29" s="10" t="n">
        <v>0.0</v>
      </c>
      <c r="BE29" s="11" t="n">
        <v>0.0</v>
      </c>
      <c r="BF29" s="10" t="n">
        <v>0.0</v>
      </c>
      <c r="BG29" s="11" t="n">
        <v>0.0</v>
      </c>
      <c r="BH29" s="10" t="n">
        <v>0.0</v>
      </c>
      <c r="BI29" s="11" t="n">
        <v>0.0</v>
      </c>
      <c r="BJ29" s="10" t="n">
        <v>0.0</v>
      </c>
      <c r="BK29" s="11" t="n">
        <v>0.0</v>
      </c>
      <c r="BL29" s="10" t="n">
        <v>0.0</v>
      </c>
      <c r="BM29" s="11" t="n">
        <v>0.0</v>
      </c>
      <c r="BN29" s="10" t="n">
        <v>0.0</v>
      </c>
      <c r="BO29" s="11" t="n">
        <v>0.0</v>
      </c>
      <c r="BP29" s="10" t="n">
        <v>0.0</v>
      </c>
      <c r="BQ29" s="11" t="n">
        <v>0.0</v>
      </c>
      <c r="BR29" s="10" t="n">
        <v>0.0</v>
      </c>
      <c r="BS29" s="11"/>
      <c r="BT29" s="11" t="n">
        <v>0.0</v>
      </c>
      <c r="BU29" s="10"/>
      <c r="BV29" s="10" t="n">
        <v>0.0</v>
      </c>
      <c r="BW29" s="11"/>
      <c r="BX29" s="11" t="n">
        <v>0.0</v>
      </c>
      <c r="BY29" s="10"/>
      <c r="BZ29" s="10" t="n">
        <v>0.0</v>
      </c>
      <c r="CA29" s="11"/>
      <c r="CB29" s="11" t="n">
        <v>0.0</v>
      </c>
      <c r="CC29" s="10"/>
      <c r="CD29" s="10" t="n">
        <v>0.0</v>
      </c>
      <c r="CE29" s="11"/>
      <c r="CF29" s="11" t="n">
        <v>0.0</v>
      </c>
      <c r="CG29" s="10"/>
      <c r="CH29" s="10" t="n">
        <v>0.0</v>
      </c>
    </row>
    <row r="30">
      <c r="A30" s="10"/>
      <c r="B30" s="4" t="s">
        <v>317</v>
      </c>
      <c r="C30" s="4" t="n">
        <v>15.0</v>
      </c>
      <c r="D30" s="4" t="s">
        <v>363</v>
      </c>
      <c r="E30" s="4" t="s">
        <v>364</v>
      </c>
      <c r="F30" s="4" t="s">
        <v>365</v>
      </c>
      <c r="G30" s="4" t="s">
        <v>350</v>
      </c>
      <c r="H30" s="4" t="s">
        <v>322</v>
      </c>
      <c r="I30" s="4" t="s">
        <v>0</v>
      </c>
      <c r="J30" s="10"/>
      <c r="K30" s="12" t="n">
        <v>200.0</v>
      </c>
      <c r="L30" s="10"/>
      <c r="M30" s="10"/>
      <c r="N30" s="10"/>
      <c r="O30" s="10"/>
      <c r="P30" s="10" t="n">
        <f>IF(OR(R30="Российская Федерация",R30="Армения",R30="Белоруссия",R30="Беларуь",R30="Казахстан",R30="Киргизия",R30="Кыргызстан",R30="ДНР",R30="ЛНР"), 1, 0)</f>
        <v>0.0</v>
      </c>
      <c r="Q30" s="10"/>
      <c r="R30" s="10" t="str">
        <f>IFERROR(IF(P30=1, "Российская Федерация", "Не заполнено"),"")</f>
        <v/>
      </c>
      <c r="S30" s="10"/>
      <c r="T30" s="10"/>
      <c r="U30" s="10"/>
      <c r="V30" s="12" t="n">
        <f>SUM(X30,Z30,AB30,AD30,AF30,AH30,AJ30,AL30,AN30,AP30,AR30,AT30,AV30,AX30,AZ30,BB30,BD30,BF30,BH30,BJ30,BL30,BN30,BP30,BR30,BV30,BZ30,CD30,CH30)</f>
        <v>200.0</v>
      </c>
      <c r="W30" s="11" t="n">
        <v>0.0</v>
      </c>
      <c r="X30" s="10" t="n">
        <v>0.0</v>
      </c>
      <c r="Y30" s="11" t="n">
        <v>0.0</v>
      </c>
      <c r="Z30" s="10" t="n">
        <v>0.0</v>
      </c>
      <c r="AA30" s="11" t="n">
        <v>0.0</v>
      </c>
      <c r="AB30" s="10" t="n">
        <v>0.0</v>
      </c>
      <c r="AC30" s="11" t="n">
        <v>0.0</v>
      </c>
      <c r="AD30" s="10" t="n">
        <v>0.0</v>
      </c>
      <c r="AE30" s="11" t="n">
        <v>0.0</v>
      </c>
      <c r="AF30" s="10" t="n">
        <v>0.0</v>
      </c>
      <c r="AG30" s="11" t="n">
        <v>0.0</v>
      </c>
      <c r="AH30" s="10" t="n">
        <v>0.0</v>
      </c>
      <c r="AI30" s="11" t="n">
        <v>0.0</v>
      </c>
      <c r="AJ30" s="10" t="n">
        <v>0.0</v>
      </c>
      <c r="AK30" s="11" t="n">
        <v>0.0</v>
      </c>
      <c r="AL30" s="10" t="n">
        <v>0.0</v>
      </c>
      <c r="AM30" s="11" t="n">
        <v>0.0</v>
      </c>
      <c r="AN30" s="10" t="n">
        <v>0.0</v>
      </c>
      <c r="AO30" s="11" t="n">
        <v>0.0</v>
      </c>
      <c r="AP30" s="10" t="n">
        <v>0.0</v>
      </c>
      <c r="AQ30" s="11" t="n">
        <v>0.0</v>
      </c>
      <c r="AR30" s="10" t="n">
        <v>0.0</v>
      </c>
      <c r="AS30" s="11" t="n">
        <v>0.0</v>
      </c>
      <c r="AT30" s="10" t="n">
        <v>0.0</v>
      </c>
      <c r="AU30" s="8" t="n">
        <v>200.0</v>
      </c>
      <c r="AV30" s="9" t="n">
        <v>200.0</v>
      </c>
      <c r="AW30" s="11" t="n">
        <v>0.0</v>
      </c>
      <c r="AX30" s="10" t="n">
        <v>0.0</v>
      </c>
      <c r="AY30" s="11" t="n">
        <v>0.0</v>
      </c>
      <c r="AZ30" s="10" t="n">
        <v>0.0</v>
      </c>
      <c r="BA30" s="11" t="n">
        <v>0.0</v>
      </c>
      <c r="BB30" s="10" t="n">
        <v>0.0</v>
      </c>
      <c r="BC30" s="11" t="n">
        <v>0.0</v>
      </c>
      <c r="BD30" s="10" t="n">
        <v>0.0</v>
      </c>
      <c r="BE30" s="11" t="n">
        <v>0.0</v>
      </c>
      <c r="BF30" s="10" t="n">
        <v>0.0</v>
      </c>
      <c r="BG30" s="11" t="n">
        <v>0.0</v>
      </c>
      <c r="BH30" s="10" t="n">
        <v>0.0</v>
      </c>
      <c r="BI30" s="11" t="n">
        <v>0.0</v>
      </c>
      <c r="BJ30" s="10" t="n">
        <v>0.0</v>
      </c>
      <c r="BK30" s="11" t="n">
        <v>0.0</v>
      </c>
      <c r="BL30" s="10" t="n">
        <v>0.0</v>
      </c>
      <c r="BM30" s="11" t="n">
        <v>0.0</v>
      </c>
      <c r="BN30" s="10" t="n">
        <v>0.0</v>
      </c>
      <c r="BO30" s="11" t="n">
        <v>0.0</v>
      </c>
      <c r="BP30" s="10" t="n">
        <v>0.0</v>
      </c>
      <c r="BQ30" s="11" t="n">
        <v>0.0</v>
      </c>
      <c r="BR30" s="10" t="n">
        <v>0.0</v>
      </c>
      <c r="BS30" s="11"/>
      <c r="BT30" s="11" t="n">
        <v>0.0</v>
      </c>
      <c r="BU30" s="10"/>
      <c r="BV30" s="10" t="n">
        <v>0.0</v>
      </c>
      <c r="BW30" s="11"/>
      <c r="BX30" s="11" t="n">
        <v>0.0</v>
      </c>
      <c r="BY30" s="10"/>
      <c r="BZ30" s="10" t="n">
        <v>0.0</v>
      </c>
      <c r="CA30" s="11"/>
      <c r="CB30" s="11" t="n">
        <v>0.0</v>
      </c>
      <c r="CC30" s="10"/>
      <c r="CD30" s="10" t="n">
        <v>0.0</v>
      </c>
      <c r="CE30" s="11"/>
      <c r="CF30" s="11" t="n">
        <v>0.0</v>
      </c>
      <c r="CG30" s="10"/>
      <c r="CH30" s="10" t="n">
        <v>0.0</v>
      </c>
    </row>
    <row r="31">
      <c r="A31" s="10"/>
      <c r="B31" s="4" t="s">
        <v>317</v>
      </c>
      <c r="C31" s="4" t="n">
        <v>16.0</v>
      </c>
      <c r="D31" s="4" t="s">
        <v>363</v>
      </c>
      <c r="E31" s="4" t="s">
        <v>364</v>
      </c>
      <c r="F31" s="4" t="s">
        <v>365</v>
      </c>
      <c r="G31" s="4" t="s">
        <v>350</v>
      </c>
      <c r="H31" s="4" t="s">
        <v>322</v>
      </c>
      <c r="I31" s="4" t="s">
        <v>0</v>
      </c>
      <c r="J31" s="10"/>
      <c r="K31" s="12" t="n">
        <v>200.0</v>
      </c>
      <c r="L31" s="10"/>
      <c r="M31" s="10"/>
      <c r="N31" s="10"/>
      <c r="O31" s="10"/>
      <c r="P31" s="10" t="n">
        <f>IF(OR(R31="Российская Федерация",R31="Армения",R31="Белоруссия",R31="Беларуь",R31="Казахстан",R31="Киргизия",R31="Кыргызстан",R31="ДНР",R31="ЛНР"), 1, 0)</f>
        <v>0.0</v>
      </c>
      <c r="Q31" s="10"/>
      <c r="R31" s="10" t="str">
        <f>IFERROR(IF(P31=1, "Российская Федерация", "Не заполнено"),"")</f>
        <v/>
      </c>
      <c r="S31" s="10"/>
      <c r="T31" s="10"/>
      <c r="U31" s="10"/>
      <c r="V31" s="12" t="n">
        <f>SUM(X31,Z31,AB31,AD31,AF31,AH31,AJ31,AL31,AN31,AP31,AR31,AT31,AV31,AX31,AZ31,BB31,BD31,BF31,BH31,BJ31,BL31,BN31,BP31,BR31,BV31,BZ31,CD31,CH31)</f>
        <v>200.0</v>
      </c>
      <c r="W31" s="11" t="n">
        <v>0.0</v>
      </c>
      <c r="X31" s="10" t="n">
        <v>0.0</v>
      </c>
      <c r="Y31" s="11" t="n">
        <v>0.0</v>
      </c>
      <c r="Z31" s="10" t="n">
        <v>0.0</v>
      </c>
      <c r="AA31" s="11" t="n">
        <v>0.0</v>
      </c>
      <c r="AB31" s="10" t="n">
        <v>0.0</v>
      </c>
      <c r="AC31" s="11" t="n">
        <v>0.0</v>
      </c>
      <c r="AD31" s="10" t="n">
        <v>0.0</v>
      </c>
      <c r="AE31" s="11" t="n">
        <v>0.0</v>
      </c>
      <c r="AF31" s="10" t="n">
        <v>0.0</v>
      </c>
      <c r="AG31" s="11" t="n">
        <v>0.0</v>
      </c>
      <c r="AH31" s="10" t="n">
        <v>0.0</v>
      </c>
      <c r="AI31" s="11" t="n">
        <v>0.0</v>
      </c>
      <c r="AJ31" s="10" t="n">
        <v>0.0</v>
      </c>
      <c r="AK31" s="11" t="n">
        <v>0.0</v>
      </c>
      <c r="AL31" s="10" t="n">
        <v>0.0</v>
      </c>
      <c r="AM31" s="11" t="n">
        <v>0.0</v>
      </c>
      <c r="AN31" s="10" t="n">
        <v>0.0</v>
      </c>
      <c r="AO31" s="11" t="n">
        <v>0.0</v>
      </c>
      <c r="AP31" s="10" t="n">
        <v>0.0</v>
      </c>
      <c r="AQ31" s="11" t="n">
        <v>0.0</v>
      </c>
      <c r="AR31" s="10" t="n">
        <v>0.0</v>
      </c>
      <c r="AS31" s="11" t="n">
        <v>0.0</v>
      </c>
      <c r="AT31" s="10" t="n">
        <v>0.0</v>
      </c>
      <c r="AU31" s="8" t="n">
        <v>200.0</v>
      </c>
      <c r="AV31" s="9" t="n">
        <v>200.0</v>
      </c>
      <c r="AW31" s="11" t="n">
        <v>0.0</v>
      </c>
      <c r="AX31" s="10" t="n">
        <v>0.0</v>
      </c>
      <c r="AY31" s="11" t="n">
        <v>0.0</v>
      </c>
      <c r="AZ31" s="10" t="n">
        <v>0.0</v>
      </c>
      <c r="BA31" s="11" t="n">
        <v>0.0</v>
      </c>
      <c r="BB31" s="10" t="n">
        <v>0.0</v>
      </c>
      <c r="BC31" s="11" t="n">
        <v>0.0</v>
      </c>
      <c r="BD31" s="10" t="n">
        <v>0.0</v>
      </c>
      <c r="BE31" s="11" t="n">
        <v>0.0</v>
      </c>
      <c r="BF31" s="10" t="n">
        <v>0.0</v>
      </c>
      <c r="BG31" s="11" t="n">
        <v>0.0</v>
      </c>
      <c r="BH31" s="10" t="n">
        <v>0.0</v>
      </c>
      <c r="BI31" s="11" t="n">
        <v>0.0</v>
      </c>
      <c r="BJ31" s="10" t="n">
        <v>0.0</v>
      </c>
      <c r="BK31" s="11" t="n">
        <v>0.0</v>
      </c>
      <c r="BL31" s="10" t="n">
        <v>0.0</v>
      </c>
      <c r="BM31" s="11" t="n">
        <v>0.0</v>
      </c>
      <c r="BN31" s="10" t="n">
        <v>0.0</v>
      </c>
      <c r="BO31" s="11" t="n">
        <v>0.0</v>
      </c>
      <c r="BP31" s="10" t="n">
        <v>0.0</v>
      </c>
      <c r="BQ31" s="11" t="n">
        <v>0.0</v>
      </c>
      <c r="BR31" s="10" t="n">
        <v>0.0</v>
      </c>
      <c r="BS31" s="11"/>
      <c r="BT31" s="11" t="n">
        <v>0.0</v>
      </c>
      <c r="BU31" s="10"/>
      <c r="BV31" s="10" t="n">
        <v>0.0</v>
      </c>
      <c r="BW31" s="11"/>
      <c r="BX31" s="11" t="n">
        <v>0.0</v>
      </c>
      <c r="BY31" s="10"/>
      <c r="BZ31" s="10" t="n">
        <v>0.0</v>
      </c>
      <c r="CA31" s="11"/>
      <c r="CB31" s="11" t="n">
        <v>0.0</v>
      </c>
      <c r="CC31" s="10"/>
      <c r="CD31" s="10" t="n">
        <v>0.0</v>
      </c>
      <c r="CE31" s="11"/>
      <c r="CF31" s="11" t="n">
        <v>0.0</v>
      </c>
      <c r="CG31" s="10"/>
      <c r="CH31" s="10" t="n">
        <v>0.0</v>
      </c>
    </row>
    <row r="32">
      <c r="A32" s="10"/>
      <c r="B32" s="4" t="s">
        <v>317</v>
      </c>
      <c r="C32" s="4" t="n">
        <v>17.0</v>
      </c>
      <c r="D32" s="4" t="s">
        <v>366</v>
      </c>
      <c r="E32" s="4" t="s">
        <v>367</v>
      </c>
      <c r="F32" s="4" t="s">
        <v>368</v>
      </c>
      <c r="G32" s="4" t="s">
        <v>369</v>
      </c>
      <c r="H32" s="4" t="s">
        <v>322</v>
      </c>
      <c r="I32" s="4" t="s">
        <v>0</v>
      </c>
      <c r="J32" s="10"/>
      <c r="K32" s="12" t="n">
        <v>100.0</v>
      </c>
      <c r="L32" s="10"/>
      <c r="M32" s="10"/>
      <c r="N32" s="10"/>
      <c r="O32" s="10"/>
      <c r="P32" s="10" t="n">
        <f>IF(OR(R32="Российская Федерация",R32="Армения",R32="Белоруссия",R32="Беларуь",R32="Казахстан",R32="Киргизия",R32="Кыргызстан",R32="ДНР",R32="ЛНР"), 1, 0)</f>
        <v>0.0</v>
      </c>
      <c r="Q32" s="10"/>
      <c r="R32" s="10" t="str">
        <f>IFERROR(IF(P32=1, "Российская Федерация", "Не заполнено"),"")</f>
        <v/>
      </c>
      <c r="S32" s="10"/>
      <c r="T32" s="10"/>
      <c r="U32" s="10"/>
      <c r="V32" s="12" t="n">
        <f>SUM(X32,Z32,AB32,AD32,AF32,AH32,AJ32,AL32,AN32,AP32,AR32,AT32,AV32,AX32,AZ32,BB32,BD32,BF32,BH32,BJ32,BL32,BN32,BP32,BR32,BV32,BZ32,CD32,CH32)</f>
        <v>100.0</v>
      </c>
      <c r="W32" s="11" t="n">
        <v>0.0</v>
      </c>
      <c r="X32" s="10" t="n">
        <v>0.0</v>
      </c>
      <c r="Y32" s="11" t="n">
        <v>0.0</v>
      </c>
      <c r="Z32" s="10" t="n">
        <v>0.0</v>
      </c>
      <c r="AA32" s="11" t="n">
        <v>0.0</v>
      </c>
      <c r="AB32" s="10" t="n">
        <v>0.0</v>
      </c>
      <c r="AC32" s="11" t="n">
        <v>0.0</v>
      </c>
      <c r="AD32" s="10" t="n">
        <v>0.0</v>
      </c>
      <c r="AE32" s="11" t="n">
        <v>0.0</v>
      </c>
      <c r="AF32" s="10" t="n">
        <v>0.0</v>
      </c>
      <c r="AG32" s="11" t="n">
        <v>0.0</v>
      </c>
      <c r="AH32" s="10" t="n">
        <v>0.0</v>
      </c>
      <c r="AI32" s="11" t="n">
        <v>0.0</v>
      </c>
      <c r="AJ32" s="10" t="n">
        <v>0.0</v>
      </c>
      <c r="AK32" s="11" t="n">
        <v>0.0</v>
      </c>
      <c r="AL32" s="10" t="n">
        <v>0.0</v>
      </c>
      <c r="AM32" s="11" t="n">
        <v>0.0</v>
      </c>
      <c r="AN32" s="10" t="n">
        <v>0.0</v>
      </c>
      <c r="AO32" s="11" t="n">
        <v>0.0</v>
      </c>
      <c r="AP32" s="10" t="n">
        <v>0.0</v>
      </c>
      <c r="AQ32" s="11" t="n">
        <v>0.0</v>
      </c>
      <c r="AR32" s="10" t="n">
        <v>0.0</v>
      </c>
      <c r="AS32" s="11" t="n">
        <v>0.0</v>
      </c>
      <c r="AT32" s="10" t="n">
        <v>0.0</v>
      </c>
      <c r="AU32" s="8" t="n">
        <v>100.0</v>
      </c>
      <c r="AV32" s="9" t="n">
        <v>100.0</v>
      </c>
      <c r="AW32" s="11" t="n">
        <v>0.0</v>
      </c>
      <c r="AX32" s="10" t="n">
        <v>0.0</v>
      </c>
      <c r="AY32" s="11" t="n">
        <v>0.0</v>
      </c>
      <c r="AZ32" s="10" t="n">
        <v>0.0</v>
      </c>
      <c r="BA32" s="11" t="n">
        <v>0.0</v>
      </c>
      <c r="BB32" s="10" t="n">
        <v>0.0</v>
      </c>
      <c r="BC32" s="11" t="n">
        <v>0.0</v>
      </c>
      <c r="BD32" s="10" t="n">
        <v>0.0</v>
      </c>
      <c r="BE32" s="11" t="n">
        <v>0.0</v>
      </c>
      <c r="BF32" s="10" t="n">
        <v>0.0</v>
      </c>
      <c r="BG32" s="11" t="n">
        <v>0.0</v>
      </c>
      <c r="BH32" s="10" t="n">
        <v>0.0</v>
      </c>
      <c r="BI32" s="11" t="n">
        <v>0.0</v>
      </c>
      <c r="BJ32" s="10" t="n">
        <v>0.0</v>
      </c>
      <c r="BK32" s="11" t="n">
        <v>0.0</v>
      </c>
      <c r="BL32" s="10" t="n">
        <v>0.0</v>
      </c>
      <c r="BM32" s="11" t="n">
        <v>0.0</v>
      </c>
      <c r="BN32" s="10" t="n">
        <v>0.0</v>
      </c>
      <c r="BO32" s="11" t="n">
        <v>0.0</v>
      </c>
      <c r="BP32" s="10" t="n">
        <v>0.0</v>
      </c>
      <c r="BQ32" s="11" t="n">
        <v>0.0</v>
      </c>
      <c r="BR32" s="10" t="n">
        <v>0.0</v>
      </c>
      <c r="BS32" s="11"/>
      <c r="BT32" s="11" t="n">
        <v>0.0</v>
      </c>
      <c r="BU32" s="10"/>
      <c r="BV32" s="10" t="n">
        <v>0.0</v>
      </c>
      <c r="BW32" s="11"/>
      <c r="BX32" s="11" t="n">
        <v>0.0</v>
      </c>
      <c r="BY32" s="10"/>
      <c r="BZ32" s="10" t="n">
        <v>0.0</v>
      </c>
      <c r="CA32" s="11"/>
      <c r="CB32" s="11" t="n">
        <v>0.0</v>
      </c>
      <c r="CC32" s="10"/>
      <c r="CD32" s="10" t="n">
        <v>0.0</v>
      </c>
      <c r="CE32" s="11"/>
      <c r="CF32" s="11" t="n">
        <v>0.0</v>
      </c>
      <c r="CG32" s="10"/>
      <c r="CH32" s="10" t="n">
        <v>0.0</v>
      </c>
    </row>
    <row r="33">
      <c r="A33" s="10"/>
      <c r="B33" s="4" t="s">
        <v>317</v>
      </c>
      <c r="C33" s="4" t="n">
        <v>18.0</v>
      </c>
      <c r="D33" s="4" t="s">
        <v>370</v>
      </c>
      <c r="E33" s="4" t="s">
        <v>371</v>
      </c>
      <c r="F33" s="4" t="s">
        <v>372</v>
      </c>
      <c r="G33" s="4" t="s">
        <v>321</v>
      </c>
      <c r="H33" s="4" t="s">
        <v>322</v>
      </c>
      <c r="I33" s="4" t="s">
        <v>0</v>
      </c>
      <c r="J33" s="10"/>
      <c r="K33" s="12" t="n">
        <v>115555.0</v>
      </c>
      <c r="L33" s="10"/>
      <c r="M33" s="10"/>
      <c r="N33" s="10"/>
      <c r="O33" s="10"/>
      <c r="P33" s="10" t="n">
        <f>IF(OR(R33="Российская Федерация",R33="Армения",R33="Белоруссия",R33="Беларуь",R33="Казахстан",R33="Киргизия",R33="Кыргызстан",R33="ДНР",R33="ЛНР"), 1, 0)</f>
        <v>0.0</v>
      </c>
      <c r="Q33" s="10"/>
      <c r="R33" s="10" t="str">
        <f>IFERROR(IF(P33=1, "Российская Федерация", "Не заполнено"),"")</f>
        <v/>
      </c>
      <c r="S33" s="10"/>
      <c r="T33" s="10"/>
      <c r="U33" s="10"/>
      <c r="V33" s="12" t="n">
        <f>SUM(X33,Z33,AB33,AD33,AF33,AH33,AJ33,AL33,AN33,AP33,AR33,AT33,AV33,AX33,AZ33,BB33,BD33,BF33,BH33,BJ33,BL33,BN33,BP33,BR33,BV33,BZ33,CD33,CH33)</f>
        <v>115555.0</v>
      </c>
      <c r="W33" s="11" t="n">
        <v>0.0</v>
      </c>
      <c r="X33" s="10" t="n">
        <v>0.0</v>
      </c>
      <c r="Y33" s="11" t="n">
        <v>0.0</v>
      </c>
      <c r="Z33" s="10" t="n">
        <v>0.0</v>
      </c>
      <c r="AA33" s="11" t="n">
        <v>0.0</v>
      </c>
      <c r="AB33" s="10" t="n">
        <v>0.0</v>
      </c>
      <c r="AC33" s="11" t="n">
        <v>0.0</v>
      </c>
      <c r="AD33" s="10" t="n">
        <v>0.0</v>
      </c>
      <c r="AE33" s="11" t="n">
        <v>0.0</v>
      </c>
      <c r="AF33" s="10" t="n">
        <v>0.0</v>
      </c>
      <c r="AG33" s="11" t="n">
        <v>0.0</v>
      </c>
      <c r="AH33" s="10" t="n">
        <v>0.0</v>
      </c>
      <c r="AI33" s="11" t="n">
        <v>0.0</v>
      </c>
      <c r="AJ33" s="10" t="n">
        <v>0.0</v>
      </c>
      <c r="AK33" s="11" t="n">
        <v>0.0</v>
      </c>
      <c r="AL33" s="10" t="n">
        <v>0.0</v>
      </c>
      <c r="AM33" s="11" t="n">
        <v>0.0</v>
      </c>
      <c r="AN33" s="10" t="n">
        <v>0.0</v>
      </c>
      <c r="AO33" s="11" t="n">
        <v>0.0</v>
      </c>
      <c r="AP33" s="10" t="n">
        <v>0.0</v>
      </c>
      <c r="AQ33" s="11" t="n">
        <v>0.0</v>
      </c>
      <c r="AR33" s="10" t="n">
        <v>0.0</v>
      </c>
      <c r="AS33" s="11" t="n">
        <v>0.0</v>
      </c>
      <c r="AT33" s="10" t="n">
        <v>0.0</v>
      </c>
      <c r="AU33" s="8" t="n">
        <v>115555.0</v>
      </c>
      <c r="AV33" s="9" t="n">
        <v>115555.0</v>
      </c>
      <c r="AW33" s="11" t="n">
        <v>0.0</v>
      </c>
      <c r="AX33" s="10" t="n">
        <v>0.0</v>
      </c>
      <c r="AY33" s="11" t="n">
        <v>0.0</v>
      </c>
      <c r="AZ33" s="10" t="n">
        <v>0.0</v>
      </c>
      <c r="BA33" s="11" t="n">
        <v>0.0</v>
      </c>
      <c r="BB33" s="10" t="n">
        <v>0.0</v>
      </c>
      <c r="BC33" s="11" t="n">
        <v>0.0</v>
      </c>
      <c r="BD33" s="10" t="n">
        <v>0.0</v>
      </c>
      <c r="BE33" s="11" t="n">
        <v>0.0</v>
      </c>
      <c r="BF33" s="10" t="n">
        <v>0.0</v>
      </c>
      <c r="BG33" s="11" t="n">
        <v>0.0</v>
      </c>
      <c r="BH33" s="10" t="n">
        <v>0.0</v>
      </c>
      <c r="BI33" s="11" t="n">
        <v>0.0</v>
      </c>
      <c r="BJ33" s="10" t="n">
        <v>0.0</v>
      </c>
      <c r="BK33" s="11" t="n">
        <v>0.0</v>
      </c>
      <c r="BL33" s="10" t="n">
        <v>0.0</v>
      </c>
      <c r="BM33" s="11" t="n">
        <v>0.0</v>
      </c>
      <c r="BN33" s="10" t="n">
        <v>0.0</v>
      </c>
      <c r="BO33" s="11" t="n">
        <v>0.0</v>
      </c>
      <c r="BP33" s="10" t="n">
        <v>0.0</v>
      </c>
      <c r="BQ33" s="11" t="n">
        <v>0.0</v>
      </c>
      <c r="BR33" s="10" t="n">
        <v>0.0</v>
      </c>
      <c r="BS33" s="11"/>
      <c r="BT33" s="11" t="n">
        <v>0.0</v>
      </c>
      <c r="BU33" s="10"/>
      <c r="BV33" s="10" t="n">
        <v>0.0</v>
      </c>
      <c r="BW33" s="11"/>
      <c r="BX33" s="11" t="n">
        <v>0.0</v>
      </c>
      <c r="BY33" s="10"/>
      <c r="BZ33" s="10" t="n">
        <v>0.0</v>
      </c>
      <c r="CA33" s="11"/>
      <c r="CB33" s="11" t="n">
        <v>0.0</v>
      </c>
      <c r="CC33" s="10"/>
      <c r="CD33" s="10" t="n">
        <v>0.0</v>
      </c>
      <c r="CE33" s="11"/>
      <c r="CF33" s="11" t="n">
        <v>0.0</v>
      </c>
      <c r="CG33" s="10"/>
      <c r="CH33" s="10" t="n">
        <v>0.0</v>
      </c>
    </row>
    <row r="34">
      <c r="A34" s="10"/>
      <c r="B34" s="4" t="s">
        <v>317</v>
      </c>
      <c r="C34" s="4" t="n">
        <v>19.0</v>
      </c>
      <c r="D34" s="4" t="s">
        <v>373</v>
      </c>
      <c r="E34" s="4" t="s">
        <v>374</v>
      </c>
      <c r="F34" s="4" t="s">
        <v>375</v>
      </c>
      <c r="G34" s="4" t="s">
        <v>321</v>
      </c>
      <c r="H34" s="4" t="s">
        <v>322</v>
      </c>
      <c r="I34" s="4" t="s">
        <v>0</v>
      </c>
      <c r="J34" s="10"/>
      <c r="K34" s="12" t="n">
        <v>7000.0</v>
      </c>
      <c r="L34" s="10"/>
      <c r="M34" s="10"/>
      <c r="N34" s="10"/>
      <c r="O34" s="10"/>
      <c r="P34" s="10" t="n">
        <f>IF(OR(R34="Российская Федерация",R34="Армения",R34="Белоруссия",R34="Беларуь",R34="Казахстан",R34="Киргизия",R34="Кыргызстан",R34="ДНР",R34="ЛНР"), 1, 0)</f>
        <v>0.0</v>
      </c>
      <c r="Q34" s="10"/>
      <c r="R34" s="10" t="str">
        <f>IFERROR(IF(P34=1, "Российская Федерация", "Не заполнено"),"")</f>
        <v/>
      </c>
      <c r="S34" s="10"/>
      <c r="T34" s="10"/>
      <c r="U34" s="10"/>
      <c r="V34" s="12" t="n">
        <f>SUM(X34,Z34,AB34,AD34,AF34,AH34,AJ34,AL34,AN34,AP34,AR34,AT34,AV34,AX34,AZ34,BB34,BD34,BF34,BH34,BJ34,BL34,BN34,BP34,BR34,BV34,BZ34,CD34,CH34)</f>
        <v>7000.0</v>
      </c>
      <c r="W34" s="11" t="n">
        <v>0.0</v>
      </c>
      <c r="X34" s="10" t="n">
        <v>0.0</v>
      </c>
      <c r="Y34" s="11" t="n">
        <v>0.0</v>
      </c>
      <c r="Z34" s="10" t="n">
        <v>0.0</v>
      </c>
      <c r="AA34" s="11" t="n">
        <v>0.0</v>
      </c>
      <c r="AB34" s="10" t="n">
        <v>0.0</v>
      </c>
      <c r="AC34" s="11" t="n">
        <v>0.0</v>
      </c>
      <c r="AD34" s="10" t="n">
        <v>0.0</v>
      </c>
      <c r="AE34" s="11" t="n">
        <v>0.0</v>
      </c>
      <c r="AF34" s="10" t="n">
        <v>0.0</v>
      </c>
      <c r="AG34" s="11" t="n">
        <v>0.0</v>
      </c>
      <c r="AH34" s="10" t="n">
        <v>0.0</v>
      </c>
      <c r="AI34" s="11" t="n">
        <v>0.0</v>
      </c>
      <c r="AJ34" s="10" t="n">
        <v>0.0</v>
      </c>
      <c r="AK34" s="11" t="n">
        <v>0.0</v>
      </c>
      <c r="AL34" s="10" t="n">
        <v>0.0</v>
      </c>
      <c r="AM34" s="11" t="n">
        <v>0.0</v>
      </c>
      <c r="AN34" s="10" t="n">
        <v>0.0</v>
      </c>
      <c r="AO34" s="11" t="n">
        <v>0.0</v>
      </c>
      <c r="AP34" s="10" t="n">
        <v>0.0</v>
      </c>
      <c r="AQ34" s="11" t="n">
        <v>0.0</v>
      </c>
      <c r="AR34" s="10" t="n">
        <v>0.0</v>
      </c>
      <c r="AS34" s="11" t="n">
        <v>0.0</v>
      </c>
      <c r="AT34" s="10" t="n">
        <v>0.0</v>
      </c>
      <c r="AU34" s="8" t="n">
        <v>7000.0</v>
      </c>
      <c r="AV34" s="9" t="n">
        <v>7000.0</v>
      </c>
      <c r="AW34" s="11" t="n">
        <v>0.0</v>
      </c>
      <c r="AX34" s="10" t="n">
        <v>0.0</v>
      </c>
      <c r="AY34" s="11" t="n">
        <v>0.0</v>
      </c>
      <c r="AZ34" s="10" t="n">
        <v>0.0</v>
      </c>
      <c r="BA34" s="11" t="n">
        <v>0.0</v>
      </c>
      <c r="BB34" s="10" t="n">
        <v>0.0</v>
      </c>
      <c r="BC34" s="11" t="n">
        <v>0.0</v>
      </c>
      <c r="BD34" s="10" t="n">
        <v>0.0</v>
      </c>
      <c r="BE34" s="11" t="n">
        <v>0.0</v>
      </c>
      <c r="BF34" s="10" t="n">
        <v>0.0</v>
      </c>
      <c r="BG34" s="11" t="n">
        <v>0.0</v>
      </c>
      <c r="BH34" s="10" t="n">
        <v>0.0</v>
      </c>
      <c r="BI34" s="11" t="n">
        <v>0.0</v>
      </c>
      <c r="BJ34" s="10" t="n">
        <v>0.0</v>
      </c>
      <c r="BK34" s="11" t="n">
        <v>0.0</v>
      </c>
      <c r="BL34" s="10" t="n">
        <v>0.0</v>
      </c>
      <c r="BM34" s="11" t="n">
        <v>0.0</v>
      </c>
      <c r="BN34" s="10" t="n">
        <v>0.0</v>
      </c>
      <c r="BO34" s="11" t="n">
        <v>0.0</v>
      </c>
      <c r="BP34" s="10" t="n">
        <v>0.0</v>
      </c>
      <c r="BQ34" s="11" t="n">
        <v>0.0</v>
      </c>
      <c r="BR34" s="10" t="n">
        <v>0.0</v>
      </c>
      <c r="BS34" s="11"/>
      <c r="BT34" s="11" t="n">
        <v>0.0</v>
      </c>
      <c r="BU34" s="10"/>
      <c r="BV34" s="10" t="n">
        <v>0.0</v>
      </c>
      <c r="BW34" s="11"/>
      <c r="BX34" s="11" t="n">
        <v>0.0</v>
      </c>
      <c r="BY34" s="10"/>
      <c r="BZ34" s="10" t="n">
        <v>0.0</v>
      </c>
      <c r="CA34" s="11"/>
      <c r="CB34" s="11" t="n">
        <v>0.0</v>
      </c>
      <c r="CC34" s="10"/>
      <c r="CD34" s="10" t="n">
        <v>0.0</v>
      </c>
      <c r="CE34" s="11"/>
      <c r="CF34" s="11" t="n">
        <v>0.0</v>
      </c>
      <c r="CG34" s="10"/>
      <c r="CH34" s="10" t="n">
        <v>0.0</v>
      </c>
    </row>
    <row r="35">
      <c r="A35" s="10"/>
      <c r="B35" s="4" t="s">
        <v>317</v>
      </c>
      <c r="C35" s="4" t="n">
        <v>20.0</v>
      </c>
      <c r="D35" s="4" t="s">
        <v>376</v>
      </c>
      <c r="E35" s="4" t="s">
        <v>377</v>
      </c>
      <c r="F35" s="4" t="s">
        <v>378</v>
      </c>
      <c r="G35" s="4" t="s">
        <v>369</v>
      </c>
      <c r="H35" s="4" t="s">
        <v>322</v>
      </c>
      <c r="I35" s="4" t="s">
        <v>0</v>
      </c>
      <c r="J35" s="10"/>
      <c r="K35" s="12" t="n">
        <v>210.0</v>
      </c>
      <c r="L35" s="10"/>
      <c r="M35" s="10"/>
      <c r="N35" s="10"/>
      <c r="O35" s="10"/>
      <c r="P35" s="10" t="n">
        <f>IF(OR(R35="Российская Федерация",R35="Армения",R35="Белоруссия",R35="Беларуь",R35="Казахстан",R35="Киргизия",R35="Кыргызстан",R35="ДНР",R35="ЛНР"), 1, 0)</f>
        <v>0.0</v>
      </c>
      <c r="Q35" s="10"/>
      <c r="R35" s="10" t="str">
        <f>IFERROR(IF(P35=1, "Российская Федерация", "Не заполнено"),"")</f>
        <v/>
      </c>
      <c r="S35" s="10"/>
      <c r="T35" s="10"/>
      <c r="U35" s="10"/>
      <c r="V35" s="12" t="n">
        <f>SUM(X35,Z35,AB35,AD35,AF35,AH35,AJ35,AL35,AN35,AP35,AR35,AT35,AV35,AX35,AZ35,BB35,BD35,BF35,BH35,BJ35,BL35,BN35,BP35,BR35,BV35,BZ35,CD35,CH35)</f>
        <v>210.0</v>
      </c>
      <c r="W35" s="11" t="n">
        <v>0.0</v>
      </c>
      <c r="X35" s="10" t="n">
        <v>0.0</v>
      </c>
      <c r="Y35" s="11" t="n">
        <v>0.0</v>
      </c>
      <c r="Z35" s="10" t="n">
        <v>0.0</v>
      </c>
      <c r="AA35" s="11" t="n">
        <v>0.0</v>
      </c>
      <c r="AB35" s="10" t="n">
        <v>0.0</v>
      </c>
      <c r="AC35" s="11" t="n">
        <v>0.0</v>
      </c>
      <c r="AD35" s="10" t="n">
        <v>0.0</v>
      </c>
      <c r="AE35" s="11" t="n">
        <v>0.0</v>
      </c>
      <c r="AF35" s="10" t="n">
        <v>0.0</v>
      </c>
      <c r="AG35" s="11" t="n">
        <v>0.0</v>
      </c>
      <c r="AH35" s="10" t="n">
        <v>0.0</v>
      </c>
      <c r="AI35" s="11" t="n">
        <v>0.0</v>
      </c>
      <c r="AJ35" s="10" t="n">
        <v>0.0</v>
      </c>
      <c r="AK35" s="11" t="n">
        <v>0.0</v>
      </c>
      <c r="AL35" s="10" t="n">
        <v>0.0</v>
      </c>
      <c r="AM35" s="11" t="n">
        <v>0.0</v>
      </c>
      <c r="AN35" s="10" t="n">
        <v>0.0</v>
      </c>
      <c r="AO35" s="11" t="n">
        <v>0.0</v>
      </c>
      <c r="AP35" s="10" t="n">
        <v>0.0</v>
      </c>
      <c r="AQ35" s="11" t="n">
        <v>0.0</v>
      </c>
      <c r="AR35" s="10" t="n">
        <v>0.0</v>
      </c>
      <c r="AS35" s="11" t="n">
        <v>0.0</v>
      </c>
      <c r="AT35" s="10" t="n">
        <v>0.0</v>
      </c>
      <c r="AU35" s="8" t="n">
        <v>210.0</v>
      </c>
      <c r="AV35" s="9" t="n">
        <v>210.0</v>
      </c>
      <c r="AW35" s="11" t="n">
        <v>0.0</v>
      </c>
      <c r="AX35" s="10" t="n">
        <v>0.0</v>
      </c>
      <c r="AY35" s="11" t="n">
        <v>0.0</v>
      </c>
      <c r="AZ35" s="10" t="n">
        <v>0.0</v>
      </c>
      <c r="BA35" s="11" t="n">
        <v>0.0</v>
      </c>
      <c r="BB35" s="10" t="n">
        <v>0.0</v>
      </c>
      <c r="BC35" s="11" t="n">
        <v>0.0</v>
      </c>
      <c r="BD35" s="10" t="n">
        <v>0.0</v>
      </c>
      <c r="BE35" s="11" t="n">
        <v>0.0</v>
      </c>
      <c r="BF35" s="10" t="n">
        <v>0.0</v>
      </c>
      <c r="BG35" s="11" t="n">
        <v>0.0</v>
      </c>
      <c r="BH35" s="10" t="n">
        <v>0.0</v>
      </c>
      <c r="BI35" s="11" t="n">
        <v>0.0</v>
      </c>
      <c r="BJ35" s="10" t="n">
        <v>0.0</v>
      </c>
      <c r="BK35" s="11" t="n">
        <v>0.0</v>
      </c>
      <c r="BL35" s="10" t="n">
        <v>0.0</v>
      </c>
      <c r="BM35" s="11" t="n">
        <v>0.0</v>
      </c>
      <c r="BN35" s="10" t="n">
        <v>0.0</v>
      </c>
      <c r="BO35" s="11" t="n">
        <v>0.0</v>
      </c>
      <c r="BP35" s="10" t="n">
        <v>0.0</v>
      </c>
      <c r="BQ35" s="11" t="n">
        <v>0.0</v>
      </c>
      <c r="BR35" s="10" t="n">
        <v>0.0</v>
      </c>
      <c r="BS35" s="11"/>
      <c r="BT35" s="11" t="n">
        <v>0.0</v>
      </c>
      <c r="BU35" s="10"/>
      <c r="BV35" s="10" t="n">
        <v>0.0</v>
      </c>
      <c r="BW35" s="11"/>
      <c r="BX35" s="11" t="n">
        <v>0.0</v>
      </c>
      <c r="BY35" s="10"/>
      <c r="BZ35" s="10" t="n">
        <v>0.0</v>
      </c>
      <c r="CA35" s="11"/>
      <c r="CB35" s="11" t="n">
        <v>0.0</v>
      </c>
      <c r="CC35" s="10"/>
      <c r="CD35" s="10" t="n">
        <v>0.0</v>
      </c>
      <c r="CE35" s="11"/>
      <c r="CF35" s="11" t="n">
        <v>0.0</v>
      </c>
      <c r="CG35" s="10"/>
      <c r="CH35" s="10" t="n">
        <v>0.0</v>
      </c>
    </row>
    <row r="36">
      <c r="A36" s="10"/>
      <c r="B36" s="4" t="s">
        <v>317</v>
      </c>
      <c r="C36" s="4" t="n">
        <v>21.0</v>
      </c>
      <c r="D36" s="4" t="s">
        <v>379</v>
      </c>
      <c r="E36" s="4" t="s">
        <v>380</v>
      </c>
      <c r="F36" s="4" t="s">
        <v>381</v>
      </c>
      <c r="G36" s="4" t="s">
        <v>350</v>
      </c>
      <c r="H36" s="4" t="s">
        <v>322</v>
      </c>
      <c r="I36" s="4" t="s">
        <v>0</v>
      </c>
      <c r="J36" s="10"/>
      <c r="K36" s="12" t="n">
        <v>21.0</v>
      </c>
      <c r="L36" s="10"/>
      <c r="M36" s="10"/>
      <c r="N36" s="10"/>
      <c r="O36" s="10"/>
      <c r="P36" s="10" t="n">
        <f>IF(OR(R36="Российская Федерация",R36="Армения",R36="Белоруссия",R36="Беларуь",R36="Казахстан",R36="Киргизия",R36="Кыргызстан",R36="ДНР",R36="ЛНР"), 1, 0)</f>
        <v>0.0</v>
      </c>
      <c r="Q36" s="10"/>
      <c r="R36" s="10" t="str">
        <f>IFERROR(IF(P36=1, "Российская Федерация", "Не заполнено"),"")</f>
        <v/>
      </c>
      <c r="S36" s="10"/>
      <c r="T36" s="10"/>
      <c r="U36" s="10"/>
      <c r="V36" s="12" t="n">
        <f>SUM(X36,Z36,AB36,AD36,AF36,AH36,AJ36,AL36,AN36,AP36,AR36,AT36,AV36,AX36,AZ36,BB36,BD36,BF36,BH36,BJ36,BL36,BN36,BP36,BR36,BV36,BZ36,CD36,CH36)</f>
        <v>21.0</v>
      </c>
      <c r="W36" s="11" t="n">
        <v>0.0</v>
      </c>
      <c r="X36" s="10" t="n">
        <v>0.0</v>
      </c>
      <c r="Y36" s="11" t="n">
        <v>0.0</v>
      </c>
      <c r="Z36" s="10" t="n">
        <v>0.0</v>
      </c>
      <c r="AA36" s="11" t="n">
        <v>0.0</v>
      </c>
      <c r="AB36" s="10" t="n">
        <v>0.0</v>
      </c>
      <c r="AC36" s="11" t="n">
        <v>0.0</v>
      </c>
      <c r="AD36" s="10" t="n">
        <v>0.0</v>
      </c>
      <c r="AE36" s="11" t="n">
        <v>0.0</v>
      </c>
      <c r="AF36" s="10" t="n">
        <v>0.0</v>
      </c>
      <c r="AG36" s="11" t="n">
        <v>0.0</v>
      </c>
      <c r="AH36" s="10" t="n">
        <v>0.0</v>
      </c>
      <c r="AI36" s="11" t="n">
        <v>0.0</v>
      </c>
      <c r="AJ36" s="10" t="n">
        <v>0.0</v>
      </c>
      <c r="AK36" s="11" t="n">
        <v>0.0</v>
      </c>
      <c r="AL36" s="10" t="n">
        <v>0.0</v>
      </c>
      <c r="AM36" s="11" t="n">
        <v>0.0</v>
      </c>
      <c r="AN36" s="10" t="n">
        <v>0.0</v>
      </c>
      <c r="AO36" s="11" t="n">
        <v>0.0</v>
      </c>
      <c r="AP36" s="10" t="n">
        <v>0.0</v>
      </c>
      <c r="AQ36" s="11" t="n">
        <v>0.0</v>
      </c>
      <c r="AR36" s="10" t="n">
        <v>0.0</v>
      </c>
      <c r="AS36" s="11" t="n">
        <v>0.0</v>
      </c>
      <c r="AT36" s="10" t="n">
        <v>0.0</v>
      </c>
      <c r="AU36" s="8" t="n">
        <v>21.0</v>
      </c>
      <c r="AV36" s="9" t="n">
        <v>21.0</v>
      </c>
      <c r="AW36" s="11" t="n">
        <v>0.0</v>
      </c>
      <c r="AX36" s="10" t="n">
        <v>0.0</v>
      </c>
      <c r="AY36" s="11" t="n">
        <v>0.0</v>
      </c>
      <c r="AZ36" s="10" t="n">
        <v>0.0</v>
      </c>
      <c r="BA36" s="11" t="n">
        <v>0.0</v>
      </c>
      <c r="BB36" s="10" t="n">
        <v>0.0</v>
      </c>
      <c r="BC36" s="11" t="n">
        <v>0.0</v>
      </c>
      <c r="BD36" s="10" t="n">
        <v>0.0</v>
      </c>
      <c r="BE36" s="11" t="n">
        <v>0.0</v>
      </c>
      <c r="BF36" s="10" t="n">
        <v>0.0</v>
      </c>
      <c r="BG36" s="11" t="n">
        <v>0.0</v>
      </c>
      <c r="BH36" s="10" t="n">
        <v>0.0</v>
      </c>
      <c r="BI36" s="11" t="n">
        <v>0.0</v>
      </c>
      <c r="BJ36" s="10" t="n">
        <v>0.0</v>
      </c>
      <c r="BK36" s="11" t="n">
        <v>0.0</v>
      </c>
      <c r="BL36" s="10" t="n">
        <v>0.0</v>
      </c>
      <c r="BM36" s="11" t="n">
        <v>0.0</v>
      </c>
      <c r="BN36" s="10" t="n">
        <v>0.0</v>
      </c>
      <c r="BO36" s="11" t="n">
        <v>0.0</v>
      </c>
      <c r="BP36" s="10" t="n">
        <v>0.0</v>
      </c>
      <c r="BQ36" s="11" t="n">
        <v>0.0</v>
      </c>
      <c r="BR36" s="10" t="n">
        <v>0.0</v>
      </c>
      <c r="BS36" s="11"/>
      <c r="BT36" s="11" t="n">
        <v>0.0</v>
      </c>
      <c r="BU36" s="10"/>
      <c r="BV36" s="10" t="n">
        <v>0.0</v>
      </c>
      <c r="BW36" s="11"/>
      <c r="BX36" s="11" t="n">
        <v>0.0</v>
      </c>
      <c r="BY36" s="10"/>
      <c r="BZ36" s="10" t="n">
        <v>0.0</v>
      </c>
      <c r="CA36" s="11"/>
      <c r="CB36" s="11" t="n">
        <v>0.0</v>
      </c>
      <c r="CC36" s="10"/>
      <c r="CD36" s="10" t="n">
        <v>0.0</v>
      </c>
      <c r="CE36" s="11"/>
      <c r="CF36" s="11" t="n">
        <v>0.0</v>
      </c>
      <c r="CG36" s="10"/>
      <c r="CH36" s="10" t="n">
        <v>0.0</v>
      </c>
    </row>
    <row r="37">
      <c r="A37" s="10"/>
      <c r="B37" s="4" t="s">
        <v>317</v>
      </c>
      <c r="C37" s="4" t="n">
        <v>22.0</v>
      </c>
      <c r="D37" s="4" t="s">
        <v>379</v>
      </c>
      <c r="E37" s="4" t="s">
        <v>380</v>
      </c>
      <c r="F37" s="4" t="s">
        <v>381</v>
      </c>
      <c r="G37" s="4" t="s">
        <v>350</v>
      </c>
      <c r="H37" s="4" t="s">
        <v>322</v>
      </c>
      <c r="I37" s="4" t="s">
        <v>0</v>
      </c>
      <c r="J37" s="10"/>
      <c r="K37" s="12" t="n">
        <v>12.0</v>
      </c>
      <c r="L37" s="10"/>
      <c r="M37" s="10"/>
      <c r="N37" s="10"/>
      <c r="O37" s="10"/>
      <c r="P37" s="10" t="n">
        <f>IF(OR(R37="Российская Федерация",R37="Армения",R37="Белоруссия",R37="Беларуь",R37="Казахстан",R37="Киргизия",R37="Кыргызстан",R37="ДНР",R37="ЛНР"), 1, 0)</f>
        <v>0.0</v>
      </c>
      <c r="Q37" s="10"/>
      <c r="R37" s="10" t="str">
        <f>IFERROR(IF(P37=1, "Российская Федерация", "Не заполнено"),"")</f>
        <v/>
      </c>
      <c r="S37" s="10"/>
      <c r="T37" s="10"/>
      <c r="U37" s="10"/>
      <c r="V37" s="12" t="n">
        <f>SUM(X37,Z37,AB37,AD37,AF37,AH37,AJ37,AL37,AN37,AP37,AR37,AT37,AV37,AX37,AZ37,BB37,BD37,BF37,BH37,BJ37,BL37,BN37,BP37,BR37,BV37,BZ37,CD37,CH37)</f>
        <v>12.0</v>
      </c>
      <c r="W37" s="11" t="n">
        <v>0.0</v>
      </c>
      <c r="X37" s="10" t="n">
        <v>0.0</v>
      </c>
      <c r="Y37" s="11" t="n">
        <v>0.0</v>
      </c>
      <c r="Z37" s="10" t="n">
        <v>0.0</v>
      </c>
      <c r="AA37" s="11" t="n">
        <v>0.0</v>
      </c>
      <c r="AB37" s="10" t="n">
        <v>0.0</v>
      </c>
      <c r="AC37" s="11" t="n">
        <v>0.0</v>
      </c>
      <c r="AD37" s="10" t="n">
        <v>0.0</v>
      </c>
      <c r="AE37" s="11" t="n">
        <v>0.0</v>
      </c>
      <c r="AF37" s="10" t="n">
        <v>0.0</v>
      </c>
      <c r="AG37" s="11" t="n">
        <v>0.0</v>
      </c>
      <c r="AH37" s="10" t="n">
        <v>0.0</v>
      </c>
      <c r="AI37" s="11" t="n">
        <v>0.0</v>
      </c>
      <c r="AJ37" s="10" t="n">
        <v>0.0</v>
      </c>
      <c r="AK37" s="11" t="n">
        <v>0.0</v>
      </c>
      <c r="AL37" s="10" t="n">
        <v>0.0</v>
      </c>
      <c r="AM37" s="11" t="n">
        <v>0.0</v>
      </c>
      <c r="AN37" s="10" t="n">
        <v>0.0</v>
      </c>
      <c r="AO37" s="11" t="n">
        <v>0.0</v>
      </c>
      <c r="AP37" s="10" t="n">
        <v>0.0</v>
      </c>
      <c r="AQ37" s="11" t="n">
        <v>0.0</v>
      </c>
      <c r="AR37" s="10" t="n">
        <v>0.0</v>
      </c>
      <c r="AS37" s="11" t="n">
        <v>0.0</v>
      </c>
      <c r="AT37" s="10" t="n">
        <v>0.0</v>
      </c>
      <c r="AU37" s="8" t="n">
        <v>12.0</v>
      </c>
      <c r="AV37" s="9" t="n">
        <v>12.0</v>
      </c>
      <c r="AW37" s="11" t="n">
        <v>0.0</v>
      </c>
      <c r="AX37" s="10" t="n">
        <v>0.0</v>
      </c>
      <c r="AY37" s="11" t="n">
        <v>0.0</v>
      </c>
      <c r="AZ37" s="10" t="n">
        <v>0.0</v>
      </c>
      <c r="BA37" s="11" t="n">
        <v>0.0</v>
      </c>
      <c r="BB37" s="10" t="n">
        <v>0.0</v>
      </c>
      <c r="BC37" s="11" t="n">
        <v>0.0</v>
      </c>
      <c r="BD37" s="10" t="n">
        <v>0.0</v>
      </c>
      <c r="BE37" s="11" t="n">
        <v>0.0</v>
      </c>
      <c r="BF37" s="10" t="n">
        <v>0.0</v>
      </c>
      <c r="BG37" s="11" t="n">
        <v>0.0</v>
      </c>
      <c r="BH37" s="10" t="n">
        <v>0.0</v>
      </c>
      <c r="BI37" s="11" t="n">
        <v>0.0</v>
      </c>
      <c r="BJ37" s="10" t="n">
        <v>0.0</v>
      </c>
      <c r="BK37" s="11" t="n">
        <v>0.0</v>
      </c>
      <c r="BL37" s="10" t="n">
        <v>0.0</v>
      </c>
      <c r="BM37" s="11" t="n">
        <v>0.0</v>
      </c>
      <c r="BN37" s="10" t="n">
        <v>0.0</v>
      </c>
      <c r="BO37" s="11" t="n">
        <v>0.0</v>
      </c>
      <c r="BP37" s="10" t="n">
        <v>0.0</v>
      </c>
      <c r="BQ37" s="11" t="n">
        <v>0.0</v>
      </c>
      <c r="BR37" s="10" t="n">
        <v>0.0</v>
      </c>
      <c r="BS37" s="11"/>
      <c r="BT37" s="11" t="n">
        <v>0.0</v>
      </c>
      <c r="BU37" s="10"/>
      <c r="BV37" s="10" t="n">
        <v>0.0</v>
      </c>
      <c r="BW37" s="11"/>
      <c r="BX37" s="11" t="n">
        <v>0.0</v>
      </c>
      <c r="BY37" s="10"/>
      <c r="BZ37" s="10" t="n">
        <v>0.0</v>
      </c>
      <c r="CA37" s="11"/>
      <c r="CB37" s="11" t="n">
        <v>0.0</v>
      </c>
      <c r="CC37" s="10"/>
      <c r="CD37" s="10" t="n">
        <v>0.0</v>
      </c>
      <c r="CE37" s="11"/>
      <c r="CF37" s="11" t="n">
        <v>0.0</v>
      </c>
      <c r="CG37" s="10"/>
      <c r="CH37" s="10" t="n">
        <v>0.0</v>
      </c>
    </row>
    <row r="38">
      <c r="A38" s="10"/>
      <c r="B38" s="4" t="s">
        <v>317</v>
      </c>
      <c r="C38" s="4" t="n">
        <v>23.0</v>
      </c>
      <c r="D38" s="4" t="s">
        <v>382</v>
      </c>
      <c r="E38" s="4" t="s">
        <v>383</v>
      </c>
      <c r="F38" s="4" t="s">
        <v>384</v>
      </c>
      <c r="G38" s="4" t="s">
        <v>321</v>
      </c>
      <c r="H38" s="4" t="s">
        <v>322</v>
      </c>
      <c r="I38" s="4" t="s">
        <v>0</v>
      </c>
      <c r="J38" s="10"/>
      <c r="K38" s="12" t="n">
        <v>1400.0</v>
      </c>
      <c r="L38" s="10"/>
      <c r="M38" s="10"/>
      <c r="N38" s="10"/>
      <c r="O38" s="10"/>
      <c r="P38" s="10" t="n">
        <f>IF(OR(R38="Российская Федерация",R38="Армения",R38="Белоруссия",R38="Беларуь",R38="Казахстан",R38="Киргизия",R38="Кыргызстан",R38="ДНР",R38="ЛНР"), 1, 0)</f>
        <v>0.0</v>
      </c>
      <c r="Q38" s="10"/>
      <c r="R38" s="10" t="str">
        <f>IFERROR(IF(P38=1, "Российская Федерация", "Не заполнено"),"")</f>
        <v/>
      </c>
      <c r="S38" s="10"/>
      <c r="T38" s="10"/>
      <c r="U38" s="10"/>
      <c r="V38" s="12" t="n">
        <f>SUM(X38,Z38,AB38,AD38,AF38,AH38,AJ38,AL38,AN38,AP38,AR38,AT38,AV38,AX38,AZ38,BB38,BD38,BF38,BH38,BJ38,BL38,BN38,BP38,BR38,BV38,BZ38,CD38,CH38)</f>
        <v>1400.0</v>
      </c>
      <c r="W38" s="11" t="n">
        <v>0.0</v>
      </c>
      <c r="X38" s="10" t="n">
        <v>0.0</v>
      </c>
      <c r="Y38" s="11" t="n">
        <v>0.0</v>
      </c>
      <c r="Z38" s="10" t="n">
        <v>0.0</v>
      </c>
      <c r="AA38" s="11" t="n">
        <v>0.0</v>
      </c>
      <c r="AB38" s="10" t="n">
        <v>0.0</v>
      </c>
      <c r="AC38" s="11" t="n">
        <v>0.0</v>
      </c>
      <c r="AD38" s="10" t="n">
        <v>0.0</v>
      </c>
      <c r="AE38" s="11" t="n">
        <v>0.0</v>
      </c>
      <c r="AF38" s="10" t="n">
        <v>0.0</v>
      </c>
      <c r="AG38" s="11" t="n">
        <v>0.0</v>
      </c>
      <c r="AH38" s="10" t="n">
        <v>0.0</v>
      </c>
      <c r="AI38" s="11" t="n">
        <v>0.0</v>
      </c>
      <c r="AJ38" s="10" t="n">
        <v>0.0</v>
      </c>
      <c r="AK38" s="11" t="n">
        <v>0.0</v>
      </c>
      <c r="AL38" s="10" t="n">
        <v>0.0</v>
      </c>
      <c r="AM38" s="11" t="n">
        <v>0.0</v>
      </c>
      <c r="AN38" s="10" t="n">
        <v>0.0</v>
      </c>
      <c r="AO38" s="11" t="n">
        <v>0.0</v>
      </c>
      <c r="AP38" s="10" t="n">
        <v>0.0</v>
      </c>
      <c r="AQ38" s="11" t="n">
        <v>0.0</v>
      </c>
      <c r="AR38" s="10" t="n">
        <v>0.0</v>
      </c>
      <c r="AS38" s="11" t="n">
        <v>0.0</v>
      </c>
      <c r="AT38" s="10" t="n">
        <v>0.0</v>
      </c>
      <c r="AU38" s="8" t="n">
        <v>1400.0</v>
      </c>
      <c r="AV38" s="9" t="n">
        <v>1400.0</v>
      </c>
      <c r="AW38" s="11" t="n">
        <v>0.0</v>
      </c>
      <c r="AX38" s="10" t="n">
        <v>0.0</v>
      </c>
      <c r="AY38" s="11" t="n">
        <v>0.0</v>
      </c>
      <c r="AZ38" s="10" t="n">
        <v>0.0</v>
      </c>
      <c r="BA38" s="11" t="n">
        <v>0.0</v>
      </c>
      <c r="BB38" s="10" t="n">
        <v>0.0</v>
      </c>
      <c r="BC38" s="11" t="n">
        <v>0.0</v>
      </c>
      <c r="BD38" s="10" t="n">
        <v>0.0</v>
      </c>
      <c r="BE38" s="11" t="n">
        <v>0.0</v>
      </c>
      <c r="BF38" s="10" t="n">
        <v>0.0</v>
      </c>
      <c r="BG38" s="11" t="n">
        <v>0.0</v>
      </c>
      <c r="BH38" s="10" t="n">
        <v>0.0</v>
      </c>
      <c r="BI38" s="11" t="n">
        <v>0.0</v>
      </c>
      <c r="BJ38" s="10" t="n">
        <v>0.0</v>
      </c>
      <c r="BK38" s="11" t="n">
        <v>0.0</v>
      </c>
      <c r="BL38" s="10" t="n">
        <v>0.0</v>
      </c>
      <c r="BM38" s="11" t="n">
        <v>0.0</v>
      </c>
      <c r="BN38" s="10" t="n">
        <v>0.0</v>
      </c>
      <c r="BO38" s="11" t="n">
        <v>0.0</v>
      </c>
      <c r="BP38" s="10" t="n">
        <v>0.0</v>
      </c>
      <c r="BQ38" s="11" t="n">
        <v>0.0</v>
      </c>
      <c r="BR38" s="10" t="n">
        <v>0.0</v>
      </c>
      <c r="BS38" s="11"/>
      <c r="BT38" s="11" t="n">
        <v>0.0</v>
      </c>
      <c r="BU38" s="10"/>
      <c r="BV38" s="10" t="n">
        <v>0.0</v>
      </c>
      <c r="BW38" s="11"/>
      <c r="BX38" s="11" t="n">
        <v>0.0</v>
      </c>
      <c r="BY38" s="10"/>
      <c r="BZ38" s="10" t="n">
        <v>0.0</v>
      </c>
      <c r="CA38" s="11"/>
      <c r="CB38" s="11" t="n">
        <v>0.0</v>
      </c>
      <c r="CC38" s="10"/>
      <c r="CD38" s="10" t="n">
        <v>0.0</v>
      </c>
      <c r="CE38" s="11"/>
      <c r="CF38" s="11" t="n">
        <v>0.0</v>
      </c>
      <c r="CG38" s="10"/>
      <c r="CH38" s="10" t="n">
        <v>0.0</v>
      </c>
    </row>
    <row r="39">
      <c r="A39" s="10"/>
      <c r="B39" s="4" t="s">
        <v>317</v>
      </c>
      <c r="C39" s="4" t="n">
        <v>24.0</v>
      </c>
      <c r="D39" s="4" t="s">
        <v>385</v>
      </c>
      <c r="E39" s="4" t="s">
        <v>386</v>
      </c>
      <c r="F39" s="4" t="s">
        <v>387</v>
      </c>
      <c r="G39" s="4" t="s">
        <v>321</v>
      </c>
      <c r="H39" s="4" t="s">
        <v>322</v>
      </c>
      <c r="I39" s="4" t="s">
        <v>0</v>
      </c>
      <c r="J39" s="10"/>
      <c r="K39" s="12" t="n">
        <v>2876.79</v>
      </c>
      <c r="L39" s="10"/>
      <c r="M39" s="10"/>
      <c r="N39" s="10"/>
      <c r="O39" s="10"/>
      <c r="P39" s="10" t="n">
        <f>IF(OR(R39="Российская Федерация",R39="Армения",R39="Белоруссия",R39="Беларуь",R39="Казахстан",R39="Киргизия",R39="Кыргызстан",R39="ДНР",R39="ЛНР"), 1, 0)</f>
        <v>0.0</v>
      </c>
      <c r="Q39" s="10"/>
      <c r="R39" s="10" t="str">
        <f>IFERROR(IF(P39=1, "Российская Федерация", "Не заполнено"),"")</f>
        <v/>
      </c>
      <c r="S39" s="10"/>
      <c r="T39" s="10"/>
      <c r="U39" s="10"/>
      <c r="V39" s="12" t="n">
        <f>SUM(X39,Z39,AB39,AD39,AF39,AH39,AJ39,AL39,AN39,AP39,AR39,AT39,AV39,AX39,AZ39,BB39,BD39,BF39,BH39,BJ39,BL39,BN39,BP39,BR39,BV39,BZ39,CD39,CH39)</f>
        <v>2876.79</v>
      </c>
      <c r="W39" s="11" t="n">
        <v>0.0</v>
      </c>
      <c r="X39" s="10" t="n">
        <v>0.0</v>
      </c>
      <c r="Y39" s="11" t="n">
        <v>0.0</v>
      </c>
      <c r="Z39" s="10" t="n">
        <v>0.0</v>
      </c>
      <c r="AA39" s="11" t="n">
        <v>0.0</v>
      </c>
      <c r="AB39" s="10" t="n">
        <v>0.0</v>
      </c>
      <c r="AC39" s="11" t="n">
        <v>0.0</v>
      </c>
      <c r="AD39" s="10" t="n">
        <v>0.0</v>
      </c>
      <c r="AE39" s="11" t="n">
        <v>0.0</v>
      </c>
      <c r="AF39" s="10" t="n">
        <v>0.0</v>
      </c>
      <c r="AG39" s="11" t="n">
        <v>0.0</v>
      </c>
      <c r="AH39" s="10" t="n">
        <v>0.0</v>
      </c>
      <c r="AI39" s="11" t="n">
        <v>0.0</v>
      </c>
      <c r="AJ39" s="10" t="n">
        <v>0.0</v>
      </c>
      <c r="AK39" s="11" t="n">
        <v>0.0</v>
      </c>
      <c r="AL39" s="10" t="n">
        <v>0.0</v>
      </c>
      <c r="AM39" s="11" t="n">
        <v>0.0</v>
      </c>
      <c r="AN39" s="10" t="n">
        <v>0.0</v>
      </c>
      <c r="AO39" s="11" t="n">
        <v>0.0</v>
      </c>
      <c r="AP39" s="10" t="n">
        <v>0.0</v>
      </c>
      <c r="AQ39" s="11" t="n">
        <v>0.0</v>
      </c>
      <c r="AR39" s="10" t="n">
        <v>0.0</v>
      </c>
      <c r="AS39" s="11" t="n">
        <v>0.0</v>
      </c>
      <c r="AT39" s="10" t="n">
        <v>0.0</v>
      </c>
      <c r="AU39" s="8" t="n">
        <v>2876.79</v>
      </c>
      <c r="AV39" s="9" t="n">
        <v>2876.79</v>
      </c>
      <c r="AW39" s="11" t="n">
        <v>0.0</v>
      </c>
      <c r="AX39" s="10" t="n">
        <v>0.0</v>
      </c>
      <c r="AY39" s="11" t="n">
        <v>0.0</v>
      </c>
      <c r="AZ39" s="10" t="n">
        <v>0.0</v>
      </c>
      <c r="BA39" s="11" t="n">
        <v>0.0</v>
      </c>
      <c r="BB39" s="10" t="n">
        <v>0.0</v>
      </c>
      <c r="BC39" s="11" t="n">
        <v>0.0</v>
      </c>
      <c r="BD39" s="10" t="n">
        <v>0.0</v>
      </c>
      <c r="BE39" s="11" t="n">
        <v>0.0</v>
      </c>
      <c r="BF39" s="10" t="n">
        <v>0.0</v>
      </c>
      <c r="BG39" s="11" t="n">
        <v>0.0</v>
      </c>
      <c r="BH39" s="10" t="n">
        <v>0.0</v>
      </c>
      <c r="BI39" s="11" t="n">
        <v>0.0</v>
      </c>
      <c r="BJ39" s="10" t="n">
        <v>0.0</v>
      </c>
      <c r="BK39" s="11" t="n">
        <v>0.0</v>
      </c>
      <c r="BL39" s="10" t="n">
        <v>0.0</v>
      </c>
      <c r="BM39" s="11" t="n">
        <v>0.0</v>
      </c>
      <c r="BN39" s="10" t="n">
        <v>0.0</v>
      </c>
      <c r="BO39" s="11" t="n">
        <v>0.0</v>
      </c>
      <c r="BP39" s="10" t="n">
        <v>0.0</v>
      </c>
      <c r="BQ39" s="11" t="n">
        <v>0.0</v>
      </c>
      <c r="BR39" s="10" t="n">
        <v>0.0</v>
      </c>
      <c r="BS39" s="11"/>
      <c r="BT39" s="11" t="n">
        <v>0.0</v>
      </c>
      <c r="BU39" s="10"/>
      <c r="BV39" s="10" t="n">
        <v>0.0</v>
      </c>
      <c r="BW39" s="11"/>
      <c r="BX39" s="11" t="n">
        <v>0.0</v>
      </c>
      <c r="BY39" s="10"/>
      <c r="BZ39" s="10" t="n">
        <v>0.0</v>
      </c>
      <c r="CA39" s="11"/>
      <c r="CB39" s="11" t="n">
        <v>0.0</v>
      </c>
      <c r="CC39" s="10"/>
      <c r="CD39" s="10" t="n">
        <v>0.0</v>
      </c>
      <c r="CE39" s="11"/>
      <c r="CF39" s="11" t="n">
        <v>0.0</v>
      </c>
      <c r="CG39" s="10"/>
      <c r="CH39" s="10" t="n">
        <v>0.0</v>
      </c>
    </row>
    <row r="40">
      <c r="A40" s="10"/>
      <c r="B40" s="4" t="s">
        <v>317</v>
      </c>
      <c r="C40" s="4" t="n">
        <v>25.0</v>
      </c>
      <c r="D40" s="4" t="s">
        <v>385</v>
      </c>
      <c r="E40" s="4" t="s">
        <v>386</v>
      </c>
      <c r="F40" s="4" t="s">
        <v>387</v>
      </c>
      <c r="G40" s="4" t="s">
        <v>321</v>
      </c>
      <c r="H40" s="4" t="s">
        <v>322</v>
      </c>
      <c r="I40" s="4" t="s">
        <v>0</v>
      </c>
      <c r="J40" s="10"/>
      <c r="K40" s="12" t="n">
        <v>821.94</v>
      </c>
      <c r="L40" s="10"/>
      <c r="M40" s="10"/>
      <c r="N40" s="10"/>
      <c r="O40" s="10"/>
      <c r="P40" s="10" t="n">
        <f>IF(OR(R40="Российская Федерация",R40="Армения",R40="Белоруссия",R40="Беларуь",R40="Казахстан",R40="Киргизия",R40="Кыргызстан",R40="ДНР",R40="ЛНР"), 1, 0)</f>
        <v>0.0</v>
      </c>
      <c r="Q40" s="10"/>
      <c r="R40" s="10" t="str">
        <f>IFERROR(IF(P40=1, "Российская Федерация", "Не заполнено"),"")</f>
        <v/>
      </c>
      <c r="S40" s="10"/>
      <c r="T40" s="10"/>
      <c r="U40" s="10"/>
      <c r="V40" s="12" t="n">
        <f>SUM(X40,Z40,AB40,AD40,AF40,AH40,AJ40,AL40,AN40,AP40,AR40,AT40,AV40,AX40,AZ40,BB40,BD40,BF40,BH40,BJ40,BL40,BN40,BP40,BR40,BV40,BZ40,CD40,CH40)</f>
        <v>821.94</v>
      </c>
      <c r="W40" s="11" t="n">
        <v>0.0</v>
      </c>
      <c r="X40" s="10" t="n">
        <v>0.0</v>
      </c>
      <c r="Y40" s="11" t="n">
        <v>0.0</v>
      </c>
      <c r="Z40" s="10" t="n">
        <v>0.0</v>
      </c>
      <c r="AA40" s="11" t="n">
        <v>0.0</v>
      </c>
      <c r="AB40" s="10" t="n">
        <v>0.0</v>
      </c>
      <c r="AC40" s="11" t="n">
        <v>0.0</v>
      </c>
      <c r="AD40" s="10" t="n">
        <v>0.0</v>
      </c>
      <c r="AE40" s="11" t="n">
        <v>0.0</v>
      </c>
      <c r="AF40" s="10" t="n">
        <v>0.0</v>
      </c>
      <c r="AG40" s="11" t="n">
        <v>0.0</v>
      </c>
      <c r="AH40" s="10" t="n">
        <v>0.0</v>
      </c>
      <c r="AI40" s="11" t="n">
        <v>0.0</v>
      </c>
      <c r="AJ40" s="10" t="n">
        <v>0.0</v>
      </c>
      <c r="AK40" s="11" t="n">
        <v>0.0</v>
      </c>
      <c r="AL40" s="10" t="n">
        <v>0.0</v>
      </c>
      <c r="AM40" s="11" t="n">
        <v>0.0</v>
      </c>
      <c r="AN40" s="10" t="n">
        <v>0.0</v>
      </c>
      <c r="AO40" s="11" t="n">
        <v>0.0</v>
      </c>
      <c r="AP40" s="10" t="n">
        <v>0.0</v>
      </c>
      <c r="AQ40" s="11" t="n">
        <v>0.0</v>
      </c>
      <c r="AR40" s="10" t="n">
        <v>0.0</v>
      </c>
      <c r="AS40" s="11" t="n">
        <v>0.0</v>
      </c>
      <c r="AT40" s="10" t="n">
        <v>0.0</v>
      </c>
      <c r="AU40" s="8" t="n">
        <v>821.94</v>
      </c>
      <c r="AV40" s="9" t="n">
        <v>821.94</v>
      </c>
      <c r="AW40" s="11" t="n">
        <v>0.0</v>
      </c>
      <c r="AX40" s="10" t="n">
        <v>0.0</v>
      </c>
      <c r="AY40" s="11" t="n">
        <v>0.0</v>
      </c>
      <c r="AZ40" s="10" t="n">
        <v>0.0</v>
      </c>
      <c r="BA40" s="11" t="n">
        <v>0.0</v>
      </c>
      <c r="BB40" s="10" t="n">
        <v>0.0</v>
      </c>
      <c r="BC40" s="11" t="n">
        <v>0.0</v>
      </c>
      <c r="BD40" s="10" t="n">
        <v>0.0</v>
      </c>
      <c r="BE40" s="11" t="n">
        <v>0.0</v>
      </c>
      <c r="BF40" s="10" t="n">
        <v>0.0</v>
      </c>
      <c r="BG40" s="11" t="n">
        <v>0.0</v>
      </c>
      <c r="BH40" s="10" t="n">
        <v>0.0</v>
      </c>
      <c r="BI40" s="11" t="n">
        <v>0.0</v>
      </c>
      <c r="BJ40" s="10" t="n">
        <v>0.0</v>
      </c>
      <c r="BK40" s="11" t="n">
        <v>0.0</v>
      </c>
      <c r="BL40" s="10" t="n">
        <v>0.0</v>
      </c>
      <c r="BM40" s="11" t="n">
        <v>0.0</v>
      </c>
      <c r="BN40" s="10" t="n">
        <v>0.0</v>
      </c>
      <c r="BO40" s="11" t="n">
        <v>0.0</v>
      </c>
      <c r="BP40" s="10" t="n">
        <v>0.0</v>
      </c>
      <c r="BQ40" s="11" t="n">
        <v>0.0</v>
      </c>
      <c r="BR40" s="10" t="n">
        <v>0.0</v>
      </c>
      <c r="BS40" s="11"/>
      <c r="BT40" s="11" t="n">
        <v>0.0</v>
      </c>
      <c r="BU40" s="10"/>
      <c r="BV40" s="10" t="n">
        <v>0.0</v>
      </c>
      <c r="BW40" s="11"/>
      <c r="BX40" s="11" t="n">
        <v>0.0</v>
      </c>
      <c r="BY40" s="10"/>
      <c r="BZ40" s="10" t="n">
        <v>0.0</v>
      </c>
      <c r="CA40" s="11"/>
      <c r="CB40" s="11" t="n">
        <v>0.0</v>
      </c>
      <c r="CC40" s="10"/>
      <c r="CD40" s="10" t="n">
        <v>0.0</v>
      </c>
      <c r="CE40" s="11"/>
      <c r="CF40" s="11" t="n">
        <v>0.0</v>
      </c>
      <c r="CG40" s="10"/>
      <c r="CH40" s="10" t="n">
        <v>0.0</v>
      </c>
    </row>
    <row r="41">
      <c r="A41" s="10"/>
      <c r="B41" s="4" t="s">
        <v>317</v>
      </c>
      <c r="C41" s="4" t="n">
        <v>26.0</v>
      </c>
      <c r="D41" s="4" t="s">
        <v>388</v>
      </c>
      <c r="E41" s="4" t="s">
        <v>389</v>
      </c>
      <c r="F41" s="4" t="s">
        <v>390</v>
      </c>
      <c r="G41" s="4" t="s">
        <v>321</v>
      </c>
      <c r="H41" s="4" t="s">
        <v>322</v>
      </c>
      <c r="I41" s="4" t="s">
        <v>0</v>
      </c>
      <c r="J41" s="10"/>
      <c r="K41" s="12" t="n">
        <v>470.7</v>
      </c>
      <c r="L41" s="10"/>
      <c r="M41" s="10"/>
      <c r="N41" s="10"/>
      <c r="O41" s="10"/>
      <c r="P41" s="10" t="n">
        <f>IF(OR(R41="Российская Федерация",R41="Армения",R41="Белоруссия",R41="Беларуь",R41="Казахстан",R41="Киргизия",R41="Кыргызстан",R41="ДНР",R41="ЛНР"), 1, 0)</f>
        <v>0.0</v>
      </c>
      <c r="Q41" s="10"/>
      <c r="R41" s="10" t="str">
        <f>IFERROR(IF(P41=1, "Российская Федерация", "Не заполнено"),"")</f>
        <v/>
      </c>
      <c r="S41" s="10"/>
      <c r="T41" s="10"/>
      <c r="U41" s="10"/>
      <c r="V41" s="12" t="n">
        <f>SUM(X41,Z41,AB41,AD41,AF41,AH41,AJ41,AL41,AN41,AP41,AR41,AT41,AV41,AX41,AZ41,BB41,BD41,BF41,BH41,BJ41,BL41,BN41,BP41,BR41,BV41,BZ41,CD41,CH41)</f>
        <v>470.7</v>
      </c>
      <c r="W41" s="11" t="n">
        <v>0.0</v>
      </c>
      <c r="X41" s="10" t="n">
        <v>0.0</v>
      </c>
      <c r="Y41" s="11" t="n">
        <v>0.0</v>
      </c>
      <c r="Z41" s="10" t="n">
        <v>0.0</v>
      </c>
      <c r="AA41" s="11" t="n">
        <v>0.0</v>
      </c>
      <c r="AB41" s="10" t="n">
        <v>0.0</v>
      </c>
      <c r="AC41" s="11" t="n">
        <v>0.0</v>
      </c>
      <c r="AD41" s="10" t="n">
        <v>0.0</v>
      </c>
      <c r="AE41" s="11" t="n">
        <v>0.0</v>
      </c>
      <c r="AF41" s="10" t="n">
        <v>0.0</v>
      </c>
      <c r="AG41" s="11" t="n">
        <v>0.0</v>
      </c>
      <c r="AH41" s="10" t="n">
        <v>0.0</v>
      </c>
      <c r="AI41" s="11" t="n">
        <v>0.0</v>
      </c>
      <c r="AJ41" s="10" t="n">
        <v>0.0</v>
      </c>
      <c r="AK41" s="11" t="n">
        <v>0.0</v>
      </c>
      <c r="AL41" s="10" t="n">
        <v>0.0</v>
      </c>
      <c r="AM41" s="11" t="n">
        <v>0.0</v>
      </c>
      <c r="AN41" s="10" t="n">
        <v>0.0</v>
      </c>
      <c r="AO41" s="11" t="n">
        <v>0.0</v>
      </c>
      <c r="AP41" s="10" t="n">
        <v>0.0</v>
      </c>
      <c r="AQ41" s="11" t="n">
        <v>0.0</v>
      </c>
      <c r="AR41" s="10" t="n">
        <v>0.0</v>
      </c>
      <c r="AS41" s="11" t="n">
        <v>0.0</v>
      </c>
      <c r="AT41" s="10" t="n">
        <v>0.0</v>
      </c>
      <c r="AU41" s="8" t="n">
        <v>470.7</v>
      </c>
      <c r="AV41" s="9" t="n">
        <v>470.7</v>
      </c>
      <c r="AW41" s="11" t="n">
        <v>0.0</v>
      </c>
      <c r="AX41" s="10" t="n">
        <v>0.0</v>
      </c>
      <c r="AY41" s="11" t="n">
        <v>0.0</v>
      </c>
      <c r="AZ41" s="10" t="n">
        <v>0.0</v>
      </c>
      <c r="BA41" s="11" t="n">
        <v>0.0</v>
      </c>
      <c r="BB41" s="10" t="n">
        <v>0.0</v>
      </c>
      <c r="BC41" s="11" t="n">
        <v>0.0</v>
      </c>
      <c r="BD41" s="10" t="n">
        <v>0.0</v>
      </c>
      <c r="BE41" s="11" t="n">
        <v>0.0</v>
      </c>
      <c r="BF41" s="10" t="n">
        <v>0.0</v>
      </c>
      <c r="BG41" s="11" t="n">
        <v>0.0</v>
      </c>
      <c r="BH41" s="10" t="n">
        <v>0.0</v>
      </c>
      <c r="BI41" s="11" t="n">
        <v>0.0</v>
      </c>
      <c r="BJ41" s="10" t="n">
        <v>0.0</v>
      </c>
      <c r="BK41" s="11" t="n">
        <v>0.0</v>
      </c>
      <c r="BL41" s="10" t="n">
        <v>0.0</v>
      </c>
      <c r="BM41" s="11" t="n">
        <v>0.0</v>
      </c>
      <c r="BN41" s="10" t="n">
        <v>0.0</v>
      </c>
      <c r="BO41" s="11" t="n">
        <v>0.0</v>
      </c>
      <c r="BP41" s="10" t="n">
        <v>0.0</v>
      </c>
      <c r="BQ41" s="11" t="n">
        <v>0.0</v>
      </c>
      <c r="BR41" s="10" t="n">
        <v>0.0</v>
      </c>
      <c r="BS41" s="11"/>
      <c r="BT41" s="11" t="n">
        <v>0.0</v>
      </c>
      <c r="BU41" s="10"/>
      <c r="BV41" s="10" t="n">
        <v>0.0</v>
      </c>
      <c r="BW41" s="11"/>
      <c r="BX41" s="11" t="n">
        <v>0.0</v>
      </c>
      <c r="BY41" s="10"/>
      <c r="BZ41" s="10" t="n">
        <v>0.0</v>
      </c>
      <c r="CA41" s="11"/>
      <c r="CB41" s="11" t="n">
        <v>0.0</v>
      </c>
      <c r="CC41" s="10"/>
      <c r="CD41" s="10" t="n">
        <v>0.0</v>
      </c>
      <c r="CE41" s="11"/>
      <c r="CF41" s="11" t="n">
        <v>0.0</v>
      </c>
      <c r="CG41" s="10"/>
      <c r="CH41" s="10" t="n">
        <v>0.0</v>
      </c>
    </row>
    <row r="42">
      <c r="A42" s="10"/>
      <c r="B42" s="4" t="s">
        <v>317</v>
      </c>
      <c r="C42" s="4" t="n">
        <v>27.0</v>
      </c>
      <c r="D42" s="4" t="s">
        <v>391</v>
      </c>
      <c r="E42" s="4" t="s">
        <v>392</v>
      </c>
      <c r="F42" s="4" t="s">
        <v>393</v>
      </c>
      <c r="G42" s="4" t="s">
        <v>321</v>
      </c>
      <c r="H42" s="4" t="s">
        <v>322</v>
      </c>
      <c r="I42" s="4" t="s">
        <v>0</v>
      </c>
      <c r="J42" s="10"/>
      <c r="K42" s="12" t="n">
        <v>8515.01</v>
      </c>
      <c r="L42" s="10"/>
      <c r="M42" s="10"/>
      <c r="N42" s="10"/>
      <c r="O42" s="10"/>
      <c r="P42" s="10" t="n">
        <f>IF(OR(R42="Российская Федерация",R42="Армения",R42="Белоруссия",R42="Беларуь",R42="Казахстан",R42="Киргизия",R42="Кыргызстан",R42="ДНР",R42="ЛНР"), 1, 0)</f>
        <v>0.0</v>
      </c>
      <c r="Q42" s="10"/>
      <c r="R42" s="10" t="str">
        <f>IFERROR(IF(P42=1, "Российская Федерация", "Не заполнено"),"")</f>
        <v/>
      </c>
      <c r="S42" s="10"/>
      <c r="T42" s="10"/>
      <c r="U42" s="10"/>
      <c r="V42" s="12" t="n">
        <f>SUM(X42,Z42,AB42,AD42,AF42,AH42,AJ42,AL42,AN42,AP42,AR42,AT42,AV42,AX42,AZ42,BB42,BD42,BF42,BH42,BJ42,BL42,BN42,BP42,BR42,BV42,BZ42,CD42,CH42)</f>
        <v>8515.01</v>
      </c>
      <c r="W42" s="11" t="n">
        <v>0.0</v>
      </c>
      <c r="X42" s="10" t="n">
        <v>0.0</v>
      </c>
      <c r="Y42" s="11" t="n">
        <v>0.0</v>
      </c>
      <c r="Z42" s="10" t="n">
        <v>0.0</v>
      </c>
      <c r="AA42" s="11" t="n">
        <v>0.0</v>
      </c>
      <c r="AB42" s="10" t="n">
        <v>0.0</v>
      </c>
      <c r="AC42" s="11" t="n">
        <v>0.0</v>
      </c>
      <c r="AD42" s="10" t="n">
        <v>0.0</v>
      </c>
      <c r="AE42" s="11" t="n">
        <v>0.0</v>
      </c>
      <c r="AF42" s="10" t="n">
        <v>0.0</v>
      </c>
      <c r="AG42" s="11" t="n">
        <v>0.0</v>
      </c>
      <c r="AH42" s="10" t="n">
        <v>0.0</v>
      </c>
      <c r="AI42" s="11" t="n">
        <v>0.0</v>
      </c>
      <c r="AJ42" s="10" t="n">
        <v>0.0</v>
      </c>
      <c r="AK42" s="11" t="n">
        <v>0.0</v>
      </c>
      <c r="AL42" s="10" t="n">
        <v>0.0</v>
      </c>
      <c r="AM42" s="11" t="n">
        <v>0.0</v>
      </c>
      <c r="AN42" s="10" t="n">
        <v>0.0</v>
      </c>
      <c r="AO42" s="11" t="n">
        <v>0.0</v>
      </c>
      <c r="AP42" s="10" t="n">
        <v>0.0</v>
      </c>
      <c r="AQ42" s="11" t="n">
        <v>0.0</v>
      </c>
      <c r="AR42" s="10" t="n">
        <v>0.0</v>
      </c>
      <c r="AS42" s="11" t="n">
        <v>0.0</v>
      </c>
      <c r="AT42" s="10" t="n">
        <v>0.0</v>
      </c>
      <c r="AU42" s="8" t="n">
        <v>8515.01</v>
      </c>
      <c r="AV42" s="9" t="n">
        <v>8515.01</v>
      </c>
      <c r="AW42" s="11" t="n">
        <v>0.0</v>
      </c>
      <c r="AX42" s="10" t="n">
        <v>0.0</v>
      </c>
      <c r="AY42" s="11" t="n">
        <v>0.0</v>
      </c>
      <c r="AZ42" s="10" t="n">
        <v>0.0</v>
      </c>
      <c r="BA42" s="11" t="n">
        <v>0.0</v>
      </c>
      <c r="BB42" s="10" t="n">
        <v>0.0</v>
      </c>
      <c r="BC42" s="11" t="n">
        <v>0.0</v>
      </c>
      <c r="BD42" s="10" t="n">
        <v>0.0</v>
      </c>
      <c r="BE42" s="11" t="n">
        <v>0.0</v>
      </c>
      <c r="BF42" s="10" t="n">
        <v>0.0</v>
      </c>
      <c r="BG42" s="11" t="n">
        <v>0.0</v>
      </c>
      <c r="BH42" s="10" t="n">
        <v>0.0</v>
      </c>
      <c r="BI42" s="11" t="n">
        <v>0.0</v>
      </c>
      <c r="BJ42" s="10" t="n">
        <v>0.0</v>
      </c>
      <c r="BK42" s="11" t="n">
        <v>0.0</v>
      </c>
      <c r="BL42" s="10" t="n">
        <v>0.0</v>
      </c>
      <c r="BM42" s="11" t="n">
        <v>0.0</v>
      </c>
      <c r="BN42" s="10" t="n">
        <v>0.0</v>
      </c>
      <c r="BO42" s="11" t="n">
        <v>0.0</v>
      </c>
      <c r="BP42" s="10" t="n">
        <v>0.0</v>
      </c>
      <c r="BQ42" s="11" t="n">
        <v>0.0</v>
      </c>
      <c r="BR42" s="10" t="n">
        <v>0.0</v>
      </c>
      <c r="BS42" s="11"/>
      <c r="BT42" s="11" t="n">
        <v>0.0</v>
      </c>
      <c r="BU42" s="10"/>
      <c r="BV42" s="10" t="n">
        <v>0.0</v>
      </c>
      <c r="BW42" s="11"/>
      <c r="BX42" s="11" t="n">
        <v>0.0</v>
      </c>
      <c r="BY42" s="10"/>
      <c r="BZ42" s="10" t="n">
        <v>0.0</v>
      </c>
      <c r="CA42" s="11"/>
      <c r="CB42" s="11" t="n">
        <v>0.0</v>
      </c>
      <c r="CC42" s="10"/>
      <c r="CD42" s="10" t="n">
        <v>0.0</v>
      </c>
      <c r="CE42" s="11"/>
      <c r="CF42" s="11" t="n">
        <v>0.0</v>
      </c>
      <c r="CG42" s="10"/>
      <c r="CH42" s="10" t="n">
        <v>0.0</v>
      </c>
    </row>
    <row r="43">
      <c r="A43" s="10"/>
      <c r="B43" s="4" t="s">
        <v>317</v>
      </c>
      <c r="C43" s="4" t="n">
        <v>28.0</v>
      </c>
      <c r="D43" s="4" t="s">
        <v>391</v>
      </c>
      <c r="E43" s="4" t="s">
        <v>392</v>
      </c>
      <c r="F43" s="4" t="s">
        <v>393</v>
      </c>
      <c r="G43" s="4" t="s">
        <v>321</v>
      </c>
      <c r="H43" s="4" t="s">
        <v>322</v>
      </c>
      <c r="I43" s="4" t="s">
        <v>0</v>
      </c>
      <c r="J43" s="10"/>
      <c r="K43" s="12" t="n">
        <v>2432.86</v>
      </c>
      <c r="L43" s="10"/>
      <c r="M43" s="10"/>
      <c r="N43" s="10"/>
      <c r="O43" s="10"/>
      <c r="P43" s="10" t="n">
        <f>IF(OR(R43="Российская Федерация",R43="Армения",R43="Белоруссия",R43="Беларуь",R43="Казахстан",R43="Киргизия",R43="Кыргызстан",R43="ДНР",R43="ЛНР"), 1, 0)</f>
        <v>0.0</v>
      </c>
      <c r="Q43" s="10"/>
      <c r="R43" s="10" t="str">
        <f>IFERROR(IF(P43=1, "Российская Федерация", "Не заполнено"),"")</f>
        <v/>
      </c>
      <c r="S43" s="10"/>
      <c r="T43" s="10"/>
      <c r="U43" s="10"/>
      <c r="V43" s="12" t="n">
        <f>SUM(X43,Z43,AB43,AD43,AF43,AH43,AJ43,AL43,AN43,AP43,AR43,AT43,AV43,AX43,AZ43,BB43,BD43,BF43,BH43,BJ43,BL43,BN43,BP43,BR43,BV43,BZ43,CD43,CH43)</f>
        <v>2432.86</v>
      </c>
      <c r="W43" s="11" t="n">
        <v>0.0</v>
      </c>
      <c r="X43" s="10" t="n">
        <v>0.0</v>
      </c>
      <c r="Y43" s="11" t="n">
        <v>0.0</v>
      </c>
      <c r="Z43" s="10" t="n">
        <v>0.0</v>
      </c>
      <c r="AA43" s="11" t="n">
        <v>0.0</v>
      </c>
      <c r="AB43" s="10" t="n">
        <v>0.0</v>
      </c>
      <c r="AC43" s="11" t="n">
        <v>0.0</v>
      </c>
      <c r="AD43" s="10" t="n">
        <v>0.0</v>
      </c>
      <c r="AE43" s="11" t="n">
        <v>0.0</v>
      </c>
      <c r="AF43" s="10" t="n">
        <v>0.0</v>
      </c>
      <c r="AG43" s="11" t="n">
        <v>0.0</v>
      </c>
      <c r="AH43" s="10" t="n">
        <v>0.0</v>
      </c>
      <c r="AI43" s="11" t="n">
        <v>0.0</v>
      </c>
      <c r="AJ43" s="10" t="n">
        <v>0.0</v>
      </c>
      <c r="AK43" s="11" t="n">
        <v>0.0</v>
      </c>
      <c r="AL43" s="10" t="n">
        <v>0.0</v>
      </c>
      <c r="AM43" s="11" t="n">
        <v>0.0</v>
      </c>
      <c r="AN43" s="10" t="n">
        <v>0.0</v>
      </c>
      <c r="AO43" s="11" t="n">
        <v>0.0</v>
      </c>
      <c r="AP43" s="10" t="n">
        <v>0.0</v>
      </c>
      <c r="AQ43" s="11" t="n">
        <v>0.0</v>
      </c>
      <c r="AR43" s="10" t="n">
        <v>0.0</v>
      </c>
      <c r="AS43" s="11" t="n">
        <v>0.0</v>
      </c>
      <c r="AT43" s="10" t="n">
        <v>0.0</v>
      </c>
      <c r="AU43" s="8" t="n">
        <v>2432.86</v>
      </c>
      <c r="AV43" s="9" t="n">
        <v>2432.86</v>
      </c>
      <c r="AW43" s="11" t="n">
        <v>0.0</v>
      </c>
      <c r="AX43" s="10" t="n">
        <v>0.0</v>
      </c>
      <c r="AY43" s="11" t="n">
        <v>0.0</v>
      </c>
      <c r="AZ43" s="10" t="n">
        <v>0.0</v>
      </c>
      <c r="BA43" s="11" t="n">
        <v>0.0</v>
      </c>
      <c r="BB43" s="10" t="n">
        <v>0.0</v>
      </c>
      <c r="BC43" s="11" t="n">
        <v>0.0</v>
      </c>
      <c r="BD43" s="10" t="n">
        <v>0.0</v>
      </c>
      <c r="BE43" s="11" t="n">
        <v>0.0</v>
      </c>
      <c r="BF43" s="10" t="n">
        <v>0.0</v>
      </c>
      <c r="BG43" s="11" t="n">
        <v>0.0</v>
      </c>
      <c r="BH43" s="10" t="n">
        <v>0.0</v>
      </c>
      <c r="BI43" s="11" t="n">
        <v>0.0</v>
      </c>
      <c r="BJ43" s="10" t="n">
        <v>0.0</v>
      </c>
      <c r="BK43" s="11" t="n">
        <v>0.0</v>
      </c>
      <c r="BL43" s="10" t="n">
        <v>0.0</v>
      </c>
      <c r="BM43" s="11" t="n">
        <v>0.0</v>
      </c>
      <c r="BN43" s="10" t="n">
        <v>0.0</v>
      </c>
      <c r="BO43" s="11" t="n">
        <v>0.0</v>
      </c>
      <c r="BP43" s="10" t="n">
        <v>0.0</v>
      </c>
      <c r="BQ43" s="11" t="n">
        <v>0.0</v>
      </c>
      <c r="BR43" s="10" t="n">
        <v>0.0</v>
      </c>
      <c r="BS43" s="11"/>
      <c r="BT43" s="11" t="n">
        <v>0.0</v>
      </c>
      <c r="BU43" s="10"/>
      <c r="BV43" s="10" t="n">
        <v>0.0</v>
      </c>
      <c r="BW43" s="11"/>
      <c r="BX43" s="11" t="n">
        <v>0.0</v>
      </c>
      <c r="BY43" s="10"/>
      <c r="BZ43" s="10" t="n">
        <v>0.0</v>
      </c>
      <c r="CA43" s="11"/>
      <c r="CB43" s="11" t="n">
        <v>0.0</v>
      </c>
      <c r="CC43" s="10"/>
      <c r="CD43" s="10" t="n">
        <v>0.0</v>
      </c>
      <c r="CE43" s="11"/>
      <c r="CF43" s="11" t="n">
        <v>0.0</v>
      </c>
      <c r="CG43" s="10"/>
      <c r="CH43" s="10" t="n">
        <v>0.0</v>
      </c>
    </row>
    <row r="44">
      <c r="A44" s="10"/>
      <c r="B44" s="4" t="s">
        <v>317</v>
      </c>
      <c r="C44" s="4" t="n">
        <v>29.0</v>
      </c>
      <c r="D44" s="4" t="s">
        <v>394</v>
      </c>
      <c r="E44" s="4" t="s">
        <v>395</v>
      </c>
      <c r="F44" s="4" t="s">
        <v>396</v>
      </c>
      <c r="G44" s="4" t="s">
        <v>321</v>
      </c>
      <c r="H44" s="4" t="s">
        <v>322</v>
      </c>
      <c r="I44" s="4" t="s">
        <v>0</v>
      </c>
      <c r="J44" s="10"/>
      <c r="K44" s="12" t="n">
        <v>1257.0</v>
      </c>
      <c r="L44" s="10"/>
      <c r="M44" s="10"/>
      <c r="N44" s="10"/>
      <c r="O44" s="10"/>
      <c r="P44" s="10" t="n">
        <f>IF(OR(R44="Российская Федерация",R44="Армения",R44="Белоруссия",R44="Беларуь",R44="Казахстан",R44="Киргизия",R44="Кыргызстан",R44="ДНР",R44="ЛНР"), 1, 0)</f>
        <v>0.0</v>
      </c>
      <c r="Q44" s="10"/>
      <c r="R44" s="10" t="str">
        <f>IFERROR(IF(P44=1, "Российская Федерация", "Не заполнено"),"")</f>
        <v/>
      </c>
      <c r="S44" s="10"/>
      <c r="T44" s="10"/>
      <c r="U44" s="10"/>
      <c r="V44" s="12" t="n">
        <f>SUM(X44,Z44,AB44,AD44,AF44,AH44,AJ44,AL44,AN44,AP44,AR44,AT44,AV44,AX44,AZ44,BB44,BD44,BF44,BH44,BJ44,BL44,BN44,BP44,BR44,BV44,BZ44,CD44,CH44)</f>
        <v>1257.0</v>
      </c>
      <c r="W44" s="11" t="n">
        <v>0.0</v>
      </c>
      <c r="X44" s="10" t="n">
        <v>0.0</v>
      </c>
      <c r="Y44" s="11" t="n">
        <v>0.0</v>
      </c>
      <c r="Z44" s="10" t="n">
        <v>0.0</v>
      </c>
      <c r="AA44" s="11" t="n">
        <v>0.0</v>
      </c>
      <c r="AB44" s="10" t="n">
        <v>0.0</v>
      </c>
      <c r="AC44" s="11" t="n">
        <v>0.0</v>
      </c>
      <c r="AD44" s="10" t="n">
        <v>0.0</v>
      </c>
      <c r="AE44" s="11" t="n">
        <v>0.0</v>
      </c>
      <c r="AF44" s="10" t="n">
        <v>0.0</v>
      </c>
      <c r="AG44" s="11" t="n">
        <v>0.0</v>
      </c>
      <c r="AH44" s="10" t="n">
        <v>0.0</v>
      </c>
      <c r="AI44" s="11" t="n">
        <v>0.0</v>
      </c>
      <c r="AJ44" s="10" t="n">
        <v>0.0</v>
      </c>
      <c r="AK44" s="11" t="n">
        <v>0.0</v>
      </c>
      <c r="AL44" s="10" t="n">
        <v>0.0</v>
      </c>
      <c r="AM44" s="11" t="n">
        <v>0.0</v>
      </c>
      <c r="AN44" s="10" t="n">
        <v>0.0</v>
      </c>
      <c r="AO44" s="11" t="n">
        <v>0.0</v>
      </c>
      <c r="AP44" s="10" t="n">
        <v>0.0</v>
      </c>
      <c r="AQ44" s="11" t="n">
        <v>0.0</v>
      </c>
      <c r="AR44" s="10" t="n">
        <v>0.0</v>
      </c>
      <c r="AS44" s="11" t="n">
        <v>0.0</v>
      </c>
      <c r="AT44" s="10" t="n">
        <v>0.0</v>
      </c>
      <c r="AU44" s="8" t="n">
        <v>1257.0</v>
      </c>
      <c r="AV44" s="9" t="n">
        <v>1257.0</v>
      </c>
      <c r="AW44" s="11" t="n">
        <v>0.0</v>
      </c>
      <c r="AX44" s="10" t="n">
        <v>0.0</v>
      </c>
      <c r="AY44" s="11" t="n">
        <v>0.0</v>
      </c>
      <c r="AZ44" s="10" t="n">
        <v>0.0</v>
      </c>
      <c r="BA44" s="11" t="n">
        <v>0.0</v>
      </c>
      <c r="BB44" s="10" t="n">
        <v>0.0</v>
      </c>
      <c r="BC44" s="11" t="n">
        <v>0.0</v>
      </c>
      <c r="BD44" s="10" t="n">
        <v>0.0</v>
      </c>
      <c r="BE44" s="11" t="n">
        <v>0.0</v>
      </c>
      <c r="BF44" s="10" t="n">
        <v>0.0</v>
      </c>
      <c r="BG44" s="11" t="n">
        <v>0.0</v>
      </c>
      <c r="BH44" s="10" t="n">
        <v>0.0</v>
      </c>
      <c r="BI44" s="11" t="n">
        <v>0.0</v>
      </c>
      <c r="BJ44" s="10" t="n">
        <v>0.0</v>
      </c>
      <c r="BK44" s="11" t="n">
        <v>0.0</v>
      </c>
      <c r="BL44" s="10" t="n">
        <v>0.0</v>
      </c>
      <c r="BM44" s="11" t="n">
        <v>0.0</v>
      </c>
      <c r="BN44" s="10" t="n">
        <v>0.0</v>
      </c>
      <c r="BO44" s="11" t="n">
        <v>0.0</v>
      </c>
      <c r="BP44" s="10" t="n">
        <v>0.0</v>
      </c>
      <c r="BQ44" s="11" t="n">
        <v>0.0</v>
      </c>
      <c r="BR44" s="10" t="n">
        <v>0.0</v>
      </c>
      <c r="BS44" s="11"/>
      <c r="BT44" s="11" t="n">
        <v>0.0</v>
      </c>
      <c r="BU44" s="10"/>
      <c r="BV44" s="10" t="n">
        <v>0.0</v>
      </c>
      <c r="BW44" s="11"/>
      <c r="BX44" s="11" t="n">
        <v>0.0</v>
      </c>
      <c r="BY44" s="10"/>
      <c r="BZ44" s="10" t="n">
        <v>0.0</v>
      </c>
      <c r="CA44" s="11"/>
      <c r="CB44" s="11" t="n">
        <v>0.0</v>
      </c>
      <c r="CC44" s="10"/>
      <c r="CD44" s="10" t="n">
        <v>0.0</v>
      </c>
      <c r="CE44" s="11"/>
      <c r="CF44" s="11" t="n">
        <v>0.0</v>
      </c>
      <c r="CG44" s="10"/>
      <c r="CH44" s="10" t="n">
        <v>0.0</v>
      </c>
    </row>
    <row r="45" ht="15.0" customHeight="true">
      <c r="A45" s="1"/>
    </row>
    <row r="46" ht="0.05" customHeight="true">
      <c r="B46" t="s" s="88">
        <v>397</v>
      </c>
    </row>
    <row r="47" ht="0.05" customHeight="true">
      <c r="C47" t="s" s="89">
        <v>398</v>
      </c>
      <c r="D47" t="s" s="90">
        <v>399</v>
      </c>
      <c r="E47" s="91"/>
      <c r="F47" s="91"/>
      <c r="G47" s="92"/>
      <c r="H47" t="s" s="90">
        <v>400</v>
      </c>
      <c r="I47" s="91"/>
      <c r="J47" s="91"/>
      <c r="K47" s="91"/>
      <c r="L47" s="91"/>
      <c r="M47" s="92"/>
    </row>
    <row r="48" ht="20.25" customHeight="true">
      <c r="C48" t="n" s="93">
        <v>1.0</v>
      </c>
      <c r="D48" t="s" s="94">
        <v>401</v>
      </c>
      <c r="E48" s="95"/>
      <c r="F48" s="95"/>
      <c r="G48" s="96"/>
      <c r="H48" s="97"/>
      <c r="I48" s="98"/>
      <c r="J48" s="98"/>
      <c r="K48" s="98"/>
      <c r="L48" s="98"/>
      <c r="M48" s="99"/>
    </row>
    <row r="49" ht="18.75" customHeight="true">
      <c r="C49" t="n" s="93">
        <v>2.0</v>
      </c>
      <c r="D49" t="s" s="94">
        <v>402</v>
      </c>
      <c r="E49" s="95"/>
      <c r="F49" s="95"/>
      <c r="G49" s="96"/>
      <c r="H49" s="97"/>
      <c r="I49" s="98"/>
      <c r="J49" s="98"/>
      <c r="K49" s="98"/>
      <c r="L49" s="98"/>
      <c r="M49" s="99"/>
    </row>
    <row r="50" ht="35.1" customHeight="true">
      <c r="C50" t="n" s="93">
        <v>3.0</v>
      </c>
      <c r="D50" t="s" s="94">
        <v>403</v>
      </c>
      <c r="E50" s="95"/>
      <c r="F50" s="95"/>
      <c r="G50" s="96"/>
      <c r="H50" t="s" s="97">
        <v>256</v>
      </c>
      <c r="I50" s="98"/>
      <c r="J50" s="98"/>
      <c r="K50" s="98"/>
      <c r="L50" s="98"/>
      <c r="M50" s="99"/>
    </row>
    <row r="51" ht="50.1" customHeight="true">
      <c r="C51" t="n" s="93">
        <v>4.0</v>
      </c>
      <c r="D51" t="s" s="94">
        <v>404</v>
      </c>
      <c r="E51" s="95"/>
      <c r="F51" s="95"/>
      <c r="G51" s="96"/>
      <c r="H51" t="s" s="97">
        <v>256</v>
      </c>
      <c r="I51" s="98"/>
      <c r="J51" s="98"/>
      <c r="K51" s="98"/>
      <c r="L51" s="98"/>
      <c r="M51" s="99"/>
    </row>
    <row r="52" ht="35.1" customHeight="true">
      <c r="C52" t="n" s="93">
        <v>5.0</v>
      </c>
      <c r="D52" t="s" s="94">
        <v>405</v>
      </c>
      <c r="E52" s="95"/>
      <c r="F52" s="95"/>
      <c r="G52" s="96"/>
      <c r="H52" t="s" s="97">
        <v>256</v>
      </c>
      <c r="I52" s="98"/>
      <c r="J52" s="98"/>
      <c r="K52" s="98"/>
      <c r="L52" s="98"/>
      <c r="M52" s="99"/>
    </row>
    <row r="53" ht="12.75" customHeight="true">
      <c r="C53" t="n" s="93">
        <v>6.0</v>
      </c>
      <c r="D53" t="s" s="97">
        <v>256</v>
      </c>
      <c r="E53" s="98"/>
      <c r="F53" s="98"/>
      <c r="G53" s="99"/>
      <c r="H53" t="s" s="97">
        <v>256</v>
      </c>
      <c r="I53" s="98"/>
      <c r="J53" s="98"/>
      <c r="K53" s="98"/>
      <c r="L53" s="98"/>
      <c r="M53" s="99"/>
    </row>
    <row r="54" ht="12.75" customHeight="true">
      <c r="C54" t="n" s="93">
        <v>7.0</v>
      </c>
      <c r="D54" t="s" s="97">
        <v>256</v>
      </c>
      <c r="E54" s="98"/>
      <c r="F54" s="98"/>
      <c r="G54" s="99"/>
      <c r="H54" t="s" s="97">
        <v>256</v>
      </c>
      <c r="I54" s="98"/>
      <c r="J54" s="98"/>
      <c r="K54" s="98"/>
      <c r="L54" s="98"/>
      <c r="M54" s="99"/>
    </row>
    <row r="55" ht="12.75" customHeight="true">
      <c r="C55" t="n" s="93">
        <v>8.0</v>
      </c>
      <c r="D55" t="s" s="97">
        <v>256</v>
      </c>
      <c r="E55" s="98"/>
      <c r="F55" s="98"/>
      <c r="G55" s="99"/>
      <c r="H55" t="s" s="97">
        <v>256</v>
      </c>
      <c r="I55" s="98"/>
      <c r="J55" s="98"/>
      <c r="K55" s="98"/>
      <c r="L55" s="98"/>
      <c r="M55" s="99"/>
    </row>
    <row r="56" ht="12.75" customHeight="true">
      <c r="C56" t="n" s="93">
        <v>8.0</v>
      </c>
      <c r="D56" t="s" s="97">
        <v>256</v>
      </c>
      <c r="E56" s="98"/>
      <c r="F56" s="98"/>
      <c r="G56" s="99"/>
      <c r="H56" t="s" s="97">
        <v>256</v>
      </c>
      <c r="I56" s="98"/>
      <c r="J56" s="98"/>
      <c r="K56" s="98"/>
      <c r="L56" s="98"/>
      <c r="M56" s="99"/>
    </row>
    <row r="57" ht="12.75" customHeight="true">
      <c r="C57" t="n" s="93">
        <v>10.0</v>
      </c>
      <c r="D57" t="s" s="97">
        <v>256</v>
      </c>
      <c r="E57" s="98"/>
      <c r="F57" s="98"/>
      <c r="G57" s="99"/>
      <c r="H57" t="s" s="97">
        <v>256</v>
      </c>
      <c r="I57" s="98"/>
      <c r="J57" s="98"/>
      <c r="K57" s="98"/>
      <c r="L57" s="98"/>
      <c r="M57" s="99"/>
    </row>
    <row r="58" ht="12.75" customHeight="true">
      <c r="C58" t="n" s="93">
        <v>11.0</v>
      </c>
      <c r="D58" t="s" s="97">
        <v>256</v>
      </c>
      <c r="E58" s="98"/>
      <c r="F58" s="98"/>
      <c r="G58" s="99"/>
      <c r="H58" t="s" s="97">
        <v>256</v>
      </c>
      <c r="I58" s="98"/>
      <c r="J58" s="98"/>
      <c r="K58" s="98"/>
      <c r="L58" s="98"/>
      <c r="M58" s="99"/>
    </row>
    <row r="59" ht="12.75" customHeight="true">
      <c r="C59" t="n" s="93">
        <v>12.0</v>
      </c>
      <c r="D59" t="s" s="97">
        <v>256</v>
      </c>
      <c r="E59" s="98"/>
      <c r="F59" s="98"/>
      <c r="G59" s="99"/>
      <c r="H59" t="s" s="97">
        <v>256</v>
      </c>
      <c r="I59" s="98"/>
      <c r="J59" s="98"/>
      <c r="K59" s="98"/>
      <c r="L59" s="98"/>
      <c r="M59" s="99"/>
    </row>
    <row r="60" ht="12.75" customHeight="true">
      <c r="C60" t="n" s="93">
        <v>13.0</v>
      </c>
      <c r="D60" t="s" s="97">
        <v>256</v>
      </c>
      <c r="E60" s="98"/>
      <c r="F60" s="98"/>
      <c r="G60" s="99"/>
      <c r="H60" t="s" s="97">
        <v>256</v>
      </c>
      <c r="I60" s="98"/>
      <c r="J60" s="98"/>
      <c r="K60" s="98"/>
      <c r="L60" s="98"/>
      <c r="M60" s="99"/>
    </row>
    <row r="61" ht="12.75" customHeight="true">
      <c r="C61" t="n" s="93">
        <v>14.0</v>
      </c>
      <c r="D61" t="s" s="97">
        <v>256</v>
      </c>
      <c r="E61" s="98"/>
      <c r="F61" s="98"/>
      <c r="G61" s="99"/>
      <c r="H61" t="s" s="97">
        <v>256</v>
      </c>
      <c r="I61" s="98"/>
      <c r="J61" s="98"/>
      <c r="K61" s="98"/>
      <c r="L61" s="98"/>
      <c r="M61" s="99"/>
    </row>
    <row r="62" ht="12.75" customHeight="true">
      <c r="C62" t="n" s="93">
        <v>15.0</v>
      </c>
      <c r="D62" t="s" s="97">
        <v>256</v>
      </c>
      <c r="E62" s="98"/>
      <c r="F62" s="98"/>
      <c r="G62" s="99"/>
      <c r="H62" t="s" s="97">
        <v>256</v>
      </c>
      <c r="I62" s="98"/>
      <c r="J62" s="98"/>
      <c r="K62" s="98"/>
      <c r="L62" s="98"/>
      <c r="M62" s="99"/>
    </row>
    <row r="63"/>
    <row r="64" ht="15.0" customHeight="true">
      <c r="B64" t="s" s="100">
        <v>406</v>
      </c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2"/>
    </row>
    <row r="65" ht="30.0" customHeight="true">
      <c r="B65" t="s" s="103">
        <v>407</v>
      </c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2"/>
    </row>
    <row r="66" ht="30.0" customHeight="true">
      <c r="B66" t="s" s="103">
        <v>408</v>
      </c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2"/>
    </row>
    <row r="67" ht="15.75" customHeight="true">
      <c r="B67" t="s" s="103">
        <v>409</v>
      </c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5"/>
    </row>
    <row r="68" ht="15.75" customHeight="true">
      <c r="B68" t="s" s="103">
        <v>410</v>
      </c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2"/>
    </row>
    <row r="69" ht="15.75" customHeight="true">
      <c r="B69" t="s" s="103">
        <v>411</v>
      </c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2"/>
    </row>
    <row r="70" ht="15.0" customHeight="true">
      <c r="B70" t="s" s="103">
        <v>412</v>
      </c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6"/>
    </row>
    <row r="71" ht="35.25" customHeight="true">
      <c r="B71" t="s" s="103">
        <v>413</v>
      </c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6"/>
    </row>
    <row r="72" ht="50.25" customHeight="true">
      <c r="B72" t="s" s="107">
        <v>414</v>
      </c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9"/>
    </row>
    <row r="73" ht="37.5" customHeight="true">
      <c r="B73" t="s" s="103">
        <v>415</v>
      </c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9"/>
    </row>
    <row r="74" ht="34.5" customHeight="true">
      <c r="B74" t="s" s="107">
        <v>416</v>
      </c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9"/>
    </row>
    <row r="75" ht="15.0" customHeight="true">
      <c r="B75" t="s" s="103">
        <v>417</v>
      </c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</row>
  </sheetData>
  <sheetProtection autoFilter="false" sort="false" password="CDB0" sheet="true" scenarios="true" objects="true"/>
  <autoFilter ref="B15:R44"/>
  <mergeCells count="115">
    <mergeCell ref="B70:P70"/>
    <mergeCell ref="B71:P71"/>
    <mergeCell ref="B72:P72"/>
    <mergeCell ref="B73:P73"/>
    <mergeCell ref="B74:P74"/>
    <mergeCell ref="B75:P75"/>
    <mergeCell ref="B64:P64"/>
    <mergeCell ref="B65:P65"/>
    <mergeCell ref="B66:P66"/>
    <mergeCell ref="B67:P67"/>
    <mergeCell ref="B68:P68"/>
    <mergeCell ref="B69:P69"/>
    <mergeCell ref="D60:G60"/>
    <mergeCell ref="H60:M60"/>
    <mergeCell ref="D61:G61"/>
    <mergeCell ref="H61:M61"/>
    <mergeCell ref="D62:G62"/>
    <mergeCell ref="H62:M62"/>
    <mergeCell ref="D57:G57"/>
    <mergeCell ref="H57:M57"/>
    <mergeCell ref="D58:G58"/>
    <mergeCell ref="H58:M58"/>
    <mergeCell ref="D59:G59"/>
    <mergeCell ref="H59:M59"/>
    <mergeCell ref="D54:G54"/>
    <mergeCell ref="H54:M54"/>
    <mergeCell ref="D55:G55"/>
    <mergeCell ref="H55:M55"/>
    <mergeCell ref="D56:G56"/>
    <mergeCell ref="H56:M56"/>
    <mergeCell ref="D51:G51"/>
    <mergeCell ref="H51:M51"/>
    <mergeCell ref="D52:G52"/>
    <mergeCell ref="H52:M52"/>
    <mergeCell ref="D53:G53"/>
    <mergeCell ref="H53:M53"/>
    <mergeCell ref="D49:G49"/>
    <mergeCell ref="H49:M49"/>
    <mergeCell ref="D50:G50"/>
    <mergeCell ref="H50:M50"/>
    <mergeCell ref="BO13:BP13"/>
    <mergeCell ref="BQ13:BR13"/>
    <mergeCell ref="D47:G47"/>
    <mergeCell ref="H47:M47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I13:AJ13"/>
    <mergeCell ref="AK13:AL13"/>
    <mergeCell ref="AM13:AN13"/>
    <mergeCell ref="AO13:AP13"/>
    <mergeCell ref="BS12:BV13"/>
    <mergeCell ref="BW12:BZ13"/>
    <mergeCell ref="CA12:CD13"/>
    <mergeCell ref="D48:G48"/>
    <mergeCell ref="H48:M48"/>
    <mergeCell ref="AC13:AD13"/>
    <mergeCell ref="L12:L14"/>
    <mergeCell ref="M12:N12"/>
    <mergeCell ref="O12:O14"/>
    <mergeCell ref="P12:P14"/>
    <mergeCell ref="Q12:Q14"/>
    <mergeCell ref="R12:R14"/>
    <mergeCell ref="AE13:AF13"/>
    <mergeCell ref="AG13:AH13"/>
    <mergeCell ref="A12:A14"/>
    <mergeCell ref="B12:B14"/>
    <mergeCell ref="C12:C14"/>
    <mergeCell ref="D12:G12"/>
    <mergeCell ref="H12:H14"/>
    <mergeCell ref="I12:I14"/>
    <mergeCell ref="J12:J14"/>
    <mergeCell ref="K12:K14"/>
    <mergeCell ref="CE12:CH13"/>
    <mergeCell ref="D13:D14"/>
    <mergeCell ref="E13:E14"/>
    <mergeCell ref="F13:F14"/>
    <mergeCell ref="G13:G14"/>
    <mergeCell ref="M13:M14"/>
    <mergeCell ref="N13:N14"/>
    <mergeCell ref="S12:S14"/>
    <mergeCell ref="T12:T14"/>
    <mergeCell ref="U12:U14"/>
    <mergeCell ref="V12:V14"/>
    <mergeCell ref="W12:AT12"/>
    <mergeCell ref="AU12:BR12"/>
    <mergeCell ref="W13:X13"/>
    <mergeCell ref="Y13:Z13"/>
    <mergeCell ref="AA13:AB13"/>
    <mergeCell ref="D7:E7"/>
    <mergeCell ref="D8:E8"/>
    <mergeCell ref="D9:E9"/>
    <mergeCell ref="B2:L2"/>
    <mergeCell ref="D3:E3"/>
    <mergeCell ref="B4:C10"/>
    <mergeCell ref="D4:E4"/>
    <mergeCell ref="D5:E5"/>
    <mergeCell ref="D6:E6"/>
    <mergeCell ref="F3:K3"/>
    <mergeCell ref="F4:K4"/>
    <mergeCell ref="F5:K5"/>
    <mergeCell ref="F7:K7"/>
    <mergeCell ref="F8:K8"/>
    <mergeCell ref="F9:K9"/>
    <mergeCell ref="D10:E10"/>
    <mergeCell ref="F10:L10"/>
  </mergeCells>
  <dataValidations count="29">
    <dataValidation type="list" sqref="R16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7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0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1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2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3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4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5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6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7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0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1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2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3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4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5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6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7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40" allowBlank="true" errorStyle="stop" promptTitle="" prompt="Выберите страну из списка" showInputMessage="true" showDropDown="false" showErrorMessage="true">
      <formula1>countries</formula1>
    </dataValidation>
    <dataValidation type="list" sqref="R41" allowBlank="true" errorStyle="stop" promptTitle="" prompt="Выберите страну из списка" showInputMessage="true" showDropDown="false" showErrorMessage="true">
      <formula1>countries</formula1>
    </dataValidation>
    <dataValidation type="list" sqref="R42" allowBlank="true" errorStyle="stop" promptTitle="" prompt="Выберите страну из списка" showInputMessage="true" showDropDown="false" showErrorMessage="true">
      <formula1>countries</formula1>
    </dataValidation>
    <dataValidation type="list" sqref="R43" allowBlank="true" errorStyle="stop" promptTitle="" prompt="Выберите страну из списка" showInputMessage="true" showDropDown="false" showErrorMessage="true">
      <formula1>countries</formula1>
    </dataValidation>
    <dataValidation type="list" sqref="R44" allowBlank="true" errorStyle="stop" promptTitle="" prompt="Выберите страну из списка" showInputMessage="true" showDropDown="false" showErrorMessage="true">
      <formula1>countries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56"/>
  <sheetViews>
    <sheetView workbookViewId="0"/>
  </sheetViews>
  <sheetFormatPr defaultRowHeight="15.0"/>
  <sheetData>
    <row r="1">
      <c r="A1" t="s" s="0">
        <v>0</v>
      </c>
      <c r="B1" t="s" s="0">
        <v>255</v>
      </c>
      <c r="C1" t="s" s="0">
        <v>257</v>
      </c>
    </row>
    <row r="2">
      <c r="A2" t="s" s="0">
        <v>1</v>
      </c>
      <c r="B2" t="s" s="0">
        <v>256</v>
      </c>
      <c r="C2" t="s" s="0">
        <v>258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  <row r="65">
      <c r="A65" t="s" s="0">
        <v>64</v>
      </c>
    </row>
    <row r="66">
      <c r="A66" t="s" s="0">
        <v>65</v>
      </c>
    </row>
    <row r="67">
      <c r="A67" t="s" s="0">
        <v>66</v>
      </c>
    </row>
    <row r="68">
      <c r="A68" t="s" s="0">
        <v>67</v>
      </c>
    </row>
    <row r="69">
      <c r="A69" t="s" s="0">
        <v>68</v>
      </c>
    </row>
    <row r="70">
      <c r="A70" t="s" s="0">
        <v>69</v>
      </c>
    </row>
    <row r="71">
      <c r="A71" t="s" s="0">
        <v>70</v>
      </c>
    </row>
    <row r="72">
      <c r="A72" t="s" s="0">
        <v>71</v>
      </c>
    </row>
    <row r="73">
      <c r="A73" t="s" s="0">
        <v>72</v>
      </c>
    </row>
    <row r="74">
      <c r="A74" t="s" s="0">
        <v>73</v>
      </c>
    </row>
    <row r="75">
      <c r="A75" t="s" s="0">
        <v>74</v>
      </c>
    </row>
    <row r="76">
      <c r="A76" t="s" s="0">
        <v>75</v>
      </c>
    </row>
    <row r="77">
      <c r="A77" t="s" s="0">
        <v>76</v>
      </c>
    </row>
    <row r="78">
      <c r="A78" t="s" s="0">
        <v>77</v>
      </c>
    </row>
    <row r="79">
      <c r="A79" t="s" s="0">
        <v>78</v>
      </c>
    </row>
    <row r="80">
      <c r="A80" t="s" s="0">
        <v>79</v>
      </c>
    </row>
    <row r="81">
      <c r="A81" t="s" s="0">
        <v>80</v>
      </c>
    </row>
    <row r="82">
      <c r="A82" t="s" s="0">
        <v>81</v>
      </c>
    </row>
    <row r="83">
      <c r="A83" t="s" s="0">
        <v>82</v>
      </c>
    </row>
    <row r="84">
      <c r="A84" t="s" s="0">
        <v>83</v>
      </c>
    </row>
    <row r="85">
      <c r="A85" t="s" s="0">
        <v>84</v>
      </c>
    </row>
    <row r="86">
      <c r="A86" t="s" s="0">
        <v>85</v>
      </c>
    </row>
    <row r="87">
      <c r="A87" t="s" s="0">
        <v>86</v>
      </c>
    </row>
    <row r="88">
      <c r="A88" t="s" s="0">
        <v>87</v>
      </c>
    </row>
    <row r="89">
      <c r="A89" t="s" s="0">
        <v>88</v>
      </c>
    </row>
    <row r="90">
      <c r="A90" t="s" s="0">
        <v>89</v>
      </c>
    </row>
    <row r="91">
      <c r="A91" t="s" s="0">
        <v>90</v>
      </c>
    </row>
    <row r="92">
      <c r="A92" t="s" s="0">
        <v>91</v>
      </c>
    </row>
    <row r="93">
      <c r="A93" t="s" s="0">
        <v>92</v>
      </c>
    </row>
    <row r="94">
      <c r="A94" t="s" s="0">
        <v>93</v>
      </c>
    </row>
    <row r="95">
      <c r="A95" t="s" s="0">
        <v>94</v>
      </c>
    </row>
    <row r="96">
      <c r="A96" t="s" s="0">
        <v>95</v>
      </c>
    </row>
    <row r="97">
      <c r="A97" t="s" s="0">
        <v>96</v>
      </c>
    </row>
    <row r="98">
      <c r="A98" t="s" s="0">
        <v>97</v>
      </c>
    </row>
    <row r="99">
      <c r="A99" t="s" s="0">
        <v>98</v>
      </c>
    </row>
    <row r="100">
      <c r="A100" t="s" s="0">
        <v>99</v>
      </c>
    </row>
    <row r="101">
      <c r="A101" t="s" s="0">
        <v>100</v>
      </c>
    </row>
    <row r="102">
      <c r="A102" t="s" s="0">
        <v>101</v>
      </c>
    </row>
    <row r="103">
      <c r="A103" t="s" s="0">
        <v>102</v>
      </c>
    </row>
    <row r="104">
      <c r="A104" t="s" s="0">
        <v>103</v>
      </c>
    </row>
    <row r="105">
      <c r="A105" t="s" s="0">
        <v>104</v>
      </c>
    </row>
    <row r="106">
      <c r="A106" t="s" s="0">
        <v>105</v>
      </c>
    </row>
    <row r="107">
      <c r="A107" t="s" s="0">
        <v>106</v>
      </c>
    </row>
    <row r="108">
      <c r="A108" t="s" s="0">
        <v>107</v>
      </c>
    </row>
    <row r="109">
      <c r="A109" t="s" s="0">
        <v>108</v>
      </c>
    </row>
    <row r="110">
      <c r="A110" t="s" s="0">
        <v>109</v>
      </c>
    </row>
    <row r="111">
      <c r="A111" t="s" s="0">
        <v>110</v>
      </c>
    </row>
    <row r="112">
      <c r="A112" t="s" s="0">
        <v>111</v>
      </c>
    </row>
    <row r="113">
      <c r="A113" t="s" s="0">
        <v>112</v>
      </c>
    </row>
    <row r="114">
      <c r="A114" t="s" s="0">
        <v>113</v>
      </c>
    </row>
    <row r="115">
      <c r="A115" t="s" s="0">
        <v>114</v>
      </c>
    </row>
    <row r="116">
      <c r="A116" t="s" s="0">
        <v>115</v>
      </c>
    </row>
    <row r="117">
      <c r="A117" t="s" s="0">
        <v>116</v>
      </c>
    </row>
    <row r="118">
      <c r="A118" t="s" s="0">
        <v>117</v>
      </c>
    </row>
    <row r="119">
      <c r="A119" t="s" s="0">
        <v>118</v>
      </c>
    </row>
    <row r="120">
      <c r="A120" t="s" s="0">
        <v>119</v>
      </c>
    </row>
    <row r="121">
      <c r="A121" t="s" s="0">
        <v>120</v>
      </c>
    </row>
    <row r="122">
      <c r="A122" t="s" s="0">
        <v>60</v>
      </c>
    </row>
    <row r="123">
      <c r="A123" t="s" s="0">
        <v>121</v>
      </c>
    </row>
    <row r="124">
      <c r="A124" t="s" s="0">
        <v>122</v>
      </c>
    </row>
    <row r="125">
      <c r="A125" t="s" s="0">
        <v>123</v>
      </c>
    </row>
    <row r="126">
      <c r="A126" t="s" s="0">
        <v>124</v>
      </c>
    </row>
    <row r="127">
      <c r="A127" t="s" s="0">
        <v>125</v>
      </c>
    </row>
    <row r="128">
      <c r="A128" t="s" s="0">
        <v>126</v>
      </c>
    </row>
    <row r="129">
      <c r="A129" t="s" s="0">
        <v>127</v>
      </c>
    </row>
    <row r="130">
      <c r="A130" t="s" s="0">
        <v>128</v>
      </c>
    </row>
    <row r="131">
      <c r="A131" t="s" s="0">
        <v>129</v>
      </c>
    </row>
    <row r="132">
      <c r="A132" t="s" s="0">
        <v>130</v>
      </c>
    </row>
    <row r="133">
      <c r="A133" t="s" s="0">
        <v>131</v>
      </c>
    </row>
    <row r="134">
      <c r="A134" t="s" s="0">
        <v>132</v>
      </c>
    </row>
    <row r="135">
      <c r="A135" t="s" s="0">
        <v>133</v>
      </c>
    </row>
    <row r="136">
      <c r="A136" t="s" s="0">
        <v>134</v>
      </c>
    </row>
    <row r="137">
      <c r="A137" t="s" s="0">
        <v>135</v>
      </c>
    </row>
    <row r="138">
      <c r="A138" t="s" s="0">
        <v>136</v>
      </c>
    </row>
    <row r="139">
      <c r="A139" t="s" s="0">
        <v>137</v>
      </c>
    </row>
    <row r="140">
      <c r="A140" t="s" s="0">
        <v>138</v>
      </c>
    </row>
    <row r="141">
      <c r="A141" t="s" s="0">
        <v>139</v>
      </c>
    </row>
    <row r="142">
      <c r="A142" t="s" s="0">
        <v>140</v>
      </c>
    </row>
    <row r="143">
      <c r="A143" t="s" s="0">
        <v>141</v>
      </c>
    </row>
    <row r="144">
      <c r="A144" t="s" s="0">
        <v>142</v>
      </c>
    </row>
    <row r="145">
      <c r="A145" t="s" s="0">
        <v>143</v>
      </c>
    </row>
    <row r="146">
      <c r="A146" t="s" s="0">
        <v>144</v>
      </c>
    </row>
    <row r="147">
      <c r="A147" t="s" s="0">
        <v>145</v>
      </c>
    </row>
    <row r="148">
      <c r="A148" t="s" s="0">
        <v>146</v>
      </c>
    </row>
    <row r="149">
      <c r="A149" t="s" s="0">
        <v>147</v>
      </c>
    </row>
    <row r="150">
      <c r="A150" t="s" s="0">
        <v>148</v>
      </c>
    </row>
    <row r="151">
      <c r="A151" t="s" s="0">
        <v>149</v>
      </c>
    </row>
    <row r="152">
      <c r="A152" t="s" s="0">
        <v>150</v>
      </c>
    </row>
    <row r="153">
      <c r="A153" t="s" s="0">
        <v>151</v>
      </c>
    </row>
    <row r="154">
      <c r="A154" t="s" s="0">
        <v>152</v>
      </c>
    </row>
    <row r="155">
      <c r="A155" t="s" s="0">
        <v>153</v>
      </c>
    </row>
    <row r="156">
      <c r="A156" t="s" s="0">
        <v>154</v>
      </c>
    </row>
    <row r="157">
      <c r="A157" t="s" s="0">
        <v>155</v>
      </c>
    </row>
    <row r="158">
      <c r="A158" t="s" s="0">
        <v>156</v>
      </c>
    </row>
    <row r="159">
      <c r="A159" t="s" s="0">
        <v>157</v>
      </c>
    </row>
    <row r="160">
      <c r="A160" t="s" s="0">
        <v>158</v>
      </c>
    </row>
    <row r="161">
      <c r="A161" t="s" s="0">
        <v>159</v>
      </c>
    </row>
    <row r="162">
      <c r="A162" t="s" s="0">
        <v>160</v>
      </c>
    </row>
    <row r="163">
      <c r="A163" t="s" s="0">
        <v>161</v>
      </c>
    </row>
    <row r="164">
      <c r="A164" t="s" s="0">
        <v>162</v>
      </c>
    </row>
    <row r="165">
      <c r="A165" t="s" s="0">
        <v>163</v>
      </c>
    </row>
    <row r="166">
      <c r="A166" t="s" s="0">
        <v>164</v>
      </c>
    </row>
    <row r="167">
      <c r="A167" t="s" s="0">
        <v>165</v>
      </c>
    </row>
    <row r="168">
      <c r="A168" t="s" s="0">
        <v>166</v>
      </c>
    </row>
    <row r="169">
      <c r="A169" t="s" s="0">
        <v>167</v>
      </c>
    </row>
    <row r="170">
      <c r="A170" t="s" s="0">
        <v>168</v>
      </c>
    </row>
    <row r="171">
      <c r="A171" t="s" s="0">
        <v>169</v>
      </c>
    </row>
    <row r="172">
      <c r="A172" t="s" s="0">
        <v>170</v>
      </c>
    </row>
    <row r="173">
      <c r="A173" t="s" s="0">
        <v>171</v>
      </c>
    </row>
    <row r="174">
      <c r="A174" t="s" s="0">
        <v>172</v>
      </c>
    </row>
    <row r="175">
      <c r="A175" t="s" s="0">
        <v>173</v>
      </c>
    </row>
    <row r="176">
      <c r="A176" t="s" s="0">
        <v>174</v>
      </c>
    </row>
    <row r="177">
      <c r="A177" t="s" s="0">
        <v>175</v>
      </c>
    </row>
    <row r="178">
      <c r="A178" t="s" s="0">
        <v>176</v>
      </c>
    </row>
    <row r="179">
      <c r="A179" t="s" s="0">
        <v>177</v>
      </c>
    </row>
    <row r="180">
      <c r="A180" t="s" s="0">
        <v>178</v>
      </c>
    </row>
    <row r="181">
      <c r="A181" t="s" s="0">
        <v>179</v>
      </c>
    </row>
    <row r="182">
      <c r="A182" t="s" s="0">
        <v>180</v>
      </c>
    </row>
    <row r="183">
      <c r="A183" t="s" s="0">
        <v>181</v>
      </c>
    </row>
    <row r="184">
      <c r="A184" t="s" s="0">
        <v>182</v>
      </c>
    </row>
    <row r="185">
      <c r="A185" t="s" s="0">
        <v>183</v>
      </c>
    </row>
    <row r="186">
      <c r="A186" t="s" s="0">
        <v>184</v>
      </c>
    </row>
    <row r="187">
      <c r="A187" t="s" s="0">
        <v>185</v>
      </c>
    </row>
    <row r="188">
      <c r="A188" t="s" s="0">
        <v>186</v>
      </c>
    </row>
    <row r="189">
      <c r="A189" t="s" s="0">
        <v>187</v>
      </c>
    </row>
    <row r="190">
      <c r="A190" t="s" s="0">
        <v>188</v>
      </c>
    </row>
    <row r="191">
      <c r="A191" t="s" s="0">
        <v>189</v>
      </c>
    </row>
    <row r="192">
      <c r="A192" t="s" s="0">
        <v>190</v>
      </c>
    </row>
    <row r="193">
      <c r="A193" t="s" s="0">
        <v>191</v>
      </c>
    </row>
    <row r="194">
      <c r="A194" t="s" s="0">
        <v>192</v>
      </c>
    </row>
    <row r="195">
      <c r="A195" t="s" s="0">
        <v>193</v>
      </c>
    </row>
    <row r="196">
      <c r="A196" t="s" s="0">
        <v>194</v>
      </c>
    </row>
    <row r="197">
      <c r="A197" t="s" s="0">
        <v>195</v>
      </c>
    </row>
    <row r="198">
      <c r="A198" t="s" s="0">
        <v>196</v>
      </c>
    </row>
    <row r="199">
      <c r="A199" t="s" s="0">
        <v>197</v>
      </c>
    </row>
    <row r="200">
      <c r="A200" t="s" s="0">
        <v>198</v>
      </c>
    </row>
    <row r="201">
      <c r="A201" t="s" s="0">
        <v>199</v>
      </c>
    </row>
    <row r="202">
      <c r="A202" t="s" s="0">
        <v>200</v>
      </c>
    </row>
    <row r="203">
      <c r="A203" t="s" s="0">
        <v>201</v>
      </c>
    </row>
    <row r="204">
      <c r="A204" t="s" s="0">
        <v>202</v>
      </c>
    </row>
    <row r="205">
      <c r="A205" t="s" s="0">
        <v>203</v>
      </c>
    </row>
    <row r="206">
      <c r="A206" t="s" s="0">
        <v>204</v>
      </c>
    </row>
    <row r="207">
      <c r="A207" t="s" s="0">
        <v>205</v>
      </c>
    </row>
    <row r="208">
      <c r="A208" t="s" s="0">
        <v>206</v>
      </c>
    </row>
    <row r="209">
      <c r="A209" t="s" s="0">
        <v>207</v>
      </c>
    </row>
    <row r="210">
      <c r="A210" t="s" s="0">
        <v>208</v>
      </c>
    </row>
    <row r="211">
      <c r="A211" t="s" s="0">
        <v>209</v>
      </c>
    </row>
    <row r="212">
      <c r="A212" t="s" s="0">
        <v>210</v>
      </c>
    </row>
    <row r="213">
      <c r="A213" t="s" s="0">
        <v>211</v>
      </c>
    </row>
    <row r="214">
      <c r="A214" t="s" s="0">
        <v>212</v>
      </c>
    </row>
    <row r="215">
      <c r="A215" t="s" s="0">
        <v>213</v>
      </c>
    </row>
    <row r="216">
      <c r="A216" t="s" s="0">
        <v>214</v>
      </c>
    </row>
    <row r="217">
      <c r="A217" t="s" s="0">
        <v>215</v>
      </c>
    </row>
    <row r="218">
      <c r="A218" t="s" s="0">
        <v>216</v>
      </c>
    </row>
    <row r="219">
      <c r="A219" t="s" s="0">
        <v>217</v>
      </c>
    </row>
    <row r="220">
      <c r="A220" t="s" s="0">
        <v>218</v>
      </c>
    </row>
    <row r="221">
      <c r="A221" t="s" s="0">
        <v>219</v>
      </c>
    </row>
    <row r="222">
      <c r="A222" t="s" s="0">
        <v>220</v>
      </c>
    </row>
    <row r="223">
      <c r="A223" t="s" s="0">
        <v>221</v>
      </c>
    </row>
    <row r="224">
      <c r="A224" t="s" s="0">
        <v>222</v>
      </c>
    </row>
    <row r="225">
      <c r="A225" t="s" s="0">
        <v>223</v>
      </c>
    </row>
    <row r="226">
      <c r="A226" t="s" s="0">
        <v>224</v>
      </c>
    </row>
    <row r="227">
      <c r="A227" t="s" s="0">
        <v>225</v>
      </c>
    </row>
    <row r="228">
      <c r="A228" t="s" s="0">
        <v>226</v>
      </c>
    </row>
    <row r="229">
      <c r="A229" t="s" s="0">
        <v>227</v>
      </c>
    </row>
    <row r="230">
      <c r="A230" t="s" s="0">
        <v>228</v>
      </c>
    </row>
    <row r="231">
      <c r="A231" t="s" s="0">
        <v>229</v>
      </c>
    </row>
    <row r="232">
      <c r="A232" t="s" s="0">
        <v>230</v>
      </c>
    </row>
    <row r="233">
      <c r="A233" t="s" s="0">
        <v>231</v>
      </c>
    </row>
    <row r="234">
      <c r="A234" t="s" s="0">
        <v>232</v>
      </c>
    </row>
    <row r="235">
      <c r="A235" t="s" s="0">
        <v>233</v>
      </c>
    </row>
    <row r="236">
      <c r="A236" t="s" s="0">
        <v>234</v>
      </c>
    </row>
    <row r="237">
      <c r="A237" t="s" s="0">
        <v>235</v>
      </c>
    </row>
    <row r="238">
      <c r="A238" t="s" s="0">
        <v>236</v>
      </c>
    </row>
    <row r="239">
      <c r="A239" t="s" s="0">
        <v>237</v>
      </c>
    </row>
    <row r="240">
      <c r="A240" t="s" s="0">
        <v>238</v>
      </c>
    </row>
    <row r="241">
      <c r="A241" t="s" s="0">
        <v>239</v>
      </c>
    </row>
    <row r="242">
      <c r="A242" t="s" s="0">
        <v>240</v>
      </c>
    </row>
    <row r="243">
      <c r="A243" t="s" s="0">
        <v>241</v>
      </c>
    </row>
    <row r="244">
      <c r="A244" t="s" s="0">
        <v>242</v>
      </c>
    </row>
    <row r="245">
      <c r="A245" t="s" s="0">
        <v>243</v>
      </c>
    </row>
    <row r="246">
      <c r="A246" t="s" s="0">
        <v>244</v>
      </c>
    </row>
    <row r="247">
      <c r="A247" t="s" s="0">
        <v>245</v>
      </c>
    </row>
    <row r="248">
      <c r="A248" t="s" s="0">
        <v>246</v>
      </c>
    </row>
    <row r="249">
      <c r="A249" t="s" s="0">
        <v>247</v>
      </c>
    </row>
    <row r="250">
      <c r="A250" t="s" s="0">
        <v>248</v>
      </c>
    </row>
    <row r="251">
      <c r="A251" t="s" s="0">
        <v>249</v>
      </c>
    </row>
    <row r="252">
      <c r="A252" t="s" s="0">
        <v>250</v>
      </c>
    </row>
    <row r="253">
      <c r="A253" t="s" s="0">
        <v>251</v>
      </c>
    </row>
    <row r="254">
      <c r="A254" t="s" s="0">
        <v>252</v>
      </c>
    </row>
    <row r="255">
      <c r="A255" t="s" s="0">
        <v>253</v>
      </c>
    </row>
    <row r="256">
      <c r="A256" t="s" s="0">
        <v>254</v>
      </c>
    </row>
  </sheetData>
  <sheetProtection password="E53C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2026-09-24T11:29:33Z</dcterms:created>
  <dc:creator>Apache POI</dc:creator>
</cp:coreProperties>
</file>