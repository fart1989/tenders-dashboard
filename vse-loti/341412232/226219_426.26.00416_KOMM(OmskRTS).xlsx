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Шаблон!$B$17:$S$26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<sst xmlns="http://schemas.openxmlformats.org/spreadsheetml/2006/main" count="643" uniqueCount="372">
  <si>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</si>
  <si>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</si>
  <si>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</si>
  <si>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</si>
  <si>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</si>
  <si>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</si>
  <si>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</si>
  <si>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</si>
  <si>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</si>
  <si>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</si>
  <si>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</si>
  <si>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</si>
  <si>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</si>
  <si>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</si>
  <si>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</si>
  <si>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</si>
  <si>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</si>
  <si>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</si>
  <si>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</si>
  <si>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</si>
  <si>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</si>
  <si>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</si>
  <si>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</si>
  <si>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</si>
  <si>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</si>
  <si>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</si>
  <si>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</si>
  <si>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</si>
  <si>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</si>
  <si>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</si>
  <si>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</si>
  <si>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</si>
  <si>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</si>
  <si>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</si>
  <si>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</si>
  <si>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</si>
  <si>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</si>
  <si>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</si>
  <si>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</si>
  <si>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</si>
  <si>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</si>
  <si>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</si>
  <si>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</si>
  <si>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</si>
  <si>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</si>
  <si>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</si>
  <si>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</si>
  <si>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</si>
  <si>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</si>
  <si>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</si>
  <si>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</si>
  <si>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</si>
  <si>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</si>
  <si>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</si>
  <si>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</si>
  <si>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</si>
  <si>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</si>
  <si>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</si>
  <si>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</si>
  <si>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</si>
  <si>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</si>
  <si>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</si>
  <si>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</si>
  <si>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</si>
  <si>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</si>
  <si>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</si>
  <si>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</si>
  <si>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</si>
  <si>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</si>
  <si>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</si>
  <si>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</si>
  <si>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</si>
  <si>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</si>
  <si>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</si>
  <si>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</si>
  <si>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</si>
  <si>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</si>
  <si>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</si>
  <si>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</si>
  <si>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</si>
  <si>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</si>
  <si>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</si>
  <si>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</si>
  <si>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</si>
  <si>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</si>
  <si>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</si>
  <si>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</si>
  <si>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</si>
  <si>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</si>
  <si>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</si>
  <si>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</si>
  <si>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</si>
  <si>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</si>
  <si>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</si>
  <si>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</si>
  <si>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</si>
  <si>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</si>
  <si>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</si>
  <si>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</si>
  <si>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</si>
  <si>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</si>
  <si>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</si>
  <si>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</si>
  <si>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</si>
  <si>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</si>
  <si>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</si>
  <si>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</si>
  <si>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</si>
  <si>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</si>
  <si>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</si>
  <si>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</si>
  <si>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</si>
  <si>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</si>
  <si>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</si>
  <si>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</si>
  <si>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</si>
  <si>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</si>
  <si>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</si>
  <si>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</si>
  <si>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</si>
  <si>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</si>
  <si>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</si>
  <si>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</si>
  <si>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</si>
  <si>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</si>
  <si>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</si>
  <si>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</si>
  <si>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</si>
  <si>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</si>
  <si>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</si>
  <si>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</si>
  <si>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</si>
  <si>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</si>
  <si>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</si>
  <si>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</si>
  <si>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</si>
  <si>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</si>
  <si>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</si>
  <si>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</si>
  <si>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</si>
  <si>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</si>
  <si>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</si>
  <si>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</si>
  <si>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</si>
  <si>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</si>
  <si>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</si>
  <si>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</si>
  <si>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</si>
  <si>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</si>
  <si>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</si>
  <si>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</si>
  <si>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</si>
  <si>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</si>
  <si>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</si>
  <si>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</si>
  <si>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</si>
  <si>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</si>
  <si>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</si>
  <si>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</si>
  <si>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</si>
  <si>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</si>
  <si>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</si>
  <si>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</si>
  <si>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</si>
  <si>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</si>
  <si>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</si>
  <si>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</si>
  <si>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</si>
  <si>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</si>
  <si>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</si>
  <si>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</si>
  <si>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</si>
  <si>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</si>
  <si>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</si>
  <si>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</si>
  <si>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</si>
  <si>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</si>
  <si>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</si>
  <si>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</si>
  <si>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</si>
  <si>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</si>
  <si>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</si>
  <si>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</si>
  <si>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</si>
  <si>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</si>
  <si>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</si>
  <si>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</si>
  <si>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</si>
  <si>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</si>
  <si>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</si>
  <si>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</si>
  <si>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</si>
  <si>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</si>
  <si>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</si>
  <si>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</si>
  <si>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</si>
  <si>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</si>
  <si>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</si>
  <si>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</si>
  <si>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</si>
  <si>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</si>
  <si>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</si>
  <si>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</si>
  <si>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</si>
  <si>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</si>
  <si>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</si>
  <si>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</si>
  <si>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</si>
  <si>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</si>
  <si>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</si>
  <si>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</si>
  <si>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</si>
  <si>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</si>
  <si>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</si>
  <si>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</si>
  <si>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</si>
  <si>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</si>
  <si>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</si>
  <si>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</si>
  <si>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</si>
  <si>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</si>
  <si>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</si>
  <si>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</si>
  <si>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</si>
  <si>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</si>
  <si>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</si>
  <si>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</si>
  <si>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</si>
  <si>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</si>
  <si>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</si>
  <si>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</si>
  <si>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</si>
  <si>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</si>
  <si>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</si>
  <si>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</si>
  <si>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</si>
  <si>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</si>
  <si>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</si>
  <si>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</si>
  <si>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</si>
  <si>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</si>
  <si>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</si>
  <si>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</si>
  <si>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</si>
  <si>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</si>
  <si>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</si>
  <si>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</si>
  <si>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</si>
  <si>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</si>
  <si>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</si>
  <si>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</si>
  <si>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</si>
  <si>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</si>
  <si>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</si>
  <si>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</si>
  <si>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</si>
  <si>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</si>
  <si>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</si>
  <si>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</si>
  <si>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</si>
  <si>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</si>
  <si>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</si>
  <si>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</si>
  <si>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</si>
  <si>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</si>
  <si>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426.26.00416 Поставка труб малого диаметра электросварных для нужд АО "Омск РТС"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</si>
  <si>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</si>
  <si>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</si>
  <si>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</si>
  <si>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</si>
  <si>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</si>
  <si>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</si>
  <si>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</si>
  <si>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</si>
  <si>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</si>
  <si>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</si>
  <si>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</si>
  <si>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</si>
  <si>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</si>
  <si>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</si>
  <si>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</si>
  <si>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</si>
  <si>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</si>
  <si>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</si>
  <si>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</si>
  <si>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</si>
  <si>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</si>
  <si>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</si>
  <si>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</si>
  <si>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</si>
  <si>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</si>
  <si>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</si>
  <si>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</si>
  <si>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</si>
  <si>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</si>
  <si>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</si>
  <si>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</si>
  <si>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</si>
  <si>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</si>
  <si>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</si>
  <si>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</si>
  <si>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</si>
  <si>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</si>
  <si>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</si>
  <si>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</si>
  <si>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</si>
  <si>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</si>
  <si>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</si>
  <si>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</si>
  <si>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</si>
  <si>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</si>
  <si>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</si>
  <si>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</si>
  <si>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</si>
  <si>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ОмскРТС-&gt;АО ОмскРТС-&gt;426 Направление обеспечение МТР</t>
  </si>
  <si>
    <t>706158</t>
  </si>
  <si>
    <t>Труба стальная прямошовная, электросварная, наружный диаметр 159мм, толщина стенки 8мм, длина немерная, предельные отклонения: по наружному диаметру +/-0,8мм (точность изготовления обычная), по толщине стенки +0,6/-0,8мм, материал сталь 09Г2С, с нормированием химического состава (группа В), 159х8/В-09Г2С ГОСТ 10704-91, ГОСТ 10705-80</t>
  </si>
  <si>
    <t>Труба 159х8/В-09Г2С ГОСТ 10704-91, ГОСТ 10705-80</t>
  </si>
  <si>
    <t>ГОСТ 10705-80,ГОСТ 10704-91</t>
  </si>
  <si>
    <t>Килограмм</t>
  </si>
  <si>
    <t>476113</t>
  </si>
  <si>
    <t>Труба стальная сварная, водогазопроводная, обыкновенная, условный проход 15мм,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15х2,8 ГОСТ 3262-75</t>
  </si>
  <si>
    <t>Труба 15х2,8 ГОСТ 3262-75</t>
  </si>
  <si>
    <t>ГОСТ 3262-75</t>
  </si>
  <si>
    <t>476114</t>
  </si>
  <si>
    <t>Труба стальная сварная, водогазопроводная, обыкновенная, условный проход 20мм,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20х2,8 ГОСТ 3262-75</t>
  </si>
  <si>
    <t>Труба 20х2,8 ГОСТ 3262-75</t>
  </si>
  <si>
    <t>632864</t>
  </si>
  <si>
    <t>Труба стальная прямошовная, электросварная, наружный диаметр 219мм, толщина стенки 8мм, длина немерная, предельные отклонения: по наружному диаметру +/-0,75% (точность изготовления обычная), по толщине стенки +0,6/-0,8мм, материал сталь 09Г2С, с нормированием механических свойств и химического состава (группа В), 219х8/В-09Г2С ГОСТ 10704-91, ГОСТ 10705-80</t>
  </si>
  <si>
    <t>Труба 219х8/В-09Г2С ГОСТ 10704-91, ГОСТ 10705-80</t>
  </si>
  <si>
    <t>476290</t>
  </si>
  <si>
    <t>Труба стальная сварная, водогазопроводная, легкая, условный проход 25мм,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25х2,8 ГОСТ 3262-75</t>
  </si>
  <si>
    <t>Труба 25х2,8 ГОСТ 3262-75</t>
  </si>
  <si>
    <t>487866</t>
  </si>
  <si>
    <t>Труба стальная, прямошовная, электросварная, наружный диаметр 325мм, толщина стенки 8мм, длина немерная, материал сталь 09Г2С, с нормированием механических свойств и химического состава (В), 325х8/В-09Г2С ГОСТ 10704-91, ГОСТ 10705-80</t>
  </si>
  <si>
    <t>Труба 325х8/В-09Г2С ГОСТ 10704-91, ГОСТ 10705-80</t>
  </si>
  <si>
    <t>ГОСТ 10704-91,ГОСТ 10705-80</t>
  </si>
  <si>
    <t>476291</t>
  </si>
  <si>
    <t>Труба стальная сварная, водогазопроводная, легкая, условный проход 32мм,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32х2,8 ГОСТ 3262-75</t>
  </si>
  <si>
    <t>Труба 32х2,8 ГОСТ 3262-75</t>
  </si>
  <si>
    <t>487777</t>
  </si>
  <si>
    <t>Труба стальная, прямошовная, электросварная, наружный диаметр 426мм, толщина стенки 10мм, длина немерная, материал сталь 20, с нормированием механических свойств и химического состава (В), 426х10/В-20 ГОСТ 10704-91, ГОСТ 10705-80</t>
  </si>
  <si>
    <t>Труба 426х10/В-20 ГОСТ 10704-91, ГОСТ 10705-80</t>
  </si>
  <si>
    <t>632871</t>
  </si>
  <si>
    <t>Труба стальная прямошовная, электросварная, наружный диаметр 426мм, толщина стенки 9мм, длина немерная, предельные отклонения: по наружному диаметру +/-0,75% (точность изготовления обычная), по толщине стенки +0,6/-0,8мм, материал сталь 09Г2С, с нормированием механических свойств и химического состава (группа В), 426х9/В-09Г2С ГОСТ 10704-91, ГОСТ 10705-80</t>
  </si>
  <si>
    <t>Труба 426х9/В-09Г2С ГОСТ 10704-91, ГОСТ 10705-80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</si>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</sst>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2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80.0</v>
      </c>
      <c r="K18" s="6" t="n">
        <v>13341.0</v>
      </c>
      <c r="L18" s="5" t="n">
        <v>1067280.0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Q29,)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13341.0</v>
      </c>
      <c r="Y18" s="4" t="n">
        <v>2639642.0</v>
      </c>
    </row>
    <row r="19">
      <c r="A19" s="1"/>
      <c r="B19" s="4" t="s">
        <v>314</v>
      </c>
      <c r="C19" s="4" t="n">
        <v>2.0</v>
      </c>
      <c r="D19" s="4" t="s">
        <v>320</v>
      </c>
      <c r="E19" s="4" t="s">
        <v>321</v>
      </c>
      <c r="F19" s="4" t="s">
        <v>322</v>
      </c>
      <c r="G19" s="4" t="s">
        <v>323</v>
      </c>
      <c r="H19" s="4" t="s">
        <v>319</v>
      </c>
      <c r="I19" s="4" t="s">
        <v>0</v>
      </c>
      <c r="J19" s="5" t="n">
        <v>70.0</v>
      </c>
      <c r="K19" s="6" t="n">
        <v>20.0</v>
      </c>
      <c r="L19" s="5" t="n">
        <v>1400.0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Q29,)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20.0</v>
      </c>
      <c r="Y19" s="4" t="n">
        <v>2639645.0</v>
      </c>
    </row>
    <row r="20">
      <c r="A20" s="1"/>
      <c r="B20" s="4" t="s">
        <v>314</v>
      </c>
      <c r="C20" s="4" t="n">
        <v>3.0</v>
      </c>
      <c r="D20" s="4" t="s">
        <v>324</v>
      </c>
      <c r="E20" s="4" t="s">
        <v>325</v>
      </c>
      <c r="F20" s="4" t="s">
        <v>326</v>
      </c>
      <c r="G20" s="4" t="s">
        <v>323</v>
      </c>
      <c r="H20" s="4" t="s">
        <v>319</v>
      </c>
      <c r="I20" s="4" t="s">
        <v>0</v>
      </c>
      <c r="J20" s="5" t="n">
        <v>70.0</v>
      </c>
      <c r="K20" s="6" t="n">
        <v>71.4</v>
      </c>
      <c r="L20" s="5" t="n">
        <v>4998.0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Q29,)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71.4</v>
      </c>
      <c r="Y20" s="4" t="n">
        <v>2639643.0</v>
      </c>
    </row>
    <row r="21">
      <c r="A21" s="1"/>
      <c r="B21" s="4" t="s">
        <v>314</v>
      </c>
      <c r="C21" s="4" t="n">
        <v>4.0</v>
      </c>
      <c r="D21" s="4" t="s">
        <v>327</v>
      </c>
      <c r="E21" s="4" t="s">
        <v>328</v>
      </c>
      <c r="F21" s="4" t="s">
        <v>329</v>
      </c>
      <c r="G21" s="4" t="s">
        <v>318</v>
      </c>
      <c r="H21" s="4" t="s">
        <v>319</v>
      </c>
      <c r="I21" s="4" t="s">
        <v>0</v>
      </c>
      <c r="J21" s="5" t="n">
        <v>80.0</v>
      </c>
      <c r="K21" s="6" t="n">
        <v>451.0</v>
      </c>
      <c r="L21" s="5" t="n">
        <v>36080.0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Q29,)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451.0</v>
      </c>
      <c r="Y21" s="4" t="n">
        <v>2639648.0</v>
      </c>
    </row>
    <row r="22">
      <c r="A22" s="1"/>
      <c r="B22" s="4" t="s">
        <v>314</v>
      </c>
      <c r="C22" s="4" t="n">
        <v>5.0</v>
      </c>
      <c r="D22" s="4" t="s">
        <v>330</v>
      </c>
      <c r="E22" s="4" t="s">
        <v>331</v>
      </c>
      <c r="F22" s="4" t="s">
        <v>332</v>
      </c>
      <c r="G22" s="4" t="s">
        <v>323</v>
      </c>
      <c r="H22" s="4" t="s">
        <v>319</v>
      </c>
      <c r="I22" s="4" t="s">
        <v>0</v>
      </c>
      <c r="J22" s="5" t="n">
        <v>70.0</v>
      </c>
      <c r="K22" s="6" t="n">
        <v>5445.2</v>
      </c>
      <c r="L22" s="5" t="n">
        <v>381164.0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Q29,)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5445.2</v>
      </c>
      <c r="Y22" s="4" t="n">
        <v>2639649.0</v>
      </c>
    </row>
    <row r="23">
      <c r="A23" s="1"/>
      <c r="B23" s="4" t="s">
        <v>314</v>
      </c>
      <c r="C23" s="4" t="n">
        <v>6.0</v>
      </c>
      <c r="D23" s="4" t="s">
        <v>333</v>
      </c>
      <c r="E23" s="4" t="s">
        <v>334</v>
      </c>
      <c r="F23" s="4" t="s">
        <v>335</v>
      </c>
      <c r="G23" s="4" t="s">
        <v>336</v>
      </c>
      <c r="H23" s="4" t="s">
        <v>319</v>
      </c>
      <c r="I23" s="4" t="s">
        <v>0</v>
      </c>
      <c r="J23" s="5" t="n">
        <v>85.0</v>
      </c>
      <c r="K23" s="6" t="n">
        <v>7254.0</v>
      </c>
      <c r="L23" s="5" t="n">
        <v>616590.0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Q29,)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7254.0</v>
      </c>
      <c r="Y23" s="4" t="n">
        <v>2639646.0</v>
      </c>
    </row>
    <row r="24">
      <c r="A24" s="1"/>
      <c r="B24" s="4" t="s">
        <v>314</v>
      </c>
      <c r="C24" s="4" t="n">
        <v>7.0</v>
      </c>
      <c r="D24" s="4" t="s">
        <v>337</v>
      </c>
      <c r="E24" s="4" t="s">
        <v>338</v>
      </c>
      <c r="F24" s="4" t="s">
        <v>339</v>
      </c>
      <c r="G24" s="4" t="s">
        <v>323</v>
      </c>
      <c r="H24" s="4" t="s">
        <v>319</v>
      </c>
      <c r="I24" s="4" t="s">
        <v>0</v>
      </c>
      <c r="J24" s="5" t="n">
        <v>70.0</v>
      </c>
      <c r="K24" s="6" t="n">
        <v>712.0</v>
      </c>
      <c r="L24" s="5" t="n">
        <v>49840.0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Q29,)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712.0</v>
      </c>
      <c r="Y24" s="4" t="n">
        <v>2639644.0</v>
      </c>
    </row>
    <row r="25">
      <c r="A25" s="1"/>
      <c r="B25" s="4" t="s">
        <v>314</v>
      </c>
      <c r="C25" s="4" t="n">
        <v>8.0</v>
      </c>
      <c r="D25" s="4" t="s">
        <v>340</v>
      </c>
      <c r="E25" s="4" t="s">
        <v>341</v>
      </c>
      <c r="F25" s="4" t="s">
        <v>342</v>
      </c>
      <c r="G25" s="4" t="s">
        <v>336</v>
      </c>
      <c r="H25" s="4" t="s">
        <v>319</v>
      </c>
      <c r="I25" s="4" t="s">
        <v>0</v>
      </c>
      <c r="J25" s="5" t="n">
        <v>80.0</v>
      </c>
      <c r="K25" s="6" t="n">
        <v>1231.0</v>
      </c>
      <c r="L25" s="5" t="n">
        <v>98480.0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Q29,)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1231.0</v>
      </c>
      <c r="Y25" s="4" t="n">
        <v>2639647.0</v>
      </c>
    </row>
    <row r="26">
      <c r="A26" s="1"/>
      <c r="B26" s="4" t="s">
        <v>314</v>
      </c>
      <c r="C26" s="4" t="n">
        <v>9.0</v>
      </c>
      <c r="D26" s="4" t="s">
        <v>343</v>
      </c>
      <c r="E26" s="4" t="s">
        <v>344</v>
      </c>
      <c r="F26" s="4" t="s">
        <v>345</v>
      </c>
      <c r="G26" s="4" t="s">
        <v>318</v>
      </c>
      <c r="H26" s="4" t="s">
        <v>319</v>
      </c>
      <c r="I26" s="4" t="s">
        <v>0</v>
      </c>
      <c r="J26" s="5" t="n">
        <v>85.0</v>
      </c>
      <c r="K26" s="6" t="n">
        <v>10995.64</v>
      </c>
      <c r="L26" s="5" t="n">
        <v>934629.4</v>
      </c>
      <c r="M26" s="7" t="n">
        <f>IF(P26=1,0,1) + IF(ISBLANK(R26),1,0) + IF(ISBLANK(S26),1,0)</f>
        <v>3.0</v>
      </c>
      <c r="N26" s="7"/>
      <c r="O26" s="1"/>
      <c r="P26" s="7" t="n">
        <f>IF(OR(Q26="Российская Федерация",Q26="Армения",Q26="Белоруссия",Q26="Беларусь",Q26="Казахстан",Q26="Киргизия",Q26="Кыргызстан",Q26="ДНР",Q26="ЛНР"), 1, 0)</f>
        <v>0.0</v>
      </c>
      <c r="Q26" s="7" t="str">
        <f>IFERROR(IF(P26=1, "Российская Федерация", "Не заполнено"),"")</f>
        <v/>
      </c>
      <c r="R26" s="7"/>
      <c r="S26" s="7"/>
      <c r="T26" s="7"/>
      <c r="U26" s="5" t="n">
        <f>IF(T26&lt;&gt;0, J26 * Q29,)</f>
        <v>0.0</v>
      </c>
      <c r="V26" s="5" t="n">
        <f>U26*K26</f>
        <v>0.0</v>
      </c>
      <c r="W26" s="5" t="n">
        <f>X26*(ROUNDDOWN(T26,0) + ROUNDDOWN(T26 - ROUNDDOWN(T26,0),9))</f>
        <v>0.0</v>
      </c>
      <c r="X26" s="6" t="n">
        <f>K26</f>
        <v>10995.64</v>
      </c>
      <c r="Y26" s="4" t="n">
        <v>2639650.0</v>
      </c>
    </row>
    <row r="27" ht="12.75" customHeight="true">
      <c r="K27" s="68"/>
      <c r="L27" s="68"/>
    </row>
    <row r="28" ht="15.0" customHeight="true">
      <c r="K28" t="s" s="69">
        <v>346</v>
      </c>
      <c r="L28" s="69"/>
      <c r="M28" t="s" s="69">
        <v>347</v>
      </c>
      <c r="N28" s="69"/>
      <c r="O28" s="69"/>
      <c r="P28" s="69"/>
      <c r="Q28" s="69"/>
      <c r="R28" s="70"/>
      <c r="S28" s="70"/>
      <c r="W28" t="s" s="71">
        <v>348</v>
      </c>
      <c r="X28" s="72"/>
    </row>
    <row r="29" ht="15.0" customHeight="true">
      <c r="L29" s="73" t="n">
        <f>SUM(L18:L26)</f>
        <v>3190461.4</v>
      </c>
      <c r="Q29" s="73" t="n">
        <f>W29/L29</f>
        <v>0.0</v>
      </c>
      <c r="W29" s="73" t="n">
        <f>SUM(W18:W26)</f>
        <v>0.0</v>
      </c>
    </row>
    <row r="30" ht="12.75" customHeight="true">
      <c r="R30" t="s" s="68">
        <v>349</v>
      </c>
      <c r="S30" t="s" s="68">
        <v>350</v>
      </c>
      <c r="T30" s="68"/>
    </row>
    <row r="31" ht="12.75" customHeight="true">
      <c r="D31" t="s" s="74">
        <v>351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6"/>
      <c r="R31" s="77" t="n">
        <f>SUM(V18:V26)</f>
        <v>0.0</v>
      </c>
      <c r="S31" t="n" s="77">
        <v>100.0</v>
      </c>
      <c r="T31" t="s" s="78">
        <v>352</v>
      </c>
    </row>
    <row r="32" ht="15.0" customHeight="true">
      <c r="D32" t="s" s="74">
        <v>353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6"/>
      <c r="R32" s="73" t="n">
        <f>SUMIF(P18:P26,1, V18:V26)</f>
        <v>0.0</v>
      </c>
      <c r="S32" s="73" t="n">
        <f>IF(R31&lt;&gt;0, R32/R31*100,)</f>
        <v>0.0</v>
      </c>
      <c r="T32" s="79" t="str">
        <f>IF(S32&lt;=50," ","РФ/ДНР/ЛНР/ЕАЭС")</f>
        <v> </v>
      </c>
    </row>
    <row r="33" ht="15.0" customHeight="true">
      <c r="D33" t="s" s="74">
        <v>354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6"/>
      <c r="R33" s="73" t="n">
        <f>IF(R31&lt;&gt;0,R31-R32,)</f>
        <v>0.0</v>
      </c>
      <c r="S33" s="73" t="n">
        <f>IF(R31&lt;&gt;0, R33/R31*100,)</f>
        <v>0.0</v>
      </c>
      <c r="T33" s="79" t="str">
        <f>IF(S33&gt;50,"Импорт", " ")</f>
        <v> </v>
      </c>
    </row>
    <row r="34" ht="15.0" customHeight="true">
      <c r="D34" t="s" s="74">
        <v>355</v>
      </c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6"/>
      <c r="R34" s="73" t="n">
        <f>SUMIF(M18:M26, 0, V18:V26)</f>
        <v>0.0</v>
      </c>
      <c r="S34" s="73" t="n">
        <f>IF(R31&lt;&gt;0, R34/R31*100,)</f>
        <v>0.0</v>
      </c>
      <c r="T34" s="79" t="str">
        <f>IF(S34&lt;=50," ","РЭП (ПО)")</f>
        <v> </v>
      </c>
    </row>
    <row r="35" ht="15.0" customHeight="true">
      <c r="A35" s="7"/>
    </row>
    <row r="36" ht="15.75" customHeight="true">
      <c r="B36" t="s" s="80">
        <v>356</v>
      </c>
    </row>
    <row r="37" ht="19.5" customHeight="true">
      <c r="B37" t="s" s="81">
        <v>357</v>
      </c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</row>
    <row r="38" ht="20.25" customHeight="true">
      <c r="B38" t="s" s="82">
        <v>358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39.75" customHeight="true">
      <c r="B39" t="s" s="84">
        <v>359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</row>
    <row r="40" ht="19.5" customHeight="true">
      <c r="B40" t="s" s="82">
        <v>360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18.0" customHeight="true">
      <c r="B41" t="s" s="82">
        <v>361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22.5" customHeight="true">
      <c r="B42" t="s" s="82">
        <v>362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ht="19.5" customHeight="true">
      <c r="B43" t="s" s="82">
        <v>363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22.5" customHeight="true">
      <c r="B44" t="s" s="82">
        <v>364</v>
      </c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 ht="34.5" customHeight="true">
      <c r="B45" t="s" s="82">
        <v>365</v>
      </c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 ht="36.0" customHeight="true">
      <c r="B46" t="s" s="82">
        <v>366</v>
      </c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 ht="32.25" customHeight="true">
      <c r="B47" t="s" s="86">
        <v>367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</row>
    <row r="48" ht="33.75" customHeight="true">
      <c r="B48" t="s" s="82">
        <v>368</v>
      </c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ht="33.75" customHeight="true">
      <c r="B49" t="s" s="82">
        <v>369</v>
      </c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 ht="124.5" customHeight="true">
      <c r="B50" t="s" s="82">
        <v>370</v>
      </c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 ht="33.75" customHeight="true">
      <c r="B51" t="s" s="82">
        <v>371</v>
      </c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 ht="24.75" customHeight="true">
      <c r="A52" s="7"/>
    </row>
  </sheetData>
  <sheetProtection autoFilter="false" sort="false" password="CDB0" sheet="true" scenarios="true" objects="true"/>
  <autoFilter ref="B17:S26"/>
  <mergeCells count="92">
    <mergeCell ref="K28:L28"/>
    <mergeCell ref="M28:Q28"/>
    <mergeCell ref="I14:I16"/>
    <mergeCell ref="J14:J16"/>
    <mergeCell ref="K14:K16"/>
    <mergeCell ref="L14:L16"/>
    <mergeCell ref="D34:Q34"/>
    <mergeCell ref="B50:W50"/>
    <mergeCell ref="B46:W46"/>
    <mergeCell ref="B47:W47"/>
    <mergeCell ref="B48:W48"/>
    <mergeCell ref="B49:W49"/>
    <mergeCell ref="BS15:BT15"/>
    <mergeCell ref="B51:W51"/>
    <mergeCell ref="B45:W45"/>
    <mergeCell ref="D31:Q31"/>
    <mergeCell ref="D32:Q32"/>
    <mergeCell ref="D33:Q33"/>
    <mergeCell ref="B37:W37"/>
    <mergeCell ref="B38:W38"/>
    <mergeCell ref="B39:W39"/>
    <mergeCell ref="B40:W40"/>
    <mergeCell ref="B41:W41"/>
    <mergeCell ref="B42:W42"/>
    <mergeCell ref="B43:W43"/>
    <mergeCell ref="B44:W44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27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  <dataValidation type="list" sqref="N26" allowBlank="true" errorStyle="stop" promptTitle="" prompt="" showInputMessage="true" showDropDown="false" showErrorMessage="true">
      <formula1>yes_no</formula1>
    </dataValidation>
    <dataValidation type="list" sqref="Q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2026-09-24T11:27:59Z</dcterms:created>
  <dc:creator>Apache POI</dc:creator>
</cp:coreProperties>
</file>